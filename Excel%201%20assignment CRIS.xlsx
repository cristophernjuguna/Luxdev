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24226"/>
  <mc:AlternateContent xmlns:mc="http://schemas.openxmlformats.org/markup-compatibility/2006">
    <mc:Choice Requires="x15">
      <x15ac:absPath xmlns:x15ac="http://schemas.microsoft.com/office/spreadsheetml/2010/11/ac" url="https://d.docs.live.net/16bf74f5dd0d0037/Desktop/uncle/lux dev/"/>
    </mc:Choice>
  </mc:AlternateContent>
  <xr:revisionPtr revIDLastSave="1" documentId="8_{371B4320-6817-45D7-922C-E8359F359DA0}" xr6:coauthVersionLast="47" xr6:coauthVersionMax="47" xr10:uidLastSave="{43ADB0A9-34A4-40D1-8882-67B54F55E60C}"/>
  <bookViews>
    <workbookView xWindow="-108" yWindow="-108" windowWidth="23256" windowHeight="12456" firstSheet="9" activeTab="13" xr2:uid="{00000000-000D-0000-FFFF-FFFF00000000}"/>
  </bookViews>
  <sheets>
    <sheet name="Data" sheetId="1" r:id="rId1"/>
    <sheet name="Brief" sheetId="2" r:id="rId2"/>
    <sheet name="Answers" sheetId="5" r:id="rId3"/>
    <sheet name="PART A 1" sheetId="4" r:id="rId4"/>
    <sheet name="PART A 2" sheetId="7" r:id="rId5"/>
    <sheet name="PART A 3" sheetId="8" r:id="rId6"/>
    <sheet name="PART B4" sheetId="12" r:id="rId7"/>
    <sheet name="PART B5" sheetId="14" r:id="rId8"/>
    <sheet name="PartB6" sheetId="15" r:id="rId9"/>
    <sheet name="Channelmix" sheetId="18" r:id="rId10"/>
    <sheet name="Sheet17" sheetId="19" r:id="rId11"/>
    <sheet name="Sheet18" sheetId="20" r:id="rId12"/>
    <sheet name="top10SKU" sheetId="21" r:id="rId13"/>
    <sheet name="Dashboard" sheetId="22" r:id="rId14"/>
    <sheet name="Table" sheetId="9" r:id="rId15"/>
    <sheet name="Sheet14" sheetId="16" r:id="rId16"/>
  </sheets>
  <definedNames>
    <definedName name="Slicer_Channel">#N/A</definedName>
    <definedName name="Slicer_Country">#N/A</definedName>
    <definedName name="Slicer_Month">#N/A</definedName>
    <definedName name="Slicer_ProductCategory">#N/A</definedName>
    <definedName name="Slicer_Region">#N/A</definedName>
    <definedName name="Slicer_SalesPerson">#N/A</definedName>
  </definedNames>
  <calcPr calcId="191029"/>
  <pivotCaches>
    <pivotCache cacheId="0" r:id="rId17"/>
  </pivotCaches>
  <fileRecoveryPr repairLoad="1"/>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633" i="9" l="1"/>
  <c r="AG633" i="9"/>
  <c r="AI632" i="9"/>
  <c r="AJ632" i="9" s="1"/>
  <c r="AK632" i="9" s="1"/>
  <c r="L632" i="9"/>
  <c r="H632" i="9"/>
  <c r="J632" i="9" s="1"/>
  <c r="AI631" i="9"/>
  <c r="AJ631" i="9" s="1"/>
  <c r="AK631" i="9" s="1"/>
  <c r="L631" i="9"/>
  <c r="H631" i="9"/>
  <c r="J631" i="9" s="1"/>
  <c r="AI630" i="9"/>
  <c r="AJ630" i="9" s="1"/>
  <c r="AK630" i="9" s="1"/>
  <c r="L630" i="9"/>
  <c r="J630" i="9"/>
  <c r="H630" i="9"/>
  <c r="I630" i="9" s="1"/>
  <c r="AI629" i="9"/>
  <c r="AJ629" i="9" s="1"/>
  <c r="AK629" i="9" s="1"/>
  <c r="L629" i="9"/>
  <c r="J629" i="9"/>
  <c r="I629" i="9"/>
  <c r="H629" i="9"/>
  <c r="AI628" i="9"/>
  <c r="AJ628" i="9" s="1"/>
  <c r="AK628" i="9" s="1"/>
  <c r="L628" i="9"/>
  <c r="H628" i="9"/>
  <c r="J628" i="9" s="1"/>
  <c r="AJ627" i="9"/>
  <c r="AK627" i="9" s="1"/>
  <c r="AI627" i="9"/>
  <c r="L627" i="9"/>
  <c r="H627" i="9"/>
  <c r="AK626" i="9"/>
  <c r="AI626" i="9"/>
  <c r="AJ626" i="9" s="1"/>
  <c r="L626" i="9"/>
  <c r="I626" i="9"/>
  <c r="H626" i="9"/>
  <c r="J626" i="9" s="1"/>
  <c r="AJ625" i="9"/>
  <c r="AK625" i="9" s="1"/>
  <c r="AI625" i="9"/>
  <c r="L625" i="9"/>
  <c r="H625" i="9"/>
  <c r="AI624" i="9"/>
  <c r="AJ624" i="9" s="1"/>
  <c r="AK624" i="9" s="1"/>
  <c r="L624" i="9"/>
  <c r="J624" i="9"/>
  <c r="H624" i="9"/>
  <c r="I624" i="9" s="1"/>
  <c r="AI623" i="9"/>
  <c r="AJ623" i="9" s="1"/>
  <c r="AK623" i="9" s="1"/>
  <c r="L623" i="9"/>
  <c r="J623" i="9"/>
  <c r="I623" i="9"/>
  <c r="H623" i="9"/>
  <c r="AJ622" i="9"/>
  <c r="AK622" i="9" s="1"/>
  <c r="AI622" i="9"/>
  <c r="L622" i="9"/>
  <c r="J622" i="9"/>
  <c r="I622" i="9"/>
  <c r="H622" i="9"/>
  <c r="AI621" i="9"/>
  <c r="AJ621" i="9" s="1"/>
  <c r="AK621" i="9" s="1"/>
  <c r="L621" i="9"/>
  <c r="J621" i="9"/>
  <c r="I621" i="9"/>
  <c r="H621" i="9"/>
  <c r="AK620" i="9"/>
  <c r="AJ620" i="9"/>
  <c r="AI620" i="9"/>
  <c r="L620" i="9"/>
  <c r="H620" i="9"/>
  <c r="AI619" i="9"/>
  <c r="AJ619" i="9" s="1"/>
  <c r="AK619" i="9" s="1"/>
  <c r="L619" i="9"/>
  <c r="H619" i="9"/>
  <c r="I619" i="9" s="1"/>
  <c r="AJ618" i="9"/>
  <c r="AK618" i="9" s="1"/>
  <c r="AI618" i="9"/>
  <c r="L618" i="9"/>
  <c r="I618" i="9"/>
  <c r="H618" i="9"/>
  <c r="J618" i="9" s="1"/>
  <c r="AJ617" i="9"/>
  <c r="AK617" i="9" s="1"/>
  <c r="AI617" i="9"/>
  <c r="L617" i="9"/>
  <c r="J617" i="9"/>
  <c r="H617" i="9"/>
  <c r="I617" i="9" s="1"/>
  <c r="AJ616" i="9"/>
  <c r="AK616" i="9" s="1"/>
  <c r="AI616" i="9"/>
  <c r="L616" i="9"/>
  <c r="J616" i="9"/>
  <c r="I616" i="9"/>
  <c r="H616" i="9"/>
  <c r="AK615" i="9"/>
  <c r="AI615" i="9"/>
  <c r="AJ615" i="9" s="1"/>
  <c r="L615" i="9"/>
  <c r="H615" i="9"/>
  <c r="J615" i="9" s="1"/>
  <c r="AJ614" i="9"/>
  <c r="AK614" i="9" s="1"/>
  <c r="AI614" i="9"/>
  <c r="L614" i="9"/>
  <c r="J614" i="9"/>
  <c r="I614" i="9"/>
  <c r="H614" i="9"/>
  <c r="AI613" i="9"/>
  <c r="AJ613" i="9" s="1"/>
  <c r="AK613" i="9" s="1"/>
  <c r="L613" i="9"/>
  <c r="J613" i="9"/>
  <c r="I613" i="9"/>
  <c r="H613" i="9"/>
  <c r="AK612" i="9"/>
  <c r="AJ612" i="9"/>
  <c r="AI612" i="9"/>
  <c r="L612" i="9"/>
  <c r="H612" i="9"/>
  <c r="AI611" i="9"/>
  <c r="AJ611" i="9" s="1"/>
  <c r="AK611" i="9" s="1"/>
  <c r="L611" i="9"/>
  <c r="H611" i="9"/>
  <c r="I611" i="9" s="1"/>
  <c r="AJ610" i="9"/>
  <c r="AK610" i="9" s="1"/>
  <c r="AI610" i="9"/>
  <c r="L610" i="9"/>
  <c r="I610" i="9"/>
  <c r="H610" i="9"/>
  <c r="J610" i="9" s="1"/>
  <c r="AJ609" i="9"/>
  <c r="AK609" i="9" s="1"/>
  <c r="AI609" i="9"/>
  <c r="L609" i="9"/>
  <c r="J609" i="9"/>
  <c r="H609" i="9"/>
  <c r="I609" i="9" s="1"/>
  <c r="AJ608" i="9"/>
  <c r="AK608" i="9" s="1"/>
  <c r="AI608" i="9"/>
  <c r="L608" i="9"/>
  <c r="J608" i="9"/>
  <c r="I608" i="9"/>
  <c r="H608" i="9"/>
  <c r="AK607" i="9"/>
  <c r="AI607" i="9"/>
  <c r="AJ607" i="9" s="1"/>
  <c r="L607" i="9"/>
  <c r="H607" i="9"/>
  <c r="J607" i="9" s="1"/>
  <c r="AJ606" i="9"/>
  <c r="AK606" i="9" s="1"/>
  <c r="AI606" i="9"/>
  <c r="L606" i="9"/>
  <c r="J606" i="9"/>
  <c r="I606" i="9"/>
  <c r="H606" i="9"/>
  <c r="AI605" i="9"/>
  <c r="AJ605" i="9" s="1"/>
  <c r="AK605" i="9" s="1"/>
  <c r="L605" i="9"/>
  <c r="J605" i="9"/>
  <c r="I605" i="9"/>
  <c r="H605" i="9"/>
  <c r="AK604" i="9"/>
  <c r="AJ604" i="9"/>
  <c r="AI604" i="9"/>
  <c r="L604" i="9"/>
  <c r="H604" i="9"/>
  <c r="AI603" i="9"/>
  <c r="AJ603" i="9" s="1"/>
  <c r="AK603" i="9" s="1"/>
  <c r="L603" i="9"/>
  <c r="H603" i="9"/>
  <c r="I603" i="9" s="1"/>
  <c r="AJ602" i="9"/>
  <c r="AK602" i="9" s="1"/>
  <c r="AI602" i="9"/>
  <c r="L602" i="9"/>
  <c r="I602" i="9"/>
  <c r="H602" i="9"/>
  <c r="J602" i="9" s="1"/>
  <c r="AJ601" i="9"/>
  <c r="AK601" i="9" s="1"/>
  <c r="AI601" i="9"/>
  <c r="L601" i="9"/>
  <c r="J601" i="9"/>
  <c r="H601" i="9"/>
  <c r="I601" i="9" s="1"/>
  <c r="AJ600" i="9"/>
  <c r="AK600" i="9" s="1"/>
  <c r="AI600" i="9"/>
  <c r="L600" i="9"/>
  <c r="J600" i="9"/>
  <c r="I600" i="9"/>
  <c r="H600" i="9"/>
  <c r="AK599" i="9"/>
  <c r="AI599" i="9"/>
  <c r="AJ599" i="9" s="1"/>
  <c r="L599" i="9"/>
  <c r="H599" i="9"/>
  <c r="J599" i="9" s="1"/>
  <c r="AJ598" i="9"/>
  <c r="AK598" i="9" s="1"/>
  <c r="AI598" i="9"/>
  <c r="L598" i="9"/>
  <c r="J598" i="9"/>
  <c r="I598" i="9"/>
  <c r="H598" i="9"/>
  <c r="AI597" i="9"/>
  <c r="AJ597" i="9" s="1"/>
  <c r="AK597" i="9" s="1"/>
  <c r="L597" i="9"/>
  <c r="J597" i="9"/>
  <c r="I597" i="9"/>
  <c r="H597" i="9"/>
  <c r="AK596" i="9"/>
  <c r="AJ596" i="9"/>
  <c r="AI596" i="9"/>
  <c r="L596" i="9"/>
  <c r="H596" i="9"/>
  <c r="AI595" i="9"/>
  <c r="AJ595" i="9" s="1"/>
  <c r="AK595" i="9" s="1"/>
  <c r="L595" i="9"/>
  <c r="H595" i="9"/>
  <c r="I595" i="9" s="1"/>
  <c r="AJ594" i="9"/>
  <c r="AK594" i="9" s="1"/>
  <c r="AI594" i="9"/>
  <c r="L594" i="9"/>
  <c r="I594" i="9"/>
  <c r="H594" i="9"/>
  <c r="J594" i="9" s="1"/>
  <c r="AJ593" i="9"/>
  <c r="AK593" i="9" s="1"/>
  <c r="AI593" i="9"/>
  <c r="L593" i="9"/>
  <c r="J593" i="9"/>
  <c r="H593" i="9"/>
  <c r="I593" i="9" s="1"/>
  <c r="AJ592" i="9"/>
  <c r="AK592" i="9" s="1"/>
  <c r="AI592" i="9"/>
  <c r="L592" i="9"/>
  <c r="J592" i="9"/>
  <c r="I592" i="9"/>
  <c r="H592" i="9"/>
  <c r="AK591" i="9"/>
  <c r="AI591" i="9"/>
  <c r="AJ591" i="9" s="1"/>
  <c r="L591" i="9"/>
  <c r="H591" i="9"/>
  <c r="J591" i="9" s="1"/>
  <c r="AJ590" i="9"/>
  <c r="AK590" i="9" s="1"/>
  <c r="AI590" i="9"/>
  <c r="L590" i="9"/>
  <c r="J590" i="9"/>
  <c r="I590" i="9"/>
  <c r="H590" i="9"/>
  <c r="AI589" i="9"/>
  <c r="AJ589" i="9" s="1"/>
  <c r="AK589" i="9" s="1"/>
  <c r="L589" i="9"/>
  <c r="J589" i="9"/>
  <c r="I589" i="9"/>
  <c r="H589" i="9"/>
  <c r="AK588" i="9"/>
  <c r="AJ588" i="9"/>
  <c r="AI588" i="9"/>
  <c r="L588" i="9"/>
  <c r="H588" i="9"/>
  <c r="AI587" i="9"/>
  <c r="AJ587" i="9" s="1"/>
  <c r="AK587" i="9" s="1"/>
  <c r="L587" i="9"/>
  <c r="H587" i="9"/>
  <c r="AJ586" i="9"/>
  <c r="AK586" i="9" s="1"/>
  <c r="AI586" i="9"/>
  <c r="L586" i="9"/>
  <c r="I586" i="9"/>
  <c r="H586" i="9"/>
  <c r="J586" i="9" s="1"/>
  <c r="AJ585" i="9"/>
  <c r="AK585" i="9" s="1"/>
  <c r="AI585" i="9"/>
  <c r="L585" i="9"/>
  <c r="J585" i="9"/>
  <c r="H585" i="9"/>
  <c r="I585" i="9" s="1"/>
  <c r="AJ584" i="9"/>
  <c r="AK584" i="9" s="1"/>
  <c r="AI584" i="9"/>
  <c r="L584" i="9"/>
  <c r="J584" i="9"/>
  <c r="I584" i="9"/>
  <c r="H584" i="9"/>
  <c r="AK583" i="9"/>
  <c r="AI583" i="9"/>
  <c r="AJ583" i="9" s="1"/>
  <c r="L583" i="9"/>
  <c r="H583" i="9"/>
  <c r="AJ582" i="9"/>
  <c r="AK582" i="9" s="1"/>
  <c r="AI582" i="9"/>
  <c r="L582" i="9"/>
  <c r="J582" i="9"/>
  <c r="I582" i="9"/>
  <c r="H582" i="9"/>
  <c r="AI581" i="9"/>
  <c r="AJ581" i="9" s="1"/>
  <c r="AK581" i="9" s="1"/>
  <c r="L581" i="9"/>
  <c r="J581" i="9"/>
  <c r="I581" i="9"/>
  <c r="H581" i="9"/>
  <c r="AK580" i="9"/>
  <c r="AJ580" i="9"/>
  <c r="AI580" i="9"/>
  <c r="L580" i="9"/>
  <c r="H580" i="9"/>
  <c r="AI579" i="9"/>
  <c r="AJ579" i="9" s="1"/>
  <c r="AK579" i="9" s="1"/>
  <c r="L579" i="9"/>
  <c r="H579" i="9"/>
  <c r="AJ578" i="9"/>
  <c r="AK578" i="9" s="1"/>
  <c r="AI578" i="9"/>
  <c r="L578" i="9"/>
  <c r="I578" i="9"/>
  <c r="H578" i="9"/>
  <c r="J578" i="9" s="1"/>
  <c r="AJ577" i="9"/>
  <c r="AK577" i="9" s="1"/>
  <c r="AI577" i="9"/>
  <c r="L577" i="9"/>
  <c r="J577" i="9"/>
  <c r="H577" i="9"/>
  <c r="I577" i="9" s="1"/>
  <c r="AJ576" i="9"/>
  <c r="AK576" i="9" s="1"/>
  <c r="AI576" i="9"/>
  <c r="L576" i="9"/>
  <c r="J576" i="9"/>
  <c r="I576" i="9"/>
  <c r="H576" i="9"/>
  <c r="AK575" i="9"/>
  <c r="AI575" i="9"/>
  <c r="AJ575" i="9" s="1"/>
  <c r="L575" i="9"/>
  <c r="H575" i="9"/>
  <c r="AJ574" i="9"/>
  <c r="AK574" i="9" s="1"/>
  <c r="AI574" i="9"/>
  <c r="L574" i="9"/>
  <c r="J574" i="9"/>
  <c r="I574" i="9"/>
  <c r="H574" i="9"/>
  <c r="AI573" i="9"/>
  <c r="AJ573" i="9" s="1"/>
  <c r="AK573" i="9" s="1"/>
  <c r="L573" i="9"/>
  <c r="J573" i="9"/>
  <c r="I573" i="9"/>
  <c r="H573" i="9"/>
  <c r="AK572" i="9"/>
  <c r="AJ572" i="9"/>
  <c r="AI572" i="9"/>
  <c r="L572" i="9"/>
  <c r="H572" i="9"/>
  <c r="AI571" i="9"/>
  <c r="AJ571" i="9" s="1"/>
  <c r="AK571" i="9" s="1"/>
  <c r="L571" i="9"/>
  <c r="H571" i="9"/>
  <c r="AJ570" i="9"/>
  <c r="AK570" i="9" s="1"/>
  <c r="AI570" i="9"/>
  <c r="L570" i="9"/>
  <c r="I570" i="9"/>
  <c r="H570" i="9"/>
  <c r="J570" i="9" s="1"/>
  <c r="AJ569" i="9"/>
  <c r="AK569" i="9" s="1"/>
  <c r="AI569" i="9"/>
  <c r="L569" i="9"/>
  <c r="J569" i="9"/>
  <c r="H569" i="9"/>
  <c r="I569" i="9" s="1"/>
  <c r="AJ568" i="9"/>
  <c r="AK568" i="9" s="1"/>
  <c r="AI568" i="9"/>
  <c r="L568" i="9"/>
  <c r="J568" i="9"/>
  <c r="I568" i="9"/>
  <c r="H568" i="9"/>
  <c r="AK567" i="9"/>
  <c r="AI567" i="9"/>
  <c r="AJ567" i="9" s="1"/>
  <c r="L567" i="9"/>
  <c r="H567" i="9"/>
  <c r="AJ566" i="9"/>
  <c r="AK566" i="9" s="1"/>
  <c r="AI566" i="9"/>
  <c r="L566" i="9"/>
  <c r="J566" i="9"/>
  <c r="I566" i="9"/>
  <c r="H566" i="9"/>
  <c r="AI565" i="9"/>
  <c r="AJ565" i="9" s="1"/>
  <c r="AK565" i="9" s="1"/>
  <c r="L565" i="9"/>
  <c r="J565" i="9"/>
  <c r="I565" i="9"/>
  <c r="H565" i="9"/>
  <c r="AK564" i="9"/>
  <c r="AJ564" i="9"/>
  <c r="AI564" i="9"/>
  <c r="L564" i="9"/>
  <c r="H564" i="9"/>
  <c r="AI563" i="9"/>
  <c r="AJ563" i="9" s="1"/>
  <c r="AK563" i="9" s="1"/>
  <c r="L563" i="9"/>
  <c r="H563" i="9"/>
  <c r="AJ562" i="9"/>
  <c r="AK562" i="9" s="1"/>
  <c r="AI562" i="9"/>
  <c r="L562" i="9"/>
  <c r="I562" i="9"/>
  <c r="H562" i="9"/>
  <c r="J562" i="9" s="1"/>
  <c r="AJ561" i="9"/>
  <c r="AK561" i="9" s="1"/>
  <c r="AI561" i="9"/>
  <c r="L561" i="9"/>
  <c r="J561" i="9"/>
  <c r="H561" i="9"/>
  <c r="I561" i="9" s="1"/>
  <c r="AJ560" i="9"/>
  <c r="AK560" i="9" s="1"/>
  <c r="AI560" i="9"/>
  <c r="L560" i="9"/>
  <c r="J560" i="9"/>
  <c r="I560" i="9"/>
  <c r="H560" i="9"/>
  <c r="AK559" i="9"/>
  <c r="AI559" i="9"/>
  <c r="AJ559" i="9" s="1"/>
  <c r="L559" i="9"/>
  <c r="H559" i="9"/>
  <c r="AJ558" i="9"/>
  <c r="AK558" i="9" s="1"/>
  <c r="AI558" i="9"/>
  <c r="L558" i="9"/>
  <c r="J558" i="9"/>
  <c r="I558" i="9"/>
  <c r="H558" i="9"/>
  <c r="AI557" i="9"/>
  <c r="AJ557" i="9" s="1"/>
  <c r="AK557" i="9" s="1"/>
  <c r="L557" i="9"/>
  <c r="I557" i="9"/>
  <c r="H557" i="9"/>
  <c r="J557" i="9" s="1"/>
  <c r="AK556" i="9"/>
  <c r="AJ556" i="9"/>
  <c r="AI556" i="9"/>
  <c r="L556" i="9"/>
  <c r="H556" i="9"/>
  <c r="AJ555" i="9"/>
  <c r="AK555" i="9" s="1"/>
  <c r="AI555" i="9"/>
  <c r="L555" i="9"/>
  <c r="H555" i="9"/>
  <c r="AI554" i="9"/>
  <c r="AJ554" i="9" s="1"/>
  <c r="AK554" i="9" s="1"/>
  <c r="L554" i="9"/>
  <c r="I554" i="9"/>
  <c r="H554" i="9"/>
  <c r="J554" i="9" s="1"/>
  <c r="AJ553" i="9"/>
  <c r="AK553" i="9" s="1"/>
  <c r="AI553" i="9"/>
  <c r="L553" i="9"/>
  <c r="H553" i="9"/>
  <c r="AJ552" i="9"/>
  <c r="AK552" i="9" s="1"/>
  <c r="AI552" i="9"/>
  <c r="L552" i="9"/>
  <c r="J552" i="9"/>
  <c r="I552" i="9"/>
  <c r="H552" i="9"/>
  <c r="AI551" i="9"/>
  <c r="AJ551" i="9" s="1"/>
  <c r="AK551" i="9" s="1"/>
  <c r="L551" i="9"/>
  <c r="H551" i="9"/>
  <c r="AJ550" i="9"/>
  <c r="AK550" i="9" s="1"/>
  <c r="AI550" i="9"/>
  <c r="L550" i="9"/>
  <c r="J550" i="9"/>
  <c r="I550" i="9"/>
  <c r="H550" i="9"/>
  <c r="AI549" i="9"/>
  <c r="AJ549" i="9" s="1"/>
  <c r="AK549" i="9" s="1"/>
  <c r="L549" i="9"/>
  <c r="H549" i="9"/>
  <c r="J549" i="9" s="1"/>
  <c r="AK548" i="9"/>
  <c r="AJ548" i="9"/>
  <c r="AI548" i="9"/>
  <c r="L548" i="9"/>
  <c r="H548" i="9"/>
  <c r="AI547" i="9"/>
  <c r="AJ547" i="9" s="1"/>
  <c r="AK547" i="9" s="1"/>
  <c r="L547" i="9"/>
  <c r="H547" i="9"/>
  <c r="AJ546" i="9"/>
  <c r="AK546" i="9" s="1"/>
  <c r="AI546" i="9"/>
  <c r="L546" i="9"/>
  <c r="I546" i="9"/>
  <c r="H546" i="9"/>
  <c r="J546" i="9" s="1"/>
  <c r="AJ545" i="9"/>
  <c r="AK545" i="9" s="1"/>
  <c r="AI545" i="9"/>
  <c r="L545" i="9"/>
  <c r="J545" i="9"/>
  <c r="H545" i="9"/>
  <c r="I545" i="9" s="1"/>
  <c r="AJ544" i="9"/>
  <c r="AK544" i="9" s="1"/>
  <c r="AI544" i="9"/>
  <c r="L544" i="9"/>
  <c r="J544" i="9"/>
  <c r="I544" i="9"/>
  <c r="H544" i="9"/>
  <c r="AK543" i="9"/>
  <c r="AI543" i="9"/>
  <c r="AJ543" i="9" s="1"/>
  <c r="L543" i="9"/>
  <c r="H543" i="9"/>
  <c r="AJ542" i="9"/>
  <c r="AK542" i="9" s="1"/>
  <c r="AI542" i="9"/>
  <c r="L542" i="9"/>
  <c r="J542" i="9"/>
  <c r="I542" i="9"/>
  <c r="H542" i="9"/>
  <c r="AI541" i="9"/>
  <c r="AJ541" i="9" s="1"/>
  <c r="AK541" i="9" s="1"/>
  <c r="L541" i="9"/>
  <c r="H541" i="9"/>
  <c r="AK540" i="9"/>
  <c r="AJ540" i="9"/>
  <c r="AI540" i="9"/>
  <c r="L540" i="9"/>
  <c r="H540" i="9"/>
  <c r="AI539" i="9"/>
  <c r="AJ539" i="9" s="1"/>
  <c r="AK539" i="9" s="1"/>
  <c r="L539" i="9"/>
  <c r="H539" i="9"/>
  <c r="AJ538" i="9"/>
  <c r="AK538" i="9" s="1"/>
  <c r="AI538" i="9"/>
  <c r="L538" i="9"/>
  <c r="I538" i="9"/>
  <c r="H538" i="9"/>
  <c r="J538" i="9" s="1"/>
  <c r="AJ537" i="9"/>
  <c r="AK537" i="9" s="1"/>
  <c r="AI537" i="9"/>
  <c r="L537" i="9"/>
  <c r="J537" i="9"/>
  <c r="H537" i="9"/>
  <c r="I537" i="9" s="1"/>
  <c r="AJ536" i="9"/>
  <c r="AK536" i="9" s="1"/>
  <c r="AI536" i="9"/>
  <c r="L536" i="9"/>
  <c r="J536" i="9"/>
  <c r="I536" i="9"/>
  <c r="H536" i="9"/>
  <c r="AK535" i="9"/>
  <c r="AI535" i="9"/>
  <c r="AJ535" i="9" s="1"/>
  <c r="L535" i="9"/>
  <c r="H535" i="9"/>
  <c r="AJ534" i="9"/>
  <c r="AK534" i="9" s="1"/>
  <c r="AI534" i="9"/>
  <c r="L534" i="9"/>
  <c r="J534" i="9"/>
  <c r="I534" i="9"/>
  <c r="H534" i="9"/>
  <c r="AI533" i="9"/>
  <c r="AJ533" i="9" s="1"/>
  <c r="AK533" i="9" s="1"/>
  <c r="L533" i="9"/>
  <c r="J533" i="9"/>
  <c r="I533" i="9"/>
  <c r="H533" i="9"/>
  <c r="AK532" i="9"/>
  <c r="AJ532" i="9"/>
  <c r="AI532" i="9"/>
  <c r="L532" i="9"/>
  <c r="H532" i="9"/>
  <c r="AJ531" i="9"/>
  <c r="AK531" i="9" s="1"/>
  <c r="AI531" i="9"/>
  <c r="L531" i="9"/>
  <c r="H531" i="9"/>
  <c r="AI530" i="9"/>
  <c r="AJ530" i="9" s="1"/>
  <c r="AK530" i="9" s="1"/>
  <c r="L530" i="9"/>
  <c r="I530" i="9"/>
  <c r="H530" i="9"/>
  <c r="J530" i="9" s="1"/>
  <c r="AJ529" i="9"/>
  <c r="AK529" i="9" s="1"/>
  <c r="AI529" i="9"/>
  <c r="L529" i="9"/>
  <c r="H529" i="9"/>
  <c r="I529" i="9" s="1"/>
  <c r="AK528" i="9"/>
  <c r="AJ528" i="9"/>
  <c r="AI528" i="9"/>
  <c r="L528" i="9"/>
  <c r="J528" i="9"/>
  <c r="I528" i="9"/>
  <c r="H528" i="9"/>
  <c r="AI527" i="9"/>
  <c r="AJ527" i="9" s="1"/>
  <c r="AK527" i="9" s="1"/>
  <c r="L527" i="9"/>
  <c r="I527" i="9"/>
  <c r="H527" i="9"/>
  <c r="J527" i="9" s="1"/>
  <c r="AI526" i="9"/>
  <c r="AJ526" i="9" s="1"/>
  <c r="AK526" i="9" s="1"/>
  <c r="L526" i="9"/>
  <c r="H526" i="9"/>
  <c r="AI525" i="9"/>
  <c r="AJ525" i="9" s="1"/>
  <c r="AK525" i="9" s="1"/>
  <c r="L525" i="9"/>
  <c r="J525" i="9"/>
  <c r="I525" i="9"/>
  <c r="H525" i="9"/>
  <c r="AJ524" i="9"/>
  <c r="AK524" i="9" s="1"/>
  <c r="AI524" i="9"/>
  <c r="L524" i="9"/>
  <c r="J524" i="9"/>
  <c r="I524" i="9"/>
  <c r="H524" i="9"/>
  <c r="AK523" i="9"/>
  <c r="AI523" i="9"/>
  <c r="AJ523" i="9" s="1"/>
  <c r="L523" i="9"/>
  <c r="H523" i="9"/>
  <c r="I523" i="9" s="1"/>
  <c r="AK522" i="9"/>
  <c r="AJ522" i="9"/>
  <c r="AI522" i="9"/>
  <c r="L522" i="9"/>
  <c r="H522" i="9"/>
  <c r="AJ521" i="9"/>
  <c r="AK521" i="9" s="1"/>
  <c r="AI521" i="9"/>
  <c r="L521" i="9"/>
  <c r="H521" i="9"/>
  <c r="AI520" i="9"/>
  <c r="AJ520" i="9" s="1"/>
  <c r="AK520" i="9" s="1"/>
  <c r="L520" i="9"/>
  <c r="J520" i="9"/>
  <c r="I520" i="9"/>
  <c r="H520" i="9"/>
  <c r="AI519" i="9"/>
  <c r="AJ519" i="9" s="1"/>
  <c r="AK519" i="9" s="1"/>
  <c r="L519" i="9"/>
  <c r="I519" i="9"/>
  <c r="H519" i="9"/>
  <c r="J519" i="9" s="1"/>
  <c r="AI518" i="9"/>
  <c r="AJ518" i="9" s="1"/>
  <c r="AK518" i="9" s="1"/>
  <c r="L518" i="9"/>
  <c r="H518" i="9"/>
  <c r="AI517" i="9"/>
  <c r="AJ517" i="9" s="1"/>
  <c r="AK517" i="9" s="1"/>
  <c r="L517" i="9"/>
  <c r="J517" i="9"/>
  <c r="I517" i="9"/>
  <c r="H517" i="9"/>
  <c r="AJ516" i="9"/>
  <c r="AK516" i="9" s="1"/>
  <c r="AI516" i="9"/>
  <c r="L516" i="9"/>
  <c r="I516" i="9"/>
  <c r="H516" i="9"/>
  <c r="J516" i="9" s="1"/>
  <c r="AI515" i="9"/>
  <c r="AJ515" i="9" s="1"/>
  <c r="AK515" i="9" s="1"/>
  <c r="L515" i="9"/>
  <c r="H515" i="9"/>
  <c r="AI514" i="9"/>
  <c r="AJ514" i="9" s="1"/>
  <c r="AK514" i="9" s="1"/>
  <c r="L514" i="9"/>
  <c r="H514" i="9"/>
  <c r="AI513" i="9"/>
  <c r="AJ513" i="9" s="1"/>
  <c r="AK513" i="9" s="1"/>
  <c r="L513" i="9"/>
  <c r="H513" i="9"/>
  <c r="I513" i="9" s="1"/>
  <c r="AJ512" i="9"/>
  <c r="AK512" i="9" s="1"/>
  <c r="AI512" i="9"/>
  <c r="L512" i="9"/>
  <c r="J512" i="9"/>
  <c r="I512" i="9"/>
  <c r="H512" i="9"/>
  <c r="AI511" i="9"/>
  <c r="AJ511" i="9" s="1"/>
  <c r="AK511" i="9" s="1"/>
  <c r="L511" i="9"/>
  <c r="I511" i="9"/>
  <c r="H511" i="9"/>
  <c r="J511" i="9" s="1"/>
  <c r="AI510" i="9"/>
  <c r="AJ510" i="9" s="1"/>
  <c r="AK510" i="9" s="1"/>
  <c r="L510" i="9"/>
  <c r="H510" i="9"/>
  <c r="AI509" i="9"/>
  <c r="AJ509" i="9" s="1"/>
  <c r="AK509" i="9" s="1"/>
  <c r="L509" i="9"/>
  <c r="J509" i="9"/>
  <c r="I509" i="9"/>
  <c r="H509" i="9"/>
  <c r="AJ508" i="9"/>
  <c r="AK508" i="9" s="1"/>
  <c r="AI508" i="9"/>
  <c r="L508" i="9"/>
  <c r="J508" i="9"/>
  <c r="I508" i="9"/>
  <c r="H508" i="9"/>
  <c r="AK507" i="9"/>
  <c r="AI507" i="9"/>
  <c r="AJ507" i="9" s="1"/>
  <c r="L507" i="9"/>
  <c r="J507" i="9"/>
  <c r="H507" i="9"/>
  <c r="I507" i="9" s="1"/>
  <c r="AK506" i="9"/>
  <c r="AJ506" i="9"/>
  <c r="AI506" i="9"/>
  <c r="L506" i="9"/>
  <c r="H506" i="9"/>
  <c r="AJ505" i="9"/>
  <c r="AK505" i="9" s="1"/>
  <c r="AI505" i="9"/>
  <c r="L505" i="9"/>
  <c r="H505" i="9"/>
  <c r="AI504" i="9"/>
  <c r="AJ504" i="9" s="1"/>
  <c r="AK504" i="9" s="1"/>
  <c r="L504" i="9"/>
  <c r="J504" i="9"/>
  <c r="I504" i="9"/>
  <c r="H504" i="9"/>
  <c r="AI503" i="9"/>
  <c r="AJ503" i="9" s="1"/>
  <c r="AK503" i="9" s="1"/>
  <c r="L503" i="9"/>
  <c r="I503" i="9"/>
  <c r="H503" i="9"/>
  <c r="J503" i="9" s="1"/>
  <c r="AI502" i="9"/>
  <c r="AJ502" i="9" s="1"/>
  <c r="AK502" i="9" s="1"/>
  <c r="L502" i="9"/>
  <c r="H502" i="9"/>
  <c r="AI501" i="9"/>
  <c r="AJ501" i="9" s="1"/>
  <c r="AK501" i="9" s="1"/>
  <c r="L501" i="9"/>
  <c r="J501" i="9"/>
  <c r="I501" i="9"/>
  <c r="H501" i="9"/>
  <c r="AJ500" i="9"/>
  <c r="AK500" i="9" s="1"/>
  <c r="AI500" i="9"/>
  <c r="L500" i="9"/>
  <c r="I500" i="9"/>
  <c r="H500" i="9"/>
  <c r="J500" i="9" s="1"/>
  <c r="AI499" i="9"/>
  <c r="AJ499" i="9" s="1"/>
  <c r="AK499" i="9" s="1"/>
  <c r="L499" i="9"/>
  <c r="H499" i="9"/>
  <c r="AK498" i="9"/>
  <c r="AI498" i="9"/>
  <c r="AJ498" i="9" s="1"/>
  <c r="L498" i="9"/>
  <c r="H498" i="9"/>
  <c r="AI497" i="9"/>
  <c r="AJ497" i="9" s="1"/>
  <c r="AK497" i="9" s="1"/>
  <c r="L497" i="9"/>
  <c r="H497" i="9"/>
  <c r="I497" i="9" s="1"/>
  <c r="AJ496" i="9"/>
  <c r="AK496" i="9" s="1"/>
  <c r="AI496" i="9"/>
  <c r="L496" i="9"/>
  <c r="J496" i="9"/>
  <c r="I496" i="9"/>
  <c r="H496" i="9"/>
  <c r="AI495" i="9"/>
  <c r="AJ495" i="9" s="1"/>
  <c r="AK495" i="9" s="1"/>
  <c r="L495" i="9"/>
  <c r="H495" i="9"/>
  <c r="J495" i="9" s="1"/>
  <c r="AI494" i="9"/>
  <c r="AJ494" i="9" s="1"/>
  <c r="AK494" i="9" s="1"/>
  <c r="L494" i="9"/>
  <c r="H494" i="9"/>
  <c r="AI493" i="9"/>
  <c r="AJ493" i="9" s="1"/>
  <c r="AK493" i="9" s="1"/>
  <c r="L493" i="9"/>
  <c r="J493" i="9"/>
  <c r="I493" i="9"/>
  <c r="H493" i="9"/>
  <c r="AJ492" i="9"/>
  <c r="AK492" i="9" s="1"/>
  <c r="AI492" i="9"/>
  <c r="L492" i="9"/>
  <c r="J492" i="9"/>
  <c r="I492" i="9"/>
  <c r="H492" i="9"/>
  <c r="AK491" i="9"/>
  <c r="AI491" i="9"/>
  <c r="AJ491" i="9" s="1"/>
  <c r="L491" i="9"/>
  <c r="H491" i="9"/>
  <c r="I491" i="9" s="1"/>
  <c r="AK490" i="9"/>
  <c r="AJ490" i="9"/>
  <c r="AI490" i="9"/>
  <c r="L490" i="9"/>
  <c r="H490" i="9"/>
  <c r="AI489" i="9"/>
  <c r="AJ489" i="9" s="1"/>
  <c r="AK489" i="9" s="1"/>
  <c r="L489" i="9"/>
  <c r="H489" i="9"/>
  <c r="AI488" i="9"/>
  <c r="AJ488" i="9" s="1"/>
  <c r="AK488" i="9" s="1"/>
  <c r="L488" i="9"/>
  <c r="J488" i="9"/>
  <c r="I488" i="9"/>
  <c r="H488" i="9"/>
  <c r="AI487" i="9"/>
  <c r="AJ487" i="9" s="1"/>
  <c r="AK487" i="9" s="1"/>
  <c r="L487" i="9"/>
  <c r="H487" i="9"/>
  <c r="J487" i="9" s="1"/>
  <c r="AI486" i="9"/>
  <c r="AJ486" i="9" s="1"/>
  <c r="AK486" i="9" s="1"/>
  <c r="L486" i="9"/>
  <c r="H486" i="9"/>
  <c r="AI485" i="9"/>
  <c r="AJ485" i="9" s="1"/>
  <c r="AK485" i="9" s="1"/>
  <c r="L485" i="9"/>
  <c r="J485" i="9"/>
  <c r="I485" i="9"/>
  <c r="H485" i="9"/>
  <c r="AJ484" i="9"/>
  <c r="AK484" i="9" s="1"/>
  <c r="AI484" i="9"/>
  <c r="L484" i="9"/>
  <c r="I484" i="9"/>
  <c r="H484" i="9"/>
  <c r="J484" i="9" s="1"/>
  <c r="AI483" i="9"/>
  <c r="AJ483" i="9" s="1"/>
  <c r="AK483" i="9" s="1"/>
  <c r="L483" i="9"/>
  <c r="H483" i="9"/>
  <c r="AK482" i="9"/>
  <c r="AI482" i="9"/>
  <c r="AJ482" i="9" s="1"/>
  <c r="L482" i="9"/>
  <c r="H482" i="9"/>
  <c r="AI481" i="9"/>
  <c r="AJ481" i="9" s="1"/>
  <c r="AK481" i="9" s="1"/>
  <c r="L481" i="9"/>
  <c r="H481" i="9"/>
  <c r="I481" i="9" s="1"/>
  <c r="AJ480" i="9"/>
  <c r="AK480" i="9" s="1"/>
  <c r="AI480" i="9"/>
  <c r="L480" i="9"/>
  <c r="J480" i="9"/>
  <c r="I480" i="9"/>
  <c r="H480" i="9"/>
  <c r="AI479" i="9"/>
  <c r="AJ479" i="9" s="1"/>
  <c r="AK479" i="9" s="1"/>
  <c r="L479" i="9"/>
  <c r="H479" i="9"/>
  <c r="AI478" i="9"/>
  <c r="AJ478" i="9" s="1"/>
  <c r="AK478" i="9" s="1"/>
  <c r="L478" i="9"/>
  <c r="H478" i="9"/>
  <c r="AI477" i="9"/>
  <c r="AJ477" i="9" s="1"/>
  <c r="AK477" i="9" s="1"/>
  <c r="L477" i="9"/>
  <c r="J477" i="9"/>
  <c r="I477" i="9"/>
  <c r="H477" i="9"/>
  <c r="AJ476" i="9"/>
  <c r="AK476" i="9" s="1"/>
  <c r="AI476" i="9"/>
  <c r="L476" i="9"/>
  <c r="J476" i="9"/>
  <c r="I476" i="9"/>
  <c r="H476" i="9"/>
  <c r="AK475" i="9"/>
  <c r="AI475" i="9"/>
  <c r="AJ475" i="9" s="1"/>
  <c r="L475" i="9"/>
  <c r="J475" i="9"/>
  <c r="H475" i="9"/>
  <c r="I475" i="9" s="1"/>
  <c r="AK474" i="9"/>
  <c r="AJ474" i="9"/>
  <c r="AI474" i="9"/>
  <c r="L474" i="9"/>
  <c r="H474" i="9"/>
  <c r="AI473" i="9"/>
  <c r="AJ473" i="9" s="1"/>
  <c r="AK473" i="9" s="1"/>
  <c r="L473" i="9"/>
  <c r="H473" i="9"/>
  <c r="AI472" i="9"/>
  <c r="AJ472" i="9" s="1"/>
  <c r="AK472" i="9" s="1"/>
  <c r="L472" i="9"/>
  <c r="J472" i="9"/>
  <c r="I472" i="9"/>
  <c r="H472" i="9"/>
  <c r="AI471" i="9"/>
  <c r="AJ471" i="9" s="1"/>
  <c r="AK471" i="9" s="1"/>
  <c r="L471" i="9"/>
  <c r="H471" i="9"/>
  <c r="J471" i="9" s="1"/>
  <c r="AI470" i="9"/>
  <c r="AJ470" i="9" s="1"/>
  <c r="AK470" i="9" s="1"/>
  <c r="L470" i="9"/>
  <c r="H470" i="9"/>
  <c r="AI469" i="9"/>
  <c r="AJ469" i="9" s="1"/>
  <c r="AK469" i="9" s="1"/>
  <c r="L469" i="9"/>
  <c r="J469" i="9"/>
  <c r="I469" i="9"/>
  <c r="H469" i="9"/>
  <c r="AJ468" i="9"/>
  <c r="AK468" i="9" s="1"/>
  <c r="AI468" i="9"/>
  <c r="L468" i="9"/>
  <c r="I468" i="9"/>
  <c r="H468" i="9"/>
  <c r="J468" i="9" s="1"/>
  <c r="AI467" i="9"/>
  <c r="AJ467" i="9" s="1"/>
  <c r="AK467" i="9" s="1"/>
  <c r="L467" i="9"/>
  <c r="H467" i="9"/>
  <c r="AI466" i="9"/>
  <c r="AJ466" i="9" s="1"/>
  <c r="AK466" i="9" s="1"/>
  <c r="L466" i="9"/>
  <c r="H466" i="9"/>
  <c r="AI465" i="9"/>
  <c r="AJ465" i="9" s="1"/>
  <c r="AK465" i="9" s="1"/>
  <c r="L465" i="9"/>
  <c r="H465" i="9"/>
  <c r="I465" i="9" s="1"/>
  <c r="AJ464" i="9"/>
  <c r="AK464" i="9" s="1"/>
  <c r="AI464" i="9"/>
  <c r="L464" i="9"/>
  <c r="J464" i="9"/>
  <c r="I464" i="9"/>
  <c r="H464" i="9"/>
  <c r="AI463" i="9"/>
  <c r="AJ463" i="9" s="1"/>
  <c r="AK463" i="9" s="1"/>
  <c r="L463" i="9"/>
  <c r="I463" i="9"/>
  <c r="H463" i="9"/>
  <c r="J463" i="9" s="1"/>
  <c r="AI462" i="9"/>
  <c r="AJ462" i="9" s="1"/>
  <c r="AK462" i="9" s="1"/>
  <c r="L462" i="9"/>
  <c r="H462" i="9"/>
  <c r="AJ461" i="9"/>
  <c r="AK461" i="9" s="1"/>
  <c r="AI461" i="9"/>
  <c r="L461" i="9"/>
  <c r="J461" i="9"/>
  <c r="I461" i="9"/>
  <c r="H461" i="9"/>
  <c r="AK460" i="9"/>
  <c r="AI460" i="9"/>
  <c r="AJ460" i="9" s="1"/>
  <c r="L460" i="9"/>
  <c r="J460" i="9"/>
  <c r="I460" i="9"/>
  <c r="H460" i="9"/>
  <c r="AI459" i="9"/>
  <c r="AJ459" i="9" s="1"/>
  <c r="AK459" i="9" s="1"/>
  <c r="L459" i="9"/>
  <c r="J459" i="9"/>
  <c r="I459" i="9"/>
  <c r="H459" i="9"/>
  <c r="AK458" i="9"/>
  <c r="AI458" i="9"/>
  <c r="AJ458" i="9" s="1"/>
  <c r="L458" i="9"/>
  <c r="J458" i="9"/>
  <c r="H458" i="9"/>
  <c r="I458" i="9" s="1"/>
  <c r="AK457" i="9"/>
  <c r="AJ457" i="9"/>
  <c r="AI457" i="9"/>
  <c r="L457" i="9"/>
  <c r="J457" i="9"/>
  <c r="I457" i="9"/>
  <c r="H457" i="9"/>
  <c r="AJ456" i="9"/>
  <c r="AK456" i="9" s="1"/>
  <c r="AI456" i="9"/>
  <c r="L456" i="9"/>
  <c r="H456" i="9"/>
  <c r="AI455" i="9"/>
  <c r="AJ455" i="9" s="1"/>
  <c r="AK455" i="9" s="1"/>
  <c r="L455" i="9"/>
  <c r="I455" i="9"/>
  <c r="H455" i="9"/>
  <c r="J455" i="9" s="1"/>
  <c r="AJ454" i="9"/>
  <c r="AK454" i="9" s="1"/>
  <c r="AI454" i="9"/>
  <c r="L454" i="9"/>
  <c r="J454" i="9"/>
  <c r="H454" i="9"/>
  <c r="I454" i="9" s="1"/>
  <c r="AI453" i="9"/>
  <c r="AJ453" i="9" s="1"/>
  <c r="AK453" i="9" s="1"/>
  <c r="L453" i="9"/>
  <c r="I453" i="9"/>
  <c r="H453" i="9"/>
  <c r="J453" i="9" s="1"/>
  <c r="AJ452" i="9"/>
  <c r="AK452" i="9" s="1"/>
  <c r="AI452" i="9"/>
  <c r="L452" i="9"/>
  <c r="J452" i="9"/>
  <c r="H452" i="9"/>
  <c r="I452" i="9" s="1"/>
  <c r="AI451" i="9"/>
  <c r="AJ451" i="9" s="1"/>
  <c r="AK451" i="9" s="1"/>
  <c r="L451" i="9"/>
  <c r="J451" i="9"/>
  <c r="I451" i="9"/>
  <c r="H451" i="9"/>
  <c r="AK450" i="9"/>
  <c r="AJ450" i="9"/>
  <c r="AI450" i="9"/>
  <c r="L450" i="9"/>
  <c r="H450" i="9"/>
  <c r="AJ449" i="9"/>
  <c r="AK449" i="9" s="1"/>
  <c r="AI449" i="9"/>
  <c r="L449" i="9"/>
  <c r="J449" i="9"/>
  <c r="H449" i="9"/>
  <c r="I449" i="9" s="1"/>
  <c r="AI448" i="9"/>
  <c r="AJ448" i="9" s="1"/>
  <c r="AK448" i="9" s="1"/>
  <c r="L448" i="9"/>
  <c r="J448" i="9"/>
  <c r="I448" i="9"/>
  <c r="H448" i="9"/>
  <c r="AJ447" i="9"/>
  <c r="AK447" i="9" s="1"/>
  <c r="AI447" i="9"/>
  <c r="L447" i="9"/>
  <c r="J447" i="9"/>
  <c r="H447" i="9"/>
  <c r="I447" i="9" s="1"/>
  <c r="AI446" i="9"/>
  <c r="AJ446" i="9" s="1"/>
  <c r="AK446" i="9" s="1"/>
  <c r="L446" i="9"/>
  <c r="J446" i="9"/>
  <c r="I446" i="9"/>
  <c r="H446" i="9"/>
  <c r="AI445" i="9"/>
  <c r="AJ445" i="9" s="1"/>
  <c r="AK445" i="9" s="1"/>
  <c r="L445" i="9"/>
  <c r="H445" i="9"/>
  <c r="J445" i="9" s="1"/>
  <c r="AJ444" i="9"/>
  <c r="AK444" i="9" s="1"/>
  <c r="AI444" i="9"/>
  <c r="L444" i="9"/>
  <c r="J444" i="9"/>
  <c r="H444" i="9"/>
  <c r="I444" i="9" s="1"/>
  <c r="AK443" i="9"/>
  <c r="AI443" i="9"/>
  <c r="AJ443" i="9" s="1"/>
  <c r="L443" i="9"/>
  <c r="J443" i="9"/>
  <c r="I443" i="9"/>
  <c r="H443" i="9"/>
  <c r="AK442" i="9"/>
  <c r="AJ442" i="9"/>
  <c r="AI442" i="9"/>
  <c r="L442" i="9"/>
  <c r="H442" i="9"/>
  <c r="AI441" i="9"/>
  <c r="AJ441" i="9" s="1"/>
  <c r="AK441" i="9" s="1"/>
  <c r="L441" i="9"/>
  <c r="J441" i="9"/>
  <c r="H441" i="9"/>
  <c r="I441" i="9" s="1"/>
  <c r="AK440" i="9"/>
  <c r="AI440" i="9"/>
  <c r="AJ440" i="9" s="1"/>
  <c r="L440" i="9"/>
  <c r="J440" i="9"/>
  <c r="I440" i="9"/>
  <c r="H440" i="9"/>
  <c r="AJ439" i="9"/>
  <c r="AK439" i="9" s="1"/>
  <c r="AI439" i="9"/>
  <c r="L439" i="9"/>
  <c r="J439" i="9"/>
  <c r="H439" i="9"/>
  <c r="I439" i="9" s="1"/>
  <c r="AI438" i="9"/>
  <c r="AJ438" i="9" s="1"/>
  <c r="AK438" i="9" s="1"/>
  <c r="L438" i="9"/>
  <c r="J438" i="9"/>
  <c r="I438" i="9"/>
  <c r="H438" i="9"/>
  <c r="AI437" i="9"/>
  <c r="AJ437" i="9" s="1"/>
  <c r="AK437" i="9" s="1"/>
  <c r="L437" i="9"/>
  <c r="I437" i="9"/>
  <c r="H437" i="9"/>
  <c r="J437" i="9" s="1"/>
  <c r="AJ436" i="9"/>
  <c r="AK436" i="9" s="1"/>
  <c r="AI436" i="9"/>
  <c r="L436" i="9"/>
  <c r="H436" i="9"/>
  <c r="AI435" i="9"/>
  <c r="AJ435" i="9" s="1"/>
  <c r="AK435" i="9" s="1"/>
  <c r="L435" i="9"/>
  <c r="J435" i="9"/>
  <c r="I435" i="9"/>
  <c r="H435" i="9"/>
  <c r="AJ434" i="9"/>
  <c r="AK434" i="9" s="1"/>
  <c r="AI434" i="9"/>
  <c r="L434" i="9"/>
  <c r="H434" i="9"/>
  <c r="AI433" i="9"/>
  <c r="AJ433" i="9" s="1"/>
  <c r="AK433" i="9" s="1"/>
  <c r="L433" i="9"/>
  <c r="J433" i="9"/>
  <c r="H433" i="9"/>
  <c r="I433" i="9" s="1"/>
  <c r="AI432" i="9"/>
  <c r="AJ432" i="9" s="1"/>
  <c r="AK432" i="9" s="1"/>
  <c r="L432" i="9"/>
  <c r="J432" i="9"/>
  <c r="I432" i="9"/>
  <c r="H432" i="9"/>
  <c r="AJ431" i="9"/>
  <c r="AK431" i="9" s="1"/>
  <c r="AI431" i="9"/>
  <c r="L431" i="9"/>
  <c r="J431" i="9"/>
  <c r="H431" i="9"/>
  <c r="I431" i="9" s="1"/>
  <c r="AI430" i="9"/>
  <c r="AJ430" i="9" s="1"/>
  <c r="AK430" i="9" s="1"/>
  <c r="L430" i="9"/>
  <c r="J430" i="9"/>
  <c r="I430" i="9"/>
  <c r="H430" i="9"/>
  <c r="AI429" i="9"/>
  <c r="AJ429" i="9" s="1"/>
  <c r="AK429" i="9" s="1"/>
  <c r="L429" i="9"/>
  <c r="H429" i="9"/>
  <c r="J429" i="9" s="1"/>
  <c r="AJ428" i="9"/>
  <c r="AK428" i="9" s="1"/>
  <c r="AI428" i="9"/>
  <c r="L428" i="9"/>
  <c r="H428" i="9"/>
  <c r="I428" i="9" s="1"/>
  <c r="AK427" i="9"/>
  <c r="AI427" i="9"/>
  <c r="AJ427" i="9" s="1"/>
  <c r="L427" i="9"/>
  <c r="J427" i="9"/>
  <c r="I427" i="9"/>
  <c r="H427" i="9"/>
  <c r="AJ426" i="9"/>
  <c r="AK426" i="9" s="1"/>
  <c r="AI426" i="9"/>
  <c r="L426" i="9"/>
  <c r="I426" i="9"/>
  <c r="H426" i="9"/>
  <c r="J426" i="9" s="1"/>
  <c r="AI425" i="9"/>
  <c r="AJ425" i="9" s="1"/>
  <c r="AK425" i="9" s="1"/>
  <c r="L425" i="9"/>
  <c r="J425" i="9"/>
  <c r="H425" i="9"/>
  <c r="I425" i="9" s="1"/>
  <c r="AI424" i="9"/>
  <c r="AJ424" i="9" s="1"/>
  <c r="AK424" i="9" s="1"/>
  <c r="L424" i="9"/>
  <c r="J424" i="9"/>
  <c r="I424" i="9"/>
  <c r="H424" i="9"/>
  <c r="AK423" i="9"/>
  <c r="AJ423" i="9"/>
  <c r="AI423" i="9"/>
  <c r="L423" i="9"/>
  <c r="J423" i="9"/>
  <c r="H423" i="9"/>
  <c r="I423" i="9" s="1"/>
  <c r="AJ422" i="9"/>
  <c r="AK422" i="9" s="1"/>
  <c r="AI422" i="9"/>
  <c r="L422" i="9"/>
  <c r="J422" i="9"/>
  <c r="I422" i="9"/>
  <c r="H422" i="9"/>
  <c r="AI421" i="9"/>
  <c r="AJ421" i="9" s="1"/>
  <c r="AK421" i="9" s="1"/>
  <c r="L421" i="9"/>
  <c r="H421" i="9"/>
  <c r="J421" i="9" s="1"/>
  <c r="AJ420" i="9"/>
  <c r="AK420" i="9" s="1"/>
  <c r="AI420" i="9"/>
  <c r="L420" i="9"/>
  <c r="H420" i="9"/>
  <c r="I420" i="9" s="1"/>
  <c r="AK419" i="9"/>
  <c r="AI419" i="9"/>
  <c r="AJ419" i="9" s="1"/>
  <c r="L419" i="9"/>
  <c r="J419" i="9"/>
  <c r="I419" i="9"/>
  <c r="H419" i="9"/>
  <c r="AJ418" i="9"/>
  <c r="AK418" i="9" s="1"/>
  <c r="AI418" i="9"/>
  <c r="L418" i="9"/>
  <c r="I418" i="9"/>
  <c r="H418" i="9"/>
  <c r="J418" i="9" s="1"/>
  <c r="AI417" i="9"/>
  <c r="AJ417" i="9" s="1"/>
  <c r="AK417" i="9" s="1"/>
  <c r="L417" i="9"/>
  <c r="H417" i="9"/>
  <c r="AI416" i="9"/>
  <c r="AJ416" i="9" s="1"/>
  <c r="AK416" i="9" s="1"/>
  <c r="L416" i="9"/>
  <c r="J416" i="9"/>
  <c r="I416" i="9"/>
  <c r="H416" i="9"/>
  <c r="AJ415" i="9"/>
  <c r="AK415" i="9" s="1"/>
  <c r="AI415" i="9"/>
  <c r="L415" i="9"/>
  <c r="H415" i="9"/>
  <c r="J415" i="9" s="1"/>
  <c r="AI414" i="9"/>
  <c r="AJ414" i="9" s="1"/>
  <c r="AK414" i="9" s="1"/>
  <c r="L414" i="9"/>
  <c r="I414" i="9"/>
  <c r="H414" i="9"/>
  <c r="J414" i="9" s="1"/>
  <c r="AI413" i="9"/>
  <c r="AJ413" i="9" s="1"/>
  <c r="AK413" i="9" s="1"/>
  <c r="L413" i="9"/>
  <c r="H413" i="9"/>
  <c r="AJ412" i="9"/>
  <c r="AK412" i="9" s="1"/>
  <c r="AI412" i="9"/>
  <c r="L412" i="9"/>
  <c r="J412" i="9"/>
  <c r="H412" i="9"/>
  <c r="I412" i="9" s="1"/>
  <c r="AJ411" i="9"/>
  <c r="AK411" i="9" s="1"/>
  <c r="AI411" i="9"/>
  <c r="L411" i="9"/>
  <c r="J411" i="9"/>
  <c r="I411" i="9"/>
  <c r="H411" i="9"/>
  <c r="AI410" i="9"/>
  <c r="AJ410" i="9" s="1"/>
  <c r="AK410" i="9" s="1"/>
  <c r="L410" i="9"/>
  <c r="I410" i="9"/>
  <c r="H410" i="9"/>
  <c r="J410" i="9" s="1"/>
  <c r="AI409" i="9"/>
  <c r="AJ409" i="9" s="1"/>
  <c r="AK409" i="9" s="1"/>
  <c r="L409" i="9"/>
  <c r="H409" i="9"/>
  <c r="AI408" i="9"/>
  <c r="AJ408" i="9" s="1"/>
  <c r="AK408" i="9" s="1"/>
  <c r="L408" i="9"/>
  <c r="J408" i="9"/>
  <c r="I408" i="9"/>
  <c r="H408" i="9"/>
  <c r="AJ407" i="9"/>
  <c r="AK407" i="9" s="1"/>
  <c r="AI407" i="9"/>
  <c r="L407" i="9"/>
  <c r="H407" i="9"/>
  <c r="J407" i="9" s="1"/>
  <c r="AI406" i="9"/>
  <c r="AJ406" i="9" s="1"/>
  <c r="AK406" i="9" s="1"/>
  <c r="L406" i="9"/>
  <c r="I406" i="9"/>
  <c r="H406" i="9"/>
  <c r="J406" i="9" s="1"/>
  <c r="AI405" i="9"/>
  <c r="AJ405" i="9" s="1"/>
  <c r="AK405" i="9" s="1"/>
  <c r="L405" i="9"/>
  <c r="H405" i="9"/>
  <c r="AJ404" i="9"/>
  <c r="AK404" i="9" s="1"/>
  <c r="AI404" i="9"/>
  <c r="L404" i="9"/>
  <c r="J404" i="9"/>
  <c r="H404" i="9"/>
  <c r="I404" i="9" s="1"/>
  <c r="AJ403" i="9"/>
  <c r="AK403" i="9" s="1"/>
  <c r="AI403" i="9"/>
  <c r="L403" i="9"/>
  <c r="J403" i="9"/>
  <c r="I403" i="9"/>
  <c r="H403" i="9"/>
  <c r="AI402" i="9"/>
  <c r="AJ402" i="9" s="1"/>
  <c r="AK402" i="9" s="1"/>
  <c r="L402" i="9"/>
  <c r="I402" i="9"/>
  <c r="H402" i="9"/>
  <c r="J402" i="9" s="1"/>
  <c r="AI401" i="9"/>
  <c r="AJ401" i="9" s="1"/>
  <c r="AK401" i="9" s="1"/>
  <c r="L401" i="9"/>
  <c r="H401" i="9"/>
  <c r="AI400" i="9"/>
  <c r="AJ400" i="9" s="1"/>
  <c r="AK400" i="9" s="1"/>
  <c r="L400" i="9"/>
  <c r="J400" i="9"/>
  <c r="I400" i="9"/>
  <c r="H400" i="9"/>
  <c r="AJ399" i="9"/>
  <c r="AK399" i="9" s="1"/>
  <c r="AI399" i="9"/>
  <c r="L399" i="9"/>
  <c r="H399" i="9"/>
  <c r="J399" i="9" s="1"/>
  <c r="AI398" i="9"/>
  <c r="AJ398" i="9" s="1"/>
  <c r="AK398" i="9" s="1"/>
  <c r="L398" i="9"/>
  <c r="I398" i="9"/>
  <c r="H398" i="9"/>
  <c r="J398" i="9" s="1"/>
  <c r="AI397" i="9"/>
  <c r="AJ397" i="9" s="1"/>
  <c r="AK397" i="9" s="1"/>
  <c r="L397" i="9"/>
  <c r="H397" i="9"/>
  <c r="AJ396" i="9"/>
  <c r="AK396" i="9" s="1"/>
  <c r="AI396" i="9"/>
  <c r="L396" i="9"/>
  <c r="J396" i="9"/>
  <c r="H396" i="9"/>
  <c r="I396" i="9" s="1"/>
  <c r="AJ395" i="9"/>
  <c r="AK395" i="9" s="1"/>
  <c r="AI395" i="9"/>
  <c r="L395" i="9"/>
  <c r="J395" i="9"/>
  <c r="I395" i="9"/>
  <c r="H395" i="9"/>
  <c r="AI394" i="9"/>
  <c r="AJ394" i="9" s="1"/>
  <c r="AK394" i="9" s="1"/>
  <c r="L394" i="9"/>
  <c r="I394" i="9"/>
  <c r="H394" i="9"/>
  <c r="J394" i="9" s="1"/>
  <c r="AI393" i="9"/>
  <c r="AJ393" i="9" s="1"/>
  <c r="AK393" i="9" s="1"/>
  <c r="L393" i="9"/>
  <c r="H393" i="9"/>
  <c r="AI392" i="9"/>
  <c r="AJ392" i="9" s="1"/>
  <c r="AK392" i="9" s="1"/>
  <c r="L392" i="9"/>
  <c r="J392" i="9"/>
  <c r="I392" i="9"/>
  <c r="H392" i="9"/>
  <c r="AJ391" i="9"/>
  <c r="AK391" i="9" s="1"/>
  <c r="AI391" i="9"/>
  <c r="L391" i="9"/>
  <c r="H391" i="9"/>
  <c r="J391" i="9" s="1"/>
  <c r="AI390" i="9"/>
  <c r="AJ390" i="9" s="1"/>
  <c r="AK390" i="9" s="1"/>
  <c r="L390" i="9"/>
  <c r="I390" i="9"/>
  <c r="H390" i="9"/>
  <c r="J390" i="9" s="1"/>
  <c r="AI389" i="9"/>
  <c r="AJ389" i="9" s="1"/>
  <c r="AK389" i="9" s="1"/>
  <c r="L389" i="9"/>
  <c r="H389" i="9"/>
  <c r="AJ388" i="9"/>
  <c r="AK388" i="9" s="1"/>
  <c r="AI388" i="9"/>
  <c r="L388" i="9"/>
  <c r="J388" i="9"/>
  <c r="H388" i="9"/>
  <c r="I388" i="9" s="1"/>
  <c r="AJ387" i="9"/>
  <c r="AK387" i="9" s="1"/>
  <c r="AI387" i="9"/>
  <c r="L387" i="9"/>
  <c r="J387" i="9"/>
  <c r="I387" i="9"/>
  <c r="H387" i="9"/>
  <c r="AI386" i="9"/>
  <c r="AJ386" i="9" s="1"/>
  <c r="AK386" i="9" s="1"/>
  <c r="L386" i="9"/>
  <c r="I386" i="9"/>
  <c r="H386" i="9"/>
  <c r="J386" i="9" s="1"/>
  <c r="AI385" i="9"/>
  <c r="AJ385" i="9" s="1"/>
  <c r="AK385" i="9" s="1"/>
  <c r="L385" i="9"/>
  <c r="H385" i="9"/>
  <c r="AI384" i="9"/>
  <c r="AJ384" i="9" s="1"/>
  <c r="AK384" i="9" s="1"/>
  <c r="L384" i="9"/>
  <c r="J384" i="9"/>
  <c r="I384" i="9"/>
  <c r="H384" i="9"/>
  <c r="AJ383" i="9"/>
  <c r="AK383" i="9" s="1"/>
  <c r="AI383" i="9"/>
  <c r="L383" i="9"/>
  <c r="H383" i="9"/>
  <c r="J383" i="9" s="1"/>
  <c r="AI382" i="9"/>
  <c r="AJ382" i="9" s="1"/>
  <c r="AK382" i="9" s="1"/>
  <c r="L382" i="9"/>
  <c r="I382" i="9"/>
  <c r="H382" i="9"/>
  <c r="J382" i="9" s="1"/>
  <c r="AI381" i="9"/>
  <c r="AJ381" i="9" s="1"/>
  <c r="AK381" i="9" s="1"/>
  <c r="L381" i="9"/>
  <c r="H381" i="9"/>
  <c r="AJ380" i="9"/>
  <c r="AK380" i="9" s="1"/>
  <c r="AI380" i="9"/>
  <c r="L380" i="9"/>
  <c r="J380" i="9"/>
  <c r="H380" i="9"/>
  <c r="I380" i="9" s="1"/>
  <c r="AJ379" i="9"/>
  <c r="AK379" i="9" s="1"/>
  <c r="AI379" i="9"/>
  <c r="L379" i="9"/>
  <c r="J379" i="9"/>
  <c r="I379" i="9"/>
  <c r="H379" i="9"/>
  <c r="AI378" i="9"/>
  <c r="AJ378" i="9" s="1"/>
  <c r="AK378" i="9" s="1"/>
  <c r="L378" i="9"/>
  <c r="J378" i="9"/>
  <c r="I378" i="9"/>
  <c r="H378" i="9"/>
  <c r="AJ377" i="9"/>
  <c r="AK377" i="9" s="1"/>
  <c r="AI377" i="9"/>
  <c r="L377" i="9"/>
  <c r="J377" i="9"/>
  <c r="H377" i="9"/>
  <c r="I377" i="9" s="1"/>
  <c r="AK376" i="9"/>
  <c r="AI376" i="9"/>
  <c r="AJ376" i="9" s="1"/>
  <c r="L376" i="9"/>
  <c r="H376" i="9"/>
  <c r="AJ375" i="9"/>
  <c r="AK375" i="9" s="1"/>
  <c r="AI375" i="9"/>
  <c r="L375" i="9"/>
  <c r="J375" i="9"/>
  <c r="H375" i="9"/>
  <c r="I375" i="9" s="1"/>
  <c r="AI374" i="9"/>
  <c r="AJ374" i="9" s="1"/>
  <c r="AK374" i="9" s="1"/>
  <c r="L374" i="9"/>
  <c r="I374" i="9"/>
  <c r="H374" i="9"/>
  <c r="J374" i="9" s="1"/>
  <c r="AJ373" i="9"/>
  <c r="AK373" i="9" s="1"/>
  <c r="AI373" i="9"/>
  <c r="L373" i="9"/>
  <c r="I373" i="9"/>
  <c r="H373" i="9"/>
  <c r="J373" i="9" s="1"/>
  <c r="AI372" i="9"/>
  <c r="AJ372" i="9" s="1"/>
  <c r="AK372" i="9" s="1"/>
  <c r="L372" i="9"/>
  <c r="H372" i="9"/>
  <c r="I372" i="9" s="1"/>
  <c r="AI371" i="9"/>
  <c r="AJ371" i="9" s="1"/>
  <c r="AK371" i="9" s="1"/>
  <c r="L371" i="9"/>
  <c r="J371" i="9"/>
  <c r="I371" i="9"/>
  <c r="H371" i="9"/>
  <c r="AK370" i="9"/>
  <c r="AJ370" i="9"/>
  <c r="AI370" i="9"/>
  <c r="L370" i="9"/>
  <c r="H370" i="9"/>
  <c r="AI369" i="9"/>
  <c r="AJ369" i="9" s="1"/>
  <c r="AK369" i="9" s="1"/>
  <c r="L369" i="9"/>
  <c r="I369" i="9"/>
  <c r="H369" i="9"/>
  <c r="J369" i="9" s="1"/>
  <c r="AI368" i="9"/>
  <c r="AJ368" i="9" s="1"/>
  <c r="AK368" i="9" s="1"/>
  <c r="L368" i="9"/>
  <c r="J368" i="9"/>
  <c r="I368" i="9"/>
  <c r="H368" i="9"/>
  <c r="AK367" i="9"/>
  <c r="AJ367" i="9"/>
  <c r="AI367" i="9"/>
  <c r="L367" i="9"/>
  <c r="I367" i="9"/>
  <c r="H367" i="9"/>
  <c r="J367" i="9" s="1"/>
  <c r="AJ366" i="9"/>
  <c r="AK366" i="9" s="1"/>
  <c r="AI366" i="9"/>
  <c r="L366" i="9"/>
  <c r="J366" i="9"/>
  <c r="H366" i="9"/>
  <c r="I366" i="9" s="1"/>
  <c r="AI365" i="9"/>
  <c r="AJ365" i="9" s="1"/>
  <c r="AK365" i="9" s="1"/>
  <c r="L365" i="9"/>
  <c r="H365" i="9"/>
  <c r="AJ364" i="9"/>
  <c r="AK364" i="9" s="1"/>
  <c r="AI364" i="9"/>
  <c r="L364" i="9"/>
  <c r="J364" i="9"/>
  <c r="I364" i="9"/>
  <c r="H364" i="9"/>
  <c r="AI363" i="9"/>
  <c r="AJ363" i="9" s="1"/>
  <c r="AK363" i="9" s="1"/>
  <c r="L363" i="9"/>
  <c r="I363" i="9"/>
  <c r="H363" i="9"/>
  <c r="J363" i="9" s="1"/>
  <c r="AJ362" i="9"/>
  <c r="AK362" i="9" s="1"/>
  <c r="AI362" i="9"/>
  <c r="L362" i="9"/>
  <c r="H362" i="9"/>
  <c r="J362" i="9" s="1"/>
  <c r="AI361" i="9"/>
  <c r="AJ361" i="9" s="1"/>
  <c r="AK361" i="9" s="1"/>
  <c r="L361" i="9"/>
  <c r="J361" i="9"/>
  <c r="I361" i="9"/>
  <c r="H361" i="9"/>
  <c r="AK360" i="9"/>
  <c r="AJ360" i="9"/>
  <c r="AI360" i="9"/>
  <c r="L360" i="9"/>
  <c r="I360" i="9"/>
  <c r="H360" i="9"/>
  <c r="J360" i="9" s="1"/>
  <c r="AJ359" i="9"/>
  <c r="AK359" i="9" s="1"/>
  <c r="AI359" i="9"/>
  <c r="L359" i="9"/>
  <c r="J359" i="9"/>
  <c r="H359" i="9"/>
  <c r="I359" i="9" s="1"/>
  <c r="AI358" i="9"/>
  <c r="AJ358" i="9" s="1"/>
  <c r="AK358" i="9" s="1"/>
  <c r="L358" i="9"/>
  <c r="J358" i="9"/>
  <c r="I358" i="9"/>
  <c r="H358" i="9"/>
  <c r="AK357" i="9"/>
  <c r="AJ357" i="9"/>
  <c r="AI357" i="9"/>
  <c r="L357" i="9"/>
  <c r="H357" i="9"/>
  <c r="AJ356" i="9"/>
  <c r="AK356" i="9" s="1"/>
  <c r="AI356" i="9"/>
  <c r="L356" i="9"/>
  <c r="J356" i="9"/>
  <c r="I356" i="9"/>
  <c r="H356" i="9"/>
  <c r="AK355" i="9"/>
  <c r="AI355" i="9"/>
  <c r="AJ355" i="9" s="1"/>
  <c r="L355" i="9"/>
  <c r="I355" i="9"/>
  <c r="H355" i="9"/>
  <c r="J355" i="9" s="1"/>
  <c r="AJ354" i="9"/>
  <c r="AK354" i="9" s="1"/>
  <c r="AI354" i="9"/>
  <c r="L354" i="9"/>
  <c r="H354" i="9"/>
  <c r="J354" i="9" s="1"/>
  <c r="AI353" i="9"/>
  <c r="AJ353" i="9" s="1"/>
  <c r="AK353" i="9" s="1"/>
  <c r="L353" i="9"/>
  <c r="J353" i="9"/>
  <c r="I353" i="9"/>
  <c r="H353" i="9"/>
  <c r="AK352" i="9"/>
  <c r="AJ352" i="9"/>
  <c r="AI352" i="9"/>
  <c r="L352" i="9"/>
  <c r="I352" i="9"/>
  <c r="H352" i="9"/>
  <c r="J352" i="9" s="1"/>
  <c r="AJ351" i="9"/>
  <c r="AK351" i="9" s="1"/>
  <c r="AI351" i="9"/>
  <c r="L351" i="9"/>
  <c r="J351" i="9"/>
  <c r="H351" i="9"/>
  <c r="I351" i="9" s="1"/>
  <c r="AI350" i="9"/>
  <c r="AJ350" i="9" s="1"/>
  <c r="AK350" i="9" s="1"/>
  <c r="L350" i="9"/>
  <c r="J350" i="9"/>
  <c r="I350" i="9"/>
  <c r="H350" i="9"/>
  <c r="AK349" i="9"/>
  <c r="AJ349" i="9"/>
  <c r="AI349" i="9"/>
  <c r="L349" i="9"/>
  <c r="H349" i="9"/>
  <c r="AJ348" i="9"/>
  <c r="AK348" i="9" s="1"/>
  <c r="AI348" i="9"/>
  <c r="L348" i="9"/>
  <c r="J348" i="9"/>
  <c r="I348" i="9"/>
  <c r="H348" i="9"/>
  <c r="AI347" i="9"/>
  <c r="AJ347" i="9" s="1"/>
  <c r="AK347" i="9" s="1"/>
  <c r="L347" i="9"/>
  <c r="I347" i="9"/>
  <c r="H347" i="9"/>
  <c r="J347" i="9" s="1"/>
  <c r="AJ346" i="9"/>
  <c r="AK346" i="9" s="1"/>
  <c r="AI346" i="9"/>
  <c r="L346" i="9"/>
  <c r="H346" i="9"/>
  <c r="J346" i="9" s="1"/>
  <c r="AI345" i="9"/>
  <c r="AJ345" i="9" s="1"/>
  <c r="AK345" i="9" s="1"/>
  <c r="L345" i="9"/>
  <c r="J345" i="9"/>
  <c r="I345" i="9"/>
  <c r="H345" i="9"/>
  <c r="AK344" i="9"/>
  <c r="AJ344" i="9"/>
  <c r="AI344" i="9"/>
  <c r="L344" i="9"/>
  <c r="I344" i="9"/>
  <c r="H344" i="9"/>
  <c r="J344" i="9" s="1"/>
  <c r="AJ343" i="9"/>
  <c r="AK343" i="9" s="1"/>
  <c r="AI343" i="9"/>
  <c r="L343" i="9"/>
  <c r="J343" i="9"/>
  <c r="H343" i="9"/>
  <c r="I343" i="9" s="1"/>
  <c r="AI342" i="9"/>
  <c r="AJ342" i="9" s="1"/>
  <c r="AK342" i="9" s="1"/>
  <c r="L342" i="9"/>
  <c r="J342" i="9"/>
  <c r="I342" i="9"/>
  <c r="H342" i="9"/>
  <c r="AK341" i="9"/>
  <c r="AJ341" i="9"/>
  <c r="AI341" i="9"/>
  <c r="L341" i="9"/>
  <c r="H341" i="9"/>
  <c r="AJ340" i="9"/>
  <c r="AK340" i="9" s="1"/>
  <c r="AI340" i="9"/>
  <c r="L340" i="9"/>
  <c r="J340" i="9"/>
  <c r="I340" i="9"/>
  <c r="H340" i="9"/>
  <c r="AK339" i="9"/>
  <c r="AI339" i="9"/>
  <c r="AJ339" i="9" s="1"/>
  <c r="L339" i="9"/>
  <c r="I339" i="9"/>
  <c r="H339" i="9"/>
  <c r="J339" i="9" s="1"/>
  <c r="AJ338" i="9"/>
  <c r="AK338" i="9" s="1"/>
  <c r="AI338" i="9"/>
  <c r="L338" i="9"/>
  <c r="H338" i="9"/>
  <c r="J338" i="9" s="1"/>
  <c r="AI337" i="9"/>
  <c r="AJ337" i="9" s="1"/>
  <c r="AK337" i="9" s="1"/>
  <c r="L337" i="9"/>
  <c r="J337" i="9"/>
  <c r="I337" i="9"/>
  <c r="H337" i="9"/>
  <c r="AK336" i="9"/>
  <c r="AJ336" i="9"/>
  <c r="AI336" i="9"/>
  <c r="L336" i="9"/>
  <c r="I336" i="9"/>
  <c r="H336" i="9"/>
  <c r="J336" i="9" s="1"/>
  <c r="AJ335" i="9"/>
  <c r="AK335" i="9" s="1"/>
  <c r="AI335" i="9"/>
  <c r="L335" i="9"/>
  <c r="H335" i="9"/>
  <c r="I335" i="9" s="1"/>
  <c r="AI334" i="9"/>
  <c r="AJ334" i="9" s="1"/>
  <c r="AK334" i="9" s="1"/>
  <c r="L334" i="9"/>
  <c r="J334" i="9"/>
  <c r="I334" i="9"/>
  <c r="H334" i="9"/>
  <c r="AK333" i="9"/>
  <c r="AJ333" i="9"/>
  <c r="AI333" i="9"/>
  <c r="L333" i="9"/>
  <c r="H333" i="9"/>
  <c r="AJ332" i="9"/>
  <c r="AK332" i="9" s="1"/>
  <c r="AI332" i="9"/>
  <c r="L332" i="9"/>
  <c r="J332" i="9"/>
  <c r="I332" i="9"/>
  <c r="H332" i="9"/>
  <c r="AI331" i="9"/>
  <c r="AJ331" i="9" s="1"/>
  <c r="AK331" i="9" s="1"/>
  <c r="L331" i="9"/>
  <c r="I331" i="9"/>
  <c r="H331" i="9"/>
  <c r="J331" i="9" s="1"/>
  <c r="AJ330" i="9"/>
  <c r="AK330" i="9" s="1"/>
  <c r="AI330" i="9"/>
  <c r="L330" i="9"/>
  <c r="H330" i="9"/>
  <c r="J330" i="9" s="1"/>
  <c r="AI329" i="9"/>
  <c r="AJ329" i="9" s="1"/>
  <c r="AK329" i="9" s="1"/>
  <c r="L329" i="9"/>
  <c r="J329" i="9"/>
  <c r="I329" i="9"/>
  <c r="H329" i="9"/>
  <c r="AK328" i="9"/>
  <c r="AJ328" i="9"/>
  <c r="AI328" i="9"/>
  <c r="L328" i="9"/>
  <c r="I328" i="9"/>
  <c r="H328" i="9"/>
  <c r="J328" i="9" s="1"/>
  <c r="AJ327" i="9"/>
  <c r="AK327" i="9" s="1"/>
  <c r="AI327" i="9"/>
  <c r="L327" i="9"/>
  <c r="J327" i="9"/>
  <c r="H327" i="9"/>
  <c r="I327" i="9" s="1"/>
  <c r="AI326" i="9"/>
  <c r="AJ326" i="9" s="1"/>
  <c r="AK326" i="9" s="1"/>
  <c r="L326" i="9"/>
  <c r="J326" i="9"/>
  <c r="I326" i="9"/>
  <c r="H326" i="9"/>
  <c r="AK325" i="9"/>
  <c r="AJ325" i="9"/>
  <c r="AI325" i="9"/>
  <c r="L325" i="9"/>
  <c r="H325" i="9"/>
  <c r="AJ324" i="9"/>
  <c r="AK324" i="9" s="1"/>
  <c r="AI324" i="9"/>
  <c r="L324" i="9"/>
  <c r="J324" i="9"/>
  <c r="I324" i="9"/>
  <c r="H324" i="9"/>
  <c r="AK323" i="9"/>
  <c r="AI323" i="9"/>
  <c r="AJ323" i="9" s="1"/>
  <c r="L323" i="9"/>
  <c r="I323" i="9"/>
  <c r="H323" i="9"/>
  <c r="J323" i="9" s="1"/>
  <c r="AJ322" i="9"/>
  <c r="AK322" i="9" s="1"/>
  <c r="AI322" i="9"/>
  <c r="L322" i="9"/>
  <c r="H322" i="9"/>
  <c r="AI321" i="9"/>
  <c r="AJ321" i="9" s="1"/>
  <c r="AK321" i="9" s="1"/>
  <c r="L321" i="9"/>
  <c r="J321" i="9"/>
  <c r="I321" i="9"/>
  <c r="H321" i="9"/>
  <c r="AK320" i="9"/>
  <c r="AJ320" i="9"/>
  <c r="AI320" i="9"/>
  <c r="L320" i="9"/>
  <c r="I320" i="9"/>
  <c r="H320" i="9"/>
  <c r="J320" i="9" s="1"/>
  <c r="AJ319" i="9"/>
  <c r="AK319" i="9" s="1"/>
  <c r="AI319" i="9"/>
  <c r="L319" i="9"/>
  <c r="H319" i="9"/>
  <c r="I319" i="9" s="1"/>
  <c r="AI318" i="9"/>
  <c r="AJ318" i="9" s="1"/>
  <c r="AK318" i="9" s="1"/>
  <c r="L318" i="9"/>
  <c r="J318" i="9"/>
  <c r="I318" i="9"/>
  <c r="H318" i="9"/>
  <c r="AK317" i="9"/>
  <c r="AJ317" i="9"/>
  <c r="AI317" i="9"/>
  <c r="L317" i="9"/>
  <c r="H317" i="9"/>
  <c r="AJ316" i="9"/>
  <c r="AK316" i="9" s="1"/>
  <c r="AI316" i="9"/>
  <c r="L316" i="9"/>
  <c r="J316" i="9"/>
  <c r="I316" i="9"/>
  <c r="H316" i="9"/>
  <c r="AI315" i="9"/>
  <c r="AJ315" i="9" s="1"/>
  <c r="AK315" i="9" s="1"/>
  <c r="L315" i="9"/>
  <c r="I315" i="9"/>
  <c r="H315" i="9"/>
  <c r="J315" i="9" s="1"/>
  <c r="AJ314" i="9"/>
  <c r="AK314" i="9" s="1"/>
  <c r="AI314" i="9"/>
  <c r="L314" i="9"/>
  <c r="H314" i="9"/>
  <c r="AI313" i="9"/>
  <c r="AJ313" i="9" s="1"/>
  <c r="AK313" i="9" s="1"/>
  <c r="L313" i="9"/>
  <c r="J313" i="9"/>
  <c r="I313" i="9"/>
  <c r="H313" i="9"/>
  <c r="AK312" i="9"/>
  <c r="AJ312" i="9"/>
  <c r="AI312" i="9"/>
  <c r="L312" i="9"/>
  <c r="I312" i="9"/>
  <c r="H312" i="9"/>
  <c r="J312" i="9" s="1"/>
  <c r="AJ311" i="9"/>
  <c r="AK311" i="9" s="1"/>
  <c r="AI311" i="9"/>
  <c r="L311" i="9"/>
  <c r="J311" i="9"/>
  <c r="H311" i="9"/>
  <c r="I311" i="9" s="1"/>
  <c r="AI310" i="9"/>
  <c r="AJ310" i="9" s="1"/>
  <c r="AK310" i="9" s="1"/>
  <c r="L310" i="9"/>
  <c r="J310" i="9"/>
  <c r="I310" i="9"/>
  <c r="H310" i="9"/>
  <c r="AK309" i="9"/>
  <c r="AJ309" i="9"/>
  <c r="AI309" i="9"/>
  <c r="L309" i="9"/>
  <c r="H309" i="9"/>
  <c r="AJ308" i="9"/>
  <c r="AK308" i="9" s="1"/>
  <c r="AI308" i="9"/>
  <c r="L308" i="9"/>
  <c r="J308" i="9"/>
  <c r="I308" i="9"/>
  <c r="H308" i="9"/>
  <c r="AK307" i="9"/>
  <c r="AI307" i="9"/>
  <c r="AJ307" i="9" s="1"/>
  <c r="L307" i="9"/>
  <c r="I307" i="9"/>
  <c r="H307" i="9"/>
  <c r="J307" i="9" s="1"/>
  <c r="AJ306" i="9"/>
  <c r="AK306" i="9" s="1"/>
  <c r="AI306" i="9"/>
  <c r="L306" i="9"/>
  <c r="H306" i="9"/>
  <c r="AI305" i="9"/>
  <c r="AJ305" i="9" s="1"/>
  <c r="AK305" i="9" s="1"/>
  <c r="L305" i="9"/>
  <c r="J305" i="9"/>
  <c r="I305" i="9"/>
  <c r="H305" i="9"/>
  <c r="AK304" i="9"/>
  <c r="AJ304" i="9"/>
  <c r="AI304" i="9"/>
  <c r="L304" i="9"/>
  <c r="I304" i="9"/>
  <c r="H304" i="9"/>
  <c r="J304" i="9" s="1"/>
  <c r="AJ303" i="9"/>
  <c r="AK303" i="9" s="1"/>
  <c r="AI303" i="9"/>
  <c r="L303" i="9"/>
  <c r="H303" i="9"/>
  <c r="I303" i="9" s="1"/>
  <c r="AI302" i="9"/>
  <c r="AJ302" i="9" s="1"/>
  <c r="AK302" i="9" s="1"/>
  <c r="L302" i="9"/>
  <c r="J302" i="9"/>
  <c r="I302" i="9"/>
  <c r="H302" i="9"/>
  <c r="AK301" i="9"/>
  <c r="AJ301" i="9"/>
  <c r="AI301" i="9"/>
  <c r="L301" i="9"/>
  <c r="H301" i="9"/>
  <c r="AI300" i="9"/>
  <c r="AJ300" i="9" s="1"/>
  <c r="AK300" i="9" s="1"/>
  <c r="L300" i="9"/>
  <c r="J300" i="9"/>
  <c r="I300" i="9"/>
  <c r="H300" i="9"/>
  <c r="AI299" i="9"/>
  <c r="AJ299" i="9" s="1"/>
  <c r="AK299" i="9" s="1"/>
  <c r="L299" i="9"/>
  <c r="I299" i="9"/>
  <c r="H299" i="9"/>
  <c r="J299" i="9" s="1"/>
  <c r="AJ298" i="9"/>
  <c r="AK298" i="9" s="1"/>
  <c r="AI298" i="9"/>
  <c r="L298" i="9"/>
  <c r="H298" i="9"/>
  <c r="I298" i="9" s="1"/>
  <c r="AI297" i="9"/>
  <c r="AJ297" i="9" s="1"/>
  <c r="AK297" i="9" s="1"/>
  <c r="L297" i="9"/>
  <c r="J297" i="9"/>
  <c r="I297" i="9"/>
  <c r="H297" i="9"/>
  <c r="AK296" i="9"/>
  <c r="AJ296" i="9"/>
  <c r="AI296" i="9"/>
  <c r="L296" i="9"/>
  <c r="I296" i="9"/>
  <c r="H296" i="9"/>
  <c r="J296" i="9" s="1"/>
  <c r="AJ295" i="9"/>
  <c r="AK295" i="9" s="1"/>
  <c r="AI295" i="9"/>
  <c r="L295" i="9"/>
  <c r="H295" i="9"/>
  <c r="I295" i="9" s="1"/>
  <c r="AI294" i="9"/>
  <c r="AJ294" i="9" s="1"/>
  <c r="AK294" i="9" s="1"/>
  <c r="L294" i="9"/>
  <c r="J294" i="9"/>
  <c r="I294" i="9"/>
  <c r="H294" i="9"/>
  <c r="AJ293" i="9"/>
  <c r="AK293" i="9" s="1"/>
  <c r="AI293" i="9"/>
  <c r="L293" i="9"/>
  <c r="H293" i="9"/>
  <c r="AJ292" i="9"/>
  <c r="AK292" i="9" s="1"/>
  <c r="AI292" i="9"/>
  <c r="L292" i="9"/>
  <c r="J292" i="9"/>
  <c r="I292" i="9"/>
  <c r="H292" i="9"/>
  <c r="AK291" i="9"/>
  <c r="AI291" i="9"/>
  <c r="AJ291" i="9" s="1"/>
  <c r="L291" i="9"/>
  <c r="I291" i="9"/>
  <c r="H291" i="9"/>
  <c r="J291" i="9" s="1"/>
  <c r="AJ290" i="9"/>
  <c r="AK290" i="9" s="1"/>
  <c r="AI290" i="9"/>
  <c r="L290" i="9"/>
  <c r="J290" i="9"/>
  <c r="H290" i="9"/>
  <c r="I290" i="9" s="1"/>
  <c r="AI289" i="9"/>
  <c r="AJ289" i="9" s="1"/>
  <c r="AK289" i="9" s="1"/>
  <c r="L289" i="9"/>
  <c r="J289" i="9"/>
  <c r="I289" i="9"/>
  <c r="H289" i="9"/>
  <c r="AK288" i="9"/>
  <c r="AJ288" i="9"/>
  <c r="AI288" i="9"/>
  <c r="L288" i="9"/>
  <c r="H288" i="9"/>
  <c r="J288" i="9" s="1"/>
  <c r="AI287" i="9"/>
  <c r="AJ287" i="9" s="1"/>
  <c r="AK287" i="9" s="1"/>
  <c r="L287" i="9"/>
  <c r="J287" i="9"/>
  <c r="H287" i="9"/>
  <c r="I287" i="9" s="1"/>
  <c r="AK286" i="9"/>
  <c r="AI286" i="9"/>
  <c r="AJ286" i="9" s="1"/>
  <c r="L286" i="9"/>
  <c r="J286" i="9"/>
  <c r="I286" i="9"/>
  <c r="H286" i="9"/>
  <c r="AK285" i="9"/>
  <c r="AJ285" i="9"/>
  <c r="AI285" i="9"/>
  <c r="L285" i="9"/>
  <c r="J285" i="9"/>
  <c r="H285" i="9"/>
  <c r="I285" i="9" s="1"/>
  <c r="AJ284" i="9"/>
  <c r="AK284" i="9" s="1"/>
  <c r="AI284" i="9"/>
  <c r="L284" i="9"/>
  <c r="J284" i="9"/>
  <c r="I284" i="9"/>
  <c r="H284" i="9"/>
  <c r="AK283" i="9"/>
  <c r="AI283" i="9"/>
  <c r="AJ283" i="9" s="1"/>
  <c r="L283" i="9"/>
  <c r="H283" i="9"/>
  <c r="J283" i="9" s="1"/>
  <c r="AJ282" i="9"/>
  <c r="AK282" i="9" s="1"/>
  <c r="AI282" i="9"/>
  <c r="L282" i="9"/>
  <c r="J282" i="9"/>
  <c r="H282" i="9"/>
  <c r="I282" i="9" s="1"/>
  <c r="AK281" i="9"/>
  <c r="AI281" i="9"/>
  <c r="AJ281" i="9" s="1"/>
  <c r="L281" i="9"/>
  <c r="J281" i="9"/>
  <c r="I281" i="9"/>
  <c r="H281" i="9"/>
  <c r="AK280" i="9"/>
  <c r="AJ280" i="9"/>
  <c r="AI280" i="9"/>
  <c r="L280" i="9"/>
  <c r="I280" i="9"/>
  <c r="H280" i="9"/>
  <c r="J280" i="9" s="1"/>
  <c r="AJ279" i="9"/>
  <c r="AK279" i="9" s="1"/>
  <c r="AI279" i="9"/>
  <c r="L279" i="9"/>
  <c r="H279" i="9"/>
  <c r="I279" i="9" s="1"/>
  <c r="AI278" i="9"/>
  <c r="AJ278" i="9" s="1"/>
  <c r="AK278" i="9" s="1"/>
  <c r="L278" i="9"/>
  <c r="J278" i="9"/>
  <c r="I278" i="9"/>
  <c r="H278" i="9"/>
  <c r="AJ277" i="9"/>
  <c r="AK277" i="9" s="1"/>
  <c r="AI277" i="9"/>
  <c r="L277" i="9"/>
  <c r="H277" i="9"/>
  <c r="I277" i="9" s="1"/>
  <c r="AI276" i="9"/>
  <c r="AJ276" i="9" s="1"/>
  <c r="AK276" i="9" s="1"/>
  <c r="L276" i="9"/>
  <c r="J276" i="9"/>
  <c r="I276" i="9"/>
  <c r="H276" i="9"/>
  <c r="AI275" i="9"/>
  <c r="AJ275" i="9" s="1"/>
  <c r="AK275" i="9" s="1"/>
  <c r="L275" i="9"/>
  <c r="I275" i="9"/>
  <c r="H275" i="9"/>
  <c r="J275" i="9" s="1"/>
  <c r="AJ274" i="9"/>
  <c r="AK274" i="9" s="1"/>
  <c r="AI274" i="9"/>
  <c r="L274" i="9"/>
  <c r="H274" i="9"/>
  <c r="I274" i="9" s="1"/>
  <c r="AI273" i="9"/>
  <c r="AJ273" i="9" s="1"/>
  <c r="AK273" i="9" s="1"/>
  <c r="L273" i="9"/>
  <c r="J273" i="9"/>
  <c r="I273" i="9"/>
  <c r="H273" i="9"/>
  <c r="AJ272" i="9"/>
  <c r="AK272" i="9" s="1"/>
  <c r="AI272" i="9"/>
  <c r="L272" i="9"/>
  <c r="H272" i="9"/>
  <c r="J272" i="9" s="1"/>
  <c r="AI271" i="9"/>
  <c r="AJ271" i="9" s="1"/>
  <c r="AK271" i="9" s="1"/>
  <c r="L271" i="9"/>
  <c r="J271" i="9"/>
  <c r="H271" i="9"/>
  <c r="I271" i="9" s="1"/>
  <c r="AK270" i="9"/>
  <c r="AI270" i="9"/>
  <c r="AJ270" i="9" s="1"/>
  <c r="L270" i="9"/>
  <c r="J270" i="9"/>
  <c r="I270" i="9"/>
  <c r="H270" i="9"/>
  <c r="AK269" i="9"/>
  <c r="AJ269" i="9"/>
  <c r="AI269" i="9"/>
  <c r="L269" i="9"/>
  <c r="J269" i="9"/>
  <c r="H269" i="9"/>
  <c r="I269" i="9" s="1"/>
  <c r="AJ268" i="9"/>
  <c r="AK268" i="9" s="1"/>
  <c r="AI268" i="9"/>
  <c r="L268" i="9"/>
  <c r="J268" i="9"/>
  <c r="I268" i="9"/>
  <c r="H268" i="9"/>
  <c r="AK267" i="9"/>
  <c r="AI267" i="9"/>
  <c r="AJ267" i="9" s="1"/>
  <c r="L267" i="9"/>
  <c r="H267" i="9"/>
  <c r="J267" i="9" s="1"/>
  <c r="AJ266" i="9"/>
  <c r="AK266" i="9" s="1"/>
  <c r="AI266" i="9"/>
  <c r="L266" i="9"/>
  <c r="J266" i="9"/>
  <c r="H266" i="9"/>
  <c r="I266" i="9" s="1"/>
  <c r="AK265" i="9"/>
  <c r="AI265" i="9"/>
  <c r="AJ265" i="9" s="1"/>
  <c r="L265" i="9"/>
  <c r="J265" i="9"/>
  <c r="I265" i="9"/>
  <c r="H265" i="9"/>
  <c r="AK264" i="9"/>
  <c r="AJ264" i="9"/>
  <c r="AI264" i="9"/>
  <c r="L264" i="9"/>
  <c r="I264" i="9"/>
  <c r="H264" i="9"/>
  <c r="J264" i="9" s="1"/>
  <c r="AJ263" i="9"/>
  <c r="AK263" i="9" s="1"/>
  <c r="AI263" i="9"/>
  <c r="L263" i="9"/>
  <c r="H263" i="9"/>
  <c r="I263" i="9" s="1"/>
  <c r="AI262" i="9"/>
  <c r="AJ262" i="9" s="1"/>
  <c r="AK262" i="9" s="1"/>
  <c r="L262" i="9"/>
  <c r="J262" i="9"/>
  <c r="I262" i="9"/>
  <c r="H262" i="9"/>
  <c r="AJ261" i="9"/>
  <c r="AK261" i="9" s="1"/>
  <c r="AI261" i="9"/>
  <c r="L261" i="9"/>
  <c r="H261" i="9"/>
  <c r="I261" i="9" s="1"/>
  <c r="AI260" i="9"/>
  <c r="AJ260" i="9" s="1"/>
  <c r="AK260" i="9" s="1"/>
  <c r="L260" i="9"/>
  <c r="J260" i="9"/>
  <c r="I260" i="9"/>
  <c r="H260" i="9"/>
  <c r="AI259" i="9"/>
  <c r="AJ259" i="9" s="1"/>
  <c r="AK259" i="9" s="1"/>
  <c r="L259" i="9"/>
  <c r="I259" i="9"/>
  <c r="H259" i="9"/>
  <c r="J259" i="9" s="1"/>
  <c r="AJ258" i="9"/>
  <c r="AK258" i="9" s="1"/>
  <c r="AI258" i="9"/>
  <c r="L258" i="9"/>
  <c r="H258" i="9"/>
  <c r="I258" i="9" s="1"/>
  <c r="AI257" i="9"/>
  <c r="AJ257" i="9" s="1"/>
  <c r="AK257" i="9" s="1"/>
  <c r="L257" i="9"/>
  <c r="J257" i="9"/>
  <c r="I257" i="9"/>
  <c r="H257" i="9"/>
  <c r="AJ256" i="9"/>
  <c r="AK256" i="9" s="1"/>
  <c r="AI256" i="9"/>
  <c r="L256" i="9"/>
  <c r="H256" i="9"/>
  <c r="J256" i="9" s="1"/>
  <c r="AI255" i="9"/>
  <c r="AJ255" i="9" s="1"/>
  <c r="AK255" i="9" s="1"/>
  <c r="L255" i="9"/>
  <c r="J255" i="9"/>
  <c r="H255" i="9"/>
  <c r="I255" i="9" s="1"/>
  <c r="AK254" i="9"/>
  <c r="AI254" i="9"/>
  <c r="AJ254" i="9" s="1"/>
  <c r="L254" i="9"/>
  <c r="J254" i="9"/>
  <c r="I254" i="9"/>
  <c r="H254" i="9"/>
  <c r="AK253" i="9"/>
  <c r="AJ253" i="9"/>
  <c r="AI253" i="9"/>
  <c r="L253" i="9"/>
  <c r="J253" i="9"/>
  <c r="H253" i="9"/>
  <c r="I253" i="9" s="1"/>
  <c r="AJ252" i="9"/>
  <c r="AK252" i="9" s="1"/>
  <c r="AI252" i="9"/>
  <c r="L252" i="9"/>
  <c r="J252" i="9"/>
  <c r="I252" i="9"/>
  <c r="H252" i="9"/>
  <c r="AK251" i="9"/>
  <c r="AI251" i="9"/>
  <c r="AJ251" i="9" s="1"/>
  <c r="L251" i="9"/>
  <c r="H251" i="9"/>
  <c r="J251" i="9" s="1"/>
  <c r="AJ250" i="9"/>
  <c r="AK250" i="9" s="1"/>
  <c r="AI250" i="9"/>
  <c r="L250" i="9"/>
  <c r="J250" i="9"/>
  <c r="H250" i="9"/>
  <c r="I250" i="9" s="1"/>
  <c r="AK249" i="9"/>
  <c r="AI249" i="9"/>
  <c r="AJ249" i="9" s="1"/>
  <c r="L249" i="9"/>
  <c r="J249" i="9"/>
  <c r="I249" i="9"/>
  <c r="H249" i="9"/>
  <c r="AK248" i="9"/>
  <c r="AJ248" i="9"/>
  <c r="AI248" i="9"/>
  <c r="L248" i="9"/>
  <c r="I248" i="9"/>
  <c r="H248" i="9"/>
  <c r="J248" i="9" s="1"/>
  <c r="AJ247" i="9"/>
  <c r="AK247" i="9" s="1"/>
  <c r="AI247" i="9"/>
  <c r="L247" i="9"/>
  <c r="H247" i="9"/>
  <c r="I247" i="9" s="1"/>
  <c r="AI246" i="9"/>
  <c r="AJ246" i="9" s="1"/>
  <c r="AK246" i="9" s="1"/>
  <c r="L246" i="9"/>
  <c r="J246" i="9"/>
  <c r="I246" i="9"/>
  <c r="H246" i="9"/>
  <c r="AJ245" i="9"/>
  <c r="AK245" i="9" s="1"/>
  <c r="AI245" i="9"/>
  <c r="L245" i="9"/>
  <c r="H245" i="9"/>
  <c r="I245" i="9" s="1"/>
  <c r="AI244" i="9"/>
  <c r="AJ244" i="9" s="1"/>
  <c r="AK244" i="9" s="1"/>
  <c r="L244" i="9"/>
  <c r="J244" i="9"/>
  <c r="I244" i="9"/>
  <c r="H244" i="9"/>
  <c r="AI243" i="9"/>
  <c r="AJ243" i="9" s="1"/>
  <c r="AK243" i="9" s="1"/>
  <c r="L243" i="9"/>
  <c r="I243" i="9"/>
  <c r="H243" i="9"/>
  <c r="J243" i="9" s="1"/>
  <c r="AJ242" i="9"/>
  <c r="AK242" i="9" s="1"/>
  <c r="AI242" i="9"/>
  <c r="L242" i="9"/>
  <c r="H242" i="9"/>
  <c r="I242" i="9" s="1"/>
  <c r="AJ241" i="9"/>
  <c r="AK241" i="9" s="1"/>
  <c r="AI241" i="9"/>
  <c r="L241" i="9"/>
  <c r="J241" i="9"/>
  <c r="I241" i="9"/>
  <c r="H241" i="9"/>
  <c r="AI240" i="9"/>
  <c r="AJ240" i="9" s="1"/>
  <c r="AK240" i="9" s="1"/>
  <c r="L240" i="9"/>
  <c r="I240" i="9"/>
  <c r="H240" i="9"/>
  <c r="J240" i="9" s="1"/>
  <c r="AJ239" i="9"/>
  <c r="AK239" i="9" s="1"/>
  <c r="AI239" i="9"/>
  <c r="L239" i="9"/>
  <c r="H239" i="9"/>
  <c r="I239" i="9" s="1"/>
  <c r="AI238" i="9"/>
  <c r="AJ238" i="9" s="1"/>
  <c r="AK238" i="9" s="1"/>
  <c r="L238" i="9"/>
  <c r="J238" i="9"/>
  <c r="I238" i="9"/>
  <c r="H238" i="9"/>
  <c r="AJ237" i="9"/>
  <c r="AK237" i="9" s="1"/>
  <c r="AI237" i="9"/>
  <c r="L237" i="9"/>
  <c r="J237" i="9"/>
  <c r="I237" i="9"/>
  <c r="H237" i="9"/>
  <c r="AJ236" i="9"/>
  <c r="AK236" i="9" s="1"/>
  <c r="AI236" i="9"/>
  <c r="L236" i="9"/>
  <c r="I236" i="9"/>
  <c r="H236" i="9"/>
  <c r="J236" i="9" s="1"/>
  <c r="AK235" i="9"/>
  <c r="AI235" i="9"/>
  <c r="AJ235" i="9" s="1"/>
  <c r="L235" i="9"/>
  <c r="H235" i="9"/>
  <c r="J235" i="9" s="1"/>
  <c r="AJ234" i="9"/>
  <c r="AK234" i="9" s="1"/>
  <c r="AI234" i="9"/>
  <c r="L234" i="9"/>
  <c r="H234" i="9"/>
  <c r="I234" i="9" s="1"/>
  <c r="AJ233" i="9"/>
  <c r="AK233" i="9" s="1"/>
  <c r="AI233" i="9"/>
  <c r="L233" i="9"/>
  <c r="J233" i="9"/>
  <c r="I233" i="9"/>
  <c r="H233" i="9"/>
  <c r="AI232" i="9"/>
  <c r="AJ232" i="9" s="1"/>
  <c r="AK232" i="9" s="1"/>
  <c r="L232" i="9"/>
  <c r="H232" i="9"/>
  <c r="J232" i="9" s="1"/>
  <c r="AI231" i="9"/>
  <c r="AJ231" i="9" s="1"/>
  <c r="AK231" i="9" s="1"/>
  <c r="L231" i="9"/>
  <c r="H231" i="9"/>
  <c r="J231" i="9" s="1"/>
  <c r="AJ230" i="9"/>
  <c r="AK230" i="9" s="1"/>
  <c r="AI230" i="9"/>
  <c r="L230" i="9"/>
  <c r="I230" i="9"/>
  <c r="H230" i="9"/>
  <c r="J230" i="9" s="1"/>
  <c r="AI229" i="9"/>
  <c r="AJ229" i="9" s="1"/>
  <c r="AK229" i="9" s="1"/>
  <c r="L229" i="9"/>
  <c r="J229" i="9"/>
  <c r="H229" i="9"/>
  <c r="I229" i="9" s="1"/>
  <c r="AJ228" i="9"/>
  <c r="AK228" i="9" s="1"/>
  <c r="AI228" i="9"/>
  <c r="L228" i="9"/>
  <c r="J228" i="9"/>
  <c r="I228" i="9"/>
  <c r="H228" i="9"/>
  <c r="AI227" i="9"/>
  <c r="AJ227" i="9" s="1"/>
  <c r="AK227" i="9" s="1"/>
  <c r="L227" i="9"/>
  <c r="J227" i="9"/>
  <c r="H227" i="9"/>
  <c r="I227" i="9" s="1"/>
  <c r="AJ226" i="9"/>
  <c r="AK226" i="9" s="1"/>
  <c r="AI226" i="9"/>
  <c r="L226" i="9"/>
  <c r="J226" i="9"/>
  <c r="I226" i="9"/>
  <c r="H226" i="9"/>
  <c r="AI225" i="9"/>
  <c r="AJ225" i="9" s="1"/>
  <c r="AK225" i="9" s="1"/>
  <c r="L225" i="9"/>
  <c r="H225" i="9"/>
  <c r="J225" i="9" s="1"/>
  <c r="AJ224" i="9"/>
  <c r="AK224" i="9" s="1"/>
  <c r="AI224" i="9"/>
  <c r="L224" i="9"/>
  <c r="I224" i="9"/>
  <c r="H224" i="9"/>
  <c r="J224" i="9" s="1"/>
  <c r="AI223" i="9"/>
  <c r="AJ223" i="9" s="1"/>
  <c r="AK223" i="9" s="1"/>
  <c r="L223" i="9"/>
  <c r="H223" i="9"/>
  <c r="J223" i="9" s="1"/>
  <c r="AJ222" i="9"/>
  <c r="AK222" i="9" s="1"/>
  <c r="AI222" i="9"/>
  <c r="L222" i="9"/>
  <c r="I222" i="9"/>
  <c r="H222" i="9"/>
  <c r="J222" i="9" s="1"/>
  <c r="AI221" i="9"/>
  <c r="AJ221" i="9" s="1"/>
  <c r="AK221" i="9" s="1"/>
  <c r="L221" i="9"/>
  <c r="J221" i="9"/>
  <c r="H221" i="9"/>
  <c r="I221" i="9" s="1"/>
  <c r="AJ220" i="9"/>
  <c r="AK220" i="9" s="1"/>
  <c r="AI220" i="9"/>
  <c r="L220" i="9"/>
  <c r="J220" i="9"/>
  <c r="I220" i="9"/>
  <c r="H220" i="9"/>
  <c r="AI219" i="9"/>
  <c r="AJ219" i="9" s="1"/>
  <c r="AK219" i="9" s="1"/>
  <c r="L219" i="9"/>
  <c r="J219" i="9"/>
  <c r="H219" i="9"/>
  <c r="I219" i="9" s="1"/>
  <c r="AJ218" i="9"/>
  <c r="AK218" i="9" s="1"/>
  <c r="AI218" i="9"/>
  <c r="L218" i="9"/>
  <c r="J218" i="9"/>
  <c r="I218" i="9"/>
  <c r="H218" i="9"/>
  <c r="AI217" i="9"/>
  <c r="AJ217" i="9" s="1"/>
  <c r="AK217" i="9" s="1"/>
  <c r="L217" i="9"/>
  <c r="H217" i="9"/>
  <c r="J217" i="9" s="1"/>
  <c r="AJ216" i="9"/>
  <c r="AK216" i="9" s="1"/>
  <c r="AI216" i="9"/>
  <c r="L216" i="9"/>
  <c r="I216" i="9"/>
  <c r="H216" i="9"/>
  <c r="J216" i="9" s="1"/>
  <c r="AI215" i="9"/>
  <c r="AJ215" i="9" s="1"/>
  <c r="AK215" i="9" s="1"/>
  <c r="L215" i="9"/>
  <c r="H215" i="9"/>
  <c r="J215" i="9" s="1"/>
  <c r="AJ214" i="9"/>
  <c r="AK214" i="9" s="1"/>
  <c r="AI214" i="9"/>
  <c r="L214" i="9"/>
  <c r="I214" i="9"/>
  <c r="H214" i="9"/>
  <c r="J214" i="9" s="1"/>
  <c r="AI213" i="9"/>
  <c r="AJ213" i="9" s="1"/>
  <c r="AK213" i="9" s="1"/>
  <c r="L213" i="9"/>
  <c r="J213" i="9"/>
  <c r="H213" i="9"/>
  <c r="I213" i="9" s="1"/>
  <c r="AJ212" i="9"/>
  <c r="AK212" i="9" s="1"/>
  <c r="AI212" i="9"/>
  <c r="L212" i="9"/>
  <c r="J212" i="9"/>
  <c r="I212" i="9"/>
  <c r="H212" i="9"/>
  <c r="AI211" i="9"/>
  <c r="AJ211" i="9" s="1"/>
  <c r="AK211" i="9" s="1"/>
  <c r="L211" i="9"/>
  <c r="J211" i="9"/>
  <c r="H211" i="9"/>
  <c r="I211" i="9" s="1"/>
  <c r="AJ210" i="9"/>
  <c r="AK210" i="9" s="1"/>
  <c r="AI210" i="9"/>
  <c r="L210" i="9"/>
  <c r="J210" i="9"/>
  <c r="I210" i="9"/>
  <c r="H210" i="9"/>
  <c r="AI209" i="9"/>
  <c r="AJ209" i="9" s="1"/>
  <c r="AK209" i="9" s="1"/>
  <c r="L209" i="9"/>
  <c r="H209" i="9"/>
  <c r="J209" i="9" s="1"/>
  <c r="AJ208" i="9"/>
  <c r="AK208" i="9" s="1"/>
  <c r="AI208" i="9"/>
  <c r="L208" i="9"/>
  <c r="I208" i="9"/>
  <c r="H208" i="9"/>
  <c r="J208" i="9" s="1"/>
  <c r="AI207" i="9"/>
  <c r="AJ207" i="9" s="1"/>
  <c r="AK207" i="9" s="1"/>
  <c r="L207" i="9"/>
  <c r="H207" i="9"/>
  <c r="J207" i="9" s="1"/>
  <c r="AJ206" i="9"/>
  <c r="AK206" i="9" s="1"/>
  <c r="AI206" i="9"/>
  <c r="L206" i="9"/>
  <c r="I206" i="9"/>
  <c r="H206" i="9"/>
  <c r="J206" i="9" s="1"/>
  <c r="AI205" i="9"/>
  <c r="AJ205" i="9" s="1"/>
  <c r="AK205" i="9" s="1"/>
  <c r="L205" i="9"/>
  <c r="J205" i="9"/>
  <c r="H205" i="9"/>
  <c r="I205" i="9" s="1"/>
  <c r="AJ204" i="9"/>
  <c r="AK204" i="9" s="1"/>
  <c r="AI204" i="9"/>
  <c r="L204" i="9"/>
  <c r="J204" i="9"/>
  <c r="I204" i="9"/>
  <c r="H204" i="9"/>
  <c r="AI203" i="9"/>
  <c r="AJ203" i="9" s="1"/>
  <c r="AK203" i="9" s="1"/>
  <c r="L203" i="9"/>
  <c r="J203" i="9"/>
  <c r="H203" i="9"/>
  <c r="I203" i="9" s="1"/>
  <c r="AJ202" i="9"/>
  <c r="AK202" i="9" s="1"/>
  <c r="AI202" i="9"/>
  <c r="L202" i="9"/>
  <c r="J202" i="9"/>
  <c r="I202" i="9"/>
  <c r="H202" i="9"/>
  <c r="AI201" i="9"/>
  <c r="AJ201" i="9" s="1"/>
  <c r="AK201" i="9" s="1"/>
  <c r="L201" i="9"/>
  <c r="H201" i="9"/>
  <c r="J201" i="9" s="1"/>
  <c r="AJ200" i="9"/>
  <c r="AK200" i="9" s="1"/>
  <c r="AI200" i="9"/>
  <c r="L200" i="9"/>
  <c r="I200" i="9"/>
  <c r="H200" i="9"/>
  <c r="J200" i="9" s="1"/>
  <c r="AI199" i="9"/>
  <c r="AJ199" i="9" s="1"/>
  <c r="AK199" i="9" s="1"/>
  <c r="L199" i="9"/>
  <c r="H199" i="9"/>
  <c r="J199" i="9" s="1"/>
  <c r="AJ198" i="9"/>
  <c r="AK198" i="9" s="1"/>
  <c r="AI198" i="9"/>
  <c r="L198" i="9"/>
  <c r="I198" i="9"/>
  <c r="H198" i="9"/>
  <c r="J198" i="9" s="1"/>
  <c r="AI197" i="9"/>
  <c r="AJ197" i="9" s="1"/>
  <c r="AK197" i="9" s="1"/>
  <c r="L197" i="9"/>
  <c r="J197" i="9"/>
  <c r="H197" i="9"/>
  <c r="I197" i="9" s="1"/>
  <c r="AJ196" i="9"/>
  <c r="AK196" i="9" s="1"/>
  <c r="AI196" i="9"/>
  <c r="L196" i="9"/>
  <c r="J196" i="9"/>
  <c r="I196" i="9"/>
  <c r="H196" i="9"/>
  <c r="AI195" i="9"/>
  <c r="AJ195" i="9" s="1"/>
  <c r="AK195" i="9" s="1"/>
  <c r="L195" i="9"/>
  <c r="J195" i="9"/>
  <c r="H195" i="9"/>
  <c r="I195" i="9" s="1"/>
  <c r="AJ194" i="9"/>
  <c r="AK194" i="9" s="1"/>
  <c r="AI194" i="9"/>
  <c r="L194" i="9"/>
  <c r="J194" i="9"/>
  <c r="I194" i="9"/>
  <c r="H194" i="9"/>
  <c r="AI193" i="9"/>
  <c r="AJ193" i="9" s="1"/>
  <c r="AK193" i="9" s="1"/>
  <c r="L193" i="9"/>
  <c r="H193" i="9"/>
  <c r="J193" i="9" s="1"/>
  <c r="AJ192" i="9"/>
  <c r="AK192" i="9" s="1"/>
  <c r="AI192" i="9"/>
  <c r="L192" i="9"/>
  <c r="I192" i="9"/>
  <c r="H192" i="9"/>
  <c r="J192" i="9" s="1"/>
  <c r="AI191" i="9"/>
  <c r="AJ191" i="9" s="1"/>
  <c r="AK191" i="9" s="1"/>
  <c r="L191" i="9"/>
  <c r="H191" i="9"/>
  <c r="J191" i="9" s="1"/>
  <c r="AJ190" i="9"/>
  <c r="AK190" i="9" s="1"/>
  <c r="AI190" i="9"/>
  <c r="L190" i="9"/>
  <c r="I190" i="9"/>
  <c r="H190" i="9"/>
  <c r="J190" i="9" s="1"/>
  <c r="AI189" i="9"/>
  <c r="AJ189" i="9" s="1"/>
  <c r="AK189" i="9" s="1"/>
  <c r="L189" i="9"/>
  <c r="J189" i="9"/>
  <c r="H189" i="9"/>
  <c r="I189" i="9" s="1"/>
  <c r="AJ188" i="9"/>
  <c r="AK188" i="9" s="1"/>
  <c r="AI188" i="9"/>
  <c r="L188" i="9"/>
  <c r="I188" i="9"/>
  <c r="H188" i="9"/>
  <c r="J188" i="9" s="1"/>
  <c r="AI187" i="9"/>
  <c r="AJ187" i="9" s="1"/>
  <c r="AK187" i="9" s="1"/>
  <c r="L187" i="9"/>
  <c r="J187" i="9"/>
  <c r="H187" i="9"/>
  <c r="I187" i="9" s="1"/>
  <c r="AJ186" i="9"/>
  <c r="AK186" i="9" s="1"/>
  <c r="AI186" i="9"/>
  <c r="L186" i="9"/>
  <c r="J186" i="9"/>
  <c r="I186" i="9"/>
  <c r="H186" i="9"/>
  <c r="AI185" i="9"/>
  <c r="AJ185" i="9" s="1"/>
  <c r="AK185" i="9" s="1"/>
  <c r="L185" i="9"/>
  <c r="H185" i="9"/>
  <c r="J185" i="9" s="1"/>
  <c r="AJ184" i="9"/>
  <c r="AK184" i="9" s="1"/>
  <c r="AI184" i="9"/>
  <c r="L184" i="9"/>
  <c r="I184" i="9"/>
  <c r="H184" i="9"/>
  <c r="J184" i="9" s="1"/>
  <c r="AI183" i="9"/>
  <c r="AJ183" i="9" s="1"/>
  <c r="AK183" i="9" s="1"/>
  <c r="L183" i="9"/>
  <c r="H183" i="9"/>
  <c r="J183" i="9" s="1"/>
  <c r="AJ182" i="9"/>
  <c r="AK182" i="9" s="1"/>
  <c r="AI182" i="9"/>
  <c r="L182" i="9"/>
  <c r="J182" i="9"/>
  <c r="I182" i="9"/>
  <c r="H182" i="9"/>
  <c r="AI181" i="9"/>
  <c r="AJ181" i="9" s="1"/>
  <c r="AK181" i="9" s="1"/>
  <c r="L181" i="9"/>
  <c r="J181" i="9"/>
  <c r="H181" i="9"/>
  <c r="I181" i="9" s="1"/>
  <c r="AJ180" i="9"/>
  <c r="AK180" i="9" s="1"/>
  <c r="AI180" i="9"/>
  <c r="L180" i="9"/>
  <c r="I180" i="9"/>
  <c r="H180" i="9"/>
  <c r="J180" i="9" s="1"/>
  <c r="AI179" i="9"/>
  <c r="AJ179" i="9" s="1"/>
  <c r="AK179" i="9" s="1"/>
  <c r="L179" i="9"/>
  <c r="J179" i="9"/>
  <c r="H179" i="9"/>
  <c r="I179" i="9" s="1"/>
  <c r="AJ178" i="9"/>
  <c r="AK178" i="9" s="1"/>
  <c r="AI178" i="9"/>
  <c r="L178" i="9"/>
  <c r="J178" i="9"/>
  <c r="I178" i="9"/>
  <c r="H178" i="9"/>
  <c r="AI177" i="9"/>
  <c r="AJ177" i="9" s="1"/>
  <c r="AK177" i="9" s="1"/>
  <c r="L177" i="9"/>
  <c r="H177" i="9"/>
  <c r="J177" i="9" s="1"/>
  <c r="AJ176" i="9"/>
  <c r="AK176" i="9" s="1"/>
  <c r="AI176" i="9"/>
  <c r="L176" i="9"/>
  <c r="I176" i="9"/>
  <c r="H176" i="9"/>
  <c r="J176" i="9" s="1"/>
  <c r="AI175" i="9"/>
  <c r="AJ175" i="9" s="1"/>
  <c r="AK175" i="9" s="1"/>
  <c r="L175" i="9"/>
  <c r="H175" i="9"/>
  <c r="J175" i="9" s="1"/>
  <c r="AJ174" i="9"/>
  <c r="AK174" i="9" s="1"/>
  <c r="AI174" i="9"/>
  <c r="L174" i="9"/>
  <c r="J174" i="9"/>
  <c r="I174" i="9"/>
  <c r="H174" i="9"/>
  <c r="AI173" i="9"/>
  <c r="AJ173" i="9" s="1"/>
  <c r="AK173" i="9" s="1"/>
  <c r="L173" i="9"/>
  <c r="H173" i="9"/>
  <c r="J173" i="9" s="1"/>
  <c r="AJ172" i="9"/>
  <c r="AK172" i="9" s="1"/>
  <c r="AI172" i="9"/>
  <c r="L172" i="9"/>
  <c r="I172" i="9"/>
  <c r="H172" i="9"/>
  <c r="J172" i="9" s="1"/>
  <c r="AI171" i="9"/>
  <c r="AJ171" i="9" s="1"/>
  <c r="AK171" i="9" s="1"/>
  <c r="L171" i="9"/>
  <c r="J171" i="9"/>
  <c r="H171" i="9"/>
  <c r="I171" i="9" s="1"/>
  <c r="AJ170" i="9"/>
  <c r="AK170" i="9" s="1"/>
  <c r="AI170" i="9"/>
  <c r="L170" i="9"/>
  <c r="J170" i="9"/>
  <c r="I170" i="9"/>
  <c r="H170" i="9"/>
  <c r="AI169" i="9"/>
  <c r="AJ169" i="9" s="1"/>
  <c r="AK169" i="9" s="1"/>
  <c r="L169" i="9"/>
  <c r="H169" i="9"/>
  <c r="J169" i="9" s="1"/>
  <c r="AJ168" i="9"/>
  <c r="AK168" i="9" s="1"/>
  <c r="AI168" i="9"/>
  <c r="L168" i="9"/>
  <c r="I168" i="9"/>
  <c r="H168" i="9"/>
  <c r="J168" i="9" s="1"/>
  <c r="AI167" i="9"/>
  <c r="AJ167" i="9" s="1"/>
  <c r="AK167" i="9" s="1"/>
  <c r="L167" i="9"/>
  <c r="H167" i="9"/>
  <c r="J167" i="9" s="1"/>
  <c r="AJ166" i="9"/>
  <c r="AK166" i="9" s="1"/>
  <c r="AI166" i="9"/>
  <c r="L166" i="9"/>
  <c r="J166" i="9"/>
  <c r="I166" i="9"/>
  <c r="H166" i="9"/>
  <c r="AI165" i="9"/>
  <c r="AJ165" i="9" s="1"/>
  <c r="AK165" i="9" s="1"/>
  <c r="L165" i="9"/>
  <c r="H165" i="9"/>
  <c r="J165" i="9" s="1"/>
  <c r="AJ164" i="9"/>
  <c r="AK164" i="9" s="1"/>
  <c r="AI164" i="9"/>
  <c r="L164" i="9"/>
  <c r="I164" i="9"/>
  <c r="H164" i="9"/>
  <c r="J164" i="9" s="1"/>
  <c r="AI163" i="9"/>
  <c r="AJ163" i="9" s="1"/>
  <c r="AK163" i="9" s="1"/>
  <c r="L163" i="9"/>
  <c r="J163" i="9"/>
  <c r="H163" i="9"/>
  <c r="I163" i="9" s="1"/>
  <c r="AJ162" i="9"/>
  <c r="AK162" i="9" s="1"/>
  <c r="AI162" i="9"/>
  <c r="L162" i="9"/>
  <c r="J162" i="9"/>
  <c r="I162" i="9"/>
  <c r="H162" i="9"/>
  <c r="AI161" i="9"/>
  <c r="AJ161" i="9" s="1"/>
  <c r="AK161" i="9" s="1"/>
  <c r="L161" i="9"/>
  <c r="H161" i="9"/>
  <c r="J161" i="9" s="1"/>
  <c r="AJ160" i="9"/>
  <c r="AK160" i="9" s="1"/>
  <c r="AI160" i="9"/>
  <c r="L160" i="9"/>
  <c r="I160" i="9"/>
  <c r="H160" i="9"/>
  <c r="J160" i="9" s="1"/>
  <c r="AI159" i="9"/>
  <c r="AJ159" i="9" s="1"/>
  <c r="AK159" i="9" s="1"/>
  <c r="L159" i="9"/>
  <c r="H159" i="9"/>
  <c r="J159" i="9" s="1"/>
  <c r="AJ158" i="9"/>
  <c r="AK158" i="9" s="1"/>
  <c r="AI158" i="9"/>
  <c r="L158" i="9"/>
  <c r="J158" i="9"/>
  <c r="I158" i="9"/>
  <c r="H158" i="9"/>
  <c r="AI157" i="9"/>
  <c r="AJ157" i="9" s="1"/>
  <c r="AK157" i="9" s="1"/>
  <c r="L157" i="9"/>
  <c r="J157" i="9"/>
  <c r="H157" i="9"/>
  <c r="I157" i="9" s="1"/>
  <c r="AJ156" i="9"/>
  <c r="AK156" i="9" s="1"/>
  <c r="AI156" i="9"/>
  <c r="L156" i="9"/>
  <c r="I156" i="9"/>
  <c r="H156" i="9"/>
  <c r="J156" i="9" s="1"/>
  <c r="AI155" i="9"/>
  <c r="AJ155" i="9" s="1"/>
  <c r="AK155" i="9" s="1"/>
  <c r="L155" i="9"/>
  <c r="J155" i="9"/>
  <c r="H155" i="9"/>
  <c r="I155" i="9" s="1"/>
  <c r="AJ154" i="9"/>
  <c r="AK154" i="9" s="1"/>
  <c r="AI154" i="9"/>
  <c r="L154" i="9"/>
  <c r="I154" i="9"/>
  <c r="H154" i="9"/>
  <c r="J154" i="9" s="1"/>
  <c r="AI153" i="9"/>
  <c r="AJ153" i="9" s="1"/>
  <c r="AK153" i="9" s="1"/>
  <c r="L153" i="9"/>
  <c r="H153" i="9"/>
  <c r="J153" i="9" s="1"/>
  <c r="AJ152" i="9"/>
  <c r="AK152" i="9" s="1"/>
  <c r="AI152" i="9"/>
  <c r="L152" i="9"/>
  <c r="I152" i="9"/>
  <c r="H152" i="9"/>
  <c r="J152" i="9" s="1"/>
  <c r="AI151" i="9"/>
  <c r="AJ151" i="9" s="1"/>
  <c r="AK151" i="9" s="1"/>
  <c r="L151" i="9"/>
  <c r="H151" i="9"/>
  <c r="J151" i="9" s="1"/>
  <c r="AJ150" i="9"/>
  <c r="AK150" i="9" s="1"/>
  <c r="AI150" i="9"/>
  <c r="L150" i="9"/>
  <c r="J150" i="9"/>
  <c r="I150" i="9"/>
  <c r="H150" i="9"/>
  <c r="AI149" i="9"/>
  <c r="AJ149" i="9" s="1"/>
  <c r="AK149" i="9" s="1"/>
  <c r="L149" i="9"/>
  <c r="J149" i="9"/>
  <c r="H149" i="9"/>
  <c r="I149" i="9" s="1"/>
  <c r="AJ148" i="9"/>
  <c r="AK148" i="9" s="1"/>
  <c r="AI148" i="9"/>
  <c r="L148" i="9"/>
  <c r="I148" i="9"/>
  <c r="H148" i="9"/>
  <c r="J148" i="9" s="1"/>
  <c r="AI147" i="9"/>
  <c r="AJ147" i="9" s="1"/>
  <c r="AK147" i="9" s="1"/>
  <c r="L147" i="9"/>
  <c r="J147" i="9"/>
  <c r="H147" i="9"/>
  <c r="I147" i="9" s="1"/>
  <c r="AJ146" i="9"/>
  <c r="AK146" i="9" s="1"/>
  <c r="AI146" i="9"/>
  <c r="L146" i="9"/>
  <c r="J146" i="9"/>
  <c r="I146" i="9"/>
  <c r="H146" i="9"/>
  <c r="AI145" i="9"/>
  <c r="AJ145" i="9" s="1"/>
  <c r="AK145" i="9" s="1"/>
  <c r="L145" i="9"/>
  <c r="H145" i="9"/>
  <c r="J145" i="9" s="1"/>
  <c r="AJ144" i="9"/>
  <c r="AK144" i="9" s="1"/>
  <c r="AI144" i="9"/>
  <c r="L144" i="9"/>
  <c r="I144" i="9"/>
  <c r="H144" i="9"/>
  <c r="J144" i="9" s="1"/>
  <c r="AI143" i="9"/>
  <c r="AJ143" i="9" s="1"/>
  <c r="AK143" i="9" s="1"/>
  <c r="L143" i="9"/>
  <c r="H143" i="9"/>
  <c r="J143" i="9" s="1"/>
  <c r="AJ142" i="9"/>
  <c r="AK142" i="9" s="1"/>
  <c r="AI142" i="9"/>
  <c r="L142" i="9"/>
  <c r="J142" i="9"/>
  <c r="I142" i="9"/>
  <c r="H142" i="9"/>
  <c r="AI141" i="9"/>
  <c r="AJ141" i="9" s="1"/>
  <c r="AK141" i="9" s="1"/>
  <c r="L141" i="9"/>
  <c r="H141" i="9"/>
  <c r="J141" i="9" s="1"/>
  <c r="AJ140" i="9"/>
  <c r="AK140" i="9" s="1"/>
  <c r="AI140" i="9"/>
  <c r="L140" i="9"/>
  <c r="I140" i="9"/>
  <c r="H140" i="9"/>
  <c r="J140" i="9" s="1"/>
  <c r="AI139" i="9"/>
  <c r="AJ139" i="9" s="1"/>
  <c r="AK139" i="9" s="1"/>
  <c r="L139" i="9"/>
  <c r="J139" i="9"/>
  <c r="H139" i="9"/>
  <c r="I139" i="9" s="1"/>
  <c r="AJ138" i="9"/>
  <c r="AK138" i="9" s="1"/>
  <c r="AI138" i="9"/>
  <c r="L138" i="9"/>
  <c r="J138" i="9"/>
  <c r="I138" i="9"/>
  <c r="H138" i="9"/>
  <c r="AI137" i="9"/>
  <c r="AJ137" i="9" s="1"/>
  <c r="AK137" i="9" s="1"/>
  <c r="L137" i="9"/>
  <c r="H137" i="9"/>
  <c r="J137" i="9" s="1"/>
  <c r="AJ136" i="9"/>
  <c r="AK136" i="9" s="1"/>
  <c r="AI136" i="9"/>
  <c r="L136" i="9"/>
  <c r="I136" i="9"/>
  <c r="H136" i="9"/>
  <c r="J136" i="9" s="1"/>
  <c r="AI135" i="9"/>
  <c r="AJ135" i="9" s="1"/>
  <c r="AK135" i="9" s="1"/>
  <c r="L135" i="9"/>
  <c r="H135" i="9"/>
  <c r="J135" i="9" s="1"/>
  <c r="AJ134" i="9"/>
  <c r="AK134" i="9" s="1"/>
  <c r="AI134" i="9"/>
  <c r="L134" i="9"/>
  <c r="J134" i="9"/>
  <c r="I134" i="9"/>
  <c r="H134" i="9"/>
  <c r="AI133" i="9"/>
  <c r="AJ133" i="9" s="1"/>
  <c r="AK133" i="9" s="1"/>
  <c r="L133" i="9"/>
  <c r="H133" i="9"/>
  <c r="J133" i="9" s="1"/>
  <c r="AJ132" i="9"/>
  <c r="AK132" i="9" s="1"/>
  <c r="AI132" i="9"/>
  <c r="L132" i="9"/>
  <c r="I132" i="9"/>
  <c r="H132" i="9"/>
  <c r="J132" i="9" s="1"/>
  <c r="AI131" i="9"/>
  <c r="AJ131" i="9" s="1"/>
  <c r="AK131" i="9" s="1"/>
  <c r="L131" i="9"/>
  <c r="J131" i="9"/>
  <c r="H131" i="9"/>
  <c r="I131" i="9" s="1"/>
  <c r="AJ130" i="9"/>
  <c r="AK130" i="9" s="1"/>
  <c r="AI130" i="9"/>
  <c r="L130" i="9"/>
  <c r="J130" i="9"/>
  <c r="I130" i="9"/>
  <c r="H130" i="9"/>
  <c r="AI129" i="9"/>
  <c r="AJ129" i="9" s="1"/>
  <c r="AK129" i="9" s="1"/>
  <c r="L129" i="9"/>
  <c r="H129" i="9"/>
  <c r="J129" i="9" s="1"/>
  <c r="AJ128" i="9"/>
  <c r="AK128" i="9" s="1"/>
  <c r="AI128" i="9"/>
  <c r="L128" i="9"/>
  <c r="I128" i="9"/>
  <c r="H128" i="9"/>
  <c r="J128" i="9" s="1"/>
  <c r="AI127" i="9"/>
  <c r="AJ127" i="9" s="1"/>
  <c r="AK127" i="9" s="1"/>
  <c r="L127" i="9"/>
  <c r="H127" i="9"/>
  <c r="J127" i="9" s="1"/>
  <c r="AJ126" i="9"/>
  <c r="AK126" i="9" s="1"/>
  <c r="AI126" i="9"/>
  <c r="L126" i="9"/>
  <c r="J126" i="9"/>
  <c r="I126" i="9"/>
  <c r="H126" i="9"/>
  <c r="AI125" i="9"/>
  <c r="AJ125" i="9" s="1"/>
  <c r="AK125" i="9" s="1"/>
  <c r="L125" i="9"/>
  <c r="H125" i="9"/>
  <c r="J125" i="9" s="1"/>
  <c r="AJ124" i="9"/>
  <c r="AK124" i="9" s="1"/>
  <c r="AI124" i="9"/>
  <c r="L124" i="9"/>
  <c r="I124" i="9"/>
  <c r="H124" i="9"/>
  <c r="J124" i="9" s="1"/>
  <c r="AI123" i="9"/>
  <c r="AJ123" i="9" s="1"/>
  <c r="AK123" i="9" s="1"/>
  <c r="L123" i="9"/>
  <c r="J123" i="9"/>
  <c r="H123" i="9"/>
  <c r="I123" i="9" s="1"/>
  <c r="AI122" i="9"/>
  <c r="AJ122" i="9" s="1"/>
  <c r="AK122" i="9" s="1"/>
  <c r="L122" i="9"/>
  <c r="I122" i="9"/>
  <c r="H122" i="9"/>
  <c r="J122" i="9" s="1"/>
  <c r="AI121" i="9"/>
  <c r="AJ121" i="9" s="1"/>
  <c r="AK121" i="9" s="1"/>
  <c r="L121" i="9"/>
  <c r="H121" i="9"/>
  <c r="J121" i="9" s="1"/>
  <c r="AI120" i="9"/>
  <c r="AJ120" i="9" s="1"/>
  <c r="AK120" i="9" s="1"/>
  <c r="L120" i="9"/>
  <c r="J120" i="9"/>
  <c r="I120" i="9"/>
  <c r="H120" i="9"/>
  <c r="AI119" i="9"/>
  <c r="AJ119" i="9" s="1"/>
  <c r="AK119" i="9" s="1"/>
  <c r="L119" i="9"/>
  <c r="H119" i="9"/>
  <c r="J119" i="9" s="1"/>
  <c r="AJ118" i="9"/>
  <c r="AK118" i="9" s="1"/>
  <c r="AI118" i="9"/>
  <c r="L118" i="9"/>
  <c r="H118" i="9"/>
  <c r="J118" i="9" s="1"/>
  <c r="AI117" i="9"/>
  <c r="AJ117" i="9" s="1"/>
  <c r="AK117" i="9" s="1"/>
  <c r="L117" i="9"/>
  <c r="J117" i="9"/>
  <c r="H117" i="9"/>
  <c r="I117" i="9" s="1"/>
  <c r="AK116" i="9"/>
  <c r="AJ116" i="9"/>
  <c r="AI116" i="9"/>
  <c r="L116" i="9"/>
  <c r="H116" i="9"/>
  <c r="J116" i="9" s="1"/>
  <c r="AJ115" i="9"/>
  <c r="AK115" i="9" s="1"/>
  <c r="AI115" i="9"/>
  <c r="L115" i="9"/>
  <c r="J115" i="9"/>
  <c r="H115" i="9"/>
  <c r="I115" i="9" s="1"/>
  <c r="AK114" i="9"/>
  <c r="AI114" i="9"/>
  <c r="AJ114" i="9" s="1"/>
  <c r="L114" i="9"/>
  <c r="I114" i="9"/>
  <c r="H114" i="9"/>
  <c r="J114" i="9" s="1"/>
  <c r="AJ113" i="9"/>
  <c r="AK113" i="9" s="1"/>
  <c r="AI113" i="9"/>
  <c r="L113" i="9"/>
  <c r="J113" i="9"/>
  <c r="H113" i="9"/>
  <c r="I113" i="9" s="1"/>
  <c r="AI112" i="9"/>
  <c r="AJ112" i="9" s="1"/>
  <c r="AK112" i="9" s="1"/>
  <c r="L112" i="9"/>
  <c r="J112" i="9"/>
  <c r="I112" i="9"/>
  <c r="H112" i="9"/>
  <c r="AI111" i="9"/>
  <c r="AJ111" i="9" s="1"/>
  <c r="AK111" i="9" s="1"/>
  <c r="L111" i="9"/>
  <c r="I111" i="9"/>
  <c r="H111" i="9"/>
  <c r="J111" i="9" s="1"/>
  <c r="AJ110" i="9"/>
  <c r="AK110" i="9" s="1"/>
  <c r="AI110" i="9"/>
  <c r="L110" i="9"/>
  <c r="H110" i="9"/>
  <c r="I110" i="9" s="1"/>
  <c r="AI109" i="9"/>
  <c r="AJ109" i="9" s="1"/>
  <c r="AK109" i="9" s="1"/>
  <c r="L109" i="9"/>
  <c r="J109" i="9"/>
  <c r="I109" i="9"/>
  <c r="H109" i="9"/>
  <c r="AJ108" i="9"/>
  <c r="AK108" i="9" s="1"/>
  <c r="AI108" i="9"/>
  <c r="L108" i="9"/>
  <c r="H108" i="9"/>
  <c r="J108" i="9" s="1"/>
  <c r="AI107" i="9"/>
  <c r="AJ107" i="9" s="1"/>
  <c r="AK107" i="9" s="1"/>
  <c r="L107" i="9"/>
  <c r="H107" i="9"/>
  <c r="I107" i="9" s="1"/>
  <c r="AJ106" i="9"/>
  <c r="AK106" i="9" s="1"/>
  <c r="AI106" i="9"/>
  <c r="L106" i="9"/>
  <c r="I106" i="9"/>
  <c r="H106" i="9"/>
  <c r="J106" i="9" s="1"/>
  <c r="AJ105" i="9"/>
  <c r="AK105" i="9" s="1"/>
  <c r="AI105" i="9"/>
  <c r="L105" i="9"/>
  <c r="J105" i="9"/>
  <c r="H105" i="9"/>
  <c r="I105" i="9" s="1"/>
  <c r="AI104" i="9"/>
  <c r="AJ104" i="9" s="1"/>
  <c r="AK104" i="9" s="1"/>
  <c r="L104" i="9"/>
  <c r="J104" i="9"/>
  <c r="I104" i="9"/>
  <c r="H104" i="9"/>
  <c r="AK103" i="9"/>
  <c r="AI103" i="9"/>
  <c r="AJ103" i="9" s="1"/>
  <c r="L103" i="9"/>
  <c r="H103" i="9"/>
  <c r="J103" i="9" s="1"/>
  <c r="AJ102" i="9"/>
  <c r="AK102" i="9" s="1"/>
  <c r="AI102" i="9"/>
  <c r="L102" i="9"/>
  <c r="H102" i="9"/>
  <c r="J102" i="9" s="1"/>
  <c r="AI101" i="9"/>
  <c r="AJ101" i="9" s="1"/>
  <c r="AK101" i="9" s="1"/>
  <c r="L101" i="9"/>
  <c r="J101" i="9"/>
  <c r="H101" i="9"/>
  <c r="I101" i="9" s="1"/>
  <c r="AJ100" i="9"/>
  <c r="AK100" i="9" s="1"/>
  <c r="AI100" i="9"/>
  <c r="L100" i="9"/>
  <c r="H100" i="9"/>
  <c r="J100" i="9" s="1"/>
  <c r="AI99" i="9"/>
  <c r="AJ99" i="9" s="1"/>
  <c r="AK99" i="9" s="1"/>
  <c r="L99" i="9"/>
  <c r="H99" i="9"/>
  <c r="I99" i="9" s="1"/>
  <c r="AJ98" i="9"/>
  <c r="AK98" i="9" s="1"/>
  <c r="AI98" i="9"/>
  <c r="L98" i="9"/>
  <c r="I98" i="9"/>
  <c r="H98" i="9"/>
  <c r="J98" i="9" s="1"/>
  <c r="AJ97" i="9"/>
  <c r="AK97" i="9" s="1"/>
  <c r="AI97" i="9"/>
  <c r="L97" i="9"/>
  <c r="J97" i="9"/>
  <c r="H97" i="9"/>
  <c r="I97" i="9" s="1"/>
  <c r="AI96" i="9"/>
  <c r="AJ96" i="9" s="1"/>
  <c r="AK96" i="9" s="1"/>
  <c r="L96" i="9"/>
  <c r="J96" i="9"/>
  <c r="I96" i="9"/>
  <c r="H96" i="9"/>
  <c r="AI95" i="9"/>
  <c r="AJ95" i="9" s="1"/>
  <c r="AK95" i="9" s="1"/>
  <c r="L95" i="9"/>
  <c r="H95" i="9"/>
  <c r="J95" i="9" s="1"/>
  <c r="AJ94" i="9"/>
  <c r="AK94" i="9" s="1"/>
  <c r="AI94" i="9"/>
  <c r="L94" i="9"/>
  <c r="H94" i="9"/>
  <c r="J94" i="9" s="1"/>
  <c r="AI93" i="9"/>
  <c r="AJ93" i="9" s="1"/>
  <c r="AK93" i="9" s="1"/>
  <c r="L93" i="9"/>
  <c r="J93" i="9"/>
  <c r="H93" i="9"/>
  <c r="I93" i="9" s="1"/>
  <c r="AJ92" i="9"/>
  <c r="AK92" i="9" s="1"/>
  <c r="AI92" i="9"/>
  <c r="L92" i="9"/>
  <c r="H92" i="9"/>
  <c r="J92" i="9" s="1"/>
  <c r="AJ91" i="9"/>
  <c r="AK91" i="9" s="1"/>
  <c r="AI91" i="9"/>
  <c r="L91" i="9"/>
  <c r="H91" i="9"/>
  <c r="I91" i="9" s="1"/>
  <c r="AJ90" i="9"/>
  <c r="AK90" i="9" s="1"/>
  <c r="AI90" i="9"/>
  <c r="L90" i="9"/>
  <c r="I90" i="9"/>
  <c r="H90" i="9"/>
  <c r="J90" i="9" s="1"/>
  <c r="AJ89" i="9"/>
  <c r="AK89" i="9" s="1"/>
  <c r="AI89" i="9"/>
  <c r="L89" i="9"/>
  <c r="H89" i="9"/>
  <c r="I89" i="9" s="1"/>
  <c r="AI88" i="9"/>
  <c r="AJ88" i="9" s="1"/>
  <c r="AK88" i="9" s="1"/>
  <c r="L88" i="9"/>
  <c r="J88" i="9"/>
  <c r="I88" i="9"/>
  <c r="H88" i="9"/>
  <c r="AI87" i="9"/>
  <c r="AJ87" i="9" s="1"/>
  <c r="AK87" i="9" s="1"/>
  <c r="L87" i="9"/>
  <c r="H87" i="9"/>
  <c r="J87" i="9" s="1"/>
  <c r="AJ86" i="9"/>
  <c r="AK86" i="9" s="1"/>
  <c r="AI86" i="9"/>
  <c r="L86" i="9"/>
  <c r="H86" i="9"/>
  <c r="J86" i="9" s="1"/>
  <c r="AI85" i="9"/>
  <c r="AJ85" i="9" s="1"/>
  <c r="AK85" i="9" s="1"/>
  <c r="L85" i="9"/>
  <c r="J85" i="9"/>
  <c r="H85" i="9"/>
  <c r="I85" i="9" s="1"/>
  <c r="AJ84" i="9"/>
  <c r="AK84" i="9" s="1"/>
  <c r="AI84" i="9"/>
  <c r="L84" i="9"/>
  <c r="H84" i="9"/>
  <c r="J84" i="9" s="1"/>
  <c r="AJ83" i="9"/>
  <c r="AK83" i="9" s="1"/>
  <c r="AI83" i="9"/>
  <c r="L83" i="9"/>
  <c r="H83" i="9"/>
  <c r="I83" i="9" s="1"/>
  <c r="AJ82" i="9"/>
  <c r="AK82" i="9" s="1"/>
  <c r="AI82" i="9"/>
  <c r="L82" i="9"/>
  <c r="H82" i="9"/>
  <c r="J82" i="9" s="1"/>
  <c r="AJ81" i="9"/>
  <c r="AK81" i="9" s="1"/>
  <c r="AI81" i="9"/>
  <c r="L81" i="9"/>
  <c r="H81" i="9"/>
  <c r="I81" i="9" s="1"/>
  <c r="AJ80" i="9"/>
  <c r="AK80" i="9" s="1"/>
  <c r="AI80" i="9"/>
  <c r="L80" i="9"/>
  <c r="J80" i="9"/>
  <c r="I80" i="9"/>
  <c r="H80" i="9"/>
  <c r="AI79" i="9"/>
  <c r="AJ79" i="9" s="1"/>
  <c r="AK79" i="9" s="1"/>
  <c r="L79" i="9"/>
  <c r="J79" i="9"/>
  <c r="H79" i="9"/>
  <c r="I79" i="9" s="1"/>
  <c r="AI78" i="9"/>
  <c r="AJ78" i="9" s="1"/>
  <c r="AK78" i="9" s="1"/>
  <c r="L78" i="9"/>
  <c r="H78" i="9"/>
  <c r="J78" i="9" s="1"/>
  <c r="AI77" i="9"/>
  <c r="AJ77" i="9" s="1"/>
  <c r="AK77" i="9" s="1"/>
  <c r="L77" i="9"/>
  <c r="H77" i="9"/>
  <c r="J77" i="9" s="1"/>
  <c r="AJ76" i="9"/>
  <c r="AK76" i="9" s="1"/>
  <c r="AI76" i="9"/>
  <c r="L76" i="9"/>
  <c r="I76" i="9"/>
  <c r="H76" i="9"/>
  <c r="J76" i="9" s="1"/>
  <c r="AI75" i="9"/>
  <c r="AJ75" i="9" s="1"/>
  <c r="AK75" i="9" s="1"/>
  <c r="L75" i="9"/>
  <c r="J75" i="9"/>
  <c r="H75" i="9"/>
  <c r="I75" i="9" s="1"/>
  <c r="AJ74" i="9"/>
  <c r="AK74" i="9" s="1"/>
  <c r="AI74" i="9"/>
  <c r="L74" i="9"/>
  <c r="H74" i="9"/>
  <c r="J74" i="9" s="1"/>
  <c r="AJ73" i="9"/>
  <c r="AK73" i="9" s="1"/>
  <c r="AI73" i="9"/>
  <c r="L73" i="9"/>
  <c r="H73" i="9"/>
  <c r="I73" i="9" s="1"/>
  <c r="AJ72" i="9"/>
  <c r="AK72" i="9" s="1"/>
  <c r="AI72" i="9"/>
  <c r="L72" i="9"/>
  <c r="J72" i="9"/>
  <c r="I72" i="9"/>
  <c r="H72" i="9"/>
  <c r="AI71" i="9"/>
  <c r="AJ71" i="9" s="1"/>
  <c r="AK71" i="9" s="1"/>
  <c r="L71" i="9"/>
  <c r="H71" i="9"/>
  <c r="J71" i="9" s="1"/>
  <c r="AI70" i="9"/>
  <c r="AJ70" i="9" s="1"/>
  <c r="AK70" i="9" s="1"/>
  <c r="L70" i="9"/>
  <c r="J70" i="9"/>
  <c r="H70" i="9"/>
  <c r="I70" i="9" s="1"/>
  <c r="AI69" i="9"/>
  <c r="AJ69" i="9" s="1"/>
  <c r="AK69" i="9" s="1"/>
  <c r="L69" i="9"/>
  <c r="J69" i="9"/>
  <c r="H69" i="9"/>
  <c r="I69" i="9" s="1"/>
  <c r="AJ68" i="9"/>
  <c r="AK68" i="9" s="1"/>
  <c r="AI68" i="9"/>
  <c r="L68" i="9"/>
  <c r="I68" i="9"/>
  <c r="H68" i="9"/>
  <c r="J68" i="9" s="1"/>
  <c r="AI67" i="9"/>
  <c r="AJ67" i="9" s="1"/>
  <c r="AK67" i="9" s="1"/>
  <c r="L67" i="9"/>
  <c r="H67" i="9"/>
  <c r="J67" i="9" s="1"/>
  <c r="AJ66" i="9"/>
  <c r="AK66" i="9" s="1"/>
  <c r="AI66" i="9"/>
  <c r="L66" i="9"/>
  <c r="J66" i="9"/>
  <c r="I66" i="9"/>
  <c r="H66" i="9"/>
  <c r="AI65" i="9"/>
  <c r="AJ65" i="9" s="1"/>
  <c r="AK65" i="9" s="1"/>
  <c r="L65" i="9"/>
  <c r="H65" i="9"/>
  <c r="J65" i="9" s="1"/>
  <c r="AJ64" i="9"/>
  <c r="AK64" i="9" s="1"/>
  <c r="AI64" i="9"/>
  <c r="L64" i="9"/>
  <c r="I64" i="9"/>
  <c r="H64" i="9"/>
  <c r="J64" i="9" s="1"/>
  <c r="AI63" i="9"/>
  <c r="AJ63" i="9" s="1"/>
  <c r="AK63" i="9" s="1"/>
  <c r="L63" i="9"/>
  <c r="J63" i="9"/>
  <c r="H63" i="9"/>
  <c r="I63" i="9" s="1"/>
  <c r="AJ62" i="9"/>
  <c r="AK62" i="9" s="1"/>
  <c r="AI62" i="9"/>
  <c r="L62" i="9"/>
  <c r="J62" i="9"/>
  <c r="I62" i="9"/>
  <c r="H62" i="9"/>
  <c r="AI61" i="9"/>
  <c r="AJ61" i="9" s="1"/>
  <c r="AK61" i="9" s="1"/>
  <c r="L61" i="9"/>
  <c r="J61" i="9"/>
  <c r="H61" i="9"/>
  <c r="I61" i="9" s="1"/>
  <c r="AJ60" i="9"/>
  <c r="AK60" i="9" s="1"/>
  <c r="AI60" i="9"/>
  <c r="L60" i="9"/>
  <c r="I60" i="9"/>
  <c r="H60" i="9"/>
  <c r="J60" i="9" s="1"/>
  <c r="AI59" i="9"/>
  <c r="AJ59" i="9" s="1"/>
  <c r="AK59" i="9" s="1"/>
  <c r="L59" i="9"/>
  <c r="H59" i="9"/>
  <c r="J59" i="9" s="1"/>
  <c r="AJ58" i="9"/>
  <c r="AK58" i="9" s="1"/>
  <c r="AI58" i="9"/>
  <c r="L58" i="9"/>
  <c r="J58" i="9"/>
  <c r="I58" i="9"/>
  <c r="H58" i="9"/>
  <c r="AI57" i="9"/>
  <c r="AJ57" i="9" s="1"/>
  <c r="AK57" i="9" s="1"/>
  <c r="L57" i="9"/>
  <c r="H57" i="9"/>
  <c r="J57" i="9" s="1"/>
  <c r="AJ56" i="9"/>
  <c r="AK56" i="9" s="1"/>
  <c r="AI56" i="9"/>
  <c r="L56" i="9"/>
  <c r="J56" i="9"/>
  <c r="I56" i="9"/>
  <c r="H56" i="9"/>
  <c r="AI55" i="9"/>
  <c r="AJ55" i="9" s="1"/>
  <c r="AK55" i="9" s="1"/>
  <c r="L55" i="9"/>
  <c r="J55" i="9"/>
  <c r="H55" i="9"/>
  <c r="I55" i="9" s="1"/>
  <c r="AJ54" i="9"/>
  <c r="AK54" i="9" s="1"/>
  <c r="AI54" i="9"/>
  <c r="L54" i="9"/>
  <c r="J54" i="9"/>
  <c r="I54" i="9"/>
  <c r="H54" i="9"/>
  <c r="AI53" i="9"/>
  <c r="AJ53" i="9" s="1"/>
  <c r="AK53" i="9" s="1"/>
  <c r="L53" i="9"/>
  <c r="J53" i="9"/>
  <c r="H53" i="9"/>
  <c r="I53" i="9" s="1"/>
  <c r="AJ52" i="9"/>
  <c r="AK52" i="9" s="1"/>
  <c r="AI52" i="9"/>
  <c r="L52" i="9"/>
  <c r="I52" i="9"/>
  <c r="H52" i="9"/>
  <c r="J52" i="9" s="1"/>
  <c r="AI51" i="9"/>
  <c r="AJ51" i="9" s="1"/>
  <c r="AK51" i="9" s="1"/>
  <c r="L51" i="9"/>
  <c r="H51" i="9"/>
  <c r="J51" i="9" s="1"/>
  <c r="AJ50" i="9"/>
  <c r="AK50" i="9" s="1"/>
  <c r="AI50" i="9"/>
  <c r="L50" i="9"/>
  <c r="J50" i="9"/>
  <c r="I50" i="9"/>
  <c r="H50" i="9"/>
  <c r="AI49" i="9"/>
  <c r="AJ49" i="9" s="1"/>
  <c r="AK49" i="9" s="1"/>
  <c r="L49" i="9"/>
  <c r="H49" i="9"/>
  <c r="J49" i="9" s="1"/>
  <c r="AJ48" i="9"/>
  <c r="AK48" i="9" s="1"/>
  <c r="AI48" i="9"/>
  <c r="L48" i="9"/>
  <c r="J48" i="9"/>
  <c r="I48" i="9"/>
  <c r="H48" i="9"/>
  <c r="AI47" i="9"/>
  <c r="AJ47" i="9" s="1"/>
  <c r="AK47" i="9" s="1"/>
  <c r="L47" i="9"/>
  <c r="J47" i="9"/>
  <c r="H47" i="9"/>
  <c r="I47" i="9" s="1"/>
  <c r="AJ46" i="9"/>
  <c r="AK46" i="9" s="1"/>
  <c r="AI46" i="9"/>
  <c r="L46" i="9"/>
  <c r="J46" i="9"/>
  <c r="I46" i="9"/>
  <c r="H46" i="9"/>
  <c r="AI45" i="9"/>
  <c r="AJ45" i="9" s="1"/>
  <c r="AK45" i="9" s="1"/>
  <c r="L45" i="9"/>
  <c r="J45" i="9"/>
  <c r="H45" i="9"/>
  <c r="I45" i="9" s="1"/>
  <c r="AJ44" i="9"/>
  <c r="AK44" i="9" s="1"/>
  <c r="AI44" i="9"/>
  <c r="L44" i="9"/>
  <c r="I44" i="9"/>
  <c r="H44" i="9"/>
  <c r="J44" i="9" s="1"/>
  <c r="AI43" i="9"/>
  <c r="AJ43" i="9" s="1"/>
  <c r="AK43" i="9" s="1"/>
  <c r="L43" i="9"/>
  <c r="H43" i="9"/>
  <c r="J43" i="9" s="1"/>
  <c r="AJ42" i="9"/>
  <c r="AK42" i="9" s="1"/>
  <c r="AI42" i="9"/>
  <c r="L42" i="9"/>
  <c r="I42" i="9"/>
  <c r="H42" i="9"/>
  <c r="J42" i="9" s="1"/>
  <c r="AI41" i="9"/>
  <c r="AJ41" i="9" s="1"/>
  <c r="AK41" i="9" s="1"/>
  <c r="L41" i="9"/>
  <c r="H41" i="9"/>
  <c r="J41" i="9" s="1"/>
  <c r="AJ40" i="9"/>
  <c r="AK40" i="9" s="1"/>
  <c r="AI40" i="9"/>
  <c r="L40" i="9"/>
  <c r="J40" i="9"/>
  <c r="I40" i="9"/>
  <c r="H40" i="9"/>
  <c r="AI39" i="9"/>
  <c r="AJ39" i="9" s="1"/>
  <c r="AK39" i="9" s="1"/>
  <c r="L39" i="9"/>
  <c r="J39" i="9"/>
  <c r="H39" i="9"/>
  <c r="I39" i="9" s="1"/>
  <c r="AJ38" i="9"/>
  <c r="AK38" i="9" s="1"/>
  <c r="AI38" i="9"/>
  <c r="L38" i="9"/>
  <c r="J38" i="9"/>
  <c r="I38" i="9"/>
  <c r="H38" i="9"/>
  <c r="AI37" i="9"/>
  <c r="AJ37" i="9" s="1"/>
  <c r="AK37" i="9" s="1"/>
  <c r="L37" i="9"/>
  <c r="J37" i="9"/>
  <c r="H37" i="9"/>
  <c r="I37" i="9" s="1"/>
  <c r="AJ36" i="9"/>
  <c r="AK36" i="9" s="1"/>
  <c r="AI36" i="9"/>
  <c r="L36" i="9"/>
  <c r="I36" i="9"/>
  <c r="H36" i="9"/>
  <c r="J36" i="9" s="1"/>
  <c r="AI35" i="9"/>
  <c r="AJ35" i="9" s="1"/>
  <c r="AK35" i="9" s="1"/>
  <c r="L35" i="9"/>
  <c r="H35" i="9"/>
  <c r="J35" i="9" s="1"/>
  <c r="AJ34" i="9"/>
  <c r="AK34" i="9" s="1"/>
  <c r="AI34" i="9"/>
  <c r="L34" i="9"/>
  <c r="I34" i="9"/>
  <c r="H34" i="9"/>
  <c r="J34" i="9" s="1"/>
  <c r="AI33" i="9"/>
  <c r="AJ33" i="9" s="1"/>
  <c r="AK33" i="9" s="1"/>
  <c r="L33" i="9"/>
  <c r="H33" i="9"/>
  <c r="J33" i="9" s="1"/>
  <c r="AJ32" i="9"/>
  <c r="AK32" i="9" s="1"/>
  <c r="AI32" i="9"/>
  <c r="L32" i="9"/>
  <c r="J32" i="9"/>
  <c r="I32" i="9"/>
  <c r="H32" i="9"/>
  <c r="AI31" i="9"/>
  <c r="AJ31" i="9" s="1"/>
  <c r="AK31" i="9" s="1"/>
  <c r="L31" i="9"/>
  <c r="J31" i="9"/>
  <c r="H31" i="9"/>
  <c r="I31" i="9" s="1"/>
  <c r="AJ30" i="9"/>
  <c r="AK30" i="9" s="1"/>
  <c r="AI30" i="9"/>
  <c r="L30" i="9"/>
  <c r="J30" i="9"/>
  <c r="I30" i="9"/>
  <c r="H30" i="9"/>
  <c r="AI29" i="9"/>
  <c r="AJ29" i="9" s="1"/>
  <c r="AK29" i="9" s="1"/>
  <c r="L29" i="9"/>
  <c r="J29" i="9"/>
  <c r="H29" i="9"/>
  <c r="I29" i="9" s="1"/>
  <c r="AJ28" i="9"/>
  <c r="AK28" i="9" s="1"/>
  <c r="AI28" i="9"/>
  <c r="L28" i="9"/>
  <c r="I28" i="9"/>
  <c r="H28" i="9"/>
  <c r="J28" i="9" s="1"/>
  <c r="AI27" i="9"/>
  <c r="AJ27" i="9" s="1"/>
  <c r="AK27" i="9" s="1"/>
  <c r="L27" i="9"/>
  <c r="H27" i="9"/>
  <c r="J27" i="9" s="1"/>
  <c r="AJ26" i="9"/>
  <c r="AK26" i="9" s="1"/>
  <c r="AI26" i="9"/>
  <c r="L26" i="9"/>
  <c r="J26" i="9"/>
  <c r="I26" i="9"/>
  <c r="H26" i="9"/>
  <c r="AI25" i="9"/>
  <c r="AJ25" i="9" s="1"/>
  <c r="AK25" i="9" s="1"/>
  <c r="L25" i="9"/>
  <c r="H25" i="9"/>
  <c r="J25" i="9" s="1"/>
  <c r="AJ24" i="9"/>
  <c r="AK24" i="9" s="1"/>
  <c r="AI24" i="9"/>
  <c r="L24" i="9"/>
  <c r="J24" i="9"/>
  <c r="I24" i="9"/>
  <c r="H24" i="9"/>
  <c r="AI23" i="9"/>
  <c r="AJ23" i="9" s="1"/>
  <c r="AK23" i="9" s="1"/>
  <c r="L23" i="9"/>
  <c r="J23" i="9"/>
  <c r="H23" i="9"/>
  <c r="I23" i="9" s="1"/>
  <c r="AJ22" i="9"/>
  <c r="AK22" i="9" s="1"/>
  <c r="AI22" i="9"/>
  <c r="L22" i="9"/>
  <c r="J22" i="9"/>
  <c r="I22" i="9"/>
  <c r="H22" i="9"/>
  <c r="AI21" i="9"/>
  <c r="AJ21" i="9" s="1"/>
  <c r="AK21" i="9" s="1"/>
  <c r="L21" i="9"/>
  <c r="J21" i="9"/>
  <c r="H21" i="9"/>
  <c r="I21" i="9" s="1"/>
  <c r="AJ20" i="9"/>
  <c r="AK20" i="9" s="1"/>
  <c r="AI20" i="9"/>
  <c r="L20" i="9"/>
  <c r="I20" i="9"/>
  <c r="H20" i="9"/>
  <c r="J20" i="9" s="1"/>
  <c r="AI19" i="9"/>
  <c r="AJ19" i="9" s="1"/>
  <c r="AK19" i="9" s="1"/>
  <c r="L19" i="9"/>
  <c r="H19" i="9"/>
  <c r="J19" i="9" s="1"/>
  <c r="AJ18" i="9"/>
  <c r="AK18" i="9" s="1"/>
  <c r="AI18" i="9"/>
  <c r="L18" i="9"/>
  <c r="J18" i="9"/>
  <c r="I18" i="9"/>
  <c r="H18" i="9"/>
  <c r="AI17" i="9"/>
  <c r="AJ17" i="9" s="1"/>
  <c r="AK17" i="9" s="1"/>
  <c r="L17" i="9"/>
  <c r="H17" i="9"/>
  <c r="J17" i="9" s="1"/>
  <c r="AJ16" i="9"/>
  <c r="AK16" i="9" s="1"/>
  <c r="AI16" i="9"/>
  <c r="L16" i="9"/>
  <c r="I16" i="9"/>
  <c r="H16" i="9"/>
  <c r="J16" i="9" s="1"/>
  <c r="AI15" i="9"/>
  <c r="AJ15" i="9" s="1"/>
  <c r="AK15" i="9" s="1"/>
  <c r="L15" i="9"/>
  <c r="J15" i="9"/>
  <c r="H15" i="9"/>
  <c r="I15" i="9" s="1"/>
  <c r="AJ14" i="9"/>
  <c r="AK14" i="9" s="1"/>
  <c r="AI14" i="9"/>
  <c r="L14" i="9"/>
  <c r="J14" i="9"/>
  <c r="I14" i="9"/>
  <c r="H14" i="9"/>
  <c r="AI13" i="9"/>
  <c r="AJ13" i="9" s="1"/>
  <c r="AK13" i="9" s="1"/>
  <c r="L13" i="9"/>
  <c r="J13" i="9"/>
  <c r="H13" i="9"/>
  <c r="I13" i="9" s="1"/>
  <c r="AJ12" i="9"/>
  <c r="AK12" i="9" s="1"/>
  <c r="AI12" i="9"/>
  <c r="L12" i="9"/>
  <c r="I12" i="9"/>
  <c r="H12" i="9"/>
  <c r="J12" i="9" s="1"/>
  <c r="AI11" i="9"/>
  <c r="AJ11" i="9" s="1"/>
  <c r="AK11" i="9" s="1"/>
  <c r="L11" i="9"/>
  <c r="H11" i="9"/>
  <c r="J11" i="9" s="1"/>
  <c r="AJ10" i="9"/>
  <c r="AK10" i="9" s="1"/>
  <c r="AI10" i="9"/>
  <c r="L10" i="9"/>
  <c r="J10" i="9"/>
  <c r="I10" i="9"/>
  <c r="H10" i="9"/>
  <c r="AI9" i="9"/>
  <c r="AJ9" i="9" s="1"/>
  <c r="AK9" i="9" s="1"/>
  <c r="L9" i="9"/>
  <c r="H9" i="9"/>
  <c r="J9" i="9" s="1"/>
  <c r="AJ8" i="9"/>
  <c r="AK8" i="9" s="1"/>
  <c r="AI8" i="9"/>
  <c r="L8" i="9"/>
  <c r="I8" i="9"/>
  <c r="H8" i="9"/>
  <c r="J8" i="9" s="1"/>
  <c r="AI7" i="9"/>
  <c r="AJ7" i="9" s="1"/>
  <c r="AK7" i="9" s="1"/>
  <c r="L7" i="9"/>
  <c r="J7" i="9"/>
  <c r="H7" i="9"/>
  <c r="I7" i="9" s="1"/>
  <c r="AJ6" i="9"/>
  <c r="AK6" i="9" s="1"/>
  <c r="AI6" i="9"/>
  <c r="L6" i="9"/>
  <c r="J6" i="9"/>
  <c r="I6" i="9"/>
  <c r="H6" i="9"/>
  <c r="AI5" i="9"/>
  <c r="AJ5" i="9" s="1"/>
  <c r="AK5" i="9" s="1"/>
  <c r="L5" i="9"/>
  <c r="J5" i="9"/>
  <c r="H5" i="9"/>
  <c r="I5" i="9" s="1"/>
  <c r="AJ4" i="9"/>
  <c r="AK4" i="9" s="1"/>
  <c r="AI4" i="9"/>
  <c r="L4" i="9"/>
  <c r="I4" i="9"/>
  <c r="H4" i="9"/>
  <c r="J4" i="9" s="1"/>
  <c r="AI3" i="9"/>
  <c r="AJ3" i="9" s="1"/>
  <c r="AK3" i="9" s="1"/>
  <c r="L3" i="9"/>
  <c r="H3" i="9"/>
  <c r="J3" i="9" s="1"/>
  <c r="AJ2" i="9"/>
  <c r="AK2" i="9" s="1"/>
  <c r="AI2" i="9"/>
  <c r="L2" i="9"/>
  <c r="J2" i="9"/>
  <c r="I2" i="9"/>
  <c r="H2" i="9"/>
  <c r="J17" i="19"/>
  <c r="W632" i="8"/>
  <c r="V632" i="8"/>
  <c r="U632" i="8"/>
  <c r="D632" i="8"/>
  <c r="C632" i="8"/>
  <c r="W631" i="8"/>
  <c r="V631" i="8"/>
  <c r="U631" i="8"/>
  <c r="D631" i="8"/>
  <c r="C631" i="8"/>
  <c r="W630" i="8"/>
  <c r="V630" i="8"/>
  <c r="U630" i="8"/>
  <c r="D630" i="8"/>
  <c r="C630" i="8"/>
  <c r="W629" i="8"/>
  <c r="V629" i="8"/>
  <c r="U629" i="8"/>
  <c r="D629" i="8"/>
  <c r="C629" i="8"/>
  <c r="W628" i="8"/>
  <c r="V628" i="8"/>
  <c r="U628" i="8"/>
  <c r="D628" i="8"/>
  <c r="C628" i="8"/>
  <c r="W627" i="8"/>
  <c r="V627" i="8"/>
  <c r="U627" i="8"/>
  <c r="D627" i="8"/>
  <c r="C627" i="8"/>
  <c r="W626" i="8"/>
  <c r="V626" i="8"/>
  <c r="U626" i="8"/>
  <c r="D626" i="8"/>
  <c r="C626" i="8"/>
  <c r="W625" i="8"/>
  <c r="V625" i="8"/>
  <c r="U625" i="8"/>
  <c r="D625" i="8"/>
  <c r="C625" i="8"/>
  <c r="W624" i="8"/>
  <c r="V624" i="8"/>
  <c r="U624" i="8"/>
  <c r="D624" i="8"/>
  <c r="C624" i="8"/>
  <c r="W623" i="8"/>
  <c r="V623" i="8"/>
  <c r="U623" i="8"/>
  <c r="D623" i="8"/>
  <c r="C623" i="8"/>
  <c r="W622" i="8"/>
  <c r="V622" i="8"/>
  <c r="U622" i="8"/>
  <c r="D622" i="8"/>
  <c r="C622" i="8"/>
  <c r="W621" i="8"/>
  <c r="V621" i="8"/>
  <c r="U621" i="8"/>
  <c r="D621" i="8"/>
  <c r="C621" i="8"/>
  <c r="W620" i="8"/>
  <c r="V620" i="8"/>
  <c r="U620" i="8"/>
  <c r="D620" i="8"/>
  <c r="C620" i="8"/>
  <c r="W619" i="8"/>
  <c r="V619" i="8"/>
  <c r="U619" i="8"/>
  <c r="D619" i="8"/>
  <c r="C619" i="8"/>
  <c r="W618" i="8"/>
  <c r="V618" i="8"/>
  <c r="U618" i="8"/>
  <c r="D618" i="8"/>
  <c r="C618" i="8"/>
  <c r="W617" i="8"/>
  <c r="V617" i="8"/>
  <c r="U617" i="8"/>
  <c r="D617" i="8"/>
  <c r="C617" i="8"/>
  <c r="W616" i="8"/>
  <c r="V616" i="8"/>
  <c r="U616" i="8"/>
  <c r="D616" i="8"/>
  <c r="C616" i="8"/>
  <c r="W615" i="8"/>
  <c r="V615" i="8"/>
  <c r="U615" i="8"/>
  <c r="D615" i="8"/>
  <c r="C615" i="8"/>
  <c r="W614" i="8"/>
  <c r="V614" i="8"/>
  <c r="U614" i="8"/>
  <c r="D614" i="8"/>
  <c r="C614" i="8"/>
  <c r="W613" i="8"/>
  <c r="V613" i="8"/>
  <c r="U613" i="8"/>
  <c r="D613" i="8"/>
  <c r="C613" i="8"/>
  <c r="W612" i="8"/>
  <c r="V612" i="8"/>
  <c r="U612" i="8"/>
  <c r="D612" i="8"/>
  <c r="C612" i="8"/>
  <c r="W611" i="8"/>
  <c r="V611" i="8"/>
  <c r="U611" i="8"/>
  <c r="D611" i="8"/>
  <c r="C611" i="8"/>
  <c r="W610" i="8"/>
  <c r="V610" i="8"/>
  <c r="U610" i="8"/>
  <c r="D610" i="8"/>
  <c r="C610" i="8"/>
  <c r="W609" i="8"/>
  <c r="V609" i="8"/>
  <c r="U609" i="8"/>
  <c r="D609" i="8"/>
  <c r="C609" i="8"/>
  <c r="W608" i="8"/>
  <c r="V608" i="8"/>
  <c r="U608" i="8"/>
  <c r="D608" i="8"/>
  <c r="C608" i="8"/>
  <c r="W607" i="8"/>
  <c r="V607" i="8"/>
  <c r="U607" i="8"/>
  <c r="D607" i="8"/>
  <c r="C607" i="8"/>
  <c r="W606" i="8"/>
  <c r="V606" i="8"/>
  <c r="U606" i="8"/>
  <c r="D606" i="8"/>
  <c r="C606" i="8"/>
  <c r="W605" i="8"/>
  <c r="V605" i="8"/>
  <c r="U605" i="8"/>
  <c r="D605" i="8"/>
  <c r="C605" i="8"/>
  <c r="W604" i="8"/>
  <c r="V604" i="8"/>
  <c r="U604" i="8"/>
  <c r="D604" i="8"/>
  <c r="C604" i="8"/>
  <c r="W603" i="8"/>
  <c r="V603" i="8"/>
  <c r="U603" i="8"/>
  <c r="D603" i="8"/>
  <c r="C603" i="8"/>
  <c r="W602" i="8"/>
  <c r="V602" i="8"/>
  <c r="U602" i="8"/>
  <c r="D602" i="8"/>
  <c r="C602" i="8"/>
  <c r="W601" i="8"/>
  <c r="V601" i="8"/>
  <c r="U601" i="8"/>
  <c r="D601" i="8"/>
  <c r="C601" i="8"/>
  <c r="W600" i="8"/>
  <c r="V600" i="8"/>
  <c r="U600" i="8"/>
  <c r="D600" i="8"/>
  <c r="C600" i="8"/>
  <c r="W599" i="8"/>
  <c r="V599" i="8"/>
  <c r="U599" i="8"/>
  <c r="D599" i="8"/>
  <c r="C599" i="8"/>
  <c r="W598" i="8"/>
  <c r="V598" i="8"/>
  <c r="U598" i="8"/>
  <c r="D598" i="8"/>
  <c r="C598" i="8"/>
  <c r="W597" i="8"/>
  <c r="V597" i="8"/>
  <c r="U597" i="8"/>
  <c r="D597" i="8"/>
  <c r="C597" i="8"/>
  <c r="W596" i="8"/>
  <c r="V596" i="8"/>
  <c r="U596" i="8"/>
  <c r="D596" i="8"/>
  <c r="C596" i="8"/>
  <c r="W595" i="8"/>
  <c r="V595" i="8"/>
  <c r="U595" i="8"/>
  <c r="D595" i="8"/>
  <c r="C595" i="8"/>
  <c r="W594" i="8"/>
  <c r="V594" i="8"/>
  <c r="U594" i="8"/>
  <c r="D594" i="8"/>
  <c r="C594" i="8"/>
  <c r="W593" i="8"/>
  <c r="V593" i="8"/>
  <c r="U593" i="8"/>
  <c r="D593" i="8"/>
  <c r="C593" i="8"/>
  <c r="W592" i="8"/>
  <c r="V592" i="8"/>
  <c r="U592" i="8"/>
  <c r="D592" i="8"/>
  <c r="C592" i="8"/>
  <c r="W591" i="8"/>
  <c r="V591" i="8"/>
  <c r="U591" i="8"/>
  <c r="D591" i="8"/>
  <c r="C591" i="8"/>
  <c r="W590" i="8"/>
  <c r="V590" i="8"/>
  <c r="U590" i="8"/>
  <c r="D590" i="8"/>
  <c r="C590" i="8"/>
  <c r="W589" i="8"/>
  <c r="V589" i="8"/>
  <c r="U589" i="8"/>
  <c r="D589" i="8"/>
  <c r="C589" i="8"/>
  <c r="W588" i="8"/>
  <c r="V588" i="8"/>
  <c r="U588" i="8"/>
  <c r="D588" i="8"/>
  <c r="C588" i="8"/>
  <c r="W587" i="8"/>
  <c r="V587" i="8"/>
  <c r="U587" i="8"/>
  <c r="D587" i="8"/>
  <c r="C587" i="8"/>
  <c r="W586" i="8"/>
  <c r="V586" i="8"/>
  <c r="U586" i="8"/>
  <c r="D586" i="8"/>
  <c r="C586" i="8"/>
  <c r="W585" i="8"/>
  <c r="V585" i="8"/>
  <c r="U585" i="8"/>
  <c r="D585" i="8"/>
  <c r="C585" i="8"/>
  <c r="W584" i="8"/>
  <c r="V584" i="8"/>
  <c r="U584" i="8"/>
  <c r="D584" i="8"/>
  <c r="C584" i="8"/>
  <c r="W583" i="8"/>
  <c r="V583" i="8"/>
  <c r="U583" i="8"/>
  <c r="D583" i="8"/>
  <c r="C583" i="8"/>
  <c r="W582" i="8"/>
  <c r="V582" i="8"/>
  <c r="U582" i="8"/>
  <c r="D582" i="8"/>
  <c r="C582" i="8"/>
  <c r="W581" i="8"/>
  <c r="V581" i="8"/>
  <c r="U581" i="8"/>
  <c r="D581" i="8"/>
  <c r="C581" i="8"/>
  <c r="W580" i="8"/>
  <c r="V580" i="8"/>
  <c r="U580" i="8"/>
  <c r="D580" i="8"/>
  <c r="C580" i="8"/>
  <c r="W579" i="8"/>
  <c r="V579" i="8"/>
  <c r="U579" i="8"/>
  <c r="D579" i="8"/>
  <c r="C579" i="8"/>
  <c r="W578" i="8"/>
  <c r="V578" i="8"/>
  <c r="U578" i="8"/>
  <c r="D578" i="8"/>
  <c r="C578" i="8"/>
  <c r="W577" i="8"/>
  <c r="V577" i="8"/>
  <c r="U577" i="8"/>
  <c r="D577" i="8"/>
  <c r="C577" i="8"/>
  <c r="W576" i="8"/>
  <c r="V576" i="8"/>
  <c r="U576" i="8"/>
  <c r="D576" i="8"/>
  <c r="C576" i="8"/>
  <c r="W575" i="8"/>
  <c r="V575" i="8"/>
  <c r="U575" i="8"/>
  <c r="D575" i="8"/>
  <c r="C575" i="8"/>
  <c r="W574" i="8"/>
  <c r="V574" i="8"/>
  <c r="U574" i="8"/>
  <c r="D574" i="8"/>
  <c r="C574" i="8"/>
  <c r="W573" i="8"/>
  <c r="V573" i="8"/>
  <c r="U573" i="8"/>
  <c r="D573" i="8"/>
  <c r="C573" i="8"/>
  <c r="W572" i="8"/>
  <c r="V572" i="8"/>
  <c r="U572" i="8"/>
  <c r="D572" i="8"/>
  <c r="C572" i="8"/>
  <c r="W571" i="8"/>
  <c r="V571" i="8"/>
  <c r="U571" i="8"/>
  <c r="D571" i="8"/>
  <c r="C571" i="8"/>
  <c r="W570" i="8"/>
  <c r="V570" i="8"/>
  <c r="U570" i="8"/>
  <c r="D570" i="8"/>
  <c r="C570" i="8"/>
  <c r="W569" i="8"/>
  <c r="V569" i="8"/>
  <c r="U569" i="8"/>
  <c r="D569" i="8"/>
  <c r="C569" i="8"/>
  <c r="W568" i="8"/>
  <c r="V568" i="8"/>
  <c r="U568" i="8"/>
  <c r="D568" i="8"/>
  <c r="C568" i="8"/>
  <c r="W567" i="8"/>
  <c r="V567" i="8"/>
  <c r="U567" i="8"/>
  <c r="D567" i="8"/>
  <c r="C567" i="8"/>
  <c r="W566" i="8"/>
  <c r="V566" i="8"/>
  <c r="U566" i="8"/>
  <c r="D566" i="8"/>
  <c r="C566" i="8"/>
  <c r="W565" i="8"/>
  <c r="V565" i="8"/>
  <c r="U565" i="8"/>
  <c r="D565" i="8"/>
  <c r="C565" i="8"/>
  <c r="W564" i="8"/>
  <c r="V564" i="8"/>
  <c r="U564" i="8"/>
  <c r="D564" i="8"/>
  <c r="C564" i="8"/>
  <c r="W563" i="8"/>
  <c r="V563" i="8"/>
  <c r="U563" i="8"/>
  <c r="D563" i="8"/>
  <c r="C563" i="8"/>
  <c r="W562" i="8"/>
  <c r="V562" i="8"/>
  <c r="U562" i="8"/>
  <c r="D562" i="8"/>
  <c r="C562" i="8"/>
  <c r="W561" i="8"/>
  <c r="V561" i="8"/>
  <c r="U561" i="8"/>
  <c r="D561" i="8"/>
  <c r="C561" i="8"/>
  <c r="W560" i="8"/>
  <c r="V560" i="8"/>
  <c r="U560" i="8"/>
  <c r="D560" i="8"/>
  <c r="C560" i="8"/>
  <c r="W559" i="8"/>
  <c r="V559" i="8"/>
  <c r="U559" i="8"/>
  <c r="D559" i="8"/>
  <c r="C559" i="8"/>
  <c r="W558" i="8"/>
  <c r="V558" i="8"/>
  <c r="U558" i="8"/>
  <c r="D558" i="8"/>
  <c r="C558" i="8"/>
  <c r="W557" i="8"/>
  <c r="V557" i="8"/>
  <c r="U557" i="8"/>
  <c r="D557" i="8"/>
  <c r="C557" i="8"/>
  <c r="W556" i="8"/>
  <c r="V556" i="8"/>
  <c r="U556" i="8"/>
  <c r="D556" i="8"/>
  <c r="C556" i="8"/>
  <c r="W555" i="8"/>
  <c r="V555" i="8"/>
  <c r="U555" i="8"/>
  <c r="D555" i="8"/>
  <c r="C555" i="8"/>
  <c r="W554" i="8"/>
  <c r="V554" i="8"/>
  <c r="U554" i="8"/>
  <c r="D554" i="8"/>
  <c r="C554" i="8"/>
  <c r="W553" i="8"/>
  <c r="V553" i="8"/>
  <c r="U553" i="8"/>
  <c r="D553" i="8"/>
  <c r="C553" i="8"/>
  <c r="W552" i="8"/>
  <c r="V552" i="8"/>
  <c r="U552" i="8"/>
  <c r="D552" i="8"/>
  <c r="C552" i="8"/>
  <c r="W551" i="8"/>
  <c r="V551" i="8"/>
  <c r="U551" i="8"/>
  <c r="D551" i="8"/>
  <c r="C551" i="8"/>
  <c r="W550" i="8"/>
  <c r="V550" i="8"/>
  <c r="U550" i="8"/>
  <c r="D550" i="8"/>
  <c r="C550" i="8"/>
  <c r="W549" i="8"/>
  <c r="V549" i="8"/>
  <c r="U549" i="8"/>
  <c r="D549" i="8"/>
  <c r="C549" i="8"/>
  <c r="W548" i="8"/>
  <c r="V548" i="8"/>
  <c r="U548" i="8"/>
  <c r="D548" i="8"/>
  <c r="C548" i="8"/>
  <c r="W547" i="8"/>
  <c r="V547" i="8"/>
  <c r="U547" i="8"/>
  <c r="D547" i="8"/>
  <c r="C547" i="8"/>
  <c r="W546" i="8"/>
  <c r="V546" i="8"/>
  <c r="U546" i="8"/>
  <c r="D546" i="8"/>
  <c r="C546" i="8"/>
  <c r="W545" i="8"/>
  <c r="V545" i="8"/>
  <c r="U545" i="8"/>
  <c r="D545" i="8"/>
  <c r="C545" i="8"/>
  <c r="W544" i="8"/>
  <c r="V544" i="8"/>
  <c r="U544" i="8"/>
  <c r="D544" i="8"/>
  <c r="C544" i="8"/>
  <c r="W543" i="8"/>
  <c r="V543" i="8"/>
  <c r="U543" i="8"/>
  <c r="D543" i="8"/>
  <c r="C543" i="8"/>
  <c r="W542" i="8"/>
  <c r="V542" i="8"/>
  <c r="U542" i="8"/>
  <c r="D542" i="8"/>
  <c r="C542" i="8"/>
  <c r="W541" i="8"/>
  <c r="V541" i="8"/>
  <c r="U541" i="8"/>
  <c r="D541" i="8"/>
  <c r="C541" i="8"/>
  <c r="W540" i="8"/>
  <c r="V540" i="8"/>
  <c r="U540" i="8"/>
  <c r="D540" i="8"/>
  <c r="C540" i="8"/>
  <c r="W539" i="8"/>
  <c r="V539" i="8"/>
  <c r="U539" i="8"/>
  <c r="D539" i="8"/>
  <c r="C539" i="8"/>
  <c r="W538" i="8"/>
  <c r="V538" i="8"/>
  <c r="U538" i="8"/>
  <c r="D538" i="8"/>
  <c r="C538" i="8"/>
  <c r="W537" i="8"/>
  <c r="V537" i="8"/>
  <c r="U537" i="8"/>
  <c r="D537" i="8"/>
  <c r="C537" i="8"/>
  <c r="W536" i="8"/>
  <c r="V536" i="8"/>
  <c r="U536" i="8"/>
  <c r="D536" i="8"/>
  <c r="C536" i="8"/>
  <c r="W535" i="8"/>
  <c r="V535" i="8"/>
  <c r="U535" i="8"/>
  <c r="D535" i="8"/>
  <c r="C535" i="8"/>
  <c r="W534" i="8"/>
  <c r="V534" i="8"/>
  <c r="U534" i="8"/>
  <c r="D534" i="8"/>
  <c r="C534" i="8"/>
  <c r="W533" i="8"/>
  <c r="V533" i="8"/>
  <c r="U533" i="8"/>
  <c r="D533" i="8"/>
  <c r="C533" i="8"/>
  <c r="W532" i="8"/>
  <c r="V532" i="8"/>
  <c r="U532" i="8"/>
  <c r="D532" i="8"/>
  <c r="C532" i="8"/>
  <c r="W531" i="8"/>
  <c r="V531" i="8"/>
  <c r="U531" i="8"/>
  <c r="D531" i="8"/>
  <c r="C531" i="8"/>
  <c r="W530" i="8"/>
  <c r="V530" i="8"/>
  <c r="U530" i="8"/>
  <c r="D530" i="8"/>
  <c r="C530" i="8"/>
  <c r="W529" i="8"/>
  <c r="V529" i="8"/>
  <c r="U529" i="8"/>
  <c r="D529" i="8"/>
  <c r="C529" i="8"/>
  <c r="W528" i="8"/>
  <c r="V528" i="8"/>
  <c r="U528" i="8"/>
  <c r="D528" i="8"/>
  <c r="C528" i="8"/>
  <c r="W527" i="8"/>
  <c r="V527" i="8"/>
  <c r="U527" i="8"/>
  <c r="D527" i="8"/>
  <c r="C527" i="8"/>
  <c r="W526" i="8"/>
  <c r="V526" i="8"/>
  <c r="U526" i="8"/>
  <c r="D526" i="8"/>
  <c r="C526" i="8"/>
  <c r="W525" i="8"/>
  <c r="V525" i="8"/>
  <c r="U525" i="8"/>
  <c r="D525" i="8"/>
  <c r="C525" i="8"/>
  <c r="W524" i="8"/>
  <c r="V524" i="8"/>
  <c r="U524" i="8"/>
  <c r="D524" i="8"/>
  <c r="C524" i="8"/>
  <c r="W523" i="8"/>
  <c r="V523" i="8"/>
  <c r="U523" i="8"/>
  <c r="D523" i="8"/>
  <c r="C523" i="8"/>
  <c r="W522" i="8"/>
  <c r="V522" i="8"/>
  <c r="U522" i="8"/>
  <c r="D522" i="8"/>
  <c r="C522" i="8"/>
  <c r="W521" i="8"/>
  <c r="V521" i="8"/>
  <c r="U521" i="8"/>
  <c r="D521" i="8"/>
  <c r="C521" i="8"/>
  <c r="W520" i="8"/>
  <c r="V520" i="8"/>
  <c r="U520" i="8"/>
  <c r="D520" i="8"/>
  <c r="C520" i="8"/>
  <c r="W519" i="8"/>
  <c r="V519" i="8"/>
  <c r="U519" i="8"/>
  <c r="D519" i="8"/>
  <c r="C519" i="8"/>
  <c r="W518" i="8"/>
  <c r="V518" i="8"/>
  <c r="U518" i="8"/>
  <c r="D518" i="8"/>
  <c r="C518" i="8"/>
  <c r="W517" i="8"/>
  <c r="V517" i="8"/>
  <c r="U517" i="8"/>
  <c r="D517" i="8"/>
  <c r="C517" i="8"/>
  <c r="W516" i="8"/>
  <c r="V516" i="8"/>
  <c r="U516" i="8"/>
  <c r="D516" i="8"/>
  <c r="C516" i="8"/>
  <c r="W515" i="8"/>
  <c r="V515" i="8"/>
  <c r="U515" i="8"/>
  <c r="D515" i="8"/>
  <c r="C515" i="8"/>
  <c r="W514" i="8"/>
  <c r="V514" i="8"/>
  <c r="U514" i="8"/>
  <c r="D514" i="8"/>
  <c r="C514" i="8"/>
  <c r="W513" i="8"/>
  <c r="V513" i="8"/>
  <c r="U513" i="8"/>
  <c r="D513" i="8"/>
  <c r="C513" i="8"/>
  <c r="W512" i="8"/>
  <c r="V512" i="8"/>
  <c r="U512" i="8"/>
  <c r="D512" i="8"/>
  <c r="C512" i="8"/>
  <c r="W511" i="8"/>
  <c r="V511" i="8"/>
  <c r="U511" i="8"/>
  <c r="D511" i="8"/>
  <c r="C511" i="8"/>
  <c r="W510" i="8"/>
  <c r="V510" i="8"/>
  <c r="U510" i="8"/>
  <c r="D510" i="8"/>
  <c r="C510" i="8"/>
  <c r="W509" i="8"/>
  <c r="V509" i="8"/>
  <c r="U509" i="8"/>
  <c r="D509" i="8"/>
  <c r="C509" i="8"/>
  <c r="W508" i="8"/>
  <c r="V508" i="8"/>
  <c r="U508" i="8"/>
  <c r="D508" i="8"/>
  <c r="C508" i="8"/>
  <c r="W507" i="8"/>
  <c r="V507" i="8"/>
  <c r="U507" i="8"/>
  <c r="D507" i="8"/>
  <c r="C507" i="8"/>
  <c r="W506" i="8"/>
  <c r="V506" i="8"/>
  <c r="U506" i="8"/>
  <c r="D506" i="8"/>
  <c r="C506" i="8"/>
  <c r="W505" i="8"/>
  <c r="V505" i="8"/>
  <c r="U505" i="8"/>
  <c r="D505" i="8"/>
  <c r="C505" i="8"/>
  <c r="W504" i="8"/>
  <c r="V504" i="8"/>
  <c r="U504" i="8"/>
  <c r="D504" i="8"/>
  <c r="C504" i="8"/>
  <c r="W503" i="8"/>
  <c r="V503" i="8"/>
  <c r="U503" i="8"/>
  <c r="D503" i="8"/>
  <c r="C503" i="8"/>
  <c r="W502" i="8"/>
  <c r="V502" i="8"/>
  <c r="U502" i="8"/>
  <c r="D502" i="8"/>
  <c r="C502" i="8"/>
  <c r="W501" i="8"/>
  <c r="V501" i="8"/>
  <c r="U501" i="8"/>
  <c r="D501" i="8"/>
  <c r="C501" i="8"/>
  <c r="W500" i="8"/>
  <c r="V500" i="8"/>
  <c r="U500" i="8"/>
  <c r="D500" i="8"/>
  <c r="C500" i="8"/>
  <c r="W499" i="8"/>
  <c r="V499" i="8"/>
  <c r="U499" i="8"/>
  <c r="D499" i="8"/>
  <c r="C499" i="8"/>
  <c r="W498" i="8"/>
  <c r="V498" i="8"/>
  <c r="U498" i="8"/>
  <c r="D498" i="8"/>
  <c r="C498" i="8"/>
  <c r="W497" i="8"/>
  <c r="V497" i="8"/>
  <c r="U497" i="8"/>
  <c r="D497" i="8"/>
  <c r="C497" i="8"/>
  <c r="W496" i="8"/>
  <c r="V496" i="8"/>
  <c r="U496" i="8"/>
  <c r="D496" i="8"/>
  <c r="C496" i="8"/>
  <c r="W495" i="8"/>
  <c r="V495" i="8"/>
  <c r="U495" i="8"/>
  <c r="D495" i="8"/>
  <c r="C495" i="8"/>
  <c r="W494" i="8"/>
  <c r="V494" i="8"/>
  <c r="U494" i="8"/>
  <c r="D494" i="8"/>
  <c r="C494" i="8"/>
  <c r="W493" i="8"/>
  <c r="V493" i="8"/>
  <c r="U493" i="8"/>
  <c r="D493" i="8"/>
  <c r="C493" i="8"/>
  <c r="W492" i="8"/>
  <c r="V492" i="8"/>
  <c r="U492" i="8"/>
  <c r="D492" i="8"/>
  <c r="C492" i="8"/>
  <c r="W491" i="8"/>
  <c r="V491" i="8"/>
  <c r="U491" i="8"/>
  <c r="D491" i="8"/>
  <c r="C491" i="8"/>
  <c r="W490" i="8"/>
  <c r="V490" i="8"/>
  <c r="U490" i="8"/>
  <c r="D490" i="8"/>
  <c r="C490" i="8"/>
  <c r="W489" i="8"/>
  <c r="V489" i="8"/>
  <c r="U489" i="8"/>
  <c r="D489" i="8"/>
  <c r="C489" i="8"/>
  <c r="W488" i="8"/>
  <c r="V488" i="8"/>
  <c r="U488" i="8"/>
  <c r="D488" i="8"/>
  <c r="C488" i="8"/>
  <c r="W487" i="8"/>
  <c r="V487" i="8"/>
  <c r="U487" i="8"/>
  <c r="D487" i="8"/>
  <c r="C487" i="8"/>
  <c r="W486" i="8"/>
  <c r="V486" i="8"/>
  <c r="U486" i="8"/>
  <c r="D486" i="8"/>
  <c r="C486" i="8"/>
  <c r="W485" i="8"/>
  <c r="V485" i="8"/>
  <c r="U485" i="8"/>
  <c r="D485" i="8"/>
  <c r="C485" i="8"/>
  <c r="W484" i="8"/>
  <c r="V484" i="8"/>
  <c r="U484" i="8"/>
  <c r="D484" i="8"/>
  <c r="C484" i="8"/>
  <c r="W483" i="8"/>
  <c r="V483" i="8"/>
  <c r="U483" i="8"/>
  <c r="D483" i="8"/>
  <c r="C483" i="8"/>
  <c r="W482" i="8"/>
  <c r="V482" i="8"/>
  <c r="U482" i="8"/>
  <c r="D482" i="8"/>
  <c r="C482" i="8"/>
  <c r="W481" i="8"/>
  <c r="V481" i="8"/>
  <c r="U481" i="8"/>
  <c r="D481" i="8"/>
  <c r="C481" i="8"/>
  <c r="W480" i="8"/>
  <c r="V480" i="8"/>
  <c r="U480" i="8"/>
  <c r="D480" i="8"/>
  <c r="C480" i="8"/>
  <c r="W479" i="8"/>
  <c r="V479" i="8"/>
  <c r="U479" i="8"/>
  <c r="D479" i="8"/>
  <c r="C479" i="8"/>
  <c r="W478" i="8"/>
  <c r="V478" i="8"/>
  <c r="U478" i="8"/>
  <c r="D478" i="8"/>
  <c r="C478" i="8"/>
  <c r="W477" i="8"/>
  <c r="V477" i="8"/>
  <c r="U477" i="8"/>
  <c r="D477" i="8"/>
  <c r="C477" i="8"/>
  <c r="W476" i="8"/>
  <c r="V476" i="8"/>
  <c r="U476" i="8"/>
  <c r="D476" i="8"/>
  <c r="C476" i="8"/>
  <c r="W475" i="8"/>
  <c r="V475" i="8"/>
  <c r="U475" i="8"/>
  <c r="D475" i="8"/>
  <c r="C475" i="8"/>
  <c r="W474" i="8"/>
  <c r="V474" i="8"/>
  <c r="U474" i="8"/>
  <c r="D474" i="8"/>
  <c r="C474" i="8"/>
  <c r="W473" i="8"/>
  <c r="V473" i="8"/>
  <c r="U473" i="8"/>
  <c r="D473" i="8"/>
  <c r="C473" i="8"/>
  <c r="W472" i="8"/>
  <c r="V472" i="8"/>
  <c r="U472" i="8"/>
  <c r="D472" i="8"/>
  <c r="C472" i="8"/>
  <c r="W471" i="8"/>
  <c r="V471" i="8"/>
  <c r="U471" i="8"/>
  <c r="D471" i="8"/>
  <c r="C471" i="8"/>
  <c r="W470" i="8"/>
  <c r="V470" i="8"/>
  <c r="U470" i="8"/>
  <c r="D470" i="8"/>
  <c r="C470" i="8"/>
  <c r="W469" i="8"/>
  <c r="V469" i="8"/>
  <c r="U469" i="8"/>
  <c r="D469" i="8"/>
  <c r="C469" i="8"/>
  <c r="W468" i="8"/>
  <c r="V468" i="8"/>
  <c r="U468" i="8"/>
  <c r="D468" i="8"/>
  <c r="C468" i="8"/>
  <c r="W467" i="8"/>
  <c r="V467" i="8"/>
  <c r="U467" i="8"/>
  <c r="D467" i="8"/>
  <c r="C467" i="8"/>
  <c r="W466" i="8"/>
  <c r="V466" i="8"/>
  <c r="U466" i="8"/>
  <c r="D466" i="8"/>
  <c r="C466" i="8"/>
  <c r="W465" i="8"/>
  <c r="V465" i="8"/>
  <c r="U465" i="8"/>
  <c r="D465" i="8"/>
  <c r="C465" i="8"/>
  <c r="W464" i="8"/>
  <c r="V464" i="8"/>
  <c r="U464" i="8"/>
  <c r="D464" i="8"/>
  <c r="C464" i="8"/>
  <c r="W463" i="8"/>
  <c r="V463" i="8"/>
  <c r="U463" i="8"/>
  <c r="D463" i="8"/>
  <c r="C463" i="8"/>
  <c r="W462" i="8"/>
  <c r="V462" i="8"/>
  <c r="U462" i="8"/>
  <c r="D462" i="8"/>
  <c r="C462" i="8"/>
  <c r="W461" i="8"/>
  <c r="V461" i="8"/>
  <c r="U461" i="8"/>
  <c r="D461" i="8"/>
  <c r="C461" i="8"/>
  <c r="W460" i="8"/>
  <c r="V460" i="8"/>
  <c r="U460" i="8"/>
  <c r="D460" i="8"/>
  <c r="C460" i="8"/>
  <c r="W459" i="8"/>
  <c r="V459" i="8"/>
  <c r="U459" i="8"/>
  <c r="D459" i="8"/>
  <c r="C459" i="8"/>
  <c r="W458" i="8"/>
  <c r="V458" i="8"/>
  <c r="U458" i="8"/>
  <c r="D458" i="8"/>
  <c r="C458" i="8"/>
  <c r="W457" i="8"/>
  <c r="V457" i="8"/>
  <c r="U457" i="8"/>
  <c r="D457" i="8"/>
  <c r="C457" i="8"/>
  <c r="W456" i="8"/>
  <c r="V456" i="8"/>
  <c r="U456" i="8"/>
  <c r="D456" i="8"/>
  <c r="C456" i="8"/>
  <c r="W455" i="8"/>
  <c r="V455" i="8"/>
  <c r="U455" i="8"/>
  <c r="D455" i="8"/>
  <c r="C455" i="8"/>
  <c r="W454" i="8"/>
  <c r="V454" i="8"/>
  <c r="U454" i="8"/>
  <c r="D454" i="8"/>
  <c r="C454" i="8"/>
  <c r="W453" i="8"/>
  <c r="V453" i="8"/>
  <c r="U453" i="8"/>
  <c r="D453" i="8"/>
  <c r="C453" i="8"/>
  <c r="W452" i="8"/>
  <c r="V452" i="8"/>
  <c r="U452" i="8"/>
  <c r="D452" i="8"/>
  <c r="C452" i="8"/>
  <c r="W451" i="8"/>
  <c r="V451" i="8"/>
  <c r="U451" i="8"/>
  <c r="D451" i="8"/>
  <c r="C451" i="8"/>
  <c r="W450" i="8"/>
  <c r="V450" i="8"/>
  <c r="U450" i="8"/>
  <c r="D450" i="8"/>
  <c r="C450" i="8"/>
  <c r="W449" i="8"/>
  <c r="V449" i="8"/>
  <c r="U449" i="8"/>
  <c r="D449" i="8"/>
  <c r="C449" i="8"/>
  <c r="W448" i="8"/>
  <c r="V448" i="8"/>
  <c r="U448" i="8"/>
  <c r="D448" i="8"/>
  <c r="C448" i="8"/>
  <c r="W447" i="8"/>
  <c r="V447" i="8"/>
  <c r="U447" i="8"/>
  <c r="D447" i="8"/>
  <c r="C447" i="8"/>
  <c r="W446" i="8"/>
  <c r="V446" i="8"/>
  <c r="U446" i="8"/>
  <c r="D446" i="8"/>
  <c r="C446" i="8"/>
  <c r="W445" i="8"/>
  <c r="V445" i="8"/>
  <c r="U445" i="8"/>
  <c r="D445" i="8"/>
  <c r="C445" i="8"/>
  <c r="W444" i="8"/>
  <c r="V444" i="8"/>
  <c r="U444" i="8"/>
  <c r="D444" i="8"/>
  <c r="C444" i="8"/>
  <c r="W443" i="8"/>
  <c r="V443" i="8"/>
  <c r="U443" i="8"/>
  <c r="D443" i="8"/>
  <c r="C443" i="8"/>
  <c r="W442" i="8"/>
  <c r="V442" i="8"/>
  <c r="U442" i="8"/>
  <c r="D442" i="8"/>
  <c r="C442" i="8"/>
  <c r="W441" i="8"/>
  <c r="V441" i="8"/>
  <c r="U441" i="8"/>
  <c r="D441" i="8"/>
  <c r="C441" i="8"/>
  <c r="W440" i="8"/>
  <c r="V440" i="8"/>
  <c r="U440" i="8"/>
  <c r="D440" i="8"/>
  <c r="C440" i="8"/>
  <c r="W439" i="8"/>
  <c r="V439" i="8"/>
  <c r="U439" i="8"/>
  <c r="D439" i="8"/>
  <c r="C439" i="8"/>
  <c r="W438" i="8"/>
  <c r="V438" i="8"/>
  <c r="U438" i="8"/>
  <c r="D438" i="8"/>
  <c r="C438" i="8"/>
  <c r="W437" i="8"/>
  <c r="V437" i="8"/>
  <c r="U437" i="8"/>
  <c r="D437" i="8"/>
  <c r="C437" i="8"/>
  <c r="W436" i="8"/>
  <c r="V436" i="8"/>
  <c r="U436" i="8"/>
  <c r="D436" i="8"/>
  <c r="C436" i="8"/>
  <c r="W435" i="8"/>
  <c r="V435" i="8"/>
  <c r="U435" i="8"/>
  <c r="D435" i="8"/>
  <c r="C435" i="8"/>
  <c r="W434" i="8"/>
  <c r="V434" i="8"/>
  <c r="U434" i="8"/>
  <c r="D434" i="8"/>
  <c r="C434" i="8"/>
  <c r="W433" i="8"/>
  <c r="V433" i="8"/>
  <c r="U433" i="8"/>
  <c r="D433" i="8"/>
  <c r="C433" i="8"/>
  <c r="W432" i="8"/>
  <c r="V432" i="8"/>
  <c r="U432" i="8"/>
  <c r="D432" i="8"/>
  <c r="C432" i="8"/>
  <c r="W431" i="8"/>
  <c r="V431" i="8"/>
  <c r="U431" i="8"/>
  <c r="D431" i="8"/>
  <c r="C431" i="8"/>
  <c r="W430" i="8"/>
  <c r="V430" i="8"/>
  <c r="U430" i="8"/>
  <c r="D430" i="8"/>
  <c r="C430" i="8"/>
  <c r="W429" i="8"/>
  <c r="V429" i="8"/>
  <c r="U429" i="8"/>
  <c r="D429" i="8"/>
  <c r="C429" i="8"/>
  <c r="W428" i="8"/>
  <c r="V428" i="8"/>
  <c r="U428" i="8"/>
  <c r="D428" i="8"/>
  <c r="C428" i="8"/>
  <c r="W427" i="8"/>
  <c r="V427" i="8"/>
  <c r="U427" i="8"/>
  <c r="D427" i="8"/>
  <c r="C427" i="8"/>
  <c r="W426" i="8"/>
  <c r="V426" i="8"/>
  <c r="U426" i="8"/>
  <c r="D426" i="8"/>
  <c r="C426" i="8"/>
  <c r="W425" i="8"/>
  <c r="V425" i="8"/>
  <c r="U425" i="8"/>
  <c r="D425" i="8"/>
  <c r="C425" i="8"/>
  <c r="W424" i="8"/>
  <c r="V424" i="8"/>
  <c r="U424" i="8"/>
  <c r="D424" i="8"/>
  <c r="C424" i="8"/>
  <c r="W423" i="8"/>
  <c r="V423" i="8"/>
  <c r="U423" i="8"/>
  <c r="D423" i="8"/>
  <c r="C423" i="8"/>
  <c r="W422" i="8"/>
  <c r="V422" i="8"/>
  <c r="U422" i="8"/>
  <c r="D422" i="8"/>
  <c r="C422" i="8"/>
  <c r="W421" i="8"/>
  <c r="V421" i="8"/>
  <c r="U421" i="8"/>
  <c r="D421" i="8"/>
  <c r="C421" i="8"/>
  <c r="W420" i="8"/>
  <c r="V420" i="8"/>
  <c r="U420" i="8"/>
  <c r="D420" i="8"/>
  <c r="C420" i="8"/>
  <c r="W419" i="8"/>
  <c r="V419" i="8"/>
  <c r="U419" i="8"/>
  <c r="D419" i="8"/>
  <c r="C419" i="8"/>
  <c r="W418" i="8"/>
  <c r="V418" i="8"/>
  <c r="U418" i="8"/>
  <c r="D418" i="8"/>
  <c r="C418" i="8"/>
  <c r="W417" i="8"/>
  <c r="V417" i="8"/>
  <c r="U417" i="8"/>
  <c r="D417" i="8"/>
  <c r="C417" i="8"/>
  <c r="W416" i="8"/>
  <c r="V416" i="8"/>
  <c r="U416" i="8"/>
  <c r="D416" i="8"/>
  <c r="C416" i="8"/>
  <c r="W415" i="8"/>
  <c r="V415" i="8"/>
  <c r="U415" i="8"/>
  <c r="D415" i="8"/>
  <c r="C415" i="8"/>
  <c r="W414" i="8"/>
  <c r="V414" i="8"/>
  <c r="U414" i="8"/>
  <c r="D414" i="8"/>
  <c r="C414" i="8"/>
  <c r="W413" i="8"/>
  <c r="V413" i="8"/>
  <c r="U413" i="8"/>
  <c r="D413" i="8"/>
  <c r="C413" i="8"/>
  <c r="W412" i="8"/>
  <c r="V412" i="8"/>
  <c r="U412" i="8"/>
  <c r="D412" i="8"/>
  <c r="C412" i="8"/>
  <c r="W411" i="8"/>
  <c r="V411" i="8"/>
  <c r="U411" i="8"/>
  <c r="D411" i="8"/>
  <c r="C411" i="8"/>
  <c r="W410" i="8"/>
  <c r="V410" i="8"/>
  <c r="U410" i="8"/>
  <c r="D410" i="8"/>
  <c r="C410" i="8"/>
  <c r="W409" i="8"/>
  <c r="V409" i="8"/>
  <c r="U409" i="8"/>
  <c r="D409" i="8"/>
  <c r="C409" i="8"/>
  <c r="W408" i="8"/>
  <c r="V408" i="8"/>
  <c r="U408" i="8"/>
  <c r="D408" i="8"/>
  <c r="C408" i="8"/>
  <c r="W407" i="8"/>
  <c r="V407" i="8"/>
  <c r="U407" i="8"/>
  <c r="D407" i="8"/>
  <c r="C407" i="8"/>
  <c r="W406" i="8"/>
  <c r="V406" i="8"/>
  <c r="U406" i="8"/>
  <c r="D406" i="8"/>
  <c r="C406" i="8"/>
  <c r="W405" i="8"/>
  <c r="V405" i="8"/>
  <c r="U405" i="8"/>
  <c r="D405" i="8"/>
  <c r="C405" i="8"/>
  <c r="W404" i="8"/>
  <c r="V404" i="8"/>
  <c r="U404" i="8"/>
  <c r="D404" i="8"/>
  <c r="C404" i="8"/>
  <c r="W403" i="8"/>
  <c r="V403" i="8"/>
  <c r="U403" i="8"/>
  <c r="D403" i="8"/>
  <c r="C403" i="8"/>
  <c r="W402" i="8"/>
  <c r="V402" i="8"/>
  <c r="U402" i="8"/>
  <c r="D402" i="8"/>
  <c r="C402" i="8"/>
  <c r="W401" i="8"/>
  <c r="V401" i="8"/>
  <c r="U401" i="8"/>
  <c r="D401" i="8"/>
  <c r="C401" i="8"/>
  <c r="W400" i="8"/>
  <c r="V400" i="8"/>
  <c r="U400" i="8"/>
  <c r="D400" i="8"/>
  <c r="C400" i="8"/>
  <c r="W399" i="8"/>
  <c r="V399" i="8"/>
  <c r="U399" i="8"/>
  <c r="D399" i="8"/>
  <c r="C399" i="8"/>
  <c r="W398" i="8"/>
  <c r="V398" i="8"/>
  <c r="U398" i="8"/>
  <c r="D398" i="8"/>
  <c r="C398" i="8"/>
  <c r="W397" i="8"/>
  <c r="V397" i="8"/>
  <c r="U397" i="8"/>
  <c r="D397" i="8"/>
  <c r="C397" i="8"/>
  <c r="W396" i="8"/>
  <c r="V396" i="8"/>
  <c r="U396" i="8"/>
  <c r="D396" i="8"/>
  <c r="C396" i="8"/>
  <c r="W395" i="8"/>
  <c r="V395" i="8"/>
  <c r="U395" i="8"/>
  <c r="D395" i="8"/>
  <c r="C395" i="8"/>
  <c r="W394" i="8"/>
  <c r="V394" i="8"/>
  <c r="U394" i="8"/>
  <c r="D394" i="8"/>
  <c r="C394" i="8"/>
  <c r="W393" i="8"/>
  <c r="V393" i="8"/>
  <c r="U393" i="8"/>
  <c r="D393" i="8"/>
  <c r="C393" i="8"/>
  <c r="W392" i="8"/>
  <c r="V392" i="8"/>
  <c r="U392" i="8"/>
  <c r="D392" i="8"/>
  <c r="C392" i="8"/>
  <c r="W391" i="8"/>
  <c r="V391" i="8"/>
  <c r="U391" i="8"/>
  <c r="D391" i="8"/>
  <c r="C391" i="8"/>
  <c r="W390" i="8"/>
  <c r="V390" i="8"/>
  <c r="U390" i="8"/>
  <c r="D390" i="8"/>
  <c r="C390" i="8"/>
  <c r="W389" i="8"/>
  <c r="V389" i="8"/>
  <c r="U389" i="8"/>
  <c r="D389" i="8"/>
  <c r="C389" i="8"/>
  <c r="W388" i="8"/>
  <c r="V388" i="8"/>
  <c r="U388" i="8"/>
  <c r="D388" i="8"/>
  <c r="C388" i="8"/>
  <c r="W387" i="8"/>
  <c r="V387" i="8"/>
  <c r="U387" i="8"/>
  <c r="D387" i="8"/>
  <c r="C387" i="8"/>
  <c r="W386" i="8"/>
  <c r="V386" i="8"/>
  <c r="U386" i="8"/>
  <c r="D386" i="8"/>
  <c r="C386" i="8"/>
  <c r="W385" i="8"/>
  <c r="V385" i="8"/>
  <c r="U385" i="8"/>
  <c r="D385" i="8"/>
  <c r="C385" i="8"/>
  <c r="W384" i="8"/>
  <c r="V384" i="8"/>
  <c r="U384" i="8"/>
  <c r="D384" i="8"/>
  <c r="C384" i="8"/>
  <c r="W383" i="8"/>
  <c r="V383" i="8"/>
  <c r="U383" i="8"/>
  <c r="D383" i="8"/>
  <c r="C383" i="8"/>
  <c r="W382" i="8"/>
  <c r="V382" i="8"/>
  <c r="U382" i="8"/>
  <c r="D382" i="8"/>
  <c r="C382" i="8"/>
  <c r="W381" i="8"/>
  <c r="V381" i="8"/>
  <c r="U381" i="8"/>
  <c r="D381" i="8"/>
  <c r="C381" i="8"/>
  <c r="W380" i="8"/>
  <c r="V380" i="8"/>
  <c r="U380" i="8"/>
  <c r="D380" i="8"/>
  <c r="C380" i="8"/>
  <c r="W379" i="8"/>
  <c r="V379" i="8"/>
  <c r="U379" i="8"/>
  <c r="D379" i="8"/>
  <c r="C379" i="8"/>
  <c r="W378" i="8"/>
  <c r="V378" i="8"/>
  <c r="U378" i="8"/>
  <c r="D378" i="8"/>
  <c r="C378" i="8"/>
  <c r="W377" i="8"/>
  <c r="V377" i="8"/>
  <c r="U377" i="8"/>
  <c r="D377" i="8"/>
  <c r="C377" i="8"/>
  <c r="W376" i="8"/>
  <c r="V376" i="8"/>
  <c r="U376" i="8"/>
  <c r="D376" i="8"/>
  <c r="C376" i="8"/>
  <c r="W375" i="8"/>
  <c r="V375" i="8"/>
  <c r="U375" i="8"/>
  <c r="D375" i="8"/>
  <c r="C375" i="8"/>
  <c r="W374" i="8"/>
  <c r="V374" i="8"/>
  <c r="U374" i="8"/>
  <c r="D374" i="8"/>
  <c r="C374" i="8"/>
  <c r="W373" i="8"/>
  <c r="V373" i="8"/>
  <c r="U373" i="8"/>
  <c r="D373" i="8"/>
  <c r="C373" i="8"/>
  <c r="W372" i="8"/>
  <c r="V372" i="8"/>
  <c r="U372" i="8"/>
  <c r="D372" i="8"/>
  <c r="C372" i="8"/>
  <c r="W371" i="8"/>
  <c r="V371" i="8"/>
  <c r="U371" i="8"/>
  <c r="D371" i="8"/>
  <c r="C371" i="8"/>
  <c r="W370" i="8"/>
  <c r="V370" i="8"/>
  <c r="U370" i="8"/>
  <c r="D370" i="8"/>
  <c r="C370" i="8"/>
  <c r="W369" i="8"/>
  <c r="V369" i="8"/>
  <c r="U369" i="8"/>
  <c r="D369" i="8"/>
  <c r="C369" i="8"/>
  <c r="W368" i="8"/>
  <c r="V368" i="8"/>
  <c r="U368" i="8"/>
  <c r="D368" i="8"/>
  <c r="C368" i="8"/>
  <c r="W367" i="8"/>
  <c r="V367" i="8"/>
  <c r="U367" i="8"/>
  <c r="D367" i="8"/>
  <c r="C367" i="8"/>
  <c r="W366" i="8"/>
  <c r="V366" i="8"/>
  <c r="U366" i="8"/>
  <c r="D366" i="8"/>
  <c r="C366" i="8"/>
  <c r="W365" i="8"/>
  <c r="V365" i="8"/>
  <c r="U365" i="8"/>
  <c r="D365" i="8"/>
  <c r="C365" i="8"/>
  <c r="W364" i="8"/>
  <c r="V364" i="8"/>
  <c r="U364" i="8"/>
  <c r="D364" i="8"/>
  <c r="C364" i="8"/>
  <c r="W363" i="8"/>
  <c r="V363" i="8"/>
  <c r="U363" i="8"/>
  <c r="D363" i="8"/>
  <c r="C363" i="8"/>
  <c r="W362" i="8"/>
  <c r="V362" i="8"/>
  <c r="U362" i="8"/>
  <c r="D362" i="8"/>
  <c r="C362" i="8"/>
  <c r="W361" i="8"/>
  <c r="V361" i="8"/>
  <c r="U361" i="8"/>
  <c r="D361" i="8"/>
  <c r="C361" i="8"/>
  <c r="W360" i="8"/>
  <c r="V360" i="8"/>
  <c r="U360" i="8"/>
  <c r="D360" i="8"/>
  <c r="C360" i="8"/>
  <c r="W359" i="8"/>
  <c r="V359" i="8"/>
  <c r="U359" i="8"/>
  <c r="D359" i="8"/>
  <c r="C359" i="8"/>
  <c r="W358" i="8"/>
  <c r="V358" i="8"/>
  <c r="U358" i="8"/>
  <c r="D358" i="8"/>
  <c r="C358" i="8"/>
  <c r="W357" i="8"/>
  <c r="V357" i="8"/>
  <c r="U357" i="8"/>
  <c r="D357" i="8"/>
  <c r="C357" i="8"/>
  <c r="W356" i="8"/>
  <c r="V356" i="8"/>
  <c r="U356" i="8"/>
  <c r="D356" i="8"/>
  <c r="C356" i="8"/>
  <c r="W355" i="8"/>
  <c r="V355" i="8"/>
  <c r="U355" i="8"/>
  <c r="D355" i="8"/>
  <c r="C355" i="8"/>
  <c r="W354" i="8"/>
  <c r="V354" i="8"/>
  <c r="U354" i="8"/>
  <c r="D354" i="8"/>
  <c r="C354" i="8"/>
  <c r="W353" i="8"/>
  <c r="V353" i="8"/>
  <c r="U353" i="8"/>
  <c r="D353" i="8"/>
  <c r="C353" i="8"/>
  <c r="W352" i="8"/>
  <c r="V352" i="8"/>
  <c r="U352" i="8"/>
  <c r="D352" i="8"/>
  <c r="C352" i="8"/>
  <c r="W351" i="8"/>
  <c r="V351" i="8"/>
  <c r="U351" i="8"/>
  <c r="D351" i="8"/>
  <c r="C351" i="8"/>
  <c r="W350" i="8"/>
  <c r="V350" i="8"/>
  <c r="U350" i="8"/>
  <c r="D350" i="8"/>
  <c r="C350" i="8"/>
  <c r="W349" i="8"/>
  <c r="V349" i="8"/>
  <c r="U349" i="8"/>
  <c r="D349" i="8"/>
  <c r="C349" i="8"/>
  <c r="W348" i="8"/>
  <c r="V348" i="8"/>
  <c r="U348" i="8"/>
  <c r="D348" i="8"/>
  <c r="C348" i="8"/>
  <c r="W347" i="8"/>
  <c r="V347" i="8"/>
  <c r="U347" i="8"/>
  <c r="D347" i="8"/>
  <c r="C347" i="8"/>
  <c r="W346" i="8"/>
  <c r="V346" i="8"/>
  <c r="U346" i="8"/>
  <c r="D346" i="8"/>
  <c r="C346" i="8"/>
  <c r="W345" i="8"/>
  <c r="V345" i="8"/>
  <c r="U345" i="8"/>
  <c r="D345" i="8"/>
  <c r="C345" i="8"/>
  <c r="W344" i="8"/>
  <c r="V344" i="8"/>
  <c r="U344" i="8"/>
  <c r="D344" i="8"/>
  <c r="C344" i="8"/>
  <c r="W343" i="8"/>
  <c r="V343" i="8"/>
  <c r="U343" i="8"/>
  <c r="D343" i="8"/>
  <c r="C343" i="8"/>
  <c r="W342" i="8"/>
  <c r="V342" i="8"/>
  <c r="U342" i="8"/>
  <c r="D342" i="8"/>
  <c r="C342" i="8"/>
  <c r="W341" i="8"/>
  <c r="V341" i="8"/>
  <c r="U341" i="8"/>
  <c r="D341" i="8"/>
  <c r="C341" i="8"/>
  <c r="W340" i="8"/>
  <c r="V340" i="8"/>
  <c r="U340" i="8"/>
  <c r="D340" i="8"/>
  <c r="C340" i="8"/>
  <c r="W339" i="8"/>
  <c r="V339" i="8"/>
  <c r="U339" i="8"/>
  <c r="D339" i="8"/>
  <c r="C339" i="8"/>
  <c r="W338" i="8"/>
  <c r="V338" i="8"/>
  <c r="U338" i="8"/>
  <c r="D338" i="8"/>
  <c r="C338" i="8"/>
  <c r="W337" i="8"/>
  <c r="V337" i="8"/>
  <c r="U337" i="8"/>
  <c r="D337" i="8"/>
  <c r="C337" i="8"/>
  <c r="W336" i="8"/>
  <c r="V336" i="8"/>
  <c r="U336" i="8"/>
  <c r="D336" i="8"/>
  <c r="C336" i="8"/>
  <c r="W335" i="8"/>
  <c r="V335" i="8"/>
  <c r="U335" i="8"/>
  <c r="D335" i="8"/>
  <c r="C335" i="8"/>
  <c r="W334" i="8"/>
  <c r="V334" i="8"/>
  <c r="U334" i="8"/>
  <c r="D334" i="8"/>
  <c r="C334" i="8"/>
  <c r="W333" i="8"/>
  <c r="V333" i="8"/>
  <c r="U333" i="8"/>
  <c r="D333" i="8"/>
  <c r="C333" i="8"/>
  <c r="W332" i="8"/>
  <c r="V332" i="8"/>
  <c r="U332" i="8"/>
  <c r="D332" i="8"/>
  <c r="C332" i="8"/>
  <c r="W331" i="8"/>
  <c r="V331" i="8"/>
  <c r="U331" i="8"/>
  <c r="D331" i="8"/>
  <c r="C331" i="8"/>
  <c r="W330" i="8"/>
  <c r="V330" i="8"/>
  <c r="U330" i="8"/>
  <c r="D330" i="8"/>
  <c r="C330" i="8"/>
  <c r="W329" i="8"/>
  <c r="V329" i="8"/>
  <c r="U329" i="8"/>
  <c r="D329" i="8"/>
  <c r="C329" i="8"/>
  <c r="W328" i="8"/>
  <c r="V328" i="8"/>
  <c r="U328" i="8"/>
  <c r="D328" i="8"/>
  <c r="C328" i="8"/>
  <c r="W327" i="8"/>
  <c r="V327" i="8"/>
  <c r="U327" i="8"/>
  <c r="D327" i="8"/>
  <c r="C327" i="8"/>
  <c r="W326" i="8"/>
  <c r="V326" i="8"/>
  <c r="U326" i="8"/>
  <c r="D326" i="8"/>
  <c r="C326" i="8"/>
  <c r="W325" i="8"/>
  <c r="V325" i="8"/>
  <c r="U325" i="8"/>
  <c r="D325" i="8"/>
  <c r="C325" i="8"/>
  <c r="W324" i="8"/>
  <c r="V324" i="8"/>
  <c r="U324" i="8"/>
  <c r="D324" i="8"/>
  <c r="C324" i="8"/>
  <c r="W323" i="8"/>
  <c r="V323" i="8"/>
  <c r="U323" i="8"/>
  <c r="D323" i="8"/>
  <c r="C323" i="8"/>
  <c r="W322" i="8"/>
  <c r="V322" i="8"/>
  <c r="U322" i="8"/>
  <c r="D322" i="8"/>
  <c r="C322" i="8"/>
  <c r="W321" i="8"/>
  <c r="V321" i="8"/>
  <c r="U321" i="8"/>
  <c r="D321" i="8"/>
  <c r="C321" i="8"/>
  <c r="W320" i="8"/>
  <c r="V320" i="8"/>
  <c r="U320" i="8"/>
  <c r="D320" i="8"/>
  <c r="C320" i="8"/>
  <c r="W319" i="8"/>
  <c r="V319" i="8"/>
  <c r="U319" i="8"/>
  <c r="D319" i="8"/>
  <c r="C319" i="8"/>
  <c r="W318" i="8"/>
  <c r="V318" i="8"/>
  <c r="U318" i="8"/>
  <c r="D318" i="8"/>
  <c r="C318" i="8"/>
  <c r="W317" i="8"/>
  <c r="V317" i="8"/>
  <c r="U317" i="8"/>
  <c r="D317" i="8"/>
  <c r="C317" i="8"/>
  <c r="W316" i="8"/>
  <c r="V316" i="8"/>
  <c r="U316" i="8"/>
  <c r="D316" i="8"/>
  <c r="C316" i="8"/>
  <c r="W315" i="8"/>
  <c r="V315" i="8"/>
  <c r="U315" i="8"/>
  <c r="D315" i="8"/>
  <c r="C315" i="8"/>
  <c r="W314" i="8"/>
  <c r="V314" i="8"/>
  <c r="U314" i="8"/>
  <c r="D314" i="8"/>
  <c r="C314" i="8"/>
  <c r="W313" i="8"/>
  <c r="V313" i="8"/>
  <c r="U313" i="8"/>
  <c r="D313" i="8"/>
  <c r="C313" i="8"/>
  <c r="W312" i="8"/>
  <c r="V312" i="8"/>
  <c r="U312" i="8"/>
  <c r="D312" i="8"/>
  <c r="C312" i="8"/>
  <c r="W311" i="8"/>
  <c r="V311" i="8"/>
  <c r="U311" i="8"/>
  <c r="D311" i="8"/>
  <c r="C311" i="8"/>
  <c r="W310" i="8"/>
  <c r="V310" i="8"/>
  <c r="U310" i="8"/>
  <c r="D310" i="8"/>
  <c r="C310" i="8"/>
  <c r="W309" i="8"/>
  <c r="V309" i="8"/>
  <c r="U309" i="8"/>
  <c r="D309" i="8"/>
  <c r="C309" i="8"/>
  <c r="W308" i="8"/>
  <c r="V308" i="8"/>
  <c r="U308" i="8"/>
  <c r="D308" i="8"/>
  <c r="C308" i="8"/>
  <c r="W307" i="8"/>
  <c r="V307" i="8"/>
  <c r="U307" i="8"/>
  <c r="D307" i="8"/>
  <c r="C307" i="8"/>
  <c r="W306" i="8"/>
  <c r="V306" i="8"/>
  <c r="U306" i="8"/>
  <c r="D306" i="8"/>
  <c r="C306" i="8"/>
  <c r="W305" i="8"/>
  <c r="V305" i="8"/>
  <c r="U305" i="8"/>
  <c r="D305" i="8"/>
  <c r="C305" i="8"/>
  <c r="W304" i="8"/>
  <c r="V304" i="8"/>
  <c r="U304" i="8"/>
  <c r="D304" i="8"/>
  <c r="C304" i="8"/>
  <c r="W303" i="8"/>
  <c r="V303" i="8"/>
  <c r="U303" i="8"/>
  <c r="D303" i="8"/>
  <c r="C303" i="8"/>
  <c r="W302" i="8"/>
  <c r="V302" i="8"/>
  <c r="U302" i="8"/>
  <c r="D302" i="8"/>
  <c r="C302" i="8"/>
  <c r="W301" i="8"/>
  <c r="V301" i="8"/>
  <c r="U301" i="8"/>
  <c r="D301" i="8"/>
  <c r="C301" i="8"/>
  <c r="W300" i="8"/>
  <c r="V300" i="8"/>
  <c r="U300" i="8"/>
  <c r="D300" i="8"/>
  <c r="C300" i="8"/>
  <c r="W299" i="8"/>
  <c r="V299" i="8"/>
  <c r="U299" i="8"/>
  <c r="D299" i="8"/>
  <c r="C299" i="8"/>
  <c r="W298" i="8"/>
  <c r="V298" i="8"/>
  <c r="U298" i="8"/>
  <c r="D298" i="8"/>
  <c r="C298" i="8"/>
  <c r="W297" i="8"/>
  <c r="V297" i="8"/>
  <c r="U297" i="8"/>
  <c r="D297" i="8"/>
  <c r="C297" i="8"/>
  <c r="W296" i="8"/>
  <c r="V296" i="8"/>
  <c r="U296" i="8"/>
  <c r="D296" i="8"/>
  <c r="C296" i="8"/>
  <c r="W295" i="8"/>
  <c r="V295" i="8"/>
  <c r="U295" i="8"/>
  <c r="D295" i="8"/>
  <c r="C295" i="8"/>
  <c r="W294" i="8"/>
  <c r="V294" i="8"/>
  <c r="U294" i="8"/>
  <c r="D294" i="8"/>
  <c r="C294" i="8"/>
  <c r="W293" i="8"/>
  <c r="V293" i="8"/>
  <c r="U293" i="8"/>
  <c r="D293" i="8"/>
  <c r="C293" i="8"/>
  <c r="W292" i="8"/>
  <c r="V292" i="8"/>
  <c r="U292" i="8"/>
  <c r="D292" i="8"/>
  <c r="C292" i="8"/>
  <c r="W291" i="8"/>
  <c r="V291" i="8"/>
  <c r="U291" i="8"/>
  <c r="D291" i="8"/>
  <c r="C291" i="8"/>
  <c r="W290" i="8"/>
  <c r="V290" i="8"/>
  <c r="U290" i="8"/>
  <c r="D290" i="8"/>
  <c r="C290" i="8"/>
  <c r="W289" i="8"/>
  <c r="V289" i="8"/>
  <c r="U289" i="8"/>
  <c r="D289" i="8"/>
  <c r="C289" i="8"/>
  <c r="W288" i="8"/>
  <c r="V288" i="8"/>
  <c r="U288" i="8"/>
  <c r="D288" i="8"/>
  <c r="C288" i="8"/>
  <c r="W287" i="8"/>
  <c r="V287" i="8"/>
  <c r="U287" i="8"/>
  <c r="D287" i="8"/>
  <c r="C287" i="8"/>
  <c r="W286" i="8"/>
  <c r="V286" i="8"/>
  <c r="U286" i="8"/>
  <c r="D286" i="8"/>
  <c r="C286" i="8"/>
  <c r="W285" i="8"/>
  <c r="V285" i="8"/>
  <c r="U285" i="8"/>
  <c r="D285" i="8"/>
  <c r="C285" i="8"/>
  <c r="W284" i="8"/>
  <c r="V284" i="8"/>
  <c r="U284" i="8"/>
  <c r="D284" i="8"/>
  <c r="C284" i="8"/>
  <c r="W283" i="8"/>
  <c r="V283" i="8"/>
  <c r="U283" i="8"/>
  <c r="D283" i="8"/>
  <c r="C283" i="8"/>
  <c r="W282" i="8"/>
  <c r="V282" i="8"/>
  <c r="U282" i="8"/>
  <c r="D282" i="8"/>
  <c r="C282" i="8"/>
  <c r="W281" i="8"/>
  <c r="V281" i="8"/>
  <c r="U281" i="8"/>
  <c r="D281" i="8"/>
  <c r="C281" i="8"/>
  <c r="W280" i="8"/>
  <c r="V280" i="8"/>
  <c r="U280" i="8"/>
  <c r="D280" i="8"/>
  <c r="C280" i="8"/>
  <c r="W279" i="8"/>
  <c r="V279" i="8"/>
  <c r="U279" i="8"/>
  <c r="D279" i="8"/>
  <c r="C279" i="8"/>
  <c r="W278" i="8"/>
  <c r="V278" i="8"/>
  <c r="U278" i="8"/>
  <c r="D278" i="8"/>
  <c r="C278" i="8"/>
  <c r="W277" i="8"/>
  <c r="V277" i="8"/>
  <c r="U277" i="8"/>
  <c r="D277" i="8"/>
  <c r="C277" i="8"/>
  <c r="W276" i="8"/>
  <c r="V276" i="8"/>
  <c r="U276" i="8"/>
  <c r="D276" i="8"/>
  <c r="C276" i="8"/>
  <c r="W275" i="8"/>
  <c r="V275" i="8"/>
  <c r="U275" i="8"/>
  <c r="D275" i="8"/>
  <c r="C275" i="8"/>
  <c r="W274" i="8"/>
  <c r="V274" i="8"/>
  <c r="U274" i="8"/>
  <c r="D274" i="8"/>
  <c r="C274" i="8"/>
  <c r="W273" i="8"/>
  <c r="V273" i="8"/>
  <c r="U273" i="8"/>
  <c r="D273" i="8"/>
  <c r="C273" i="8"/>
  <c r="W272" i="8"/>
  <c r="V272" i="8"/>
  <c r="U272" i="8"/>
  <c r="D272" i="8"/>
  <c r="C272" i="8"/>
  <c r="W271" i="8"/>
  <c r="V271" i="8"/>
  <c r="U271" i="8"/>
  <c r="D271" i="8"/>
  <c r="C271" i="8"/>
  <c r="W270" i="8"/>
  <c r="V270" i="8"/>
  <c r="U270" i="8"/>
  <c r="D270" i="8"/>
  <c r="C270" i="8"/>
  <c r="W269" i="8"/>
  <c r="V269" i="8"/>
  <c r="U269" i="8"/>
  <c r="D269" i="8"/>
  <c r="C269" i="8"/>
  <c r="W268" i="8"/>
  <c r="V268" i="8"/>
  <c r="U268" i="8"/>
  <c r="D268" i="8"/>
  <c r="C268" i="8"/>
  <c r="W267" i="8"/>
  <c r="V267" i="8"/>
  <c r="U267" i="8"/>
  <c r="D267" i="8"/>
  <c r="C267" i="8"/>
  <c r="W266" i="8"/>
  <c r="V266" i="8"/>
  <c r="U266" i="8"/>
  <c r="D266" i="8"/>
  <c r="C266" i="8"/>
  <c r="W265" i="8"/>
  <c r="V265" i="8"/>
  <c r="U265" i="8"/>
  <c r="D265" i="8"/>
  <c r="C265" i="8"/>
  <c r="W264" i="8"/>
  <c r="V264" i="8"/>
  <c r="U264" i="8"/>
  <c r="D264" i="8"/>
  <c r="C264" i="8"/>
  <c r="W263" i="8"/>
  <c r="V263" i="8"/>
  <c r="U263" i="8"/>
  <c r="D263" i="8"/>
  <c r="C263" i="8"/>
  <c r="W262" i="8"/>
  <c r="V262" i="8"/>
  <c r="U262" i="8"/>
  <c r="D262" i="8"/>
  <c r="C262" i="8"/>
  <c r="W261" i="8"/>
  <c r="V261" i="8"/>
  <c r="U261" i="8"/>
  <c r="D261" i="8"/>
  <c r="C261" i="8"/>
  <c r="W260" i="8"/>
  <c r="V260" i="8"/>
  <c r="U260" i="8"/>
  <c r="D260" i="8"/>
  <c r="C260" i="8"/>
  <c r="W259" i="8"/>
  <c r="V259" i="8"/>
  <c r="U259" i="8"/>
  <c r="D259" i="8"/>
  <c r="C259" i="8"/>
  <c r="W258" i="8"/>
  <c r="V258" i="8"/>
  <c r="U258" i="8"/>
  <c r="D258" i="8"/>
  <c r="C258" i="8"/>
  <c r="W257" i="8"/>
  <c r="V257" i="8"/>
  <c r="U257" i="8"/>
  <c r="D257" i="8"/>
  <c r="C257" i="8"/>
  <c r="W256" i="8"/>
  <c r="V256" i="8"/>
  <c r="U256" i="8"/>
  <c r="D256" i="8"/>
  <c r="C256" i="8"/>
  <c r="W255" i="8"/>
  <c r="V255" i="8"/>
  <c r="U255" i="8"/>
  <c r="D255" i="8"/>
  <c r="C255" i="8"/>
  <c r="W254" i="8"/>
  <c r="V254" i="8"/>
  <c r="U254" i="8"/>
  <c r="D254" i="8"/>
  <c r="C254" i="8"/>
  <c r="W253" i="8"/>
  <c r="V253" i="8"/>
  <c r="U253" i="8"/>
  <c r="D253" i="8"/>
  <c r="C253" i="8"/>
  <c r="W252" i="8"/>
  <c r="V252" i="8"/>
  <c r="U252" i="8"/>
  <c r="D252" i="8"/>
  <c r="C252" i="8"/>
  <c r="W251" i="8"/>
  <c r="V251" i="8"/>
  <c r="U251" i="8"/>
  <c r="D251" i="8"/>
  <c r="C251" i="8"/>
  <c r="W250" i="8"/>
  <c r="V250" i="8"/>
  <c r="U250" i="8"/>
  <c r="D250" i="8"/>
  <c r="C250" i="8"/>
  <c r="W249" i="8"/>
  <c r="V249" i="8"/>
  <c r="U249" i="8"/>
  <c r="D249" i="8"/>
  <c r="C249" i="8"/>
  <c r="W248" i="8"/>
  <c r="V248" i="8"/>
  <c r="U248" i="8"/>
  <c r="D248" i="8"/>
  <c r="C248" i="8"/>
  <c r="W247" i="8"/>
  <c r="V247" i="8"/>
  <c r="U247" i="8"/>
  <c r="D247" i="8"/>
  <c r="C247" i="8"/>
  <c r="W246" i="8"/>
  <c r="V246" i="8"/>
  <c r="U246" i="8"/>
  <c r="D246" i="8"/>
  <c r="C246" i="8"/>
  <c r="W245" i="8"/>
  <c r="V245" i="8"/>
  <c r="U245" i="8"/>
  <c r="D245" i="8"/>
  <c r="C245" i="8"/>
  <c r="W244" i="8"/>
  <c r="V244" i="8"/>
  <c r="U244" i="8"/>
  <c r="D244" i="8"/>
  <c r="C244" i="8"/>
  <c r="W243" i="8"/>
  <c r="V243" i="8"/>
  <c r="U243" i="8"/>
  <c r="D243" i="8"/>
  <c r="C243" i="8"/>
  <c r="W242" i="8"/>
  <c r="V242" i="8"/>
  <c r="U242" i="8"/>
  <c r="D242" i="8"/>
  <c r="C242" i="8"/>
  <c r="W241" i="8"/>
  <c r="V241" i="8"/>
  <c r="U241" i="8"/>
  <c r="D241" i="8"/>
  <c r="C241" i="8"/>
  <c r="W240" i="8"/>
  <c r="V240" i="8"/>
  <c r="U240" i="8"/>
  <c r="D240" i="8"/>
  <c r="C240" i="8"/>
  <c r="W239" i="8"/>
  <c r="V239" i="8"/>
  <c r="U239" i="8"/>
  <c r="D239" i="8"/>
  <c r="C239" i="8"/>
  <c r="W238" i="8"/>
  <c r="V238" i="8"/>
  <c r="U238" i="8"/>
  <c r="D238" i="8"/>
  <c r="C238" i="8"/>
  <c r="W237" i="8"/>
  <c r="V237" i="8"/>
  <c r="U237" i="8"/>
  <c r="D237" i="8"/>
  <c r="C237" i="8"/>
  <c r="W236" i="8"/>
  <c r="V236" i="8"/>
  <c r="U236" i="8"/>
  <c r="D236" i="8"/>
  <c r="C236" i="8"/>
  <c r="W235" i="8"/>
  <c r="V235" i="8"/>
  <c r="U235" i="8"/>
  <c r="D235" i="8"/>
  <c r="C235" i="8"/>
  <c r="W234" i="8"/>
  <c r="V234" i="8"/>
  <c r="U234" i="8"/>
  <c r="D234" i="8"/>
  <c r="C234" i="8"/>
  <c r="W233" i="8"/>
  <c r="V233" i="8"/>
  <c r="U233" i="8"/>
  <c r="D233" i="8"/>
  <c r="C233" i="8"/>
  <c r="W232" i="8"/>
  <c r="V232" i="8"/>
  <c r="U232" i="8"/>
  <c r="D232" i="8"/>
  <c r="C232" i="8"/>
  <c r="W231" i="8"/>
  <c r="V231" i="8"/>
  <c r="U231" i="8"/>
  <c r="D231" i="8"/>
  <c r="C231" i="8"/>
  <c r="W230" i="8"/>
  <c r="V230" i="8"/>
  <c r="U230" i="8"/>
  <c r="D230" i="8"/>
  <c r="C230" i="8"/>
  <c r="W229" i="8"/>
  <c r="V229" i="8"/>
  <c r="U229" i="8"/>
  <c r="D229" i="8"/>
  <c r="C229" i="8"/>
  <c r="W228" i="8"/>
  <c r="V228" i="8"/>
  <c r="U228" i="8"/>
  <c r="D228" i="8"/>
  <c r="C228" i="8"/>
  <c r="W227" i="8"/>
  <c r="V227" i="8"/>
  <c r="U227" i="8"/>
  <c r="D227" i="8"/>
  <c r="C227" i="8"/>
  <c r="W226" i="8"/>
  <c r="V226" i="8"/>
  <c r="U226" i="8"/>
  <c r="D226" i="8"/>
  <c r="C226" i="8"/>
  <c r="W225" i="8"/>
  <c r="V225" i="8"/>
  <c r="U225" i="8"/>
  <c r="D225" i="8"/>
  <c r="C225" i="8"/>
  <c r="W224" i="8"/>
  <c r="V224" i="8"/>
  <c r="U224" i="8"/>
  <c r="D224" i="8"/>
  <c r="C224" i="8"/>
  <c r="W223" i="8"/>
  <c r="V223" i="8"/>
  <c r="U223" i="8"/>
  <c r="D223" i="8"/>
  <c r="C223" i="8"/>
  <c r="W222" i="8"/>
  <c r="V222" i="8"/>
  <c r="U222" i="8"/>
  <c r="D222" i="8"/>
  <c r="C222" i="8"/>
  <c r="W221" i="8"/>
  <c r="V221" i="8"/>
  <c r="U221" i="8"/>
  <c r="D221" i="8"/>
  <c r="C221" i="8"/>
  <c r="W220" i="8"/>
  <c r="V220" i="8"/>
  <c r="U220" i="8"/>
  <c r="D220" i="8"/>
  <c r="C220" i="8"/>
  <c r="W219" i="8"/>
  <c r="V219" i="8"/>
  <c r="U219" i="8"/>
  <c r="D219" i="8"/>
  <c r="C219" i="8"/>
  <c r="W218" i="8"/>
  <c r="V218" i="8"/>
  <c r="U218" i="8"/>
  <c r="D218" i="8"/>
  <c r="C218" i="8"/>
  <c r="W217" i="8"/>
  <c r="V217" i="8"/>
  <c r="U217" i="8"/>
  <c r="D217" i="8"/>
  <c r="C217" i="8"/>
  <c r="W216" i="8"/>
  <c r="V216" i="8"/>
  <c r="U216" i="8"/>
  <c r="D216" i="8"/>
  <c r="C216" i="8"/>
  <c r="W215" i="8"/>
  <c r="V215" i="8"/>
  <c r="U215" i="8"/>
  <c r="D215" i="8"/>
  <c r="C215" i="8"/>
  <c r="W214" i="8"/>
  <c r="V214" i="8"/>
  <c r="U214" i="8"/>
  <c r="D214" i="8"/>
  <c r="C214" i="8"/>
  <c r="W213" i="8"/>
  <c r="V213" i="8"/>
  <c r="U213" i="8"/>
  <c r="D213" i="8"/>
  <c r="C213" i="8"/>
  <c r="W212" i="8"/>
  <c r="V212" i="8"/>
  <c r="U212" i="8"/>
  <c r="D212" i="8"/>
  <c r="C212" i="8"/>
  <c r="W211" i="8"/>
  <c r="V211" i="8"/>
  <c r="U211" i="8"/>
  <c r="D211" i="8"/>
  <c r="C211" i="8"/>
  <c r="W210" i="8"/>
  <c r="V210" i="8"/>
  <c r="U210" i="8"/>
  <c r="D210" i="8"/>
  <c r="C210" i="8"/>
  <c r="W209" i="8"/>
  <c r="V209" i="8"/>
  <c r="U209" i="8"/>
  <c r="D209" i="8"/>
  <c r="C209" i="8"/>
  <c r="W208" i="8"/>
  <c r="V208" i="8"/>
  <c r="U208" i="8"/>
  <c r="D208" i="8"/>
  <c r="C208" i="8"/>
  <c r="W207" i="8"/>
  <c r="V207" i="8"/>
  <c r="U207" i="8"/>
  <c r="D207" i="8"/>
  <c r="C207" i="8"/>
  <c r="W206" i="8"/>
  <c r="V206" i="8"/>
  <c r="U206" i="8"/>
  <c r="D206" i="8"/>
  <c r="C206" i="8"/>
  <c r="W205" i="8"/>
  <c r="V205" i="8"/>
  <c r="U205" i="8"/>
  <c r="D205" i="8"/>
  <c r="C205" i="8"/>
  <c r="W204" i="8"/>
  <c r="V204" i="8"/>
  <c r="U204" i="8"/>
  <c r="D204" i="8"/>
  <c r="C204" i="8"/>
  <c r="W203" i="8"/>
  <c r="V203" i="8"/>
  <c r="U203" i="8"/>
  <c r="D203" i="8"/>
  <c r="C203" i="8"/>
  <c r="W202" i="8"/>
  <c r="V202" i="8"/>
  <c r="U202" i="8"/>
  <c r="D202" i="8"/>
  <c r="C202" i="8"/>
  <c r="W201" i="8"/>
  <c r="V201" i="8"/>
  <c r="U201" i="8"/>
  <c r="D201" i="8"/>
  <c r="C201" i="8"/>
  <c r="W200" i="8"/>
  <c r="V200" i="8"/>
  <c r="U200" i="8"/>
  <c r="D200" i="8"/>
  <c r="C200" i="8"/>
  <c r="W199" i="8"/>
  <c r="V199" i="8"/>
  <c r="U199" i="8"/>
  <c r="D199" i="8"/>
  <c r="C199" i="8"/>
  <c r="W198" i="8"/>
  <c r="V198" i="8"/>
  <c r="U198" i="8"/>
  <c r="D198" i="8"/>
  <c r="C198" i="8"/>
  <c r="W197" i="8"/>
  <c r="V197" i="8"/>
  <c r="U197" i="8"/>
  <c r="D197" i="8"/>
  <c r="C197" i="8"/>
  <c r="W196" i="8"/>
  <c r="V196" i="8"/>
  <c r="U196" i="8"/>
  <c r="D196" i="8"/>
  <c r="C196" i="8"/>
  <c r="W195" i="8"/>
  <c r="V195" i="8"/>
  <c r="U195" i="8"/>
  <c r="D195" i="8"/>
  <c r="C195" i="8"/>
  <c r="W194" i="8"/>
  <c r="V194" i="8"/>
  <c r="U194" i="8"/>
  <c r="D194" i="8"/>
  <c r="C194" i="8"/>
  <c r="W193" i="8"/>
  <c r="V193" i="8"/>
  <c r="U193" i="8"/>
  <c r="D193" i="8"/>
  <c r="C193" i="8"/>
  <c r="W192" i="8"/>
  <c r="V192" i="8"/>
  <c r="U192" i="8"/>
  <c r="D192" i="8"/>
  <c r="C192" i="8"/>
  <c r="W191" i="8"/>
  <c r="V191" i="8"/>
  <c r="U191" i="8"/>
  <c r="D191" i="8"/>
  <c r="C191" i="8"/>
  <c r="W190" i="8"/>
  <c r="V190" i="8"/>
  <c r="U190" i="8"/>
  <c r="D190" i="8"/>
  <c r="C190" i="8"/>
  <c r="W189" i="8"/>
  <c r="V189" i="8"/>
  <c r="U189" i="8"/>
  <c r="D189" i="8"/>
  <c r="C189" i="8"/>
  <c r="W188" i="8"/>
  <c r="V188" i="8"/>
  <c r="U188" i="8"/>
  <c r="D188" i="8"/>
  <c r="C188" i="8"/>
  <c r="W187" i="8"/>
  <c r="V187" i="8"/>
  <c r="U187" i="8"/>
  <c r="D187" i="8"/>
  <c r="C187" i="8"/>
  <c r="W186" i="8"/>
  <c r="V186" i="8"/>
  <c r="U186" i="8"/>
  <c r="D186" i="8"/>
  <c r="C186" i="8"/>
  <c r="W185" i="8"/>
  <c r="V185" i="8"/>
  <c r="U185" i="8"/>
  <c r="D185" i="8"/>
  <c r="C185" i="8"/>
  <c r="W184" i="8"/>
  <c r="V184" i="8"/>
  <c r="U184" i="8"/>
  <c r="D184" i="8"/>
  <c r="C184" i="8"/>
  <c r="W183" i="8"/>
  <c r="V183" i="8"/>
  <c r="U183" i="8"/>
  <c r="D183" i="8"/>
  <c r="C183" i="8"/>
  <c r="W182" i="8"/>
  <c r="V182" i="8"/>
  <c r="U182" i="8"/>
  <c r="D182" i="8"/>
  <c r="C182" i="8"/>
  <c r="W181" i="8"/>
  <c r="V181" i="8"/>
  <c r="U181" i="8"/>
  <c r="D181" i="8"/>
  <c r="C181" i="8"/>
  <c r="W180" i="8"/>
  <c r="V180" i="8"/>
  <c r="U180" i="8"/>
  <c r="D180" i="8"/>
  <c r="C180" i="8"/>
  <c r="W179" i="8"/>
  <c r="V179" i="8"/>
  <c r="U179" i="8"/>
  <c r="D179" i="8"/>
  <c r="C179" i="8"/>
  <c r="W178" i="8"/>
  <c r="V178" i="8"/>
  <c r="U178" i="8"/>
  <c r="D178" i="8"/>
  <c r="C178" i="8"/>
  <c r="W177" i="8"/>
  <c r="V177" i="8"/>
  <c r="U177" i="8"/>
  <c r="D177" i="8"/>
  <c r="C177" i="8"/>
  <c r="W176" i="8"/>
  <c r="V176" i="8"/>
  <c r="U176" i="8"/>
  <c r="D176" i="8"/>
  <c r="C176" i="8"/>
  <c r="W175" i="8"/>
  <c r="V175" i="8"/>
  <c r="U175" i="8"/>
  <c r="D175" i="8"/>
  <c r="C175" i="8"/>
  <c r="W174" i="8"/>
  <c r="V174" i="8"/>
  <c r="U174" i="8"/>
  <c r="D174" i="8"/>
  <c r="C174" i="8"/>
  <c r="W173" i="8"/>
  <c r="V173" i="8"/>
  <c r="U173" i="8"/>
  <c r="D173" i="8"/>
  <c r="C173" i="8"/>
  <c r="W172" i="8"/>
  <c r="V172" i="8"/>
  <c r="U172" i="8"/>
  <c r="D172" i="8"/>
  <c r="C172" i="8"/>
  <c r="W171" i="8"/>
  <c r="V171" i="8"/>
  <c r="U171" i="8"/>
  <c r="D171" i="8"/>
  <c r="C171" i="8"/>
  <c r="W170" i="8"/>
  <c r="V170" i="8"/>
  <c r="U170" i="8"/>
  <c r="D170" i="8"/>
  <c r="C170" i="8"/>
  <c r="W169" i="8"/>
  <c r="V169" i="8"/>
  <c r="U169" i="8"/>
  <c r="D169" i="8"/>
  <c r="C169" i="8"/>
  <c r="W168" i="8"/>
  <c r="V168" i="8"/>
  <c r="U168" i="8"/>
  <c r="D168" i="8"/>
  <c r="C168" i="8"/>
  <c r="W167" i="8"/>
  <c r="V167" i="8"/>
  <c r="U167" i="8"/>
  <c r="D167" i="8"/>
  <c r="C167" i="8"/>
  <c r="W166" i="8"/>
  <c r="V166" i="8"/>
  <c r="U166" i="8"/>
  <c r="D166" i="8"/>
  <c r="C166" i="8"/>
  <c r="W165" i="8"/>
  <c r="V165" i="8"/>
  <c r="U165" i="8"/>
  <c r="D165" i="8"/>
  <c r="C165" i="8"/>
  <c r="W164" i="8"/>
  <c r="V164" i="8"/>
  <c r="U164" i="8"/>
  <c r="D164" i="8"/>
  <c r="C164" i="8"/>
  <c r="W163" i="8"/>
  <c r="V163" i="8"/>
  <c r="U163" i="8"/>
  <c r="D163" i="8"/>
  <c r="C163" i="8"/>
  <c r="W162" i="8"/>
  <c r="V162" i="8"/>
  <c r="U162" i="8"/>
  <c r="D162" i="8"/>
  <c r="C162" i="8"/>
  <c r="W161" i="8"/>
  <c r="V161" i="8"/>
  <c r="U161" i="8"/>
  <c r="D161" i="8"/>
  <c r="C161" i="8"/>
  <c r="W160" i="8"/>
  <c r="V160" i="8"/>
  <c r="U160" i="8"/>
  <c r="D160" i="8"/>
  <c r="C160" i="8"/>
  <c r="W159" i="8"/>
  <c r="V159" i="8"/>
  <c r="U159" i="8"/>
  <c r="D159" i="8"/>
  <c r="C159" i="8"/>
  <c r="W158" i="8"/>
  <c r="V158" i="8"/>
  <c r="U158" i="8"/>
  <c r="D158" i="8"/>
  <c r="C158" i="8"/>
  <c r="W157" i="8"/>
  <c r="V157" i="8"/>
  <c r="U157" i="8"/>
  <c r="D157" i="8"/>
  <c r="C157" i="8"/>
  <c r="W156" i="8"/>
  <c r="V156" i="8"/>
  <c r="U156" i="8"/>
  <c r="D156" i="8"/>
  <c r="C156" i="8"/>
  <c r="W155" i="8"/>
  <c r="V155" i="8"/>
  <c r="U155" i="8"/>
  <c r="D155" i="8"/>
  <c r="C155" i="8"/>
  <c r="W154" i="8"/>
  <c r="V154" i="8"/>
  <c r="U154" i="8"/>
  <c r="D154" i="8"/>
  <c r="C154" i="8"/>
  <c r="W153" i="8"/>
  <c r="V153" i="8"/>
  <c r="U153" i="8"/>
  <c r="D153" i="8"/>
  <c r="C153" i="8"/>
  <c r="W152" i="8"/>
  <c r="V152" i="8"/>
  <c r="U152" i="8"/>
  <c r="D152" i="8"/>
  <c r="C152" i="8"/>
  <c r="W151" i="8"/>
  <c r="V151" i="8"/>
  <c r="U151" i="8"/>
  <c r="D151" i="8"/>
  <c r="C151" i="8"/>
  <c r="W150" i="8"/>
  <c r="V150" i="8"/>
  <c r="U150" i="8"/>
  <c r="D150" i="8"/>
  <c r="C150" i="8"/>
  <c r="W149" i="8"/>
  <c r="V149" i="8"/>
  <c r="U149" i="8"/>
  <c r="D149" i="8"/>
  <c r="C149" i="8"/>
  <c r="W148" i="8"/>
  <c r="V148" i="8"/>
  <c r="U148" i="8"/>
  <c r="D148" i="8"/>
  <c r="C148" i="8"/>
  <c r="W147" i="8"/>
  <c r="V147" i="8"/>
  <c r="U147" i="8"/>
  <c r="D147" i="8"/>
  <c r="C147" i="8"/>
  <c r="W146" i="8"/>
  <c r="V146" i="8"/>
  <c r="U146" i="8"/>
  <c r="D146" i="8"/>
  <c r="C146" i="8"/>
  <c r="W145" i="8"/>
  <c r="V145" i="8"/>
  <c r="U145" i="8"/>
  <c r="D145" i="8"/>
  <c r="C145" i="8"/>
  <c r="W144" i="8"/>
  <c r="V144" i="8"/>
  <c r="U144" i="8"/>
  <c r="D144" i="8"/>
  <c r="C144" i="8"/>
  <c r="W143" i="8"/>
  <c r="V143" i="8"/>
  <c r="U143" i="8"/>
  <c r="D143" i="8"/>
  <c r="C143" i="8"/>
  <c r="W142" i="8"/>
  <c r="V142" i="8"/>
  <c r="U142" i="8"/>
  <c r="D142" i="8"/>
  <c r="C142" i="8"/>
  <c r="W141" i="8"/>
  <c r="V141" i="8"/>
  <c r="U141" i="8"/>
  <c r="D141" i="8"/>
  <c r="C141" i="8"/>
  <c r="W140" i="8"/>
  <c r="V140" i="8"/>
  <c r="U140" i="8"/>
  <c r="D140" i="8"/>
  <c r="C140" i="8"/>
  <c r="W139" i="8"/>
  <c r="V139" i="8"/>
  <c r="U139" i="8"/>
  <c r="D139" i="8"/>
  <c r="C139" i="8"/>
  <c r="W138" i="8"/>
  <c r="V138" i="8"/>
  <c r="U138" i="8"/>
  <c r="D138" i="8"/>
  <c r="C138" i="8"/>
  <c r="W137" i="8"/>
  <c r="V137" i="8"/>
  <c r="U137" i="8"/>
  <c r="D137" i="8"/>
  <c r="C137" i="8"/>
  <c r="W136" i="8"/>
  <c r="V136" i="8"/>
  <c r="U136" i="8"/>
  <c r="D136" i="8"/>
  <c r="C136" i="8"/>
  <c r="W135" i="8"/>
  <c r="V135" i="8"/>
  <c r="U135" i="8"/>
  <c r="D135" i="8"/>
  <c r="C135" i="8"/>
  <c r="W134" i="8"/>
  <c r="V134" i="8"/>
  <c r="U134" i="8"/>
  <c r="D134" i="8"/>
  <c r="C134" i="8"/>
  <c r="W133" i="8"/>
  <c r="V133" i="8"/>
  <c r="U133" i="8"/>
  <c r="D133" i="8"/>
  <c r="C133" i="8"/>
  <c r="W132" i="8"/>
  <c r="V132" i="8"/>
  <c r="U132" i="8"/>
  <c r="D132" i="8"/>
  <c r="C132" i="8"/>
  <c r="W131" i="8"/>
  <c r="V131" i="8"/>
  <c r="U131" i="8"/>
  <c r="D131" i="8"/>
  <c r="C131" i="8"/>
  <c r="W130" i="8"/>
  <c r="V130" i="8"/>
  <c r="U130" i="8"/>
  <c r="D130" i="8"/>
  <c r="C130" i="8"/>
  <c r="W129" i="8"/>
  <c r="V129" i="8"/>
  <c r="U129" i="8"/>
  <c r="D129" i="8"/>
  <c r="C129" i="8"/>
  <c r="W128" i="8"/>
  <c r="V128" i="8"/>
  <c r="U128" i="8"/>
  <c r="D128" i="8"/>
  <c r="C128" i="8"/>
  <c r="W127" i="8"/>
  <c r="V127" i="8"/>
  <c r="U127" i="8"/>
  <c r="D127" i="8"/>
  <c r="C127" i="8"/>
  <c r="W126" i="8"/>
  <c r="V126" i="8"/>
  <c r="U126" i="8"/>
  <c r="D126" i="8"/>
  <c r="C126" i="8"/>
  <c r="W125" i="8"/>
  <c r="V125" i="8"/>
  <c r="U125" i="8"/>
  <c r="D125" i="8"/>
  <c r="C125" i="8"/>
  <c r="W124" i="8"/>
  <c r="V124" i="8"/>
  <c r="U124" i="8"/>
  <c r="D124" i="8"/>
  <c r="C124" i="8"/>
  <c r="W123" i="8"/>
  <c r="V123" i="8"/>
  <c r="U123" i="8"/>
  <c r="D123" i="8"/>
  <c r="C123" i="8"/>
  <c r="W122" i="8"/>
  <c r="V122" i="8"/>
  <c r="U122" i="8"/>
  <c r="D122" i="8"/>
  <c r="C122" i="8"/>
  <c r="W121" i="8"/>
  <c r="V121" i="8"/>
  <c r="U121" i="8"/>
  <c r="D121" i="8"/>
  <c r="C121" i="8"/>
  <c r="W120" i="8"/>
  <c r="V120" i="8"/>
  <c r="U120" i="8"/>
  <c r="D120" i="8"/>
  <c r="C120" i="8"/>
  <c r="W119" i="8"/>
  <c r="V119" i="8"/>
  <c r="U119" i="8"/>
  <c r="D119" i="8"/>
  <c r="C119" i="8"/>
  <c r="W118" i="8"/>
  <c r="V118" i="8"/>
  <c r="U118" i="8"/>
  <c r="D118" i="8"/>
  <c r="C118" i="8"/>
  <c r="W117" i="8"/>
  <c r="V117" i="8"/>
  <c r="U117" i="8"/>
  <c r="D117" i="8"/>
  <c r="C117" i="8"/>
  <c r="W116" i="8"/>
  <c r="V116" i="8"/>
  <c r="U116" i="8"/>
  <c r="D116" i="8"/>
  <c r="C116" i="8"/>
  <c r="W115" i="8"/>
  <c r="V115" i="8"/>
  <c r="U115" i="8"/>
  <c r="D115" i="8"/>
  <c r="C115" i="8"/>
  <c r="W114" i="8"/>
  <c r="V114" i="8"/>
  <c r="U114" i="8"/>
  <c r="D114" i="8"/>
  <c r="C114" i="8"/>
  <c r="W113" i="8"/>
  <c r="V113" i="8"/>
  <c r="U113" i="8"/>
  <c r="D113" i="8"/>
  <c r="C113" i="8"/>
  <c r="W112" i="8"/>
  <c r="V112" i="8"/>
  <c r="U112" i="8"/>
  <c r="D112" i="8"/>
  <c r="C112" i="8"/>
  <c r="W111" i="8"/>
  <c r="V111" i="8"/>
  <c r="U111" i="8"/>
  <c r="D111" i="8"/>
  <c r="C111" i="8"/>
  <c r="W110" i="8"/>
  <c r="V110" i="8"/>
  <c r="U110" i="8"/>
  <c r="D110" i="8"/>
  <c r="C110" i="8"/>
  <c r="W109" i="8"/>
  <c r="V109" i="8"/>
  <c r="U109" i="8"/>
  <c r="D109" i="8"/>
  <c r="C109" i="8"/>
  <c r="W108" i="8"/>
  <c r="V108" i="8"/>
  <c r="U108" i="8"/>
  <c r="D108" i="8"/>
  <c r="C108" i="8"/>
  <c r="W107" i="8"/>
  <c r="V107" i="8"/>
  <c r="U107" i="8"/>
  <c r="D107" i="8"/>
  <c r="C107" i="8"/>
  <c r="W106" i="8"/>
  <c r="V106" i="8"/>
  <c r="U106" i="8"/>
  <c r="D106" i="8"/>
  <c r="C106" i="8"/>
  <c r="W105" i="8"/>
  <c r="V105" i="8"/>
  <c r="U105" i="8"/>
  <c r="D105" i="8"/>
  <c r="C105" i="8"/>
  <c r="W104" i="8"/>
  <c r="V104" i="8"/>
  <c r="U104" i="8"/>
  <c r="D104" i="8"/>
  <c r="C104" i="8"/>
  <c r="W103" i="8"/>
  <c r="V103" i="8"/>
  <c r="U103" i="8"/>
  <c r="D103" i="8"/>
  <c r="C103" i="8"/>
  <c r="W102" i="8"/>
  <c r="V102" i="8"/>
  <c r="U102" i="8"/>
  <c r="D102" i="8"/>
  <c r="C102" i="8"/>
  <c r="W101" i="8"/>
  <c r="V101" i="8"/>
  <c r="U101" i="8"/>
  <c r="D101" i="8"/>
  <c r="C101" i="8"/>
  <c r="W100" i="8"/>
  <c r="V100" i="8"/>
  <c r="U100" i="8"/>
  <c r="D100" i="8"/>
  <c r="C100" i="8"/>
  <c r="W99" i="8"/>
  <c r="V99" i="8"/>
  <c r="U99" i="8"/>
  <c r="D99" i="8"/>
  <c r="C99" i="8"/>
  <c r="W98" i="8"/>
  <c r="V98" i="8"/>
  <c r="U98" i="8"/>
  <c r="D98" i="8"/>
  <c r="C98" i="8"/>
  <c r="W97" i="8"/>
  <c r="V97" i="8"/>
  <c r="U97" i="8"/>
  <c r="D97" i="8"/>
  <c r="C97" i="8"/>
  <c r="W96" i="8"/>
  <c r="V96" i="8"/>
  <c r="U96" i="8"/>
  <c r="D96" i="8"/>
  <c r="C96" i="8"/>
  <c r="W95" i="8"/>
  <c r="V95" i="8"/>
  <c r="U95" i="8"/>
  <c r="D95" i="8"/>
  <c r="C95" i="8"/>
  <c r="W94" i="8"/>
  <c r="V94" i="8"/>
  <c r="U94" i="8"/>
  <c r="D94" i="8"/>
  <c r="C94" i="8"/>
  <c r="W93" i="8"/>
  <c r="V93" i="8"/>
  <c r="U93" i="8"/>
  <c r="D93" i="8"/>
  <c r="C93" i="8"/>
  <c r="W92" i="8"/>
  <c r="V92" i="8"/>
  <c r="U92" i="8"/>
  <c r="D92" i="8"/>
  <c r="C92" i="8"/>
  <c r="W91" i="8"/>
  <c r="V91" i="8"/>
  <c r="U91" i="8"/>
  <c r="D91" i="8"/>
  <c r="C91" i="8"/>
  <c r="W90" i="8"/>
  <c r="V90" i="8"/>
  <c r="U90" i="8"/>
  <c r="D90" i="8"/>
  <c r="C90" i="8"/>
  <c r="W89" i="8"/>
  <c r="V89" i="8"/>
  <c r="U89" i="8"/>
  <c r="D89" i="8"/>
  <c r="C89" i="8"/>
  <c r="W88" i="8"/>
  <c r="V88" i="8"/>
  <c r="U88" i="8"/>
  <c r="D88" i="8"/>
  <c r="C88" i="8"/>
  <c r="W87" i="8"/>
  <c r="V87" i="8"/>
  <c r="U87" i="8"/>
  <c r="D87" i="8"/>
  <c r="C87" i="8"/>
  <c r="W86" i="8"/>
  <c r="V86" i="8"/>
  <c r="U86" i="8"/>
  <c r="D86" i="8"/>
  <c r="C86" i="8"/>
  <c r="W85" i="8"/>
  <c r="V85" i="8"/>
  <c r="U85" i="8"/>
  <c r="D85" i="8"/>
  <c r="C85" i="8"/>
  <c r="W84" i="8"/>
  <c r="V84" i="8"/>
  <c r="U84" i="8"/>
  <c r="D84" i="8"/>
  <c r="C84" i="8"/>
  <c r="W83" i="8"/>
  <c r="V83" i="8"/>
  <c r="U83" i="8"/>
  <c r="D83" i="8"/>
  <c r="C83" i="8"/>
  <c r="W82" i="8"/>
  <c r="V82" i="8"/>
  <c r="U82" i="8"/>
  <c r="D82" i="8"/>
  <c r="C82" i="8"/>
  <c r="W81" i="8"/>
  <c r="V81" i="8"/>
  <c r="U81" i="8"/>
  <c r="D81" i="8"/>
  <c r="C81" i="8"/>
  <c r="W80" i="8"/>
  <c r="V80" i="8"/>
  <c r="U80" i="8"/>
  <c r="D80" i="8"/>
  <c r="C80" i="8"/>
  <c r="W79" i="8"/>
  <c r="V79" i="8"/>
  <c r="U79" i="8"/>
  <c r="D79" i="8"/>
  <c r="C79" i="8"/>
  <c r="W78" i="8"/>
  <c r="V78" i="8"/>
  <c r="U78" i="8"/>
  <c r="D78" i="8"/>
  <c r="C78" i="8"/>
  <c r="W77" i="8"/>
  <c r="V77" i="8"/>
  <c r="U77" i="8"/>
  <c r="D77" i="8"/>
  <c r="C77" i="8"/>
  <c r="W76" i="8"/>
  <c r="V76" i="8"/>
  <c r="U76" i="8"/>
  <c r="D76" i="8"/>
  <c r="C76" i="8"/>
  <c r="W75" i="8"/>
  <c r="V75" i="8"/>
  <c r="U75" i="8"/>
  <c r="D75" i="8"/>
  <c r="C75" i="8"/>
  <c r="W74" i="8"/>
  <c r="V74" i="8"/>
  <c r="U74" i="8"/>
  <c r="D74" i="8"/>
  <c r="C74" i="8"/>
  <c r="W73" i="8"/>
  <c r="V73" i="8"/>
  <c r="U73" i="8"/>
  <c r="D73" i="8"/>
  <c r="C73" i="8"/>
  <c r="W72" i="8"/>
  <c r="V72" i="8"/>
  <c r="U72" i="8"/>
  <c r="D72" i="8"/>
  <c r="C72" i="8"/>
  <c r="W71" i="8"/>
  <c r="V71" i="8"/>
  <c r="U71" i="8"/>
  <c r="D71" i="8"/>
  <c r="C71" i="8"/>
  <c r="W70" i="8"/>
  <c r="V70" i="8"/>
  <c r="U70" i="8"/>
  <c r="D70" i="8"/>
  <c r="C70" i="8"/>
  <c r="W69" i="8"/>
  <c r="V69" i="8"/>
  <c r="U69" i="8"/>
  <c r="D69" i="8"/>
  <c r="C69" i="8"/>
  <c r="W68" i="8"/>
  <c r="V68" i="8"/>
  <c r="U68" i="8"/>
  <c r="D68" i="8"/>
  <c r="C68" i="8"/>
  <c r="W67" i="8"/>
  <c r="V67" i="8"/>
  <c r="U67" i="8"/>
  <c r="D67" i="8"/>
  <c r="C67" i="8"/>
  <c r="W66" i="8"/>
  <c r="V66" i="8"/>
  <c r="U66" i="8"/>
  <c r="D66" i="8"/>
  <c r="C66" i="8"/>
  <c r="W65" i="8"/>
  <c r="V65" i="8"/>
  <c r="U65" i="8"/>
  <c r="D65" i="8"/>
  <c r="C65" i="8"/>
  <c r="W64" i="8"/>
  <c r="V64" i="8"/>
  <c r="U64" i="8"/>
  <c r="D64" i="8"/>
  <c r="C64" i="8"/>
  <c r="W63" i="8"/>
  <c r="V63" i="8"/>
  <c r="U63" i="8"/>
  <c r="D63" i="8"/>
  <c r="C63" i="8"/>
  <c r="W62" i="8"/>
  <c r="V62" i="8"/>
  <c r="U62" i="8"/>
  <c r="D62" i="8"/>
  <c r="C62" i="8"/>
  <c r="W61" i="8"/>
  <c r="V61" i="8"/>
  <c r="U61" i="8"/>
  <c r="D61" i="8"/>
  <c r="C61" i="8"/>
  <c r="W60" i="8"/>
  <c r="V60" i="8"/>
  <c r="U60" i="8"/>
  <c r="D60" i="8"/>
  <c r="C60" i="8"/>
  <c r="W59" i="8"/>
  <c r="V59" i="8"/>
  <c r="U59" i="8"/>
  <c r="D59" i="8"/>
  <c r="C59" i="8"/>
  <c r="W58" i="8"/>
  <c r="V58" i="8"/>
  <c r="U58" i="8"/>
  <c r="D58" i="8"/>
  <c r="C58" i="8"/>
  <c r="W57" i="8"/>
  <c r="V57" i="8"/>
  <c r="U57" i="8"/>
  <c r="D57" i="8"/>
  <c r="C57" i="8"/>
  <c r="W56" i="8"/>
  <c r="V56" i="8"/>
  <c r="U56" i="8"/>
  <c r="D56" i="8"/>
  <c r="C56" i="8"/>
  <c r="W55" i="8"/>
  <c r="V55" i="8"/>
  <c r="U55" i="8"/>
  <c r="D55" i="8"/>
  <c r="C55" i="8"/>
  <c r="W54" i="8"/>
  <c r="V54" i="8"/>
  <c r="U54" i="8"/>
  <c r="D54" i="8"/>
  <c r="C54" i="8"/>
  <c r="W53" i="8"/>
  <c r="V53" i="8"/>
  <c r="U53" i="8"/>
  <c r="D53" i="8"/>
  <c r="C53" i="8"/>
  <c r="W52" i="8"/>
  <c r="V52" i="8"/>
  <c r="U52" i="8"/>
  <c r="D52" i="8"/>
  <c r="C52" i="8"/>
  <c r="W51" i="8"/>
  <c r="V51" i="8"/>
  <c r="U51" i="8"/>
  <c r="D51" i="8"/>
  <c r="C51" i="8"/>
  <c r="W50" i="8"/>
  <c r="V50" i="8"/>
  <c r="U50" i="8"/>
  <c r="D50" i="8"/>
  <c r="C50" i="8"/>
  <c r="W49" i="8"/>
  <c r="V49" i="8"/>
  <c r="U49" i="8"/>
  <c r="D49" i="8"/>
  <c r="C49" i="8"/>
  <c r="W48" i="8"/>
  <c r="V48" i="8"/>
  <c r="U48" i="8"/>
  <c r="D48" i="8"/>
  <c r="C48" i="8"/>
  <c r="W47" i="8"/>
  <c r="V47" i="8"/>
  <c r="U47" i="8"/>
  <c r="D47" i="8"/>
  <c r="C47" i="8"/>
  <c r="W46" i="8"/>
  <c r="V46" i="8"/>
  <c r="U46" i="8"/>
  <c r="D46" i="8"/>
  <c r="C46" i="8"/>
  <c r="W45" i="8"/>
  <c r="V45" i="8"/>
  <c r="U45" i="8"/>
  <c r="D45" i="8"/>
  <c r="C45" i="8"/>
  <c r="W44" i="8"/>
  <c r="V44" i="8"/>
  <c r="U44" i="8"/>
  <c r="D44" i="8"/>
  <c r="C44" i="8"/>
  <c r="W43" i="8"/>
  <c r="V43" i="8"/>
  <c r="U43" i="8"/>
  <c r="D43" i="8"/>
  <c r="C43" i="8"/>
  <c r="W42" i="8"/>
  <c r="V42" i="8"/>
  <c r="U42" i="8"/>
  <c r="D42" i="8"/>
  <c r="C42" i="8"/>
  <c r="W41" i="8"/>
  <c r="V41" i="8"/>
  <c r="U41" i="8"/>
  <c r="D41" i="8"/>
  <c r="C41" i="8"/>
  <c r="W40" i="8"/>
  <c r="V40" i="8"/>
  <c r="U40" i="8"/>
  <c r="D40" i="8"/>
  <c r="C40" i="8"/>
  <c r="W39" i="8"/>
  <c r="V39" i="8"/>
  <c r="U39" i="8"/>
  <c r="D39" i="8"/>
  <c r="C39" i="8"/>
  <c r="W38" i="8"/>
  <c r="V38" i="8"/>
  <c r="U38" i="8"/>
  <c r="D38" i="8"/>
  <c r="C38" i="8"/>
  <c r="W37" i="8"/>
  <c r="V37" i="8"/>
  <c r="U37" i="8"/>
  <c r="D37" i="8"/>
  <c r="C37" i="8"/>
  <c r="W36" i="8"/>
  <c r="V36" i="8"/>
  <c r="U36" i="8"/>
  <c r="D36" i="8"/>
  <c r="C36" i="8"/>
  <c r="W35" i="8"/>
  <c r="V35" i="8"/>
  <c r="U35" i="8"/>
  <c r="D35" i="8"/>
  <c r="C35" i="8"/>
  <c r="W34" i="8"/>
  <c r="V34" i="8"/>
  <c r="U34" i="8"/>
  <c r="D34" i="8"/>
  <c r="C34" i="8"/>
  <c r="W33" i="8"/>
  <c r="V33" i="8"/>
  <c r="U33" i="8"/>
  <c r="D33" i="8"/>
  <c r="C33" i="8"/>
  <c r="W32" i="8"/>
  <c r="V32" i="8"/>
  <c r="U32" i="8"/>
  <c r="D32" i="8"/>
  <c r="C32" i="8"/>
  <c r="W31" i="8"/>
  <c r="V31" i="8"/>
  <c r="U31" i="8"/>
  <c r="D31" i="8"/>
  <c r="C31" i="8"/>
  <c r="W30" i="8"/>
  <c r="V30" i="8"/>
  <c r="U30" i="8"/>
  <c r="D30" i="8"/>
  <c r="C30" i="8"/>
  <c r="W29" i="8"/>
  <c r="V29" i="8"/>
  <c r="U29" i="8"/>
  <c r="D29" i="8"/>
  <c r="C29" i="8"/>
  <c r="W28" i="8"/>
  <c r="V28" i="8"/>
  <c r="U28" i="8"/>
  <c r="D28" i="8"/>
  <c r="C28" i="8"/>
  <c r="W27" i="8"/>
  <c r="V27" i="8"/>
  <c r="U27" i="8"/>
  <c r="D27" i="8"/>
  <c r="C27" i="8"/>
  <c r="W26" i="8"/>
  <c r="V26" i="8"/>
  <c r="U26" i="8"/>
  <c r="D26" i="8"/>
  <c r="C26" i="8"/>
  <c r="W25" i="8"/>
  <c r="V25" i="8"/>
  <c r="U25" i="8"/>
  <c r="D25" i="8"/>
  <c r="C25" i="8"/>
  <c r="W24" i="8"/>
  <c r="V24" i="8"/>
  <c r="U24" i="8"/>
  <c r="D24" i="8"/>
  <c r="C24" i="8"/>
  <c r="W23" i="8"/>
  <c r="V23" i="8"/>
  <c r="U23" i="8"/>
  <c r="D23" i="8"/>
  <c r="C23" i="8"/>
  <c r="W22" i="8"/>
  <c r="V22" i="8"/>
  <c r="U22" i="8"/>
  <c r="D22" i="8"/>
  <c r="C22" i="8"/>
  <c r="W21" i="8"/>
  <c r="V21" i="8"/>
  <c r="U21" i="8"/>
  <c r="D21" i="8"/>
  <c r="C21" i="8"/>
  <c r="W20" i="8"/>
  <c r="V20" i="8"/>
  <c r="U20" i="8"/>
  <c r="D20" i="8"/>
  <c r="C20" i="8"/>
  <c r="W19" i="8"/>
  <c r="V19" i="8"/>
  <c r="U19" i="8"/>
  <c r="D19" i="8"/>
  <c r="C19" i="8"/>
  <c r="W18" i="8"/>
  <c r="V18" i="8"/>
  <c r="U18" i="8"/>
  <c r="D18" i="8"/>
  <c r="C18" i="8"/>
  <c r="W17" i="8"/>
  <c r="V17" i="8"/>
  <c r="U17" i="8"/>
  <c r="D17" i="8"/>
  <c r="C17" i="8"/>
  <c r="W16" i="8"/>
  <c r="V16" i="8"/>
  <c r="U16" i="8"/>
  <c r="D16" i="8"/>
  <c r="C16" i="8"/>
  <c r="W15" i="8"/>
  <c r="V15" i="8"/>
  <c r="U15" i="8"/>
  <c r="D15" i="8"/>
  <c r="C15" i="8"/>
  <c r="W14" i="8"/>
  <c r="V14" i="8"/>
  <c r="U14" i="8"/>
  <c r="D14" i="8"/>
  <c r="C14" i="8"/>
  <c r="W13" i="8"/>
  <c r="V13" i="8"/>
  <c r="U13" i="8"/>
  <c r="D13" i="8"/>
  <c r="C13" i="8"/>
  <c r="W12" i="8"/>
  <c r="V12" i="8"/>
  <c r="U12" i="8"/>
  <c r="D12" i="8"/>
  <c r="C12" i="8"/>
  <c r="W11" i="8"/>
  <c r="V11" i="8"/>
  <c r="U11" i="8"/>
  <c r="D11" i="8"/>
  <c r="C11" i="8"/>
  <c r="W10" i="8"/>
  <c r="V10" i="8"/>
  <c r="U10" i="8"/>
  <c r="D10" i="8"/>
  <c r="C10" i="8"/>
  <c r="W9" i="8"/>
  <c r="V9" i="8"/>
  <c r="U9" i="8"/>
  <c r="D9" i="8"/>
  <c r="C9" i="8"/>
  <c r="W8" i="8"/>
  <c r="V8" i="8"/>
  <c r="U8" i="8"/>
  <c r="D8" i="8"/>
  <c r="C8" i="8"/>
  <c r="W7" i="8"/>
  <c r="V7" i="8"/>
  <c r="U7" i="8"/>
  <c r="D7" i="8"/>
  <c r="C7" i="8"/>
  <c r="W6" i="8"/>
  <c r="V6" i="8"/>
  <c r="U6" i="8"/>
  <c r="D6" i="8"/>
  <c r="C6" i="8"/>
  <c r="W5" i="8"/>
  <c r="V5" i="8"/>
  <c r="U5" i="8"/>
  <c r="D5" i="8"/>
  <c r="C5" i="8"/>
  <c r="W4" i="8"/>
  <c r="V4" i="8"/>
  <c r="U4" i="8"/>
  <c r="D4" i="8"/>
  <c r="C4" i="8"/>
  <c r="W3" i="8"/>
  <c r="V3" i="8"/>
  <c r="U3" i="8"/>
  <c r="D3" i="8"/>
  <c r="C3" i="8"/>
  <c r="W2" i="8"/>
  <c r="V2" i="8"/>
  <c r="U2" i="8"/>
  <c r="D2" i="8"/>
  <c r="C2" i="8"/>
  <c r="Y632" i="7"/>
  <c r="X632" i="7"/>
  <c r="W632" i="7"/>
  <c r="V632" i="7"/>
  <c r="Y631" i="7"/>
  <c r="X631" i="7"/>
  <c r="W631" i="7"/>
  <c r="V631" i="7"/>
  <c r="Y630" i="7"/>
  <c r="X630" i="7"/>
  <c r="W630" i="7"/>
  <c r="V630" i="7"/>
  <c r="Y629" i="7"/>
  <c r="X629" i="7"/>
  <c r="W629" i="7"/>
  <c r="V629" i="7"/>
  <c r="Y628" i="7"/>
  <c r="X628" i="7"/>
  <c r="W628" i="7"/>
  <c r="V628" i="7"/>
  <c r="Y627" i="7"/>
  <c r="X627" i="7"/>
  <c r="W627" i="7"/>
  <c r="V627" i="7"/>
  <c r="Y626" i="7"/>
  <c r="X626" i="7"/>
  <c r="W626" i="7"/>
  <c r="V626" i="7"/>
  <c r="Y625" i="7"/>
  <c r="X625" i="7"/>
  <c r="W625" i="7"/>
  <c r="V625" i="7"/>
  <c r="Y624" i="7"/>
  <c r="X624" i="7"/>
  <c r="W624" i="7"/>
  <c r="V624" i="7"/>
  <c r="Y623" i="7"/>
  <c r="X623" i="7"/>
  <c r="W623" i="7"/>
  <c r="V623" i="7"/>
  <c r="Y622" i="7"/>
  <c r="X622" i="7"/>
  <c r="W622" i="7"/>
  <c r="V622" i="7"/>
  <c r="Y621" i="7"/>
  <c r="X621" i="7"/>
  <c r="W621" i="7"/>
  <c r="V621" i="7"/>
  <c r="Y620" i="7"/>
  <c r="X620" i="7"/>
  <c r="W620" i="7"/>
  <c r="V620" i="7"/>
  <c r="Y619" i="7"/>
  <c r="X619" i="7"/>
  <c r="W619" i="7"/>
  <c r="V619" i="7"/>
  <c r="Y618" i="7"/>
  <c r="X618" i="7"/>
  <c r="W618" i="7"/>
  <c r="V618" i="7"/>
  <c r="Y617" i="7"/>
  <c r="X617" i="7"/>
  <c r="W617" i="7"/>
  <c r="V617" i="7"/>
  <c r="Y616" i="7"/>
  <c r="X616" i="7"/>
  <c r="W616" i="7"/>
  <c r="V616" i="7"/>
  <c r="Y615" i="7"/>
  <c r="X615" i="7"/>
  <c r="W615" i="7"/>
  <c r="V615" i="7"/>
  <c r="Y614" i="7"/>
  <c r="X614" i="7"/>
  <c r="W614" i="7"/>
  <c r="V614" i="7"/>
  <c r="Y613" i="7"/>
  <c r="X613" i="7"/>
  <c r="W613" i="7"/>
  <c r="V613" i="7"/>
  <c r="Y612" i="7"/>
  <c r="X612" i="7"/>
  <c r="W612" i="7"/>
  <c r="V612" i="7"/>
  <c r="Y611" i="7"/>
  <c r="X611" i="7"/>
  <c r="W611" i="7"/>
  <c r="V611" i="7"/>
  <c r="Y610" i="7"/>
  <c r="X610" i="7"/>
  <c r="W610" i="7"/>
  <c r="V610" i="7"/>
  <c r="Y609" i="7"/>
  <c r="X609" i="7"/>
  <c r="W609" i="7"/>
  <c r="V609" i="7"/>
  <c r="Y608" i="7"/>
  <c r="X608" i="7"/>
  <c r="W608" i="7"/>
  <c r="V608" i="7"/>
  <c r="Y607" i="7"/>
  <c r="X607" i="7"/>
  <c r="W607" i="7"/>
  <c r="V607" i="7"/>
  <c r="Y606" i="7"/>
  <c r="X606" i="7"/>
  <c r="W606" i="7"/>
  <c r="V606" i="7"/>
  <c r="Y605" i="7"/>
  <c r="X605" i="7"/>
  <c r="W605" i="7"/>
  <c r="V605" i="7"/>
  <c r="Y604" i="7"/>
  <c r="X604" i="7"/>
  <c r="W604" i="7"/>
  <c r="V604" i="7"/>
  <c r="Y603" i="7"/>
  <c r="X603" i="7"/>
  <c r="W603" i="7"/>
  <c r="V603" i="7"/>
  <c r="Y602" i="7"/>
  <c r="X602" i="7"/>
  <c r="W602" i="7"/>
  <c r="V602" i="7"/>
  <c r="Y601" i="7"/>
  <c r="X601" i="7"/>
  <c r="W601" i="7"/>
  <c r="V601" i="7"/>
  <c r="Y600" i="7"/>
  <c r="X600" i="7"/>
  <c r="W600" i="7"/>
  <c r="V600" i="7"/>
  <c r="Y599" i="7"/>
  <c r="X599" i="7"/>
  <c r="W599" i="7"/>
  <c r="V599" i="7"/>
  <c r="Y598" i="7"/>
  <c r="X598" i="7"/>
  <c r="W598" i="7"/>
  <c r="V598" i="7"/>
  <c r="Y597" i="7"/>
  <c r="X597" i="7"/>
  <c r="W597" i="7"/>
  <c r="V597" i="7"/>
  <c r="Y596" i="7"/>
  <c r="X596" i="7"/>
  <c r="W596" i="7"/>
  <c r="V596" i="7"/>
  <c r="Y595" i="7"/>
  <c r="X595" i="7"/>
  <c r="W595" i="7"/>
  <c r="V595" i="7"/>
  <c r="Y594" i="7"/>
  <c r="X594" i="7"/>
  <c r="W594" i="7"/>
  <c r="V594" i="7"/>
  <c r="Y593" i="7"/>
  <c r="X593" i="7"/>
  <c r="W593" i="7"/>
  <c r="V593" i="7"/>
  <c r="Y592" i="7"/>
  <c r="X592" i="7"/>
  <c r="W592" i="7"/>
  <c r="V592" i="7"/>
  <c r="Y591" i="7"/>
  <c r="X591" i="7"/>
  <c r="W591" i="7"/>
  <c r="V591" i="7"/>
  <c r="Y590" i="7"/>
  <c r="X590" i="7"/>
  <c r="W590" i="7"/>
  <c r="V590" i="7"/>
  <c r="Y589" i="7"/>
  <c r="X589" i="7"/>
  <c r="W589" i="7"/>
  <c r="V589" i="7"/>
  <c r="Y588" i="7"/>
  <c r="X588" i="7"/>
  <c r="W588" i="7"/>
  <c r="V588" i="7"/>
  <c r="Y587" i="7"/>
  <c r="X587" i="7"/>
  <c r="W587" i="7"/>
  <c r="V587" i="7"/>
  <c r="Y586" i="7"/>
  <c r="X586" i="7"/>
  <c r="W586" i="7"/>
  <c r="V586" i="7"/>
  <c r="Y585" i="7"/>
  <c r="X585" i="7"/>
  <c r="W585" i="7"/>
  <c r="V585" i="7"/>
  <c r="Y584" i="7"/>
  <c r="X584" i="7"/>
  <c r="W584" i="7"/>
  <c r="V584" i="7"/>
  <c r="Y583" i="7"/>
  <c r="X583" i="7"/>
  <c r="W583" i="7"/>
  <c r="V583" i="7"/>
  <c r="Y582" i="7"/>
  <c r="X582" i="7"/>
  <c r="W582" i="7"/>
  <c r="V582" i="7"/>
  <c r="Y581" i="7"/>
  <c r="X581" i="7"/>
  <c r="W581" i="7"/>
  <c r="V581" i="7"/>
  <c r="Y580" i="7"/>
  <c r="X580" i="7"/>
  <c r="W580" i="7"/>
  <c r="V580" i="7"/>
  <c r="Y579" i="7"/>
  <c r="X579" i="7"/>
  <c r="W579" i="7"/>
  <c r="V579" i="7"/>
  <c r="Y578" i="7"/>
  <c r="X578" i="7"/>
  <c r="W578" i="7"/>
  <c r="V578" i="7"/>
  <c r="Y577" i="7"/>
  <c r="X577" i="7"/>
  <c r="W577" i="7"/>
  <c r="V577" i="7"/>
  <c r="Y576" i="7"/>
  <c r="X576" i="7"/>
  <c r="W576" i="7"/>
  <c r="V576" i="7"/>
  <c r="Y575" i="7"/>
  <c r="X575" i="7"/>
  <c r="W575" i="7"/>
  <c r="V575" i="7"/>
  <c r="Y574" i="7"/>
  <c r="X574" i="7"/>
  <c r="W574" i="7"/>
  <c r="V574" i="7"/>
  <c r="Y573" i="7"/>
  <c r="X573" i="7"/>
  <c r="W573" i="7"/>
  <c r="V573" i="7"/>
  <c r="Y572" i="7"/>
  <c r="X572" i="7"/>
  <c r="W572" i="7"/>
  <c r="V572" i="7"/>
  <c r="Y571" i="7"/>
  <c r="X571" i="7"/>
  <c r="W571" i="7"/>
  <c r="V571" i="7"/>
  <c r="Y570" i="7"/>
  <c r="X570" i="7"/>
  <c r="W570" i="7"/>
  <c r="V570" i="7"/>
  <c r="Y569" i="7"/>
  <c r="X569" i="7"/>
  <c r="W569" i="7"/>
  <c r="V569" i="7"/>
  <c r="Y568" i="7"/>
  <c r="X568" i="7"/>
  <c r="W568" i="7"/>
  <c r="V568" i="7"/>
  <c r="Y567" i="7"/>
  <c r="X567" i="7"/>
  <c r="W567" i="7"/>
  <c r="V567" i="7"/>
  <c r="Y566" i="7"/>
  <c r="X566" i="7"/>
  <c r="W566" i="7"/>
  <c r="V566" i="7"/>
  <c r="Y565" i="7"/>
  <c r="X565" i="7"/>
  <c r="W565" i="7"/>
  <c r="V565" i="7"/>
  <c r="Y564" i="7"/>
  <c r="X564" i="7"/>
  <c r="W564" i="7"/>
  <c r="V564" i="7"/>
  <c r="Y563" i="7"/>
  <c r="X563" i="7"/>
  <c r="W563" i="7"/>
  <c r="V563" i="7"/>
  <c r="Y562" i="7"/>
  <c r="X562" i="7"/>
  <c r="W562" i="7"/>
  <c r="V562" i="7"/>
  <c r="Y561" i="7"/>
  <c r="X561" i="7"/>
  <c r="W561" i="7"/>
  <c r="V561" i="7"/>
  <c r="Y560" i="7"/>
  <c r="X560" i="7"/>
  <c r="W560" i="7"/>
  <c r="V560" i="7"/>
  <c r="Y559" i="7"/>
  <c r="X559" i="7"/>
  <c r="W559" i="7"/>
  <c r="V559" i="7"/>
  <c r="Y558" i="7"/>
  <c r="X558" i="7"/>
  <c r="W558" i="7"/>
  <c r="V558" i="7"/>
  <c r="Y557" i="7"/>
  <c r="X557" i="7"/>
  <c r="W557" i="7"/>
  <c r="V557" i="7"/>
  <c r="Y556" i="7"/>
  <c r="X556" i="7"/>
  <c r="W556" i="7"/>
  <c r="V556" i="7"/>
  <c r="Y555" i="7"/>
  <c r="X555" i="7"/>
  <c r="W555" i="7"/>
  <c r="V555" i="7"/>
  <c r="Y554" i="7"/>
  <c r="X554" i="7"/>
  <c r="W554" i="7"/>
  <c r="V554" i="7"/>
  <c r="Y553" i="7"/>
  <c r="X553" i="7"/>
  <c r="W553" i="7"/>
  <c r="V553" i="7"/>
  <c r="Y552" i="7"/>
  <c r="X552" i="7"/>
  <c r="W552" i="7"/>
  <c r="V552" i="7"/>
  <c r="Y551" i="7"/>
  <c r="X551" i="7"/>
  <c r="W551" i="7"/>
  <c r="V551" i="7"/>
  <c r="Y550" i="7"/>
  <c r="X550" i="7"/>
  <c r="W550" i="7"/>
  <c r="V550" i="7"/>
  <c r="Y549" i="7"/>
  <c r="X549" i="7"/>
  <c r="W549" i="7"/>
  <c r="V549" i="7"/>
  <c r="Y548" i="7"/>
  <c r="X548" i="7"/>
  <c r="W548" i="7"/>
  <c r="V548" i="7"/>
  <c r="Y547" i="7"/>
  <c r="X547" i="7"/>
  <c r="W547" i="7"/>
  <c r="V547" i="7"/>
  <c r="Y546" i="7"/>
  <c r="X546" i="7"/>
  <c r="W546" i="7"/>
  <c r="V546" i="7"/>
  <c r="Y545" i="7"/>
  <c r="X545" i="7"/>
  <c r="W545" i="7"/>
  <c r="V545" i="7"/>
  <c r="Y544" i="7"/>
  <c r="X544" i="7"/>
  <c r="W544" i="7"/>
  <c r="V544" i="7"/>
  <c r="Y543" i="7"/>
  <c r="X543" i="7"/>
  <c r="W543" i="7"/>
  <c r="V543" i="7"/>
  <c r="Y542" i="7"/>
  <c r="X542" i="7"/>
  <c r="W542" i="7"/>
  <c r="V542" i="7"/>
  <c r="Y541" i="7"/>
  <c r="X541" i="7"/>
  <c r="W541" i="7"/>
  <c r="V541" i="7"/>
  <c r="Y540" i="7"/>
  <c r="X540" i="7"/>
  <c r="W540" i="7"/>
  <c r="V540" i="7"/>
  <c r="Y539" i="7"/>
  <c r="X539" i="7"/>
  <c r="W539" i="7"/>
  <c r="V539" i="7"/>
  <c r="Y538" i="7"/>
  <c r="X538" i="7"/>
  <c r="W538" i="7"/>
  <c r="V538" i="7"/>
  <c r="Y537" i="7"/>
  <c r="X537" i="7"/>
  <c r="W537" i="7"/>
  <c r="V537" i="7"/>
  <c r="Y536" i="7"/>
  <c r="X536" i="7"/>
  <c r="W536" i="7"/>
  <c r="V536" i="7"/>
  <c r="Y535" i="7"/>
  <c r="X535" i="7"/>
  <c r="W535" i="7"/>
  <c r="V535" i="7"/>
  <c r="Y534" i="7"/>
  <c r="X534" i="7"/>
  <c r="W534" i="7"/>
  <c r="V534" i="7"/>
  <c r="Y533" i="7"/>
  <c r="X533" i="7"/>
  <c r="W533" i="7"/>
  <c r="V533" i="7"/>
  <c r="Y532" i="7"/>
  <c r="X532" i="7"/>
  <c r="W532" i="7"/>
  <c r="V532" i="7"/>
  <c r="Y531" i="7"/>
  <c r="X531" i="7"/>
  <c r="W531" i="7"/>
  <c r="V531" i="7"/>
  <c r="Y530" i="7"/>
  <c r="X530" i="7"/>
  <c r="W530" i="7"/>
  <c r="V530" i="7"/>
  <c r="Y529" i="7"/>
  <c r="X529" i="7"/>
  <c r="W529" i="7"/>
  <c r="V529" i="7"/>
  <c r="Y528" i="7"/>
  <c r="X528" i="7"/>
  <c r="W528" i="7"/>
  <c r="V528" i="7"/>
  <c r="Y527" i="7"/>
  <c r="X527" i="7"/>
  <c r="W527" i="7"/>
  <c r="V527" i="7"/>
  <c r="Y526" i="7"/>
  <c r="X526" i="7"/>
  <c r="W526" i="7"/>
  <c r="V526" i="7"/>
  <c r="Y525" i="7"/>
  <c r="X525" i="7"/>
  <c r="W525" i="7"/>
  <c r="V525" i="7"/>
  <c r="Y524" i="7"/>
  <c r="X524" i="7"/>
  <c r="W524" i="7"/>
  <c r="V524" i="7"/>
  <c r="Y523" i="7"/>
  <c r="X523" i="7"/>
  <c r="W523" i="7"/>
  <c r="V523" i="7"/>
  <c r="Y522" i="7"/>
  <c r="X522" i="7"/>
  <c r="W522" i="7"/>
  <c r="V522" i="7"/>
  <c r="Y521" i="7"/>
  <c r="X521" i="7"/>
  <c r="W521" i="7"/>
  <c r="V521" i="7"/>
  <c r="Y520" i="7"/>
  <c r="X520" i="7"/>
  <c r="W520" i="7"/>
  <c r="V520" i="7"/>
  <c r="Y519" i="7"/>
  <c r="X519" i="7"/>
  <c r="W519" i="7"/>
  <c r="V519" i="7"/>
  <c r="Y518" i="7"/>
  <c r="X518" i="7"/>
  <c r="W518" i="7"/>
  <c r="V518" i="7"/>
  <c r="Y517" i="7"/>
  <c r="X517" i="7"/>
  <c r="W517" i="7"/>
  <c r="V517" i="7"/>
  <c r="Y516" i="7"/>
  <c r="X516" i="7"/>
  <c r="W516" i="7"/>
  <c r="V516" i="7"/>
  <c r="Y515" i="7"/>
  <c r="X515" i="7"/>
  <c r="W515" i="7"/>
  <c r="V515" i="7"/>
  <c r="Y514" i="7"/>
  <c r="X514" i="7"/>
  <c r="W514" i="7"/>
  <c r="V514" i="7"/>
  <c r="Y513" i="7"/>
  <c r="X513" i="7"/>
  <c r="W513" i="7"/>
  <c r="V513" i="7"/>
  <c r="Y512" i="7"/>
  <c r="X512" i="7"/>
  <c r="W512" i="7"/>
  <c r="V512" i="7"/>
  <c r="Y511" i="7"/>
  <c r="X511" i="7"/>
  <c r="W511" i="7"/>
  <c r="V511" i="7"/>
  <c r="Y510" i="7"/>
  <c r="X510" i="7"/>
  <c r="W510" i="7"/>
  <c r="V510" i="7"/>
  <c r="Y509" i="7"/>
  <c r="X509" i="7"/>
  <c r="W509" i="7"/>
  <c r="V509" i="7"/>
  <c r="Y508" i="7"/>
  <c r="X508" i="7"/>
  <c r="W508" i="7"/>
  <c r="V508" i="7"/>
  <c r="Y507" i="7"/>
  <c r="X507" i="7"/>
  <c r="W507" i="7"/>
  <c r="V507" i="7"/>
  <c r="Y506" i="7"/>
  <c r="X506" i="7"/>
  <c r="W506" i="7"/>
  <c r="V506" i="7"/>
  <c r="Y505" i="7"/>
  <c r="X505" i="7"/>
  <c r="W505" i="7"/>
  <c r="V505" i="7"/>
  <c r="Y504" i="7"/>
  <c r="X504" i="7"/>
  <c r="W504" i="7"/>
  <c r="V504" i="7"/>
  <c r="Y503" i="7"/>
  <c r="X503" i="7"/>
  <c r="W503" i="7"/>
  <c r="V503" i="7"/>
  <c r="Y502" i="7"/>
  <c r="X502" i="7"/>
  <c r="W502" i="7"/>
  <c r="V502" i="7"/>
  <c r="Y501" i="7"/>
  <c r="X501" i="7"/>
  <c r="W501" i="7"/>
  <c r="V501" i="7"/>
  <c r="Y500" i="7"/>
  <c r="X500" i="7"/>
  <c r="W500" i="7"/>
  <c r="V500" i="7"/>
  <c r="Y499" i="7"/>
  <c r="X499" i="7"/>
  <c r="W499" i="7"/>
  <c r="V499" i="7"/>
  <c r="Y498" i="7"/>
  <c r="X498" i="7"/>
  <c r="W498" i="7"/>
  <c r="V498" i="7"/>
  <c r="Y497" i="7"/>
  <c r="X497" i="7"/>
  <c r="W497" i="7"/>
  <c r="V497" i="7"/>
  <c r="Y496" i="7"/>
  <c r="X496" i="7"/>
  <c r="W496" i="7"/>
  <c r="V496" i="7"/>
  <c r="Y495" i="7"/>
  <c r="X495" i="7"/>
  <c r="W495" i="7"/>
  <c r="V495" i="7"/>
  <c r="Y494" i="7"/>
  <c r="X494" i="7"/>
  <c r="W494" i="7"/>
  <c r="V494" i="7"/>
  <c r="Y493" i="7"/>
  <c r="X493" i="7"/>
  <c r="W493" i="7"/>
  <c r="V493" i="7"/>
  <c r="Y492" i="7"/>
  <c r="X492" i="7"/>
  <c r="W492" i="7"/>
  <c r="V492" i="7"/>
  <c r="Y491" i="7"/>
  <c r="X491" i="7"/>
  <c r="W491" i="7"/>
  <c r="V491" i="7"/>
  <c r="Y490" i="7"/>
  <c r="X490" i="7"/>
  <c r="W490" i="7"/>
  <c r="V490" i="7"/>
  <c r="Y489" i="7"/>
  <c r="X489" i="7"/>
  <c r="W489" i="7"/>
  <c r="V489" i="7"/>
  <c r="Y488" i="7"/>
  <c r="X488" i="7"/>
  <c r="W488" i="7"/>
  <c r="V488" i="7"/>
  <c r="Y487" i="7"/>
  <c r="X487" i="7"/>
  <c r="W487" i="7"/>
  <c r="V487" i="7"/>
  <c r="Y486" i="7"/>
  <c r="X486" i="7"/>
  <c r="W486" i="7"/>
  <c r="V486" i="7"/>
  <c r="Y485" i="7"/>
  <c r="X485" i="7"/>
  <c r="W485" i="7"/>
  <c r="V485" i="7"/>
  <c r="Y484" i="7"/>
  <c r="X484" i="7"/>
  <c r="W484" i="7"/>
  <c r="V484" i="7"/>
  <c r="Y483" i="7"/>
  <c r="X483" i="7"/>
  <c r="W483" i="7"/>
  <c r="V483" i="7"/>
  <c r="Y482" i="7"/>
  <c r="X482" i="7"/>
  <c r="W482" i="7"/>
  <c r="V482" i="7"/>
  <c r="Y481" i="7"/>
  <c r="X481" i="7"/>
  <c r="W481" i="7"/>
  <c r="V481" i="7"/>
  <c r="Y480" i="7"/>
  <c r="X480" i="7"/>
  <c r="W480" i="7"/>
  <c r="V480" i="7"/>
  <c r="Y479" i="7"/>
  <c r="X479" i="7"/>
  <c r="W479" i="7"/>
  <c r="V479" i="7"/>
  <c r="Y478" i="7"/>
  <c r="X478" i="7"/>
  <c r="W478" i="7"/>
  <c r="V478" i="7"/>
  <c r="Y477" i="7"/>
  <c r="X477" i="7"/>
  <c r="W477" i="7"/>
  <c r="V477" i="7"/>
  <c r="Y476" i="7"/>
  <c r="X476" i="7"/>
  <c r="W476" i="7"/>
  <c r="V476" i="7"/>
  <c r="Y475" i="7"/>
  <c r="X475" i="7"/>
  <c r="W475" i="7"/>
  <c r="V475" i="7"/>
  <c r="Y474" i="7"/>
  <c r="X474" i="7"/>
  <c r="W474" i="7"/>
  <c r="V474" i="7"/>
  <c r="Y473" i="7"/>
  <c r="X473" i="7"/>
  <c r="W473" i="7"/>
  <c r="V473" i="7"/>
  <c r="Y472" i="7"/>
  <c r="X472" i="7"/>
  <c r="W472" i="7"/>
  <c r="V472" i="7"/>
  <c r="Y471" i="7"/>
  <c r="X471" i="7"/>
  <c r="W471" i="7"/>
  <c r="V471" i="7"/>
  <c r="Y470" i="7"/>
  <c r="X470" i="7"/>
  <c r="W470" i="7"/>
  <c r="V470" i="7"/>
  <c r="Y469" i="7"/>
  <c r="X469" i="7"/>
  <c r="W469" i="7"/>
  <c r="V469" i="7"/>
  <c r="Y468" i="7"/>
  <c r="X468" i="7"/>
  <c r="W468" i="7"/>
  <c r="V468" i="7"/>
  <c r="Y467" i="7"/>
  <c r="X467" i="7"/>
  <c r="W467" i="7"/>
  <c r="V467" i="7"/>
  <c r="Y466" i="7"/>
  <c r="X466" i="7"/>
  <c r="W466" i="7"/>
  <c r="V466" i="7"/>
  <c r="Y465" i="7"/>
  <c r="X465" i="7"/>
  <c r="W465" i="7"/>
  <c r="V465" i="7"/>
  <c r="Y464" i="7"/>
  <c r="X464" i="7"/>
  <c r="W464" i="7"/>
  <c r="V464" i="7"/>
  <c r="Y463" i="7"/>
  <c r="X463" i="7"/>
  <c r="W463" i="7"/>
  <c r="V463" i="7"/>
  <c r="Y462" i="7"/>
  <c r="X462" i="7"/>
  <c r="W462" i="7"/>
  <c r="V462" i="7"/>
  <c r="Y461" i="7"/>
  <c r="X461" i="7"/>
  <c r="W461" i="7"/>
  <c r="V461" i="7"/>
  <c r="Y460" i="7"/>
  <c r="X460" i="7"/>
  <c r="W460" i="7"/>
  <c r="V460" i="7"/>
  <c r="Y459" i="7"/>
  <c r="X459" i="7"/>
  <c r="W459" i="7"/>
  <c r="V459" i="7"/>
  <c r="Y458" i="7"/>
  <c r="X458" i="7"/>
  <c r="W458" i="7"/>
  <c r="V458" i="7"/>
  <c r="Y457" i="7"/>
  <c r="X457" i="7"/>
  <c r="W457" i="7"/>
  <c r="V457" i="7"/>
  <c r="Y456" i="7"/>
  <c r="X456" i="7"/>
  <c r="W456" i="7"/>
  <c r="V456" i="7"/>
  <c r="Y455" i="7"/>
  <c r="X455" i="7"/>
  <c r="W455" i="7"/>
  <c r="V455" i="7"/>
  <c r="Y454" i="7"/>
  <c r="X454" i="7"/>
  <c r="W454" i="7"/>
  <c r="V454" i="7"/>
  <c r="Y453" i="7"/>
  <c r="X453" i="7"/>
  <c r="W453" i="7"/>
  <c r="V453" i="7"/>
  <c r="Y452" i="7"/>
  <c r="X452" i="7"/>
  <c r="W452" i="7"/>
  <c r="V452" i="7"/>
  <c r="Y451" i="7"/>
  <c r="X451" i="7"/>
  <c r="W451" i="7"/>
  <c r="V451" i="7"/>
  <c r="Y450" i="7"/>
  <c r="X450" i="7"/>
  <c r="W450" i="7"/>
  <c r="V450" i="7"/>
  <c r="Y449" i="7"/>
  <c r="X449" i="7"/>
  <c r="W449" i="7"/>
  <c r="V449" i="7"/>
  <c r="Y448" i="7"/>
  <c r="X448" i="7"/>
  <c r="W448" i="7"/>
  <c r="V448" i="7"/>
  <c r="Y447" i="7"/>
  <c r="X447" i="7"/>
  <c r="W447" i="7"/>
  <c r="V447" i="7"/>
  <c r="Y446" i="7"/>
  <c r="X446" i="7"/>
  <c r="W446" i="7"/>
  <c r="V446" i="7"/>
  <c r="Y445" i="7"/>
  <c r="X445" i="7"/>
  <c r="W445" i="7"/>
  <c r="V445" i="7"/>
  <c r="Y444" i="7"/>
  <c r="X444" i="7"/>
  <c r="W444" i="7"/>
  <c r="V444" i="7"/>
  <c r="Y443" i="7"/>
  <c r="X443" i="7"/>
  <c r="W443" i="7"/>
  <c r="V443" i="7"/>
  <c r="Y442" i="7"/>
  <c r="X442" i="7"/>
  <c r="W442" i="7"/>
  <c r="V442" i="7"/>
  <c r="Y441" i="7"/>
  <c r="X441" i="7"/>
  <c r="W441" i="7"/>
  <c r="V441" i="7"/>
  <c r="Y440" i="7"/>
  <c r="X440" i="7"/>
  <c r="W440" i="7"/>
  <c r="V440" i="7"/>
  <c r="Y439" i="7"/>
  <c r="X439" i="7"/>
  <c r="W439" i="7"/>
  <c r="V439" i="7"/>
  <c r="Y438" i="7"/>
  <c r="X438" i="7"/>
  <c r="W438" i="7"/>
  <c r="V438" i="7"/>
  <c r="Y437" i="7"/>
  <c r="X437" i="7"/>
  <c r="W437" i="7"/>
  <c r="V437" i="7"/>
  <c r="Y436" i="7"/>
  <c r="X436" i="7"/>
  <c r="W436" i="7"/>
  <c r="V436" i="7"/>
  <c r="Y435" i="7"/>
  <c r="X435" i="7"/>
  <c r="W435" i="7"/>
  <c r="V435" i="7"/>
  <c r="Y434" i="7"/>
  <c r="X434" i="7"/>
  <c r="W434" i="7"/>
  <c r="V434" i="7"/>
  <c r="Y433" i="7"/>
  <c r="X433" i="7"/>
  <c r="W433" i="7"/>
  <c r="V433" i="7"/>
  <c r="Y432" i="7"/>
  <c r="X432" i="7"/>
  <c r="W432" i="7"/>
  <c r="V432" i="7"/>
  <c r="Y431" i="7"/>
  <c r="X431" i="7"/>
  <c r="W431" i="7"/>
  <c r="V431" i="7"/>
  <c r="Y430" i="7"/>
  <c r="X430" i="7"/>
  <c r="W430" i="7"/>
  <c r="V430" i="7"/>
  <c r="Y429" i="7"/>
  <c r="X429" i="7"/>
  <c r="W429" i="7"/>
  <c r="V429" i="7"/>
  <c r="Y428" i="7"/>
  <c r="X428" i="7"/>
  <c r="W428" i="7"/>
  <c r="V428" i="7"/>
  <c r="Y427" i="7"/>
  <c r="X427" i="7"/>
  <c r="W427" i="7"/>
  <c r="V427" i="7"/>
  <c r="Y426" i="7"/>
  <c r="X426" i="7"/>
  <c r="W426" i="7"/>
  <c r="V426" i="7"/>
  <c r="Y425" i="7"/>
  <c r="X425" i="7"/>
  <c r="W425" i="7"/>
  <c r="V425" i="7"/>
  <c r="Y424" i="7"/>
  <c r="X424" i="7"/>
  <c r="W424" i="7"/>
  <c r="V424" i="7"/>
  <c r="Y423" i="7"/>
  <c r="X423" i="7"/>
  <c r="W423" i="7"/>
  <c r="V423" i="7"/>
  <c r="Y422" i="7"/>
  <c r="X422" i="7"/>
  <c r="W422" i="7"/>
  <c r="V422" i="7"/>
  <c r="Y421" i="7"/>
  <c r="X421" i="7"/>
  <c r="W421" i="7"/>
  <c r="V421" i="7"/>
  <c r="Y420" i="7"/>
  <c r="X420" i="7"/>
  <c r="W420" i="7"/>
  <c r="V420" i="7"/>
  <c r="Y419" i="7"/>
  <c r="X419" i="7"/>
  <c r="W419" i="7"/>
  <c r="V419" i="7"/>
  <c r="Y418" i="7"/>
  <c r="X418" i="7"/>
  <c r="W418" i="7"/>
  <c r="V418" i="7"/>
  <c r="Y417" i="7"/>
  <c r="X417" i="7"/>
  <c r="W417" i="7"/>
  <c r="V417" i="7"/>
  <c r="Y416" i="7"/>
  <c r="X416" i="7"/>
  <c r="W416" i="7"/>
  <c r="V416" i="7"/>
  <c r="Y415" i="7"/>
  <c r="X415" i="7"/>
  <c r="W415" i="7"/>
  <c r="V415" i="7"/>
  <c r="Y414" i="7"/>
  <c r="X414" i="7"/>
  <c r="W414" i="7"/>
  <c r="V414" i="7"/>
  <c r="Y413" i="7"/>
  <c r="X413" i="7"/>
  <c r="W413" i="7"/>
  <c r="V413" i="7"/>
  <c r="Y412" i="7"/>
  <c r="X412" i="7"/>
  <c r="W412" i="7"/>
  <c r="V412" i="7"/>
  <c r="Y411" i="7"/>
  <c r="X411" i="7"/>
  <c r="W411" i="7"/>
  <c r="V411" i="7"/>
  <c r="Y410" i="7"/>
  <c r="X410" i="7"/>
  <c r="W410" i="7"/>
  <c r="V410" i="7"/>
  <c r="Y409" i="7"/>
  <c r="X409" i="7"/>
  <c r="W409" i="7"/>
  <c r="V409" i="7"/>
  <c r="Y408" i="7"/>
  <c r="X408" i="7"/>
  <c r="W408" i="7"/>
  <c r="V408" i="7"/>
  <c r="Y407" i="7"/>
  <c r="X407" i="7"/>
  <c r="W407" i="7"/>
  <c r="V407" i="7"/>
  <c r="Y406" i="7"/>
  <c r="X406" i="7"/>
  <c r="W406" i="7"/>
  <c r="V406" i="7"/>
  <c r="Y405" i="7"/>
  <c r="X405" i="7"/>
  <c r="W405" i="7"/>
  <c r="V405" i="7"/>
  <c r="Y404" i="7"/>
  <c r="X404" i="7"/>
  <c r="W404" i="7"/>
  <c r="V404" i="7"/>
  <c r="Y403" i="7"/>
  <c r="X403" i="7"/>
  <c r="W403" i="7"/>
  <c r="V403" i="7"/>
  <c r="Y402" i="7"/>
  <c r="X402" i="7"/>
  <c r="W402" i="7"/>
  <c r="V402" i="7"/>
  <c r="Y401" i="7"/>
  <c r="X401" i="7"/>
  <c r="W401" i="7"/>
  <c r="V401" i="7"/>
  <c r="Y400" i="7"/>
  <c r="X400" i="7"/>
  <c r="W400" i="7"/>
  <c r="V400" i="7"/>
  <c r="Y399" i="7"/>
  <c r="X399" i="7"/>
  <c r="W399" i="7"/>
  <c r="V399" i="7"/>
  <c r="Y398" i="7"/>
  <c r="X398" i="7"/>
  <c r="W398" i="7"/>
  <c r="V398" i="7"/>
  <c r="Y397" i="7"/>
  <c r="X397" i="7"/>
  <c r="W397" i="7"/>
  <c r="V397" i="7"/>
  <c r="Y396" i="7"/>
  <c r="X396" i="7"/>
  <c r="W396" i="7"/>
  <c r="V396" i="7"/>
  <c r="Y395" i="7"/>
  <c r="X395" i="7"/>
  <c r="W395" i="7"/>
  <c r="V395" i="7"/>
  <c r="Y394" i="7"/>
  <c r="X394" i="7"/>
  <c r="W394" i="7"/>
  <c r="V394" i="7"/>
  <c r="Y393" i="7"/>
  <c r="X393" i="7"/>
  <c r="W393" i="7"/>
  <c r="V393" i="7"/>
  <c r="Y392" i="7"/>
  <c r="X392" i="7"/>
  <c r="W392" i="7"/>
  <c r="V392" i="7"/>
  <c r="Y391" i="7"/>
  <c r="X391" i="7"/>
  <c r="W391" i="7"/>
  <c r="V391" i="7"/>
  <c r="Y390" i="7"/>
  <c r="X390" i="7"/>
  <c r="W390" i="7"/>
  <c r="V390" i="7"/>
  <c r="Y389" i="7"/>
  <c r="X389" i="7"/>
  <c r="W389" i="7"/>
  <c r="V389" i="7"/>
  <c r="Y388" i="7"/>
  <c r="X388" i="7"/>
  <c r="W388" i="7"/>
  <c r="V388" i="7"/>
  <c r="Y387" i="7"/>
  <c r="X387" i="7"/>
  <c r="W387" i="7"/>
  <c r="V387" i="7"/>
  <c r="Y386" i="7"/>
  <c r="X386" i="7"/>
  <c r="W386" i="7"/>
  <c r="V386" i="7"/>
  <c r="Y385" i="7"/>
  <c r="X385" i="7"/>
  <c r="W385" i="7"/>
  <c r="V385" i="7"/>
  <c r="Y384" i="7"/>
  <c r="X384" i="7"/>
  <c r="W384" i="7"/>
  <c r="V384" i="7"/>
  <c r="Y383" i="7"/>
  <c r="X383" i="7"/>
  <c r="W383" i="7"/>
  <c r="V383" i="7"/>
  <c r="Y382" i="7"/>
  <c r="X382" i="7"/>
  <c r="W382" i="7"/>
  <c r="V382" i="7"/>
  <c r="Y381" i="7"/>
  <c r="X381" i="7"/>
  <c r="W381" i="7"/>
  <c r="V381" i="7"/>
  <c r="Y380" i="7"/>
  <c r="X380" i="7"/>
  <c r="W380" i="7"/>
  <c r="V380" i="7"/>
  <c r="Y379" i="7"/>
  <c r="X379" i="7"/>
  <c r="W379" i="7"/>
  <c r="V379" i="7"/>
  <c r="Y378" i="7"/>
  <c r="X378" i="7"/>
  <c r="W378" i="7"/>
  <c r="V378" i="7"/>
  <c r="Y377" i="7"/>
  <c r="X377" i="7"/>
  <c r="W377" i="7"/>
  <c r="V377" i="7"/>
  <c r="Y376" i="7"/>
  <c r="X376" i="7"/>
  <c r="W376" i="7"/>
  <c r="V376" i="7"/>
  <c r="Y375" i="7"/>
  <c r="X375" i="7"/>
  <c r="W375" i="7"/>
  <c r="V375" i="7"/>
  <c r="Y374" i="7"/>
  <c r="X374" i="7"/>
  <c r="W374" i="7"/>
  <c r="V374" i="7"/>
  <c r="Y373" i="7"/>
  <c r="X373" i="7"/>
  <c r="W373" i="7"/>
  <c r="V373" i="7"/>
  <c r="Y372" i="7"/>
  <c r="X372" i="7"/>
  <c r="W372" i="7"/>
  <c r="V372" i="7"/>
  <c r="Y371" i="7"/>
  <c r="X371" i="7"/>
  <c r="W371" i="7"/>
  <c r="V371" i="7"/>
  <c r="Y370" i="7"/>
  <c r="X370" i="7"/>
  <c r="W370" i="7"/>
  <c r="V370" i="7"/>
  <c r="Y369" i="7"/>
  <c r="X369" i="7"/>
  <c r="W369" i="7"/>
  <c r="V369" i="7"/>
  <c r="Y368" i="7"/>
  <c r="X368" i="7"/>
  <c r="W368" i="7"/>
  <c r="V368" i="7"/>
  <c r="Y367" i="7"/>
  <c r="X367" i="7"/>
  <c r="W367" i="7"/>
  <c r="V367" i="7"/>
  <c r="Y366" i="7"/>
  <c r="X366" i="7"/>
  <c r="W366" i="7"/>
  <c r="V366" i="7"/>
  <c r="Y365" i="7"/>
  <c r="X365" i="7"/>
  <c r="W365" i="7"/>
  <c r="V365" i="7"/>
  <c r="Y364" i="7"/>
  <c r="X364" i="7"/>
  <c r="W364" i="7"/>
  <c r="V364" i="7"/>
  <c r="Y363" i="7"/>
  <c r="X363" i="7"/>
  <c r="W363" i="7"/>
  <c r="V363" i="7"/>
  <c r="Y362" i="7"/>
  <c r="X362" i="7"/>
  <c r="W362" i="7"/>
  <c r="V362" i="7"/>
  <c r="Y361" i="7"/>
  <c r="X361" i="7"/>
  <c r="W361" i="7"/>
  <c r="V361" i="7"/>
  <c r="Y360" i="7"/>
  <c r="X360" i="7"/>
  <c r="W360" i="7"/>
  <c r="V360" i="7"/>
  <c r="Y359" i="7"/>
  <c r="X359" i="7"/>
  <c r="W359" i="7"/>
  <c r="V359" i="7"/>
  <c r="Y358" i="7"/>
  <c r="X358" i="7"/>
  <c r="W358" i="7"/>
  <c r="V358" i="7"/>
  <c r="Y357" i="7"/>
  <c r="X357" i="7"/>
  <c r="W357" i="7"/>
  <c r="V357" i="7"/>
  <c r="Y356" i="7"/>
  <c r="X356" i="7"/>
  <c r="W356" i="7"/>
  <c r="V356" i="7"/>
  <c r="Y355" i="7"/>
  <c r="X355" i="7"/>
  <c r="W355" i="7"/>
  <c r="V355" i="7"/>
  <c r="Y354" i="7"/>
  <c r="X354" i="7"/>
  <c r="W354" i="7"/>
  <c r="V354" i="7"/>
  <c r="Y353" i="7"/>
  <c r="X353" i="7"/>
  <c r="W353" i="7"/>
  <c r="V353" i="7"/>
  <c r="Y352" i="7"/>
  <c r="X352" i="7"/>
  <c r="W352" i="7"/>
  <c r="V352" i="7"/>
  <c r="Y351" i="7"/>
  <c r="X351" i="7"/>
  <c r="W351" i="7"/>
  <c r="V351" i="7"/>
  <c r="Y350" i="7"/>
  <c r="X350" i="7"/>
  <c r="W350" i="7"/>
  <c r="V350" i="7"/>
  <c r="Y349" i="7"/>
  <c r="X349" i="7"/>
  <c r="W349" i="7"/>
  <c r="V349" i="7"/>
  <c r="Y348" i="7"/>
  <c r="X348" i="7"/>
  <c r="W348" i="7"/>
  <c r="V348" i="7"/>
  <c r="Y347" i="7"/>
  <c r="X347" i="7"/>
  <c r="W347" i="7"/>
  <c r="V347" i="7"/>
  <c r="Y346" i="7"/>
  <c r="X346" i="7"/>
  <c r="W346" i="7"/>
  <c r="V346" i="7"/>
  <c r="Y345" i="7"/>
  <c r="X345" i="7"/>
  <c r="W345" i="7"/>
  <c r="V345" i="7"/>
  <c r="Y344" i="7"/>
  <c r="X344" i="7"/>
  <c r="W344" i="7"/>
  <c r="V344" i="7"/>
  <c r="Y343" i="7"/>
  <c r="X343" i="7"/>
  <c r="W343" i="7"/>
  <c r="V343" i="7"/>
  <c r="Y342" i="7"/>
  <c r="X342" i="7"/>
  <c r="W342" i="7"/>
  <c r="V342" i="7"/>
  <c r="Y341" i="7"/>
  <c r="X341" i="7"/>
  <c r="W341" i="7"/>
  <c r="V341" i="7"/>
  <c r="Y340" i="7"/>
  <c r="X340" i="7"/>
  <c r="W340" i="7"/>
  <c r="V340" i="7"/>
  <c r="Y339" i="7"/>
  <c r="X339" i="7"/>
  <c r="W339" i="7"/>
  <c r="V339" i="7"/>
  <c r="Y338" i="7"/>
  <c r="X338" i="7"/>
  <c r="W338" i="7"/>
  <c r="V338" i="7"/>
  <c r="Y337" i="7"/>
  <c r="X337" i="7"/>
  <c r="W337" i="7"/>
  <c r="V337" i="7"/>
  <c r="Y336" i="7"/>
  <c r="X336" i="7"/>
  <c r="W336" i="7"/>
  <c r="V336" i="7"/>
  <c r="Y335" i="7"/>
  <c r="X335" i="7"/>
  <c r="W335" i="7"/>
  <c r="V335" i="7"/>
  <c r="Y334" i="7"/>
  <c r="X334" i="7"/>
  <c r="W334" i="7"/>
  <c r="V334" i="7"/>
  <c r="Y333" i="7"/>
  <c r="X333" i="7"/>
  <c r="W333" i="7"/>
  <c r="V333" i="7"/>
  <c r="Y332" i="7"/>
  <c r="X332" i="7"/>
  <c r="W332" i="7"/>
  <c r="V332" i="7"/>
  <c r="Y331" i="7"/>
  <c r="X331" i="7"/>
  <c r="W331" i="7"/>
  <c r="V331" i="7"/>
  <c r="Y330" i="7"/>
  <c r="X330" i="7"/>
  <c r="W330" i="7"/>
  <c r="V330" i="7"/>
  <c r="Y329" i="7"/>
  <c r="X329" i="7"/>
  <c r="W329" i="7"/>
  <c r="V329" i="7"/>
  <c r="Y328" i="7"/>
  <c r="X328" i="7"/>
  <c r="W328" i="7"/>
  <c r="V328" i="7"/>
  <c r="Y327" i="7"/>
  <c r="X327" i="7"/>
  <c r="W327" i="7"/>
  <c r="V327" i="7"/>
  <c r="Y326" i="7"/>
  <c r="X326" i="7"/>
  <c r="W326" i="7"/>
  <c r="V326" i="7"/>
  <c r="Y325" i="7"/>
  <c r="X325" i="7"/>
  <c r="W325" i="7"/>
  <c r="V325" i="7"/>
  <c r="Y324" i="7"/>
  <c r="X324" i="7"/>
  <c r="W324" i="7"/>
  <c r="V324" i="7"/>
  <c r="Y323" i="7"/>
  <c r="X323" i="7"/>
  <c r="W323" i="7"/>
  <c r="V323" i="7"/>
  <c r="Y322" i="7"/>
  <c r="X322" i="7"/>
  <c r="W322" i="7"/>
  <c r="V322" i="7"/>
  <c r="Y321" i="7"/>
  <c r="X321" i="7"/>
  <c r="W321" i="7"/>
  <c r="V321" i="7"/>
  <c r="Y320" i="7"/>
  <c r="X320" i="7"/>
  <c r="W320" i="7"/>
  <c r="V320" i="7"/>
  <c r="Y319" i="7"/>
  <c r="X319" i="7"/>
  <c r="W319" i="7"/>
  <c r="V319" i="7"/>
  <c r="Y318" i="7"/>
  <c r="X318" i="7"/>
  <c r="W318" i="7"/>
  <c r="V318" i="7"/>
  <c r="Y317" i="7"/>
  <c r="X317" i="7"/>
  <c r="W317" i="7"/>
  <c r="V317" i="7"/>
  <c r="Y316" i="7"/>
  <c r="X316" i="7"/>
  <c r="W316" i="7"/>
  <c r="V316" i="7"/>
  <c r="Y315" i="7"/>
  <c r="X315" i="7"/>
  <c r="W315" i="7"/>
  <c r="V315" i="7"/>
  <c r="Y314" i="7"/>
  <c r="X314" i="7"/>
  <c r="W314" i="7"/>
  <c r="V314" i="7"/>
  <c r="Y313" i="7"/>
  <c r="X313" i="7"/>
  <c r="W313" i="7"/>
  <c r="V313" i="7"/>
  <c r="Y312" i="7"/>
  <c r="X312" i="7"/>
  <c r="W312" i="7"/>
  <c r="V312" i="7"/>
  <c r="Y311" i="7"/>
  <c r="X311" i="7"/>
  <c r="W311" i="7"/>
  <c r="V311" i="7"/>
  <c r="Y310" i="7"/>
  <c r="X310" i="7"/>
  <c r="W310" i="7"/>
  <c r="V310" i="7"/>
  <c r="Y309" i="7"/>
  <c r="X309" i="7"/>
  <c r="W309" i="7"/>
  <c r="V309" i="7"/>
  <c r="Y308" i="7"/>
  <c r="X308" i="7"/>
  <c r="W308" i="7"/>
  <c r="V308" i="7"/>
  <c r="Y307" i="7"/>
  <c r="X307" i="7"/>
  <c r="W307" i="7"/>
  <c r="V307" i="7"/>
  <c r="Y306" i="7"/>
  <c r="X306" i="7"/>
  <c r="W306" i="7"/>
  <c r="V306" i="7"/>
  <c r="Y305" i="7"/>
  <c r="X305" i="7"/>
  <c r="W305" i="7"/>
  <c r="V305" i="7"/>
  <c r="Y304" i="7"/>
  <c r="X304" i="7"/>
  <c r="W304" i="7"/>
  <c r="V304" i="7"/>
  <c r="Y303" i="7"/>
  <c r="X303" i="7"/>
  <c r="W303" i="7"/>
  <c r="V303" i="7"/>
  <c r="Y302" i="7"/>
  <c r="X302" i="7"/>
  <c r="W302" i="7"/>
  <c r="V302" i="7"/>
  <c r="Y301" i="7"/>
  <c r="X301" i="7"/>
  <c r="W301" i="7"/>
  <c r="V301" i="7"/>
  <c r="Y300" i="7"/>
  <c r="X300" i="7"/>
  <c r="W300" i="7"/>
  <c r="V300" i="7"/>
  <c r="Y299" i="7"/>
  <c r="X299" i="7"/>
  <c r="W299" i="7"/>
  <c r="V299" i="7"/>
  <c r="Y298" i="7"/>
  <c r="X298" i="7"/>
  <c r="W298" i="7"/>
  <c r="V298" i="7"/>
  <c r="Y297" i="7"/>
  <c r="X297" i="7"/>
  <c r="W297" i="7"/>
  <c r="V297" i="7"/>
  <c r="Y296" i="7"/>
  <c r="X296" i="7"/>
  <c r="W296" i="7"/>
  <c r="V296" i="7"/>
  <c r="Y295" i="7"/>
  <c r="X295" i="7"/>
  <c r="W295" i="7"/>
  <c r="V295" i="7"/>
  <c r="Y294" i="7"/>
  <c r="X294" i="7"/>
  <c r="W294" i="7"/>
  <c r="V294" i="7"/>
  <c r="Y293" i="7"/>
  <c r="X293" i="7"/>
  <c r="W293" i="7"/>
  <c r="V293" i="7"/>
  <c r="Y292" i="7"/>
  <c r="X292" i="7"/>
  <c r="W292" i="7"/>
  <c r="V292" i="7"/>
  <c r="Y291" i="7"/>
  <c r="X291" i="7"/>
  <c r="W291" i="7"/>
  <c r="V291" i="7"/>
  <c r="Y290" i="7"/>
  <c r="X290" i="7"/>
  <c r="W290" i="7"/>
  <c r="V290" i="7"/>
  <c r="Y289" i="7"/>
  <c r="X289" i="7"/>
  <c r="W289" i="7"/>
  <c r="V289" i="7"/>
  <c r="Y288" i="7"/>
  <c r="X288" i="7"/>
  <c r="W288" i="7"/>
  <c r="V288" i="7"/>
  <c r="Y287" i="7"/>
  <c r="X287" i="7"/>
  <c r="W287" i="7"/>
  <c r="V287" i="7"/>
  <c r="Y286" i="7"/>
  <c r="X286" i="7"/>
  <c r="W286" i="7"/>
  <c r="V286" i="7"/>
  <c r="Y285" i="7"/>
  <c r="X285" i="7"/>
  <c r="W285" i="7"/>
  <c r="V285" i="7"/>
  <c r="Y284" i="7"/>
  <c r="X284" i="7"/>
  <c r="W284" i="7"/>
  <c r="V284" i="7"/>
  <c r="Y283" i="7"/>
  <c r="X283" i="7"/>
  <c r="W283" i="7"/>
  <c r="V283" i="7"/>
  <c r="Y282" i="7"/>
  <c r="X282" i="7"/>
  <c r="W282" i="7"/>
  <c r="V282" i="7"/>
  <c r="Y281" i="7"/>
  <c r="X281" i="7"/>
  <c r="W281" i="7"/>
  <c r="V281" i="7"/>
  <c r="Y280" i="7"/>
  <c r="X280" i="7"/>
  <c r="W280" i="7"/>
  <c r="V280" i="7"/>
  <c r="Y279" i="7"/>
  <c r="X279" i="7"/>
  <c r="W279" i="7"/>
  <c r="V279" i="7"/>
  <c r="Y278" i="7"/>
  <c r="X278" i="7"/>
  <c r="W278" i="7"/>
  <c r="V278" i="7"/>
  <c r="Y277" i="7"/>
  <c r="X277" i="7"/>
  <c r="W277" i="7"/>
  <c r="V277" i="7"/>
  <c r="Y276" i="7"/>
  <c r="X276" i="7"/>
  <c r="W276" i="7"/>
  <c r="V276" i="7"/>
  <c r="Y275" i="7"/>
  <c r="X275" i="7"/>
  <c r="W275" i="7"/>
  <c r="V275" i="7"/>
  <c r="Y274" i="7"/>
  <c r="X274" i="7"/>
  <c r="W274" i="7"/>
  <c r="V274" i="7"/>
  <c r="Y273" i="7"/>
  <c r="X273" i="7"/>
  <c r="W273" i="7"/>
  <c r="V273" i="7"/>
  <c r="Y272" i="7"/>
  <c r="X272" i="7"/>
  <c r="W272" i="7"/>
  <c r="V272" i="7"/>
  <c r="Y271" i="7"/>
  <c r="X271" i="7"/>
  <c r="W271" i="7"/>
  <c r="V271" i="7"/>
  <c r="Y270" i="7"/>
  <c r="X270" i="7"/>
  <c r="W270" i="7"/>
  <c r="V270" i="7"/>
  <c r="Y269" i="7"/>
  <c r="X269" i="7"/>
  <c r="W269" i="7"/>
  <c r="V269" i="7"/>
  <c r="Y268" i="7"/>
  <c r="X268" i="7"/>
  <c r="W268" i="7"/>
  <c r="V268" i="7"/>
  <c r="Y267" i="7"/>
  <c r="X267" i="7"/>
  <c r="W267" i="7"/>
  <c r="V267" i="7"/>
  <c r="Y266" i="7"/>
  <c r="X266" i="7"/>
  <c r="W266" i="7"/>
  <c r="V266" i="7"/>
  <c r="Y265" i="7"/>
  <c r="X265" i="7"/>
  <c r="W265" i="7"/>
  <c r="V265" i="7"/>
  <c r="Y264" i="7"/>
  <c r="X264" i="7"/>
  <c r="W264" i="7"/>
  <c r="V264" i="7"/>
  <c r="Y263" i="7"/>
  <c r="X263" i="7"/>
  <c r="W263" i="7"/>
  <c r="V263" i="7"/>
  <c r="Y262" i="7"/>
  <c r="X262" i="7"/>
  <c r="W262" i="7"/>
  <c r="V262" i="7"/>
  <c r="Y261" i="7"/>
  <c r="X261" i="7"/>
  <c r="W261" i="7"/>
  <c r="V261" i="7"/>
  <c r="Y260" i="7"/>
  <c r="X260" i="7"/>
  <c r="W260" i="7"/>
  <c r="V260" i="7"/>
  <c r="Y259" i="7"/>
  <c r="X259" i="7"/>
  <c r="W259" i="7"/>
  <c r="V259" i="7"/>
  <c r="Y258" i="7"/>
  <c r="X258" i="7"/>
  <c r="W258" i="7"/>
  <c r="V258" i="7"/>
  <c r="Y257" i="7"/>
  <c r="X257" i="7"/>
  <c r="W257" i="7"/>
  <c r="V257" i="7"/>
  <c r="Y256" i="7"/>
  <c r="X256" i="7"/>
  <c r="W256" i="7"/>
  <c r="V256" i="7"/>
  <c r="Y255" i="7"/>
  <c r="X255" i="7"/>
  <c r="W255" i="7"/>
  <c r="V255" i="7"/>
  <c r="Y254" i="7"/>
  <c r="X254" i="7"/>
  <c r="W254" i="7"/>
  <c r="V254" i="7"/>
  <c r="Y253" i="7"/>
  <c r="X253" i="7"/>
  <c r="W253" i="7"/>
  <c r="V253" i="7"/>
  <c r="Y252" i="7"/>
  <c r="X252" i="7"/>
  <c r="W252" i="7"/>
  <c r="V252" i="7"/>
  <c r="Y251" i="7"/>
  <c r="X251" i="7"/>
  <c r="W251" i="7"/>
  <c r="V251" i="7"/>
  <c r="Y250" i="7"/>
  <c r="X250" i="7"/>
  <c r="W250" i="7"/>
  <c r="V250" i="7"/>
  <c r="Y249" i="7"/>
  <c r="X249" i="7"/>
  <c r="W249" i="7"/>
  <c r="V249" i="7"/>
  <c r="Y248" i="7"/>
  <c r="X248" i="7"/>
  <c r="W248" i="7"/>
  <c r="V248" i="7"/>
  <c r="Y247" i="7"/>
  <c r="X247" i="7"/>
  <c r="W247" i="7"/>
  <c r="V247" i="7"/>
  <c r="Y246" i="7"/>
  <c r="X246" i="7"/>
  <c r="W246" i="7"/>
  <c r="V246" i="7"/>
  <c r="Y245" i="7"/>
  <c r="X245" i="7"/>
  <c r="W245" i="7"/>
  <c r="V245" i="7"/>
  <c r="Y244" i="7"/>
  <c r="X244" i="7"/>
  <c r="W244" i="7"/>
  <c r="V244" i="7"/>
  <c r="Y243" i="7"/>
  <c r="X243" i="7"/>
  <c r="W243" i="7"/>
  <c r="V243" i="7"/>
  <c r="Y242" i="7"/>
  <c r="X242" i="7"/>
  <c r="W242" i="7"/>
  <c r="V242" i="7"/>
  <c r="Y241" i="7"/>
  <c r="X241" i="7"/>
  <c r="W241" i="7"/>
  <c r="V241" i="7"/>
  <c r="Y240" i="7"/>
  <c r="X240" i="7"/>
  <c r="W240" i="7"/>
  <c r="V240" i="7"/>
  <c r="Y239" i="7"/>
  <c r="X239" i="7"/>
  <c r="W239" i="7"/>
  <c r="V239" i="7"/>
  <c r="Y238" i="7"/>
  <c r="X238" i="7"/>
  <c r="W238" i="7"/>
  <c r="V238" i="7"/>
  <c r="Y237" i="7"/>
  <c r="X237" i="7"/>
  <c r="W237" i="7"/>
  <c r="V237" i="7"/>
  <c r="Y236" i="7"/>
  <c r="X236" i="7"/>
  <c r="W236" i="7"/>
  <c r="V236" i="7"/>
  <c r="Y235" i="7"/>
  <c r="X235" i="7"/>
  <c r="W235" i="7"/>
  <c r="V235" i="7"/>
  <c r="Y234" i="7"/>
  <c r="X234" i="7"/>
  <c r="W234" i="7"/>
  <c r="V234" i="7"/>
  <c r="Y233" i="7"/>
  <c r="X233" i="7"/>
  <c r="W233" i="7"/>
  <c r="V233" i="7"/>
  <c r="Y232" i="7"/>
  <c r="X232" i="7"/>
  <c r="W232" i="7"/>
  <c r="V232" i="7"/>
  <c r="Y231" i="7"/>
  <c r="X231" i="7"/>
  <c r="W231" i="7"/>
  <c r="V231" i="7"/>
  <c r="Y230" i="7"/>
  <c r="X230" i="7"/>
  <c r="W230" i="7"/>
  <c r="V230" i="7"/>
  <c r="Y229" i="7"/>
  <c r="X229" i="7"/>
  <c r="W229" i="7"/>
  <c r="V229" i="7"/>
  <c r="Y228" i="7"/>
  <c r="X228" i="7"/>
  <c r="W228" i="7"/>
  <c r="V228" i="7"/>
  <c r="Y227" i="7"/>
  <c r="X227" i="7"/>
  <c r="W227" i="7"/>
  <c r="V227" i="7"/>
  <c r="Y226" i="7"/>
  <c r="X226" i="7"/>
  <c r="W226" i="7"/>
  <c r="V226" i="7"/>
  <c r="Y225" i="7"/>
  <c r="X225" i="7"/>
  <c r="W225" i="7"/>
  <c r="V225" i="7"/>
  <c r="Y224" i="7"/>
  <c r="X224" i="7"/>
  <c r="W224" i="7"/>
  <c r="V224" i="7"/>
  <c r="Y223" i="7"/>
  <c r="X223" i="7"/>
  <c r="W223" i="7"/>
  <c r="V223" i="7"/>
  <c r="Y222" i="7"/>
  <c r="X222" i="7"/>
  <c r="W222" i="7"/>
  <c r="V222" i="7"/>
  <c r="Y221" i="7"/>
  <c r="X221" i="7"/>
  <c r="W221" i="7"/>
  <c r="V221" i="7"/>
  <c r="Y220" i="7"/>
  <c r="X220" i="7"/>
  <c r="W220" i="7"/>
  <c r="V220" i="7"/>
  <c r="Y219" i="7"/>
  <c r="X219" i="7"/>
  <c r="W219" i="7"/>
  <c r="V219" i="7"/>
  <c r="Y218" i="7"/>
  <c r="X218" i="7"/>
  <c r="W218" i="7"/>
  <c r="V218" i="7"/>
  <c r="Y217" i="7"/>
  <c r="X217" i="7"/>
  <c r="W217" i="7"/>
  <c r="V217" i="7"/>
  <c r="Y216" i="7"/>
  <c r="X216" i="7"/>
  <c r="W216" i="7"/>
  <c r="V216" i="7"/>
  <c r="Y215" i="7"/>
  <c r="X215" i="7"/>
  <c r="W215" i="7"/>
  <c r="V215" i="7"/>
  <c r="Y214" i="7"/>
  <c r="X214" i="7"/>
  <c r="W214" i="7"/>
  <c r="V214" i="7"/>
  <c r="Y213" i="7"/>
  <c r="X213" i="7"/>
  <c r="W213" i="7"/>
  <c r="V213" i="7"/>
  <c r="Y212" i="7"/>
  <c r="X212" i="7"/>
  <c r="W212" i="7"/>
  <c r="V212" i="7"/>
  <c r="Y211" i="7"/>
  <c r="X211" i="7"/>
  <c r="W211" i="7"/>
  <c r="V211" i="7"/>
  <c r="Y210" i="7"/>
  <c r="X210" i="7"/>
  <c r="W210" i="7"/>
  <c r="V210" i="7"/>
  <c r="Y209" i="7"/>
  <c r="X209" i="7"/>
  <c r="W209" i="7"/>
  <c r="V209" i="7"/>
  <c r="Y208" i="7"/>
  <c r="X208" i="7"/>
  <c r="W208" i="7"/>
  <c r="V208" i="7"/>
  <c r="Y207" i="7"/>
  <c r="X207" i="7"/>
  <c r="W207" i="7"/>
  <c r="V207" i="7"/>
  <c r="Y206" i="7"/>
  <c r="X206" i="7"/>
  <c r="W206" i="7"/>
  <c r="V206" i="7"/>
  <c r="Y205" i="7"/>
  <c r="X205" i="7"/>
  <c r="W205" i="7"/>
  <c r="V205" i="7"/>
  <c r="Y204" i="7"/>
  <c r="X204" i="7"/>
  <c r="W204" i="7"/>
  <c r="V204" i="7"/>
  <c r="Y203" i="7"/>
  <c r="X203" i="7"/>
  <c r="W203" i="7"/>
  <c r="V203" i="7"/>
  <c r="Y202" i="7"/>
  <c r="X202" i="7"/>
  <c r="W202" i="7"/>
  <c r="V202" i="7"/>
  <c r="Y201" i="7"/>
  <c r="X201" i="7"/>
  <c r="W201" i="7"/>
  <c r="V201" i="7"/>
  <c r="Y200" i="7"/>
  <c r="X200" i="7"/>
  <c r="W200" i="7"/>
  <c r="V200" i="7"/>
  <c r="Y199" i="7"/>
  <c r="X199" i="7"/>
  <c r="W199" i="7"/>
  <c r="V199" i="7"/>
  <c r="Y198" i="7"/>
  <c r="X198" i="7"/>
  <c r="W198" i="7"/>
  <c r="V198" i="7"/>
  <c r="Y197" i="7"/>
  <c r="X197" i="7"/>
  <c r="W197" i="7"/>
  <c r="V197" i="7"/>
  <c r="Y196" i="7"/>
  <c r="X196" i="7"/>
  <c r="W196" i="7"/>
  <c r="V196" i="7"/>
  <c r="Y195" i="7"/>
  <c r="X195" i="7"/>
  <c r="W195" i="7"/>
  <c r="V195" i="7"/>
  <c r="Y194" i="7"/>
  <c r="X194" i="7"/>
  <c r="W194" i="7"/>
  <c r="V194" i="7"/>
  <c r="Y193" i="7"/>
  <c r="X193" i="7"/>
  <c r="W193" i="7"/>
  <c r="V193" i="7"/>
  <c r="Y192" i="7"/>
  <c r="X192" i="7"/>
  <c r="W192" i="7"/>
  <c r="V192" i="7"/>
  <c r="Y191" i="7"/>
  <c r="X191" i="7"/>
  <c r="W191" i="7"/>
  <c r="V191" i="7"/>
  <c r="Y190" i="7"/>
  <c r="X190" i="7"/>
  <c r="W190" i="7"/>
  <c r="V190" i="7"/>
  <c r="Y189" i="7"/>
  <c r="X189" i="7"/>
  <c r="W189" i="7"/>
  <c r="V189" i="7"/>
  <c r="Y188" i="7"/>
  <c r="X188" i="7"/>
  <c r="W188" i="7"/>
  <c r="V188" i="7"/>
  <c r="Y187" i="7"/>
  <c r="X187" i="7"/>
  <c r="W187" i="7"/>
  <c r="V187" i="7"/>
  <c r="Y186" i="7"/>
  <c r="X186" i="7"/>
  <c r="W186" i="7"/>
  <c r="V186" i="7"/>
  <c r="Y185" i="7"/>
  <c r="X185" i="7"/>
  <c r="W185" i="7"/>
  <c r="V185" i="7"/>
  <c r="Y184" i="7"/>
  <c r="X184" i="7"/>
  <c r="W184" i="7"/>
  <c r="V184" i="7"/>
  <c r="Y183" i="7"/>
  <c r="X183" i="7"/>
  <c r="W183" i="7"/>
  <c r="V183" i="7"/>
  <c r="Y182" i="7"/>
  <c r="X182" i="7"/>
  <c r="W182" i="7"/>
  <c r="V182" i="7"/>
  <c r="Y181" i="7"/>
  <c r="X181" i="7"/>
  <c r="W181" i="7"/>
  <c r="V181" i="7"/>
  <c r="Y180" i="7"/>
  <c r="X180" i="7"/>
  <c r="W180" i="7"/>
  <c r="V180" i="7"/>
  <c r="Y179" i="7"/>
  <c r="X179" i="7"/>
  <c r="W179" i="7"/>
  <c r="V179" i="7"/>
  <c r="Y178" i="7"/>
  <c r="X178" i="7"/>
  <c r="W178" i="7"/>
  <c r="V178" i="7"/>
  <c r="Y177" i="7"/>
  <c r="X177" i="7"/>
  <c r="W177" i="7"/>
  <c r="V177" i="7"/>
  <c r="Y176" i="7"/>
  <c r="X176" i="7"/>
  <c r="W176" i="7"/>
  <c r="V176" i="7"/>
  <c r="Y175" i="7"/>
  <c r="X175" i="7"/>
  <c r="W175" i="7"/>
  <c r="V175" i="7"/>
  <c r="Y174" i="7"/>
  <c r="X174" i="7"/>
  <c r="W174" i="7"/>
  <c r="V174" i="7"/>
  <c r="Y173" i="7"/>
  <c r="X173" i="7"/>
  <c r="W173" i="7"/>
  <c r="V173" i="7"/>
  <c r="Y172" i="7"/>
  <c r="X172" i="7"/>
  <c r="W172" i="7"/>
  <c r="V172" i="7"/>
  <c r="Y171" i="7"/>
  <c r="X171" i="7"/>
  <c r="W171" i="7"/>
  <c r="V171" i="7"/>
  <c r="Y170" i="7"/>
  <c r="X170" i="7"/>
  <c r="W170" i="7"/>
  <c r="V170" i="7"/>
  <c r="Y169" i="7"/>
  <c r="X169" i="7"/>
  <c r="W169" i="7"/>
  <c r="V169" i="7"/>
  <c r="Y168" i="7"/>
  <c r="X168" i="7"/>
  <c r="W168" i="7"/>
  <c r="V168" i="7"/>
  <c r="Y167" i="7"/>
  <c r="X167" i="7"/>
  <c r="W167" i="7"/>
  <c r="V167" i="7"/>
  <c r="Y166" i="7"/>
  <c r="X166" i="7"/>
  <c r="W166" i="7"/>
  <c r="V166" i="7"/>
  <c r="Y165" i="7"/>
  <c r="X165" i="7"/>
  <c r="W165" i="7"/>
  <c r="V165" i="7"/>
  <c r="Y164" i="7"/>
  <c r="X164" i="7"/>
  <c r="W164" i="7"/>
  <c r="V164" i="7"/>
  <c r="Y163" i="7"/>
  <c r="X163" i="7"/>
  <c r="W163" i="7"/>
  <c r="V163" i="7"/>
  <c r="Y162" i="7"/>
  <c r="X162" i="7"/>
  <c r="W162" i="7"/>
  <c r="V162" i="7"/>
  <c r="Y161" i="7"/>
  <c r="X161" i="7"/>
  <c r="W161" i="7"/>
  <c r="V161" i="7"/>
  <c r="Y160" i="7"/>
  <c r="X160" i="7"/>
  <c r="W160" i="7"/>
  <c r="V160" i="7"/>
  <c r="Y159" i="7"/>
  <c r="X159" i="7"/>
  <c r="W159" i="7"/>
  <c r="V159" i="7"/>
  <c r="Y158" i="7"/>
  <c r="X158" i="7"/>
  <c r="W158" i="7"/>
  <c r="V158" i="7"/>
  <c r="Y157" i="7"/>
  <c r="X157" i="7"/>
  <c r="W157" i="7"/>
  <c r="V157" i="7"/>
  <c r="Y156" i="7"/>
  <c r="X156" i="7"/>
  <c r="W156" i="7"/>
  <c r="V156" i="7"/>
  <c r="Y155" i="7"/>
  <c r="X155" i="7"/>
  <c r="W155" i="7"/>
  <c r="V155" i="7"/>
  <c r="Y154" i="7"/>
  <c r="X154" i="7"/>
  <c r="W154" i="7"/>
  <c r="V154" i="7"/>
  <c r="Y153" i="7"/>
  <c r="X153" i="7"/>
  <c r="W153" i="7"/>
  <c r="V153" i="7"/>
  <c r="Y152" i="7"/>
  <c r="X152" i="7"/>
  <c r="W152" i="7"/>
  <c r="V152" i="7"/>
  <c r="Y151" i="7"/>
  <c r="X151" i="7"/>
  <c r="W151" i="7"/>
  <c r="V151" i="7"/>
  <c r="Y150" i="7"/>
  <c r="X150" i="7"/>
  <c r="W150" i="7"/>
  <c r="V150" i="7"/>
  <c r="Y149" i="7"/>
  <c r="X149" i="7"/>
  <c r="W149" i="7"/>
  <c r="V149" i="7"/>
  <c r="Y148" i="7"/>
  <c r="X148" i="7"/>
  <c r="W148" i="7"/>
  <c r="V148" i="7"/>
  <c r="Y147" i="7"/>
  <c r="X147" i="7"/>
  <c r="W147" i="7"/>
  <c r="V147" i="7"/>
  <c r="Y146" i="7"/>
  <c r="X146" i="7"/>
  <c r="W146" i="7"/>
  <c r="V146" i="7"/>
  <c r="Y145" i="7"/>
  <c r="X145" i="7"/>
  <c r="W145" i="7"/>
  <c r="V145" i="7"/>
  <c r="Y144" i="7"/>
  <c r="X144" i="7"/>
  <c r="W144" i="7"/>
  <c r="V144" i="7"/>
  <c r="Y143" i="7"/>
  <c r="X143" i="7"/>
  <c r="W143" i="7"/>
  <c r="V143" i="7"/>
  <c r="Y142" i="7"/>
  <c r="X142" i="7"/>
  <c r="W142" i="7"/>
  <c r="V142" i="7"/>
  <c r="Y141" i="7"/>
  <c r="X141" i="7"/>
  <c r="W141" i="7"/>
  <c r="V141" i="7"/>
  <c r="Y140" i="7"/>
  <c r="X140" i="7"/>
  <c r="W140" i="7"/>
  <c r="V140" i="7"/>
  <c r="Y139" i="7"/>
  <c r="X139" i="7"/>
  <c r="W139" i="7"/>
  <c r="V139" i="7"/>
  <c r="Y138" i="7"/>
  <c r="X138" i="7"/>
  <c r="W138" i="7"/>
  <c r="V138" i="7"/>
  <c r="Y137" i="7"/>
  <c r="X137" i="7"/>
  <c r="W137" i="7"/>
  <c r="V137" i="7"/>
  <c r="Y136" i="7"/>
  <c r="X136" i="7"/>
  <c r="W136" i="7"/>
  <c r="V136" i="7"/>
  <c r="Y135" i="7"/>
  <c r="X135" i="7"/>
  <c r="W135" i="7"/>
  <c r="V135" i="7"/>
  <c r="Y134" i="7"/>
  <c r="X134" i="7"/>
  <c r="W134" i="7"/>
  <c r="V134" i="7"/>
  <c r="Y133" i="7"/>
  <c r="X133" i="7"/>
  <c r="W133" i="7"/>
  <c r="V133" i="7"/>
  <c r="Y132" i="7"/>
  <c r="X132" i="7"/>
  <c r="W132" i="7"/>
  <c r="V132" i="7"/>
  <c r="Y131" i="7"/>
  <c r="X131" i="7"/>
  <c r="W131" i="7"/>
  <c r="V131" i="7"/>
  <c r="Y130" i="7"/>
  <c r="X130" i="7"/>
  <c r="W130" i="7"/>
  <c r="V130" i="7"/>
  <c r="Y129" i="7"/>
  <c r="X129" i="7"/>
  <c r="W129" i="7"/>
  <c r="V129" i="7"/>
  <c r="Y128" i="7"/>
  <c r="X128" i="7"/>
  <c r="W128" i="7"/>
  <c r="V128" i="7"/>
  <c r="Y127" i="7"/>
  <c r="X127" i="7"/>
  <c r="W127" i="7"/>
  <c r="V127" i="7"/>
  <c r="Y126" i="7"/>
  <c r="X126" i="7"/>
  <c r="W126" i="7"/>
  <c r="V126" i="7"/>
  <c r="Y125" i="7"/>
  <c r="X125" i="7"/>
  <c r="W125" i="7"/>
  <c r="V125" i="7"/>
  <c r="Y124" i="7"/>
  <c r="X124" i="7"/>
  <c r="W124" i="7"/>
  <c r="V124" i="7"/>
  <c r="Y123" i="7"/>
  <c r="X123" i="7"/>
  <c r="W123" i="7"/>
  <c r="V123" i="7"/>
  <c r="Y122" i="7"/>
  <c r="X122" i="7"/>
  <c r="W122" i="7"/>
  <c r="V122" i="7"/>
  <c r="Y121" i="7"/>
  <c r="X121" i="7"/>
  <c r="W121" i="7"/>
  <c r="V121" i="7"/>
  <c r="Y120" i="7"/>
  <c r="X120" i="7"/>
  <c r="W120" i="7"/>
  <c r="V120" i="7"/>
  <c r="Y119" i="7"/>
  <c r="X119" i="7"/>
  <c r="W119" i="7"/>
  <c r="V119" i="7"/>
  <c r="Y118" i="7"/>
  <c r="X118" i="7"/>
  <c r="W118" i="7"/>
  <c r="V118" i="7"/>
  <c r="Y117" i="7"/>
  <c r="X117" i="7"/>
  <c r="W117" i="7"/>
  <c r="V117" i="7"/>
  <c r="Y116" i="7"/>
  <c r="X116" i="7"/>
  <c r="W116" i="7"/>
  <c r="V116" i="7"/>
  <c r="Y115" i="7"/>
  <c r="X115" i="7"/>
  <c r="W115" i="7"/>
  <c r="V115" i="7"/>
  <c r="Y114" i="7"/>
  <c r="X114" i="7"/>
  <c r="W114" i="7"/>
  <c r="V114" i="7"/>
  <c r="Y113" i="7"/>
  <c r="X113" i="7"/>
  <c r="W113" i="7"/>
  <c r="V113" i="7"/>
  <c r="Y112" i="7"/>
  <c r="X112" i="7"/>
  <c r="W112" i="7"/>
  <c r="V112" i="7"/>
  <c r="Y111" i="7"/>
  <c r="X111" i="7"/>
  <c r="W111" i="7"/>
  <c r="V111" i="7"/>
  <c r="Y110" i="7"/>
  <c r="X110" i="7"/>
  <c r="W110" i="7"/>
  <c r="V110" i="7"/>
  <c r="Y109" i="7"/>
  <c r="X109" i="7"/>
  <c r="W109" i="7"/>
  <c r="V109" i="7"/>
  <c r="Y108" i="7"/>
  <c r="X108" i="7"/>
  <c r="W108" i="7"/>
  <c r="V108" i="7"/>
  <c r="Y107" i="7"/>
  <c r="X107" i="7"/>
  <c r="W107" i="7"/>
  <c r="V107" i="7"/>
  <c r="Y106" i="7"/>
  <c r="X106" i="7"/>
  <c r="W106" i="7"/>
  <c r="V106" i="7"/>
  <c r="Y105" i="7"/>
  <c r="X105" i="7"/>
  <c r="W105" i="7"/>
  <c r="V105" i="7"/>
  <c r="Y104" i="7"/>
  <c r="X104" i="7"/>
  <c r="W104" i="7"/>
  <c r="V104" i="7"/>
  <c r="Y103" i="7"/>
  <c r="X103" i="7"/>
  <c r="W103" i="7"/>
  <c r="V103" i="7"/>
  <c r="Y102" i="7"/>
  <c r="X102" i="7"/>
  <c r="W102" i="7"/>
  <c r="V102" i="7"/>
  <c r="Y101" i="7"/>
  <c r="X101" i="7"/>
  <c r="W101" i="7"/>
  <c r="V101" i="7"/>
  <c r="Y100" i="7"/>
  <c r="X100" i="7"/>
  <c r="W100" i="7"/>
  <c r="V100" i="7"/>
  <c r="Y99" i="7"/>
  <c r="X99" i="7"/>
  <c r="W99" i="7"/>
  <c r="V99" i="7"/>
  <c r="Y98" i="7"/>
  <c r="X98" i="7"/>
  <c r="W98" i="7"/>
  <c r="V98" i="7"/>
  <c r="Y97" i="7"/>
  <c r="X97" i="7"/>
  <c r="W97" i="7"/>
  <c r="V97" i="7"/>
  <c r="Y96" i="7"/>
  <c r="X96" i="7"/>
  <c r="W96" i="7"/>
  <c r="V96" i="7"/>
  <c r="Y95" i="7"/>
  <c r="X95" i="7"/>
  <c r="W95" i="7"/>
  <c r="V95" i="7"/>
  <c r="Y94" i="7"/>
  <c r="X94" i="7"/>
  <c r="W94" i="7"/>
  <c r="V94" i="7"/>
  <c r="Y93" i="7"/>
  <c r="X93" i="7"/>
  <c r="W93" i="7"/>
  <c r="V93" i="7"/>
  <c r="Y92" i="7"/>
  <c r="X92" i="7"/>
  <c r="W92" i="7"/>
  <c r="V92" i="7"/>
  <c r="Y91" i="7"/>
  <c r="X91" i="7"/>
  <c r="W91" i="7"/>
  <c r="V91" i="7"/>
  <c r="Y90" i="7"/>
  <c r="X90" i="7"/>
  <c r="W90" i="7"/>
  <c r="V90" i="7"/>
  <c r="Y89" i="7"/>
  <c r="X89" i="7"/>
  <c r="W89" i="7"/>
  <c r="V89" i="7"/>
  <c r="Y88" i="7"/>
  <c r="X88" i="7"/>
  <c r="W88" i="7"/>
  <c r="V88" i="7"/>
  <c r="Y87" i="7"/>
  <c r="X87" i="7"/>
  <c r="W87" i="7"/>
  <c r="V87" i="7"/>
  <c r="Y86" i="7"/>
  <c r="X86" i="7"/>
  <c r="W86" i="7"/>
  <c r="V86" i="7"/>
  <c r="Y85" i="7"/>
  <c r="X85" i="7"/>
  <c r="W85" i="7"/>
  <c r="V85" i="7"/>
  <c r="Y84" i="7"/>
  <c r="X84" i="7"/>
  <c r="W84" i="7"/>
  <c r="V84" i="7"/>
  <c r="Y83" i="7"/>
  <c r="X83" i="7"/>
  <c r="W83" i="7"/>
  <c r="V83" i="7"/>
  <c r="Y82" i="7"/>
  <c r="X82" i="7"/>
  <c r="W82" i="7"/>
  <c r="V82" i="7"/>
  <c r="Y81" i="7"/>
  <c r="X81" i="7"/>
  <c r="W81" i="7"/>
  <c r="V81" i="7"/>
  <c r="Y80" i="7"/>
  <c r="X80" i="7"/>
  <c r="W80" i="7"/>
  <c r="V80" i="7"/>
  <c r="Y79" i="7"/>
  <c r="X79" i="7"/>
  <c r="W79" i="7"/>
  <c r="V79" i="7"/>
  <c r="Y78" i="7"/>
  <c r="X78" i="7"/>
  <c r="W78" i="7"/>
  <c r="V78" i="7"/>
  <c r="Y77" i="7"/>
  <c r="X77" i="7"/>
  <c r="W77" i="7"/>
  <c r="V77" i="7"/>
  <c r="Y76" i="7"/>
  <c r="X76" i="7"/>
  <c r="W76" i="7"/>
  <c r="V76" i="7"/>
  <c r="Y75" i="7"/>
  <c r="X75" i="7"/>
  <c r="W75" i="7"/>
  <c r="V75" i="7"/>
  <c r="Y74" i="7"/>
  <c r="X74" i="7"/>
  <c r="W74" i="7"/>
  <c r="V74" i="7"/>
  <c r="Y73" i="7"/>
  <c r="X73" i="7"/>
  <c r="W73" i="7"/>
  <c r="V73" i="7"/>
  <c r="Y72" i="7"/>
  <c r="X72" i="7"/>
  <c r="W72" i="7"/>
  <c r="V72" i="7"/>
  <c r="Y71" i="7"/>
  <c r="X71" i="7"/>
  <c r="W71" i="7"/>
  <c r="V71" i="7"/>
  <c r="Y70" i="7"/>
  <c r="X70" i="7"/>
  <c r="W70" i="7"/>
  <c r="V70" i="7"/>
  <c r="Y69" i="7"/>
  <c r="X69" i="7"/>
  <c r="W69" i="7"/>
  <c r="V69" i="7"/>
  <c r="Y68" i="7"/>
  <c r="X68" i="7"/>
  <c r="W68" i="7"/>
  <c r="V68" i="7"/>
  <c r="Y67" i="7"/>
  <c r="X67" i="7"/>
  <c r="W67" i="7"/>
  <c r="V67" i="7"/>
  <c r="Y66" i="7"/>
  <c r="X66" i="7"/>
  <c r="W66" i="7"/>
  <c r="V66" i="7"/>
  <c r="Y65" i="7"/>
  <c r="X65" i="7"/>
  <c r="W65" i="7"/>
  <c r="V65" i="7"/>
  <c r="Y64" i="7"/>
  <c r="X64" i="7"/>
  <c r="W64" i="7"/>
  <c r="V64" i="7"/>
  <c r="Y63" i="7"/>
  <c r="X63" i="7"/>
  <c r="W63" i="7"/>
  <c r="V63" i="7"/>
  <c r="Y62" i="7"/>
  <c r="X62" i="7"/>
  <c r="W62" i="7"/>
  <c r="V62" i="7"/>
  <c r="Y61" i="7"/>
  <c r="X61" i="7"/>
  <c r="W61" i="7"/>
  <c r="V61" i="7"/>
  <c r="Y60" i="7"/>
  <c r="X60" i="7"/>
  <c r="W60" i="7"/>
  <c r="V60" i="7"/>
  <c r="Y59" i="7"/>
  <c r="X59" i="7"/>
  <c r="W59" i="7"/>
  <c r="V59" i="7"/>
  <c r="Y58" i="7"/>
  <c r="X58" i="7"/>
  <c r="W58" i="7"/>
  <c r="V58" i="7"/>
  <c r="Y57" i="7"/>
  <c r="X57" i="7"/>
  <c r="W57" i="7"/>
  <c r="V57" i="7"/>
  <c r="Y56" i="7"/>
  <c r="X56" i="7"/>
  <c r="W56" i="7"/>
  <c r="V56" i="7"/>
  <c r="Y55" i="7"/>
  <c r="X55" i="7"/>
  <c r="W55" i="7"/>
  <c r="V55" i="7"/>
  <c r="Y54" i="7"/>
  <c r="X54" i="7"/>
  <c r="W54" i="7"/>
  <c r="V54" i="7"/>
  <c r="Y53" i="7"/>
  <c r="X53" i="7"/>
  <c r="W53" i="7"/>
  <c r="V53" i="7"/>
  <c r="Y52" i="7"/>
  <c r="X52" i="7"/>
  <c r="W52" i="7"/>
  <c r="V52" i="7"/>
  <c r="Y51" i="7"/>
  <c r="X51" i="7"/>
  <c r="W51" i="7"/>
  <c r="V51" i="7"/>
  <c r="Y50" i="7"/>
  <c r="X50" i="7"/>
  <c r="W50" i="7"/>
  <c r="V50" i="7"/>
  <c r="Y49" i="7"/>
  <c r="X49" i="7"/>
  <c r="W49" i="7"/>
  <c r="V49" i="7"/>
  <c r="Y48" i="7"/>
  <c r="X48" i="7"/>
  <c r="W48" i="7"/>
  <c r="V48" i="7"/>
  <c r="Y47" i="7"/>
  <c r="X47" i="7"/>
  <c r="W47" i="7"/>
  <c r="V47" i="7"/>
  <c r="Y46" i="7"/>
  <c r="X46" i="7"/>
  <c r="W46" i="7"/>
  <c r="V46" i="7"/>
  <c r="Y45" i="7"/>
  <c r="X45" i="7"/>
  <c r="W45" i="7"/>
  <c r="V45" i="7"/>
  <c r="Y44" i="7"/>
  <c r="X44" i="7"/>
  <c r="W44" i="7"/>
  <c r="V44" i="7"/>
  <c r="Y43" i="7"/>
  <c r="X43" i="7"/>
  <c r="W43" i="7"/>
  <c r="V43" i="7"/>
  <c r="Y42" i="7"/>
  <c r="X42" i="7"/>
  <c r="W42" i="7"/>
  <c r="V42" i="7"/>
  <c r="Y41" i="7"/>
  <c r="X41" i="7"/>
  <c r="W41" i="7"/>
  <c r="V41" i="7"/>
  <c r="Y40" i="7"/>
  <c r="X40" i="7"/>
  <c r="W40" i="7"/>
  <c r="V40" i="7"/>
  <c r="Y39" i="7"/>
  <c r="X39" i="7"/>
  <c r="W39" i="7"/>
  <c r="V39" i="7"/>
  <c r="Y38" i="7"/>
  <c r="X38" i="7"/>
  <c r="W38" i="7"/>
  <c r="V38" i="7"/>
  <c r="Y37" i="7"/>
  <c r="X37" i="7"/>
  <c r="W37" i="7"/>
  <c r="V37" i="7"/>
  <c r="Y36" i="7"/>
  <c r="X36" i="7"/>
  <c r="W36" i="7"/>
  <c r="V36" i="7"/>
  <c r="Y35" i="7"/>
  <c r="X35" i="7"/>
  <c r="W35" i="7"/>
  <c r="V35" i="7"/>
  <c r="Y34" i="7"/>
  <c r="X34" i="7"/>
  <c r="W34" i="7"/>
  <c r="V34" i="7"/>
  <c r="Y33" i="7"/>
  <c r="X33" i="7"/>
  <c r="W33" i="7"/>
  <c r="V33" i="7"/>
  <c r="Y32" i="7"/>
  <c r="X32" i="7"/>
  <c r="W32" i="7"/>
  <c r="V32" i="7"/>
  <c r="Y31" i="7"/>
  <c r="X31" i="7"/>
  <c r="W31" i="7"/>
  <c r="V31" i="7"/>
  <c r="Y30" i="7"/>
  <c r="X30" i="7"/>
  <c r="W30" i="7"/>
  <c r="V30" i="7"/>
  <c r="Y29" i="7"/>
  <c r="X29" i="7"/>
  <c r="W29" i="7"/>
  <c r="V29" i="7"/>
  <c r="Y28" i="7"/>
  <c r="X28" i="7"/>
  <c r="W28" i="7"/>
  <c r="V28" i="7"/>
  <c r="Y27" i="7"/>
  <c r="X27" i="7"/>
  <c r="W27" i="7"/>
  <c r="V27" i="7"/>
  <c r="Y26" i="7"/>
  <c r="X26" i="7"/>
  <c r="W26" i="7"/>
  <c r="V26" i="7"/>
  <c r="Y25" i="7"/>
  <c r="X25" i="7"/>
  <c r="W25" i="7"/>
  <c r="V25" i="7"/>
  <c r="Y24" i="7"/>
  <c r="X24" i="7"/>
  <c r="W24" i="7"/>
  <c r="V24" i="7"/>
  <c r="Y23" i="7"/>
  <c r="X23" i="7"/>
  <c r="W23" i="7"/>
  <c r="V23" i="7"/>
  <c r="Y22" i="7"/>
  <c r="X22" i="7"/>
  <c r="W22" i="7"/>
  <c r="V22" i="7"/>
  <c r="Y21" i="7"/>
  <c r="X21" i="7"/>
  <c r="W21" i="7"/>
  <c r="V21" i="7"/>
  <c r="Y20" i="7"/>
  <c r="X20" i="7"/>
  <c r="W20" i="7"/>
  <c r="V20" i="7"/>
  <c r="Y19" i="7"/>
  <c r="X19" i="7"/>
  <c r="W19" i="7"/>
  <c r="V19" i="7"/>
  <c r="Y18" i="7"/>
  <c r="X18" i="7"/>
  <c r="W18" i="7"/>
  <c r="V18" i="7"/>
  <c r="Y17" i="7"/>
  <c r="X17" i="7"/>
  <c r="W17" i="7"/>
  <c r="V17" i="7"/>
  <c r="Y16" i="7"/>
  <c r="X16" i="7"/>
  <c r="W16" i="7"/>
  <c r="V16" i="7"/>
  <c r="Y15" i="7"/>
  <c r="X15" i="7"/>
  <c r="W15" i="7"/>
  <c r="V15" i="7"/>
  <c r="Y14" i="7"/>
  <c r="X14" i="7"/>
  <c r="W14" i="7"/>
  <c r="V14" i="7"/>
  <c r="Y13" i="7"/>
  <c r="X13" i="7"/>
  <c r="W13" i="7"/>
  <c r="V13" i="7"/>
  <c r="Y12" i="7"/>
  <c r="X12" i="7"/>
  <c r="W12" i="7"/>
  <c r="V12" i="7"/>
  <c r="Y11" i="7"/>
  <c r="X11" i="7"/>
  <c r="W11" i="7"/>
  <c r="V11" i="7"/>
  <c r="Y10" i="7"/>
  <c r="X10" i="7"/>
  <c r="W10" i="7"/>
  <c r="V10" i="7"/>
  <c r="Y9" i="7"/>
  <c r="X9" i="7"/>
  <c r="W9" i="7"/>
  <c r="V9" i="7"/>
  <c r="Y8" i="7"/>
  <c r="X8" i="7"/>
  <c r="W8" i="7"/>
  <c r="V8" i="7"/>
  <c r="Y7" i="7"/>
  <c r="X7" i="7"/>
  <c r="W7" i="7"/>
  <c r="V7" i="7"/>
  <c r="Y6" i="7"/>
  <c r="X6" i="7"/>
  <c r="W6" i="7"/>
  <c r="V6" i="7"/>
  <c r="Y5" i="7"/>
  <c r="X5" i="7"/>
  <c r="W5" i="7"/>
  <c r="V5" i="7"/>
  <c r="Y4" i="7"/>
  <c r="X4" i="7"/>
  <c r="W4" i="7"/>
  <c r="V4" i="7"/>
  <c r="Y3" i="7"/>
  <c r="X3" i="7"/>
  <c r="W3" i="7"/>
  <c r="V3" i="7"/>
  <c r="Y2" i="7"/>
  <c r="X2" i="7"/>
  <c r="W2" i="7"/>
  <c r="V2" i="7"/>
  <c r="T632" i="4"/>
  <c r="R632" i="4"/>
  <c r="Q632" i="4"/>
  <c r="F632" i="4"/>
  <c r="E632" i="4"/>
  <c r="D632" i="4"/>
  <c r="T631" i="4"/>
  <c r="R631" i="4"/>
  <c r="Q631" i="4"/>
  <c r="F631" i="4"/>
  <c r="E631" i="4"/>
  <c r="D631" i="4"/>
  <c r="T630" i="4"/>
  <c r="R630" i="4"/>
  <c r="Q630" i="4"/>
  <c r="F630" i="4"/>
  <c r="E630" i="4"/>
  <c r="D630" i="4"/>
  <c r="T629" i="4"/>
  <c r="R629" i="4"/>
  <c r="Q629" i="4"/>
  <c r="F629" i="4"/>
  <c r="E629" i="4"/>
  <c r="D629" i="4"/>
  <c r="T628" i="4"/>
  <c r="R628" i="4"/>
  <c r="Q628" i="4"/>
  <c r="F628" i="4"/>
  <c r="E628" i="4"/>
  <c r="D628" i="4"/>
  <c r="T627" i="4"/>
  <c r="R627" i="4"/>
  <c r="Q627" i="4"/>
  <c r="F627" i="4"/>
  <c r="E627" i="4"/>
  <c r="D627" i="4"/>
  <c r="T626" i="4"/>
  <c r="R626" i="4"/>
  <c r="Q626" i="4"/>
  <c r="F626" i="4"/>
  <c r="E626" i="4"/>
  <c r="D626" i="4"/>
  <c r="T625" i="4"/>
  <c r="R625" i="4"/>
  <c r="Q625" i="4"/>
  <c r="F625" i="4"/>
  <c r="E625" i="4"/>
  <c r="D625" i="4"/>
  <c r="T624" i="4"/>
  <c r="R624" i="4"/>
  <c r="Q624" i="4"/>
  <c r="F624" i="4"/>
  <c r="E624" i="4"/>
  <c r="D624" i="4"/>
  <c r="T623" i="4"/>
  <c r="R623" i="4"/>
  <c r="Q623" i="4"/>
  <c r="F623" i="4"/>
  <c r="E623" i="4"/>
  <c r="D623" i="4"/>
  <c r="T622" i="4"/>
  <c r="R622" i="4"/>
  <c r="Q622" i="4"/>
  <c r="F622" i="4"/>
  <c r="E622" i="4"/>
  <c r="D622" i="4"/>
  <c r="T621" i="4"/>
  <c r="R621" i="4"/>
  <c r="Q621" i="4"/>
  <c r="F621" i="4"/>
  <c r="E621" i="4"/>
  <c r="D621" i="4"/>
  <c r="T620" i="4"/>
  <c r="R620" i="4"/>
  <c r="Q620" i="4"/>
  <c r="F620" i="4"/>
  <c r="E620" i="4"/>
  <c r="D620" i="4"/>
  <c r="T619" i="4"/>
  <c r="R619" i="4"/>
  <c r="Q619" i="4"/>
  <c r="F619" i="4"/>
  <c r="E619" i="4"/>
  <c r="D619" i="4"/>
  <c r="T618" i="4"/>
  <c r="R618" i="4"/>
  <c r="Q618" i="4"/>
  <c r="F618" i="4"/>
  <c r="E618" i="4"/>
  <c r="D618" i="4"/>
  <c r="T617" i="4"/>
  <c r="R617" i="4"/>
  <c r="Q617" i="4"/>
  <c r="F617" i="4"/>
  <c r="E617" i="4"/>
  <c r="D617" i="4"/>
  <c r="T616" i="4"/>
  <c r="R616" i="4"/>
  <c r="Q616" i="4"/>
  <c r="F616" i="4"/>
  <c r="E616" i="4"/>
  <c r="D616" i="4"/>
  <c r="T615" i="4"/>
  <c r="R615" i="4"/>
  <c r="Q615" i="4"/>
  <c r="F615" i="4"/>
  <c r="E615" i="4"/>
  <c r="D615" i="4"/>
  <c r="T614" i="4"/>
  <c r="R614" i="4"/>
  <c r="Q614" i="4"/>
  <c r="F614" i="4"/>
  <c r="E614" i="4"/>
  <c r="D614" i="4"/>
  <c r="T613" i="4"/>
  <c r="R613" i="4"/>
  <c r="Q613" i="4"/>
  <c r="F613" i="4"/>
  <c r="E613" i="4"/>
  <c r="D613" i="4"/>
  <c r="T612" i="4"/>
  <c r="R612" i="4"/>
  <c r="Q612" i="4"/>
  <c r="F612" i="4"/>
  <c r="E612" i="4"/>
  <c r="D612" i="4"/>
  <c r="T611" i="4"/>
  <c r="R611" i="4"/>
  <c r="Q611" i="4"/>
  <c r="F611" i="4"/>
  <c r="E611" i="4"/>
  <c r="D611" i="4"/>
  <c r="T610" i="4"/>
  <c r="R610" i="4"/>
  <c r="Q610" i="4"/>
  <c r="F610" i="4"/>
  <c r="E610" i="4"/>
  <c r="D610" i="4"/>
  <c r="T609" i="4"/>
  <c r="R609" i="4"/>
  <c r="Q609" i="4"/>
  <c r="F609" i="4"/>
  <c r="E609" i="4"/>
  <c r="D609" i="4"/>
  <c r="T608" i="4"/>
  <c r="R608" i="4"/>
  <c r="Q608" i="4"/>
  <c r="F608" i="4"/>
  <c r="E608" i="4"/>
  <c r="D608" i="4"/>
  <c r="T607" i="4"/>
  <c r="R607" i="4"/>
  <c r="Q607" i="4"/>
  <c r="F607" i="4"/>
  <c r="E607" i="4"/>
  <c r="D607" i="4"/>
  <c r="T606" i="4"/>
  <c r="R606" i="4"/>
  <c r="Q606" i="4"/>
  <c r="F606" i="4"/>
  <c r="E606" i="4"/>
  <c r="D606" i="4"/>
  <c r="T605" i="4"/>
  <c r="R605" i="4"/>
  <c r="Q605" i="4"/>
  <c r="F605" i="4"/>
  <c r="E605" i="4"/>
  <c r="D605" i="4"/>
  <c r="T604" i="4"/>
  <c r="R604" i="4"/>
  <c r="Q604" i="4"/>
  <c r="F604" i="4"/>
  <c r="E604" i="4"/>
  <c r="D604" i="4"/>
  <c r="T603" i="4"/>
  <c r="R603" i="4"/>
  <c r="Q603" i="4"/>
  <c r="F603" i="4"/>
  <c r="E603" i="4"/>
  <c r="D603" i="4"/>
  <c r="T602" i="4"/>
  <c r="R602" i="4"/>
  <c r="Q602" i="4"/>
  <c r="F602" i="4"/>
  <c r="E602" i="4"/>
  <c r="D602" i="4"/>
  <c r="T601" i="4"/>
  <c r="R601" i="4"/>
  <c r="Q601" i="4"/>
  <c r="F601" i="4"/>
  <c r="E601" i="4"/>
  <c r="D601" i="4"/>
  <c r="T600" i="4"/>
  <c r="R600" i="4"/>
  <c r="Q600" i="4"/>
  <c r="F600" i="4"/>
  <c r="E600" i="4"/>
  <c r="D600" i="4"/>
  <c r="T599" i="4"/>
  <c r="R599" i="4"/>
  <c r="Q599" i="4"/>
  <c r="F599" i="4"/>
  <c r="E599" i="4"/>
  <c r="D599" i="4"/>
  <c r="T598" i="4"/>
  <c r="R598" i="4"/>
  <c r="Q598" i="4"/>
  <c r="F598" i="4"/>
  <c r="E598" i="4"/>
  <c r="D598" i="4"/>
  <c r="T597" i="4"/>
  <c r="R597" i="4"/>
  <c r="Q597" i="4"/>
  <c r="F597" i="4"/>
  <c r="E597" i="4"/>
  <c r="D597" i="4"/>
  <c r="T596" i="4"/>
  <c r="R596" i="4"/>
  <c r="Q596" i="4"/>
  <c r="F596" i="4"/>
  <c r="E596" i="4"/>
  <c r="D596" i="4"/>
  <c r="T595" i="4"/>
  <c r="R595" i="4"/>
  <c r="Q595" i="4"/>
  <c r="F595" i="4"/>
  <c r="E595" i="4"/>
  <c r="D595" i="4"/>
  <c r="T594" i="4"/>
  <c r="R594" i="4"/>
  <c r="Q594" i="4"/>
  <c r="F594" i="4"/>
  <c r="E594" i="4"/>
  <c r="D594" i="4"/>
  <c r="T593" i="4"/>
  <c r="R593" i="4"/>
  <c r="Q593" i="4"/>
  <c r="F593" i="4"/>
  <c r="E593" i="4"/>
  <c r="D593" i="4"/>
  <c r="T592" i="4"/>
  <c r="R592" i="4"/>
  <c r="Q592" i="4"/>
  <c r="F592" i="4"/>
  <c r="E592" i="4"/>
  <c r="D592" i="4"/>
  <c r="T591" i="4"/>
  <c r="R591" i="4"/>
  <c r="Q591" i="4"/>
  <c r="F591" i="4"/>
  <c r="E591" i="4"/>
  <c r="D591" i="4"/>
  <c r="T590" i="4"/>
  <c r="R590" i="4"/>
  <c r="Q590" i="4"/>
  <c r="F590" i="4"/>
  <c r="E590" i="4"/>
  <c r="D590" i="4"/>
  <c r="T589" i="4"/>
  <c r="R589" i="4"/>
  <c r="Q589" i="4"/>
  <c r="F589" i="4"/>
  <c r="E589" i="4"/>
  <c r="D589" i="4"/>
  <c r="T588" i="4"/>
  <c r="R588" i="4"/>
  <c r="Q588" i="4"/>
  <c r="F588" i="4"/>
  <c r="E588" i="4"/>
  <c r="D588" i="4"/>
  <c r="T587" i="4"/>
  <c r="R587" i="4"/>
  <c r="Q587" i="4"/>
  <c r="F587" i="4"/>
  <c r="E587" i="4"/>
  <c r="D587" i="4"/>
  <c r="T586" i="4"/>
  <c r="R586" i="4"/>
  <c r="Q586" i="4"/>
  <c r="F586" i="4"/>
  <c r="E586" i="4"/>
  <c r="D586" i="4"/>
  <c r="T585" i="4"/>
  <c r="R585" i="4"/>
  <c r="Q585" i="4"/>
  <c r="F585" i="4"/>
  <c r="E585" i="4"/>
  <c r="D585" i="4"/>
  <c r="T584" i="4"/>
  <c r="R584" i="4"/>
  <c r="Q584" i="4"/>
  <c r="F584" i="4"/>
  <c r="E584" i="4"/>
  <c r="D584" i="4"/>
  <c r="T583" i="4"/>
  <c r="R583" i="4"/>
  <c r="Q583" i="4"/>
  <c r="F583" i="4"/>
  <c r="E583" i="4"/>
  <c r="D583" i="4"/>
  <c r="T582" i="4"/>
  <c r="R582" i="4"/>
  <c r="Q582" i="4"/>
  <c r="F582" i="4"/>
  <c r="E582" i="4"/>
  <c r="D582" i="4"/>
  <c r="T581" i="4"/>
  <c r="R581" i="4"/>
  <c r="Q581" i="4"/>
  <c r="F581" i="4"/>
  <c r="E581" i="4"/>
  <c r="D581" i="4"/>
  <c r="T580" i="4"/>
  <c r="R580" i="4"/>
  <c r="Q580" i="4"/>
  <c r="F580" i="4"/>
  <c r="E580" i="4"/>
  <c r="D580" i="4"/>
  <c r="T579" i="4"/>
  <c r="R579" i="4"/>
  <c r="Q579" i="4"/>
  <c r="F579" i="4"/>
  <c r="E579" i="4"/>
  <c r="D579" i="4"/>
  <c r="T578" i="4"/>
  <c r="R578" i="4"/>
  <c r="Q578" i="4"/>
  <c r="F578" i="4"/>
  <c r="E578" i="4"/>
  <c r="D578" i="4"/>
  <c r="T577" i="4"/>
  <c r="R577" i="4"/>
  <c r="Q577" i="4"/>
  <c r="F577" i="4"/>
  <c r="E577" i="4"/>
  <c r="D577" i="4"/>
  <c r="T576" i="4"/>
  <c r="R576" i="4"/>
  <c r="Q576" i="4"/>
  <c r="F576" i="4"/>
  <c r="E576" i="4"/>
  <c r="D576" i="4"/>
  <c r="T575" i="4"/>
  <c r="R575" i="4"/>
  <c r="Q575" i="4"/>
  <c r="F575" i="4"/>
  <c r="E575" i="4"/>
  <c r="D575" i="4"/>
  <c r="T574" i="4"/>
  <c r="R574" i="4"/>
  <c r="Q574" i="4"/>
  <c r="F574" i="4"/>
  <c r="E574" i="4"/>
  <c r="D574" i="4"/>
  <c r="T573" i="4"/>
  <c r="R573" i="4"/>
  <c r="Q573" i="4"/>
  <c r="F573" i="4"/>
  <c r="E573" i="4"/>
  <c r="D573" i="4"/>
  <c r="T572" i="4"/>
  <c r="R572" i="4"/>
  <c r="Q572" i="4"/>
  <c r="F572" i="4"/>
  <c r="E572" i="4"/>
  <c r="D572" i="4"/>
  <c r="T571" i="4"/>
  <c r="R571" i="4"/>
  <c r="Q571" i="4"/>
  <c r="F571" i="4"/>
  <c r="E571" i="4"/>
  <c r="D571" i="4"/>
  <c r="T570" i="4"/>
  <c r="R570" i="4"/>
  <c r="Q570" i="4"/>
  <c r="F570" i="4"/>
  <c r="E570" i="4"/>
  <c r="D570" i="4"/>
  <c r="T569" i="4"/>
  <c r="R569" i="4"/>
  <c r="Q569" i="4"/>
  <c r="F569" i="4"/>
  <c r="E569" i="4"/>
  <c r="D569" i="4"/>
  <c r="T568" i="4"/>
  <c r="R568" i="4"/>
  <c r="Q568" i="4"/>
  <c r="F568" i="4"/>
  <c r="E568" i="4"/>
  <c r="D568" i="4"/>
  <c r="T567" i="4"/>
  <c r="R567" i="4"/>
  <c r="Q567" i="4"/>
  <c r="F567" i="4"/>
  <c r="E567" i="4"/>
  <c r="D567" i="4"/>
  <c r="T566" i="4"/>
  <c r="R566" i="4"/>
  <c r="Q566" i="4"/>
  <c r="F566" i="4"/>
  <c r="E566" i="4"/>
  <c r="D566" i="4"/>
  <c r="T565" i="4"/>
  <c r="R565" i="4"/>
  <c r="Q565" i="4"/>
  <c r="F565" i="4"/>
  <c r="E565" i="4"/>
  <c r="D565" i="4"/>
  <c r="T564" i="4"/>
  <c r="R564" i="4"/>
  <c r="Q564" i="4"/>
  <c r="F564" i="4"/>
  <c r="E564" i="4"/>
  <c r="D564" i="4"/>
  <c r="T563" i="4"/>
  <c r="R563" i="4"/>
  <c r="Q563" i="4"/>
  <c r="F563" i="4"/>
  <c r="E563" i="4"/>
  <c r="D563" i="4"/>
  <c r="T562" i="4"/>
  <c r="R562" i="4"/>
  <c r="Q562" i="4"/>
  <c r="F562" i="4"/>
  <c r="E562" i="4"/>
  <c r="D562" i="4"/>
  <c r="T561" i="4"/>
  <c r="R561" i="4"/>
  <c r="Q561" i="4"/>
  <c r="F561" i="4"/>
  <c r="E561" i="4"/>
  <c r="D561" i="4"/>
  <c r="T560" i="4"/>
  <c r="R560" i="4"/>
  <c r="Q560" i="4"/>
  <c r="F560" i="4"/>
  <c r="E560" i="4"/>
  <c r="D560" i="4"/>
  <c r="T559" i="4"/>
  <c r="R559" i="4"/>
  <c r="Q559" i="4"/>
  <c r="F559" i="4"/>
  <c r="E559" i="4"/>
  <c r="D559" i="4"/>
  <c r="T558" i="4"/>
  <c r="R558" i="4"/>
  <c r="Q558" i="4"/>
  <c r="F558" i="4"/>
  <c r="E558" i="4"/>
  <c r="D558" i="4"/>
  <c r="T557" i="4"/>
  <c r="R557" i="4"/>
  <c r="Q557" i="4"/>
  <c r="F557" i="4"/>
  <c r="E557" i="4"/>
  <c r="D557" i="4"/>
  <c r="T556" i="4"/>
  <c r="R556" i="4"/>
  <c r="Q556" i="4"/>
  <c r="F556" i="4"/>
  <c r="E556" i="4"/>
  <c r="D556" i="4"/>
  <c r="T555" i="4"/>
  <c r="R555" i="4"/>
  <c r="Q555" i="4"/>
  <c r="F555" i="4"/>
  <c r="E555" i="4"/>
  <c r="D555" i="4"/>
  <c r="T554" i="4"/>
  <c r="R554" i="4"/>
  <c r="Q554" i="4"/>
  <c r="F554" i="4"/>
  <c r="E554" i="4"/>
  <c r="D554" i="4"/>
  <c r="T553" i="4"/>
  <c r="R553" i="4"/>
  <c r="Q553" i="4"/>
  <c r="F553" i="4"/>
  <c r="E553" i="4"/>
  <c r="D553" i="4"/>
  <c r="T552" i="4"/>
  <c r="R552" i="4"/>
  <c r="Q552" i="4"/>
  <c r="F552" i="4"/>
  <c r="E552" i="4"/>
  <c r="D552" i="4"/>
  <c r="T551" i="4"/>
  <c r="R551" i="4"/>
  <c r="Q551" i="4"/>
  <c r="F551" i="4"/>
  <c r="E551" i="4"/>
  <c r="D551" i="4"/>
  <c r="T550" i="4"/>
  <c r="R550" i="4"/>
  <c r="Q550" i="4"/>
  <c r="F550" i="4"/>
  <c r="E550" i="4"/>
  <c r="D550" i="4"/>
  <c r="T549" i="4"/>
  <c r="R549" i="4"/>
  <c r="Q549" i="4"/>
  <c r="F549" i="4"/>
  <c r="E549" i="4"/>
  <c r="D549" i="4"/>
  <c r="T548" i="4"/>
  <c r="R548" i="4"/>
  <c r="Q548" i="4"/>
  <c r="F548" i="4"/>
  <c r="E548" i="4"/>
  <c r="D548" i="4"/>
  <c r="T547" i="4"/>
  <c r="R547" i="4"/>
  <c r="Q547" i="4"/>
  <c r="F547" i="4"/>
  <c r="E547" i="4"/>
  <c r="D547" i="4"/>
  <c r="T546" i="4"/>
  <c r="R546" i="4"/>
  <c r="Q546" i="4"/>
  <c r="F546" i="4"/>
  <c r="E546" i="4"/>
  <c r="D546" i="4"/>
  <c r="T545" i="4"/>
  <c r="R545" i="4"/>
  <c r="Q545" i="4"/>
  <c r="F545" i="4"/>
  <c r="E545" i="4"/>
  <c r="D545" i="4"/>
  <c r="T544" i="4"/>
  <c r="R544" i="4"/>
  <c r="Q544" i="4"/>
  <c r="F544" i="4"/>
  <c r="E544" i="4"/>
  <c r="D544" i="4"/>
  <c r="T543" i="4"/>
  <c r="R543" i="4"/>
  <c r="Q543" i="4"/>
  <c r="F543" i="4"/>
  <c r="E543" i="4"/>
  <c r="D543" i="4"/>
  <c r="T542" i="4"/>
  <c r="R542" i="4"/>
  <c r="Q542" i="4"/>
  <c r="F542" i="4"/>
  <c r="E542" i="4"/>
  <c r="D542" i="4"/>
  <c r="T541" i="4"/>
  <c r="R541" i="4"/>
  <c r="Q541" i="4"/>
  <c r="F541" i="4"/>
  <c r="E541" i="4"/>
  <c r="D541" i="4"/>
  <c r="T540" i="4"/>
  <c r="R540" i="4"/>
  <c r="Q540" i="4"/>
  <c r="F540" i="4"/>
  <c r="E540" i="4"/>
  <c r="D540" i="4"/>
  <c r="T539" i="4"/>
  <c r="R539" i="4"/>
  <c r="Q539" i="4"/>
  <c r="F539" i="4"/>
  <c r="E539" i="4"/>
  <c r="D539" i="4"/>
  <c r="T538" i="4"/>
  <c r="R538" i="4"/>
  <c r="Q538" i="4"/>
  <c r="F538" i="4"/>
  <c r="E538" i="4"/>
  <c r="D538" i="4"/>
  <c r="T537" i="4"/>
  <c r="R537" i="4"/>
  <c r="Q537" i="4"/>
  <c r="F537" i="4"/>
  <c r="E537" i="4"/>
  <c r="D537" i="4"/>
  <c r="T536" i="4"/>
  <c r="R536" i="4"/>
  <c r="Q536" i="4"/>
  <c r="F536" i="4"/>
  <c r="E536" i="4"/>
  <c r="D536" i="4"/>
  <c r="T535" i="4"/>
  <c r="R535" i="4"/>
  <c r="Q535" i="4"/>
  <c r="F535" i="4"/>
  <c r="E535" i="4"/>
  <c r="D535" i="4"/>
  <c r="T534" i="4"/>
  <c r="R534" i="4"/>
  <c r="Q534" i="4"/>
  <c r="F534" i="4"/>
  <c r="E534" i="4"/>
  <c r="D534" i="4"/>
  <c r="T533" i="4"/>
  <c r="R533" i="4"/>
  <c r="Q533" i="4"/>
  <c r="F533" i="4"/>
  <c r="E533" i="4"/>
  <c r="D533" i="4"/>
  <c r="T532" i="4"/>
  <c r="R532" i="4"/>
  <c r="Q532" i="4"/>
  <c r="F532" i="4"/>
  <c r="E532" i="4"/>
  <c r="D532" i="4"/>
  <c r="T531" i="4"/>
  <c r="R531" i="4"/>
  <c r="Q531" i="4"/>
  <c r="F531" i="4"/>
  <c r="E531" i="4"/>
  <c r="D531" i="4"/>
  <c r="T530" i="4"/>
  <c r="R530" i="4"/>
  <c r="Q530" i="4"/>
  <c r="F530" i="4"/>
  <c r="E530" i="4"/>
  <c r="D530" i="4"/>
  <c r="T529" i="4"/>
  <c r="R529" i="4"/>
  <c r="Q529" i="4"/>
  <c r="F529" i="4"/>
  <c r="E529" i="4"/>
  <c r="D529" i="4"/>
  <c r="T528" i="4"/>
  <c r="R528" i="4"/>
  <c r="Q528" i="4"/>
  <c r="F528" i="4"/>
  <c r="E528" i="4"/>
  <c r="D528" i="4"/>
  <c r="T527" i="4"/>
  <c r="R527" i="4"/>
  <c r="Q527" i="4"/>
  <c r="F527" i="4"/>
  <c r="E527" i="4"/>
  <c r="D527" i="4"/>
  <c r="T526" i="4"/>
  <c r="R526" i="4"/>
  <c r="Q526" i="4"/>
  <c r="F526" i="4"/>
  <c r="E526" i="4"/>
  <c r="D526" i="4"/>
  <c r="T525" i="4"/>
  <c r="R525" i="4"/>
  <c r="Q525" i="4"/>
  <c r="F525" i="4"/>
  <c r="E525" i="4"/>
  <c r="D525" i="4"/>
  <c r="T524" i="4"/>
  <c r="R524" i="4"/>
  <c r="Q524" i="4"/>
  <c r="F524" i="4"/>
  <c r="E524" i="4"/>
  <c r="D524" i="4"/>
  <c r="T523" i="4"/>
  <c r="R523" i="4"/>
  <c r="Q523" i="4"/>
  <c r="F523" i="4"/>
  <c r="E523" i="4"/>
  <c r="D523" i="4"/>
  <c r="T522" i="4"/>
  <c r="R522" i="4"/>
  <c r="Q522" i="4"/>
  <c r="F522" i="4"/>
  <c r="E522" i="4"/>
  <c r="D522" i="4"/>
  <c r="T521" i="4"/>
  <c r="R521" i="4"/>
  <c r="Q521" i="4"/>
  <c r="F521" i="4"/>
  <c r="E521" i="4"/>
  <c r="D521" i="4"/>
  <c r="T520" i="4"/>
  <c r="R520" i="4"/>
  <c r="Q520" i="4"/>
  <c r="F520" i="4"/>
  <c r="E520" i="4"/>
  <c r="D520" i="4"/>
  <c r="T519" i="4"/>
  <c r="R519" i="4"/>
  <c r="Q519" i="4"/>
  <c r="F519" i="4"/>
  <c r="E519" i="4"/>
  <c r="D519" i="4"/>
  <c r="T518" i="4"/>
  <c r="R518" i="4"/>
  <c r="Q518" i="4"/>
  <c r="F518" i="4"/>
  <c r="E518" i="4"/>
  <c r="D518" i="4"/>
  <c r="T517" i="4"/>
  <c r="R517" i="4"/>
  <c r="Q517" i="4"/>
  <c r="F517" i="4"/>
  <c r="E517" i="4"/>
  <c r="D517" i="4"/>
  <c r="T516" i="4"/>
  <c r="R516" i="4"/>
  <c r="Q516" i="4"/>
  <c r="F516" i="4"/>
  <c r="E516" i="4"/>
  <c r="D516" i="4"/>
  <c r="T515" i="4"/>
  <c r="R515" i="4"/>
  <c r="Q515" i="4"/>
  <c r="F515" i="4"/>
  <c r="E515" i="4"/>
  <c r="D515" i="4"/>
  <c r="T514" i="4"/>
  <c r="R514" i="4"/>
  <c r="Q514" i="4"/>
  <c r="F514" i="4"/>
  <c r="E514" i="4"/>
  <c r="D514" i="4"/>
  <c r="T513" i="4"/>
  <c r="R513" i="4"/>
  <c r="Q513" i="4"/>
  <c r="F513" i="4"/>
  <c r="E513" i="4"/>
  <c r="D513" i="4"/>
  <c r="T512" i="4"/>
  <c r="R512" i="4"/>
  <c r="Q512" i="4"/>
  <c r="F512" i="4"/>
  <c r="E512" i="4"/>
  <c r="D512" i="4"/>
  <c r="T511" i="4"/>
  <c r="R511" i="4"/>
  <c r="Q511" i="4"/>
  <c r="F511" i="4"/>
  <c r="E511" i="4"/>
  <c r="D511" i="4"/>
  <c r="T510" i="4"/>
  <c r="R510" i="4"/>
  <c r="Q510" i="4"/>
  <c r="F510" i="4"/>
  <c r="E510" i="4"/>
  <c r="D510" i="4"/>
  <c r="T509" i="4"/>
  <c r="R509" i="4"/>
  <c r="Q509" i="4"/>
  <c r="F509" i="4"/>
  <c r="E509" i="4"/>
  <c r="D509" i="4"/>
  <c r="T508" i="4"/>
  <c r="R508" i="4"/>
  <c r="Q508" i="4"/>
  <c r="F508" i="4"/>
  <c r="E508" i="4"/>
  <c r="D508" i="4"/>
  <c r="T507" i="4"/>
  <c r="R507" i="4"/>
  <c r="Q507" i="4"/>
  <c r="F507" i="4"/>
  <c r="E507" i="4"/>
  <c r="D507" i="4"/>
  <c r="T506" i="4"/>
  <c r="R506" i="4"/>
  <c r="Q506" i="4"/>
  <c r="F506" i="4"/>
  <c r="E506" i="4"/>
  <c r="D506" i="4"/>
  <c r="T505" i="4"/>
  <c r="R505" i="4"/>
  <c r="Q505" i="4"/>
  <c r="F505" i="4"/>
  <c r="E505" i="4"/>
  <c r="D505" i="4"/>
  <c r="T504" i="4"/>
  <c r="R504" i="4"/>
  <c r="Q504" i="4"/>
  <c r="F504" i="4"/>
  <c r="E504" i="4"/>
  <c r="D504" i="4"/>
  <c r="T503" i="4"/>
  <c r="R503" i="4"/>
  <c r="Q503" i="4"/>
  <c r="F503" i="4"/>
  <c r="E503" i="4"/>
  <c r="D503" i="4"/>
  <c r="T502" i="4"/>
  <c r="R502" i="4"/>
  <c r="Q502" i="4"/>
  <c r="F502" i="4"/>
  <c r="E502" i="4"/>
  <c r="D502" i="4"/>
  <c r="T501" i="4"/>
  <c r="R501" i="4"/>
  <c r="Q501" i="4"/>
  <c r="F501" i="4"/>
  <c r="E501" i="4"/>
  <c r="D501" i="4"/>
  <c r="T500" i="4"/>
  <c r="R500" i="4"/>
  <c r="Q500" i="4"/>
  <c r="F500" i="4"/>
  <c r="E500" i="4"/>
  <c r="D500" i="4"/>
  <c r="T499" i="4"/>
  <c r="R499" i="4"/>
  <c r="Q499" i="4"/>
  <c r="F499" i="4"/>
  <c r="E499" i="4"/>
  <c r="D499" i="4"/>
  <c r="T498" i="4"/>
  <c r="R498" i="4"/>
  <c r="Q498" i="4"/>
  <c r="F498" i="4"/>
  <c r="E498" i="4"/>
  <c r="D498" i="4"/>
  <c r="T497" i="4"/>
  <c r="R497" i="4"/>
  <c r="Q497" i="4"/>
  <c r="F497" i="4"/>
  <c r="E497" i="4"/>
  <c r="D497" i="4"/>
  <c r="T496" i="4"/>
  <c r="R496" i="4"/>
  <c r="Q496" i="4"/>
  <c r="F496" i="4"/>
  <c r="E496" i="4"/>
  <c r="D496" i="4"/>
  <c r="T495" i="4"/>
  <c r="R495" i="4"/>
  <c r="Q495" i="4"/>
  <c r="F495" i="4"/>
  <c r="E495" i="4"/>
  <c r="D495" i="4"/>
  <c r="T494" i="4"/>
  <c r="R494" i="4"/>
  <c r="Q494" i="4"/>
  <c r="F494" i="4"/>
  <c r="E494" i="4"/>
  <c r="D494" i="4"/>
  <c r="T493" i="4"/>
  <c r="R493" i="4"/>
  <c r="Q493" i="4"/>
  <c r="F493" i="4"/>
  <c r="E493" i="4"/>
  <c r="D493" i="4"/>
  <c r="T492" i="4"/>
  <c r="R492" i="4"/>
  <c r="Q492" i="4"/>
  <c r="F492" i="4"/>
  <c r="E492" i="4"/>
  <c r="D492" i="4"/>
  <c r="T491" i="4"/>
  <c r="R491" i="4"/>
  <c r="Q491" i="4"/>
  <c r="F491" i="4"/>
  <c r="E491" i="4"/>
  <c r="D491" i="4"/>
  <c r="T490" i="4"/>
  <c r="R490" i="4"/>
  <c r="Q490" i="4"/>
  <c r="F490" i="4"/>
  <c r="E490" i="4"/>
  <c r="D490" i="4"/>
  <c r="T489" i="4"/>
  <c r="R489" i="4"/>
  <c r="Q489" i="4"/>
  <c r="F489" i="4"/>
  <c r="E489" i="4"/>
  <c r="D489" i="4"/>
  <c r="T488" i="4"/>
  <c r="R488" i="4"/>
  <c r="Q488" i="4"/>
  <c r="F488" i="4"/>
  <c r="E488" i="4"/>
  <c r="D488" i="4"/>
  <c r="T487" i="4"/>
  <c r="R487" i="4"/>
  <c r="Q487" i="4"/>
  <c r="F487" i="4"/>
  <c r="E487" i="4"/>
  <c r="D487" i="4"/>
  <c r="T486" i="4"/>
  <c r="R486" i="4"/>
  <c r="Q486" i="4"/>
  <c r="F486" i="4"/>
  <c r="E486" i="4"/>
  <c r="D486" i="4"/>
  <c r="T485" i="4"/>
  <c r="R485" i="4"/>
  <c r="Q485" i="4"/>
  <c r="F485" i="4"/>
  <c r="E485" i="4"/>
  <c r="D485" i="4"/>
  <c r="T484" i="4"/>
  <c r="R484" i="4"/>
  <c r="Q484" i="4"/>
  <c r="F484" i="4"/>
  <c r="E484" i="4"/>
  <c r="D484" i="4"/>
  <c r="T483" i="4"/>
  <c r="R483" i="4"/>
  <c r="Q483" i="4"/>
  <c r="F483" i="4"/>
  <c r="E483" i="4"/>
  <c r="D483" i="4"/>
  <c r="T482" i="4"/>
  <c r="R482" i="4"/>
  <c r="Q482" i="4"/>
  <c r="F482" i="4"/>
  <c r="E482" i="4"/>
  <c r="D482" i="4"/>
  <c r="T481" i="4"/>
  <c r="R481" i="4"/>
  <c r="Q481" i="4"/>
  <c r="F481" i="4"/>
  <c r="E481" i="4"/>
  <c r="D481" i="4"/>
  <c r="T480" i="4"/>
  <c r="R480" i="4"/>
  <c r="Q480" i="4"/>
  <c r="F480" i="4"/>
  <c r="E480" i="4"/>
  <c r="D480" i="4"/>
  <c r="T479" i="4"/>
  <c r="R479" i="4"/>
  <c r="Q479" i="4"/>
  <c r="F479" i="4"/>
  <c r="E479" i="4"/>
  <c r="D479" i="4"/>
  <c r="T478" i="4"/>
  <c r="R478" i="4"/>
  <c r="Q478" i="4"/>
  <c r="F478" i="4"/>
  <c r="E478" i="4"/>
  <c r="D478" i="4"/>
  <c r="T477" i="4"/>
  <c r="R477" i="4"/>
  <c r="Q477" i="4"/>
  <c r="F477" i="4"/>
  <c r="E477" i="4"/>
  <c r="D477" i="4"/>
  <c r="T476" i="4"/>
  <c r="R476" i="4"/>
  <c r="Q476" i="4"/>
  <c r="F476" i="4"/>
  <c r="E476" i="4"/>
  <c r="D476" i="4"/>
  <c r="T475" i="4"/>
  <c r="R475" i="4"/>
  <c r="Q475" i="4"/>
  <c r="F475" i="4"/>
  <c r="E475" i="4"/>
  <c r="D475" i="4"/>
  <c r="T474" i="4"/>
  <c r="R474" i="4"/>
  <c r="Q474" i="4"/>
  <c r="F474" i="4"/>
  <c r="E474" i="4"/>
  <c r="D474" i="4"/>
  <c r="T473" i="4"/>
  <c r="R473" i="4"/>
  <c r="Q473" i="4"/>
  <c r="F473" i="4"/>
  <c r="E473" i="4"/>
  <c r="D473" i="4"/>
  <c r="T472" i="4"/>
  <c r="R472" i="4"/>
  <c r="Q472" i="4"/>
  <c r="F472" i="4"/>
  <c r="E472" i="4"/>
  <c r="D472" i="4"/>
  <c r="T471" i="4"/>
  <c r="R471" i="4"/>
  <c r="Q471" i="4"/>
  <c r="F471" i="4"/>
  <c r="E471" i="4"/>
  <c r="D471" i="4"/>
  <c r="T470" i="4"/>
  <c r="R470" i="4"/>
  <c r="Q470" i="4"/>
  <c r="F470" i="4"/>
  <c r="E470" i="4"/>
  <c r="D470" i="4"/>
  <c r="T469" i="4"/>
  <c r="R469" i="4"/>
  <c r="Q469" i="4"/>
  <c r="F469" i="4"/>
  <c r="E469" i="4"/>
  <c r="D469" i="4"/>
  <c r="T468" i="4"/>
  <c r="R468" i="4"/>
  <c r="Q468" i="4"/>
  <c r="F468" i="4"/>
  <c r="E468" i="4"/>
  <c r="D468" i="4"/>
  <c r="T467" i="4"/>
  <c r="R467" i="4"/>
  <c r="Q467" i="4"/>
  <c r="F467" i="4"/>
  <c r="E467" i="4"/>
  <c r="D467" i="4"/>
  <c r="T466" i="4"/>
  <c r="R466" i="4"/>
  <c r="Q466" i="4"/>
  <c r="F466" i="4"/>
  <c r="E466" i="4"/>
  <c r="D466" i="4"/>
  <c r="T465" i="4"/>
  <c r="R465" i="4"/>
  <c r="Q465" i="4"/>
  <c r="F465" i="4"/>
  <c r="E465" i="4"/>
  <c r="D465" i="4"/>
  <c r="T464" i="4"/>
  <c r="R464" i="4"/>
  <c r="Q464" i="4"/>
  <c r="F464" i="4"/>
  <c r="E464" i="4"/>
  <c r="D464" i="4"/>
  <c r="T463" i="4"/>
  <c r="R463" i="4"/>
  <c r="Q463" i="4"/>
  <c r="F463" i="4"/>
  <c r="E463" i="4"/>
  <c r="D463" i="4"/>
  <c r="T462" i="4"/>
  <c r="R462" i="4"/>
  <c r="Q462" i="4"/>
  <c r="F462" i="4"/>
  <c r="E462" i="4"/>
  <c r="D462" i="4"/>
  <c r="T461" i="4"/>
  <c r="R461" i="4"/>
  <c r="Q461" i="4"/>
  <c r="F461" i="4"/>
  <c r="E461" i="4"/>
  <c r="D461" i="4"/>
  <c r="T460" i="4"/>
  <c r="R460" i="4"/>
  <c r="Q460" i="4"/>
  <c r="F460" i="4"/>
  <c r="E460" i="4"/>
  <c r="D460" i="4"/>
  <c r="T459" i="4"/>
  <c r="R459" i="4"/>
  <c r="Q459" i="4"/>
  <c r="F459" i="4"/>
  <c r="E459" i="4"/>
  <c r="D459" i="4"/>
  <c r="T458" i="4"/>
  <c r="R458" i="4"/>
  <c r="Q458" i="4"/>
  <c r="F458" i="4"/>
  <c r="E458" i="4"/>
  <c r="D458" i="4"/>
  <c r="T457" i="4"/>
  <c r="R457" i="4"/>
  <c r="Q457" i="4"/>
  <c r="F457" i="4"/>
  <c r="E457" i="4"/>
  <c r="D457" i="4"/>
  <c r="T456" i="4"/>
  <c r="R456" i="4"/>
  <c r="Q456" i="4"/>
  <c r="F456" i="4"/>
  <c r="E456" i="4"/>
  <c r="D456" i="4"/>
  <c r="T455" i="4"/>
  <c r="R455" i="4"/>
  <c r="Q455" i="4"/>
  <c r="F455" i="4"/>
  <c r="E455" i="4"/>
  <c r="D455" i="4"/>
  <c r="T454" i="4"/>
  <c r="R454" i="4"/>
  <c r="Q454" i="4"/>
  <c r="F454" i="4"/>
  <c r="E454" i="4"/>
  <c r="D454" i="4"/>
  <c r="T453" i="4"/>
  <c r="R453" i="4"/>
  <c r="Q453" i="4"/>
  <c r="F453" i="4"/>
  <c r="E453" i="4"/>
  <c r="D453" i="4"/>
  <c r="T452" i="4"/>
  <c r="R452" i="4"/>
  <c r="Q452" i="4"/>
  <c r="F452" i="4"/>
  <c r="E452" i="4"/>
  <c r="D452" i="4"/>
  <c r="T451" i="4"/>
  <c r="R451" i="4"/>
  <c r="Q451" i="4"/>
  <c r="F451" i="4"/>
  <c r="E451" i="4"/>
  <c r="D451" i="4"/>
  <c r="T450" i="4"/>
  <c r="R450" i="4"/>
  <c r="Q450" i="4"/>
  <c r="F450" i="4"/>
  <c r="E450" i="4"/>
  <c r="D450" i="4"/>
  <c r="T449" i="4"/>
  <c r="R449" i="4"/>
  <c r="Q449" i="4"/>
  <c r="F449" i="4"/>
  <c r="E449" i="4"/>
  <c r="D449" i="4"/>
  <c r="T448" i="4"/>
  <c r="R448" i="4"/>
  <c r="Q448" i="4"/>
  <c r="F448" i="4"/>
  <c r="E448" i="4"/>
  <c r="D448" i="4"/>
  <c r="T447" i="4"/>
  <c r="R447" i="4"/>
  <c r="Q447" i="4"/>
  <c r="F447" i="4"/>
  <c r="E447" i="4"/>
  <c r="D447" i="4"/>
  <c r="T446" i="4"/>
  <c r="R446" i="4"/>
  <c r="Q446" i="4"/>
  <c r="F446" i="4"/>
  <c r="E446" i="4"/>
  <c r="D446" i="4"/>
  <c r="T445" i="4"/>
  <c r="R445" i="4"/>
  <c r="Q445" i="4"/>
  <c r="F445" i="4"/>
  <c r="E445" i="4"/>
  <c r="D445" i="4"/>
  <c r="T444" i="4"/>
  <c r="R444" i="4"/>
  <c r="Q444" i="4"/>
  <c r="F444" i="4"/>
  <c r="E444" i="4"/>
  <c r="D444" i="4"/>
  <c r="T443" i="4"/>
  <c r="R443" i="4"/>
  <c r="Q443" i="4"/>
  <c r="F443" i="4"/>
  <c r="E443" i="4"/>
  <c r="D443" i="4"/>
  <c r="T442" i="4"/>
  <c r="R442" i="4"/>
  <c r="Q442" i="4"/>
  <c r="F442" i="4"/>
  <c r="E442" i="4"/>
  <c r="D442" i="4"/>
  <c r="T441" i="4"/>
  <c r="R441" i="4"/>
  <c r="Q441" i="4"/>
  <c r="F441" i="4"/>
  <c r="E441" i="4"/>
  <c r="D441" i="4"/>
  <c r="T440" i="4"/>
  <c r="R440" i="4"/>
  <c r="Q440" i="4"/>
  <c r="F440" i="4"/>
  <c r="E440" i="4"/>
  <c r="D440" i="4"/>
  <c r="T439" i="4"/>
  <c r="R439" i="4"/>
  <c r="Q439" i="4"/>
  <c r="F439" i="4"/>
  <c r="E439" i="4"/>
  <c r="D439" i="4"/>
  <c r="T438" i="4"/>
  <c r="R438" i="4"/>
  <c r="Q438" i="4"/>
  <c r="F438" i="4"/>
  <c r="E438" i="4"/>
  <c r="D438" i="4"/>
  <c r="T437" i="4"/>
  <c r="R437" i="4"/>
  <c r="Q437" i="4"/>
  <c r="F437" i="4"/>
  <c r="E437" i="4"/>
  <c r="D437" i="4"/>
  <c r="T436" i="4"/>
  <c r="R436" i="4"/>
  <c r="Q436" i="4"/>
  <c r="F436" i="4"/>
  <c r="E436" i="4"/>
  <c r="D436" i="4"/>
  <c r="T435" i="4"/>
  <c r="R435" i="4"/>
  <c r="Q435" i="4"/>
  <c r="F435" i="4"/>
  <c r="E435" i="4"/>
  <c r="D435" i="4"/>
  <c r="T434" i="4"/>
  <c r="R434" i="4"/>
  <c r="Q434" i="4"/>
  <c r="F434" i="4"/>
  <c r="E434" i="4"/>
  <c r="D434" i="4"/>
  <c r="T433" i="4"/>
  <c r="R433" i="4"/>
  <c r="Q433" i="4"/>
  <c r="F433" i="4"/>
  <c r="E433" i="4"/>
  <c r="D433" i="4"/>
  <c r="T432" i="4"/>
  <c r="R432" i="4"/>
  <c r="Q432" i="4"/>
  <c r="F432" i="4"/>
  <c r="E432" i="4"/>
  <c r="D432" i="4"/>
  <c r="T431" i="4"/>
  <c r="R431" i="4"/>
  <c r="Q431" i="4"/>
  <c r="F431" i="4"/>
  <c r="E431" i="4"/>
  <c r="D431" i="4"/>
  <c r="T430" i="4"/>
  <c r="R430" i="4"/>
  <c r="Q430" i="4"/>
  <c r="F430" i="4"/>
  <c r="E430" i="4"/>
  <c r="D430" i="4"/>
  <c r="T429" i="4"/>
  <c r="R429" i="4"/>
  <c r="Q429" i="4"/>
  <c r="F429" i="4"/>
  <c r="E429" i="4"/>
  <c r="D429" i="4"/>
  <c r="T428" i="4"/>
  <c r="R428" i="4"/>
  <c r="Q428" i="4"/>
  <c r="F428" i="4"/>
  <c r="E428" i="4"/>
  <c r="D428" i="4"/>
  <c r="T427" i="4"/>
  <c r="R427" i="4"/>
  <c r="Q427" i="4"/>
  <c r="F427" i="4"/>
  <c r="E427" i="4"/>
  <c r="D427" i="4"/>
  <c r="T426" i="4"/>
  <c r="R426" i="4"/>
  <c r="Q426" i="4"/>
  <c r="F426" i="4"/>
  <c r="E426" i="4"/>
  <c r="D426" i="4"/>
  <c r="T425" i="4"/>
  <c r="R425" i="4"/>
  <c r="Q425" i="4"/>
  <c r="F425" i="4"/>
  <c r="E425" i="4"/>
  <c r="D425" i="4"/>
  <c r="T424" i="4"/>
  <c r="R424" i="4"/>
  <c r="Q424" i="4"/>
  <c r="F424" i="4"/>
  <c r="E424" i="4"/>
  <c r="D424" i="4"/>
  <c r="T423" i="4"/>
  <c r="R423" i="4"/>
  <c r="Q423" i="4"/>
  <c r="F423" i="4"/>
  <c r="E423" i="4"/>
  <c r="D423" i="4"/>
  <c r="T422" i="4"/>
  <c r="R422" i="4"/>
  <c r="Q422" i="4"/>
  <c r="F422" i="4"/>
  <c r="E422" i="4"/>
  <c r="D422" i="4"/>
  <c r="T421" i="4"/>
  <c r="R421" i="4"/>
  <c r="Q421" i="4"/>
  <c r="F421" i="4"/>
  <c r="E421" i="4"/>
  <c r="D421" i="4"/>
  <c r="T420" i="4"/>
  <c r="R420" i="4"/>
  <c r="Q420" i="4"/>
  <c r="F420" i="4"/>
  <c r="E420" i="4"/>
  <c r="D420" i="4"/>
  <c r="T419" i="4"/>
  <c r="R419" i="4"/>
  <c r="Q419" i="4"/>
  <c r="F419" i="4"/>
  <c r="E419" i="4"/>
  <c r="D419" i="4"/>
  <c r="T418" i="4"/>
  <c r="R418" i="4"/>
  <c r="Q418" i="4"/>
  <c r="F418" i="4"/>
  <c r="E418" i="4"/>
  <c r="D418" i="4"/>
  <c r="T417" i="4"/>
  <c r="R417" i="4"/>
  <c r="Q417" i="4"/>
  <c r="F417" i="4"/>
  <c r="E417" i="4"/>
  <c r="D417" i="4"/>
  <c r="T416" i="4"/>
  <c r="R416" i="4"/>
  <c r="Q416" i="4"/>
  <c r="F416" i="4"/>
  <c r="E416" i="4"/>
  <c r="D416" i="4"/>
  <c r="T415" i="4"/>
  <c r="R415" i="4"/>
  <c r="Q415" i="4"/>
  <c r="F415" i="4"/>
  <c r="E415" i="4"/>
  <c r="D415" i="4"/>
  <c r="T414" i="4"/>
  <c r="R414" i="4"/>
  <c r="Q414" i="4"/>
  <c r="F414" i="4"/>
  <c r="E414" i="4"/>
  <c r="D414" i="4"/>
  <c r="T413" i="4"/>
  <c r="R413" i="4"/>
  <c r="Q413" i="4"/>
  <c r="F413" i="4"/>
  <c r="E413" i="4"/>
  <c r="D413" i="4"/>
  <c r="T412" i="4"/>
  <c r="R412" i="4"/>
  <c r="Q412" i="4"/>
  <c r="F412" i="4"/>
  <c r="E412" i="4"/>
  <c r="D412" i="4"/>
  <c r="T411" i="4"/>
  <c r="R411" i="4"/>
  <c r="Q411" i="4"/>
  <c r="F411" i="4"/>
  <c r="E411" i="4"/>
  <c r="D411" i="4"/>
  <c r="T410" i="4"/>
  <c r="R410" i="4"/>
  <c r="Q410" i="4"/>
  <c r="F410" i="4"/>
  <c r="E410" i="4"/>
  <c r="D410" i="4"/>
  <c r="T409" i="4"/>
  <c r="R409" i="4"/>
  <c r="Q409" i="4"/>
  <c r="F409" i="4"/>
  <c r="E409" i="4"/>
  <c r="D409" i="4"/>
  <c r="T408" i="4"/>
  <c r="R408" i="4"/>
  <c r="Q408" i="4"/>
  <c r="F408" i="4"/>
  <c r="E408" i="4"/>
  <c r="D408" i="4"/>
  <c r="T407" i="4"/>
  <c r="R407" i="4"/>
  <c r="Q407" i="4"/>
  <c r="F407" i="4"/>
  <c r="E407" i="4"/>
  <c r="D407" i="4"/>
  <c r="T406" i="4"/>
  <c r="R406" i="4"/>
  <c r="Q406" i="4"/>
  <c r="F406" i="4"/>
  <c r="E406" i="4"/>
  <c r="D406" i="4"/>
  <c r="T405" i="4"/>
  <c r="R405" i="4"/>
  <c r="Q405" i="4"/>
  <c r="F405" i="4"/>
  <c r="E405" i="4"/>
  <c r="D405" i="4"/>
  <c r="T404" i="4"/>
  <c r="R404" i="4"/>
  <c r="Q404" i="4"/>
  <c r="F404" i="4"/>
  <c r="E404" i="4"/>
  <c r="D404" i="4"/>
  <c r="T403" i="4"/>
  <c r="R403" i="4"/>
  <c r="Q403" i="4"/>
  <c r="F403" i="4"/>
  <c r="E403" i="4"/>
  <c r="D403" i="4"/>
  <c r="T402" i="4"/>
  <c r="R402" i="4"/>
  <c r="Q402" i="4"/>
  <c r="F402" i="4"/>
  <c r="E402" i="4"/>
  <c r="D402" i="4"/>
  <c r="T401" i="4"/>
  <c r="R401" i="4"/>
  <c r="Q401" i="4"/>
  <c r="F401" i="4"/>
  <c r="E401" i="4"/>
  <c r="D401" i="4"/>
  <c r="T400" i="4"/>
  <c r="R400" i="4"/>
  <c r="Q400" i="4"/>
  <c r="F400" i="4"/>
  <c r="E400" i="4"/>
  <c r="D400" i="4"/>
  <c r="T399" i="4"/>
  <c r="R399" i="4"/>
  <c r="Q399" i="4"/>
  <c r="F399" i="4"/>
  <c r="E399" i="4"/>
  <c r="D399" i="4"/>
  <c r="T398" i="4"/>
  <c r="R398" i="4"/>
  <c r="Q398" i="4"/>
  <c r="F398" i="4"/>
  <c r="E398" i="4"/>
  <c r="D398" i="4"/>
  <c r="T397" i="4"/>
  <c r="R397" i="4"/>
  <c r="Q397" i="4"/>
  <c r="F397" i="4"/>
  <c r="E397" i="4"/>
  <c r="D397" i="4"/>
  <c r="T396" i="4"/>
  <c r="R396" i="4"/>
  <c r="Q396" i="4"/>
  <c r="F396" i="4"/>
  <c r="E396" i="4"/>
  <c r="D396" i="4"/>
  <c r="T395" i="4"/>
  <c r="R395" i="4"/>
  <c r="Q395" i="4"/>
  <c r="F395" i="4"/>
  <c r="E395" i="4"/>
  <c r="D395" i="4"/>
  <c r="T394" i="4"/>
  <c r="R394" i="4"/>
  <c r="Q394" i="4"/>
  <c r="F394" i="4"/>
  <c r="E394" i="4"/>
  <c r="D394" i="4"/>
  <c r="T393" i="4"/>
  <c r="R393" i="4"/>
  <c r="Q393" i="4"/>
  <c r="F393" i="4"/>
  <c r="E393" i="4"/>
  <c r="D393" i="4"/>
  <c r="T392" i="4"/>
  <c r="R392" i="4"/>
  <c r="Q392" i="4"/>
  <c r="F392" i="4"/>
  <c r="E392" i="4"/>
  <c r="D392" i="4"/>
  <c r="T391" i="4"/>
  <c r="R391" i="4"/>
  <c r="Q391" i="4"/>
  <c r="F391" i="4"/>
  <c r="E391" i="4"/>
  <c r="D391" i="4"/>
  <c r="T390" i="4"/>
  <c r="R390" i="4"/>
  <c r="Q390" i="4"/>
  <c r="F390" i="4"/>
  <c r="E390" i="4"/>
  <c r="D390" i="4"/>
  <c r="T389" i="4"/>
  <c r="R389" i="4"/>
  <c r="Q389" i="4"/>
  <c r="F389" i="4"/>
  <c r="E389" i="4"/>
  <c r="D389" i="4"/>
  <c r="T388" i="4"/>
  <c r="R388" i="4"/>
  <c r="Q388" i="4"/>
  <c r="F388" i="4"/>
  <c r="E388" i="4"/>
  <c r="D388" i="4"/>
  <c r="T387" i="4"/>
  <c r="R387" i="4"/>
  <c r="Q387" i="4"/>
  <c r="F387" i="4"/>
  <c r="E387" i="4"/>
  <c r="D387" i="4"/>
  <c r="T386" i="4"/>
  <c r="R386" i="4"/>
  <c r="Q386" i="4"/>
  <c r="F386" i="4"/>
  <c r="E386" i="4"/>
  <c r="D386" i="4"/>
  <c r="T385" i="4"/>
  <c r="R385" i="4"/>
  <c r="Q385" i="4"/>
  <c r="F385" i="4"/>
  <c r="E385" i="4"/>
  <c r="D385" i="4"/>
  <c r="T384" i="4"/>
  <c r="R384" i="4"/>
  <c r="Q384" i="4"/>
  <c r="F384" i="4"/>
  <c r="E384" i="4"/>
  <c r="D384" i="4"/>
  <c r="T383" i="4"/>
  <c r="R383" i="4"/>
  <c r="Q383" i="4"/>
  <c r="F383" i="4"/>
  <c r="E383" i="4"/>
  <c r="D383" i="4"/>
  <c r="T382" i="4"/>
  <c r="R382" i="4"/>
  <c r="Q382" i="4"/>
  <c r="F382" i="4"/>
  <c r="E382" i="4"/>
  <c r="D382" i="4"/>
  <c r="T381" i="4"/>
  <c r="R381" i="4"/>
  <c r="Q381" i="4"/>
  <c r="F381" i="4"/>
  <c r="E381" i="4"/>
  <c r="D381" i="4"/>
  <c r="T380" i="4"/>
  <c r="R380" i="4"/>
  <c r="Q380" i="4"/>
  <c r="F380" i="4"/>
  <c r="E380" i="4"/>
  <c r="D380" i="4"/>
  <c r="T379" i="4"/>
  <c r="R379" i="4"/>
  <c r="Q379" i="4"/>
  <c r="F379" i="4"/>
  <c r="E379" i="4"/>
  <c r="D379" i="4"/>
  <c r="T378" i="4"/>
  <c r="R378" i="4"/>
  <c r="Q378" i="4"/>
  <c r="F378" i="4"/>
  <c r="E378" i="4"/>
  <c r="D378" i="4"/>
  <c r="T377" i="4"/>
  <c r="R377" i="4"/>
  <c r="Q377" i="4"/>
  <c r="F377" i="4"/>
  <c r="E377" i="4"/>
  <c r="D377" i="4"/>
  <c r="T376" i="4"/>
  <c r="R376" i="4"/>
  <c r="Q376" i="4"/>
  <c r="F376" i="4"/>
  <c r="E376" i="4"/>
  <c r="D376" i="4"/>
  <c r="T375" i="4"/>
  <c r="R375" i="4"/>
  <c r="Q375" i="4"/>
  <c r="F375" i="4"/>
  <c r="E375" i="4"/>
  <c r="D375" i="4"/>
  <c r="T374" i="4"/>
  <c r="R374" i="4"/>
  <c r="Q374" i="4"/>
  <c r="F374" i="4"/>
  <c r="E374" i="4"/>
  <c r="D374" i="4"/>
  <c r="T373" i="4"/>
  <c r="R373" i="4"/>
  <c r="Q373" i="4"/>
  <c r="F373" i="4"/>
  <c r="E373" i="4"/>
  <c r="D373" i="4"/>
  <c r="T372" i="4"/>
  <c r="R372" i="4"/>
  <c r="Q372" i="4"/>
  <c r="F372" i="4"/>
  <c r="E372" i="4"/>
  <c r="D372" i="4"/>
  <c r="T371" i="4"/>
  <c r="R371" i="4"/>
  <c r="Q371" i="4"/>
  <c r="F371" i="4"/>
  <c r="E371" i="4"/>
  <c r="D371" i="4"/>
  <c r="T370" i="4"/>
  <c r="R370" i="4"/>
  <c r="Q370" i="4"/>
  <c r="F370" i="4"/>
  <c r="E370" i="4"/>
  <c r="D370" i="4"/>
  <c r="T369" i="4"/>
  <c r="R369" i="4"/>
  <c r="Q369" i="4"/>
  <c r="F369" i="4"/>
  <c r="E369" i="4"/>
  <c r="D369" i="4"/>
  <c r="T368" i="4"/>
  <c r="R368" i="4"/>
  <c r="Q368" i="4"/>
  <c r="F368" i="4"/>
  <c r="E368" i="4"/>
  <c r="D368" i="4"/>
  <c r="T367" i="4"/>
  <c r="R367" i="4"/>
  <c r="Q367" i="4"/>
  <c r="F367" i="4"/>
  <c r="E367" i="4"/>
  <c r="D367" i="4"/>
  <c r="T366" i="4"/>
  <c r="R366" i="4"/>
  <c r="Q366" i="4"/>
  <c r="F366" i="4"/>
  <c r="E366" i="4"/>
  <c r="D366" i="4"/>
  <c r="T365" i="4"/>
  <c r="R365" i="4"/>
  <c r="Q365" i="4"/>
  <c r="F365" i="4"/>
  <c r="E365" i="4"/>
  <c r="D365" i="4"/>
  <c r="T364" i="4"/>
  <c r="R364" i="4"/>
  <c r="Q364" i="4"/>
  <c r="F364" i="4"/>
  <c r="E364" i="4"/>
  <c r="D364" i="4"/>
  <c r="T363" i="4"/>
  <c r="R363" i="4"/>
  <c r="Q363" i="4"/>
  <c r="F363" i="4"/>
  <c r="E363" i="4"/>
  <c r="D363" i="4"/>
  <c r="T362" i="4"/>
  <c r="R362" i="4"/>
  <c r="Q362" i="4"/>
  <c r="F362" i="4"/>
  <c r="E362" i="4"/>
  <c r="D362" i="4"/>
  <c r="T361" i="4"/>
  <c r="R361" i="4"/>
  <c r="Q361" i="4"/>
  <c r="F361" i="4"/>
  <c r="E361" i="4"/>
  <c r="D361" i="4"/>
  <c r="T360" i="4"/>
  <c r="R360" i="4"/>
  <c r="Q360" i="4"/>
  <c r="F360" i="4"/>
  <c r="E360" i="4"/>
  <c r="D360" i="4"/>
  <c r="T359" i="4"/>
  <c r="R359" i="4"/>
  <c r="Q359" i="4"/>
  <c r="F359" i="4"/>
  <c r="E359" i="4"/>
  <c r="D359" i="4"/>
  <c r="T358" i="4"/>
  <c r="R358" i="4"/>
  <c r="Q358" i="4"/>
  <c r="F358" i="4"/>
  <c r="E358" i="4"/>
  <c r="D358" i="4"/>
  <c r="T357" i="4"/>
  <c r="R357" i="4"/>
  <c r="Q357" i="4"/>
  <c r="F357" i="4"/>
  <c r="E357" i="4"/>
  <c r="D357" i="4"/>
  <c r="T356" i="4"/>
  <c r="R356" i="4"/>
  <c r="Q356" i="4"/>
  <c r="F356" i="4"/>
  <c r="E356" i="4"/>
  <c r="D356" i="4"/>
  <c r="T355" i="4"/>
  <c r="R355" i="4"/>
  <c r="Q355" i="4"/>
  <c r="F355" i="4"/>
  <c r="E355" i="4"/>
  <c r="D355" i="4"/>
  <c r="T354" i="4"/>
  <c r="R354" i="4"/>
  <c r="Q354" i="4"/>
  <c r="F354" i="4"/>
  <c r="E354" i="4"/>
  <c r="D354" i="4"/>
  <c r="T353" i="4"/>
  <c r="R353" i="4"/>
  <c r="Q353" i="4"/>
  <c r="F353" i="4"/>
  <c r="E353" i="4"/>
  <c r="D353" i="4"/>
  <c r="T352" i="4"/>
  <c r="R352" i="4"/>
  <c r="Q352" i="4"/>
  <c r="F352" i="4"/>
  <c r="E352" i="4"/>
  <c r="D352" i="4"/>
  <c r="T351" i="4"/>
  <c r="R351" i="4"/>
  <c r="Q351" i="4"/>
  <c r="F351" i="4"/>
  <c r="E351" i="4"/>
  <c r="D351" i="4"/>
  <c r="T350" i="4"/>
  <c r="R350" i="4"/>
  <c r="Q350" i="4"/>
  <c r="F350" i="4"/>
  <c r="E350" i="4"/>
  <c r="D350" i="4"/>
  <c r="T349" i="4"/>
  <c r="R349" i="4"/>
  <c r="Q349" i="4"/>
  <c r="F349" i="4"/>
  <c r="E349" i="4"/>
  <c r="D349" i="4"/>
  <c r="T348" i="4"/>
  <c r="R348" i="4"/>
  <c r="Q348" i="4"/>
  <c r="F348" i="4"/>
  <c r="E348" i="4"/>
  <c r="D348" i="4"/>
  <c r="T347" i="4"/>
  <c r="R347" i="4"/>
  <c r="Q347" i="4"/>
  <c r="F347" i="4"/>
  <c r="E347" i="4"/>
  <c r="D347" i="4"/>
  <c r="T346" i="4"/>
  <c r="R346" i="4"/>
  <c r="Q346" i="4"/>
  <c r="F346" i="4"/>
  <c r="E346" i="4"/>
  <c r="D346" i="4"/>
  <c r="T345" i="4"/>
  <c r="R345" i="4"/>
  <c r="Q345" i="4"/>
  <c r="F345" i="4"/>
  <c r="E345" i="4"/>
  <c r="D345" i="4"/>
  <c r="T344" i="4"/>
  <c r="R344" i="4"/>
  <c r="Q344" i="4"/>
  <c r="F344" i="4"/>
  <c r="E344" i="4"/>
  <c r="D344" i="4"/>
  <c r="T343" i="4"/>
  <c r="R343" i="4"/>
  <c r="Q343" i="4"/>
  <c r="F343" i="4"/>
  <c r="E343" i="4"/>
  <c r="D343" i="4"/>
  <c r="T342" i="4"/>
  <c r="R342" i="4"/>
  <c r="Q342" i="4"/>
  <c r="F342" i="4"/>
  <c r="E342" i="4"/>
  <c r="D342" i="4"/>
  <c r="T341" i="4"/>
  <c r="R341" i="4"/>
  <c r="Q341" i="4"/>
  <c r="F341" i="4"/>
  <c r="E341" i="4"/>
  <c r="D341" i="4"/>
  <c r="T340" i="4"/>
  <c r="R340" i="4"/>
  <c r="Q340" i="4"/>
  <c r="F340" i="4"/>
  <c r="E340" i="4"/>
  <c r="D340" i="4"/>
  <c r="T339" i="4"/>
  <c r="R339" i="4"/>
  <c r="Q339" i="4"/>
  <c r="F339" i="4"/>
  <c r="E339" i="4"/>
  <c r="D339" i="4"/>
  <c r="T338" i="4"/>
  <c r="R338" i="4"/>
  <c r="Q338" i="4"/>
  <c r="F338" i="4"/>
  <c r="E338" i="4"/>
  <c r="D338" i="4"/>
  <c r="T337" i="4"/>
  <c r="R337" i="4"/>
  <c r="Q337" i="4"/>
  <c r="F337" i="4"/>
  <c r="E337" i="4"/>
  <c r="D337" i="4"/>
  <c r="T336" i="4"/>
  <c r="R336" i="4"/>
  <c r="Q336" i="4"/>
  <c r="F336" i="4"/>
  <c r="E336" i="4"/>
  <c r="D336" i="4"/>
  <c r="T335" i="4"/>
  <c r="R335" i="4"/>
  <c r="Q335" i="4"/>
  <c r="F335" i="4"/>
  <c r="E335" i="4"/>
  <c r="D335" i="4"/>
  <c r="T334" i="4"/>
  <c r="R334" i="4"/>
  <c r="Q334" i="4"/>
  <c r="F334" i="4"/>
  <c r="E334" i="4"/>
  <c r="D334" i="4"/>
  <c r="T333" i="4"/>
  <c r="R333" i="4"/>
  <c r="Q333" i="4"/>
  <c r="F333" i="4"/>
  <c r="E333" i="4"/>
  <c r="D333" i="4"/>
  <c r="T332" i="4"/>
  <c r="R332" i="4"/>
  <c r="Q332" i="4"/>
  <c r="F332" i="4"/>
  <c r="E332" i="4"/>
  <c r="D332" i="4"/>
  <c r="T331" i="4"/>
  <c r="R331" i="4"/>
  <c r="Q331" i="4"/>
  <c r="F331" i="4"/>
  <c r="E331" i="4"/>
  <c r="D331" i="4"/>
  <c r="T330" i="4"/>
  <c r="R330" i="4"/>
  <c r="Q330" i="4"/>
  <c r="F330" i="4"/>
  <c r="E330" i="4"/>
  <c r="D330" i="4"/>
  <c r="T329" i="4"/>
  <c r="R329" i="4"/>
  <c r="Q329" i="4"/>
  <c r="F329" i="4"/>
  <c r="E329" i="4"/>
  <c r="D329" i="4"/>
  <c r="T328" i="4"/>
  <c r="R328" i="4"/>
  <c r="Q328" i="4"/>
  <c r="F328" i="4"/>
  <c r="E328" i="4"/>
  <c r="D328" i="4"/>
  <c r="T327" i="4"/>
  <c r="R327" i="4"/>
  <c r="Q327" i="4"/>
  <c r="F327" i="4"/>
  <c r="E327" i="4"/>
  <c r="D327" i="4"/>
  <c r="T326" i="4"/>
  <c r="R326" i="4"/>
  <c r="Q326" i="4"/>
  <c r="F326" i="4"/>
  <c r="E326" i="4"/>
  <c r="D326" i="4"/>
  <c r="T325" i="4"/>
  <c r="R325" i="4"/>
  <c r="Q325" i="4"/>
  <c r="F325" i="4"/>
  <c r="E325" i="4"/>
  <c r="D325" i="4"/>
  <c r="T324" i="4"/>
  <c r="R324" i="4"/>
  <c r="Q324" i="4"/>
  <c r="F324" i="4"/>
  <c r="E324" i="4"/>
  <c r="D324" i="4"/>
  <c r="T323" i="4"/>
  <c r="R323" i="4"/>
  <c r="Q323" i="4"/>
  <c r="F323" i="4"/>
  <c r="E323" i="4"/>
  <c r="D323" i="4"/>
  <c r="T322" i="4"/>
  <c r="R322" i="4"/>
  <c r="Q322" i="4"/>
  <c r="F322" i="4"/>
  <c r="E322" i="4"/>
  <c r="D322" i="4"/>
  <c r="T321" i="4"/>
  <c r="R321" i="4"/>
  <c r="Q321" i="4"/>
  <c r="F321" i="4"/>
  <c r="E321" i="4"/>
  <c r="D321" i="4"/>
  <c r="T320" i="4"/>
  <c r="R320" i="4"/>
  <c r="Q320" i="4"/>
  <c r="F320" i="4"/>
  <c r="E320" i="4"/>
  <c r="D320" i="4"/>
  <c r="T319" i="4"/>
  <c r="R319" i="4"/>
  <c r="Q319" i="4"/>
  <c r="F319" i="4"/>
  <c r="E319" i="4"/>
  <c r="D319" i="4"/>
  <c r="T318" i="4"/>
  <c r="R318" i="4"/>
  <c r="Q318" i="4"/>
  <c r="F318" i="4"/>
  <c r="E318" i="4"/>
  <c r="D318" i="4"/>
  <c r="T317" i="4"/>
  <c r="R317" i="4"/>
  <c r="Q317" i="4"/>
  <c r="F317" i="4"/>
  <c r="E317" i="4"/>
  <c r="D317" i="4"/>
  <c r="T316" i="4"/>
  <c r="R316" i="4"/>
  <c r="Q316" i="4"/>
  <c r="F316" i="4"/>
  <c r="E316" i="4"/>
  <c r="D316" i="4"/>
  <c r="T315" i="4"/>
  <c r="R315" i="4"/>
  <c r="Q315" i="4"/>
  <c r="F315" i="4"/>
  <c r="E315" i="4"/>
  <c r="D315" i="4"/>
  <c r="T314" i="4"/>
  <c r="R314" i="4"/>
  <c r="Q314" i="4"/>
  <c r="F314" i="4"/>
  <c r="E314" i="4"/>
  <c r="D314" i="4"/>
  <c r="T313" i="4"/>
  <c r="R313" i="4"/>
  <c r="Q313" i="4"/>
  <c r="F313" i="4"/>
  <c r="E313" i="4"/>
  <c r="D313" i="4"/>
  <c r="T312" i="4"/>
  <c r="R312" i="4"/>
  <c r="Q312" i="4"/>
  <c r="F312" i="4"/>
  <c r="E312" i="4"/>
  <c r="D312" i="4"/>
  <c r="T311" i="4"/>
  <c r="R311" i="4"/>
  <c r="Q311" i="4"/>
  <c r="F311" i="4"/>
  <c r="E311" i="4"/>
  <c r="D311" i="4"/>
  <c r="T310" i="4"/>
  <c r="R310" i="4"/>
  <c r="Q310" i="4"/>
  <c r="F310" i="4"/>
  <c r="E310" i="4"/>
  <c r="D310" i="4"/>
  <c r="T309" i="4"/>
  <c r="R309" i="4"/>
  <c r="Q309" i="4"/>
  <c r="F309" i="4"/>
  <c r="E309" i="4"/>
  <c r="D309" i="4"/>
  <c r="T308" i="4"/>
  <c r="R308" i="4"/>
  <c r="Q308" i="4"/>
  <c r="F308" i="4"/>
  <c r="E308" i="4"/>
  <c r="D308" i="4"/>
  <c r="T307" i="4"/>
  <c r="R307" i="4"/>
  <c r="Q307" i="4"/>
  <c r="F307" i="4"/>
  <c r="E307" i="4"/>
  <c r="D307" i="4"/>
  <c r="T306" i="4"/>
  <c r="R306" i="4"/>
  <c r="Q306" i="4"/>
  <c r="F306" i="4"/>
  <c r="E306" i="4"/>
  <c r="D306" i="4"/>
  <c r="T305" i="4"/>
  <c r="R305" i="4"/>
  <c r="Q305" i="4"/>
  <c r="F305" i="4"/>
  <c r="E305" i="4"/>
  <c r="D305" i="4"/>
  <c r="T304" i="4"/>
  <c r="R304" i="4"/>
  <c r="Q304" i="4"/>
  <c r="F304" i="4"/>
  <c r="E304" i="4"/>
  <c r="D304" i="4"/>
  <c r="T303" i="4"/>
  <c r="R303" i="4"/>
  <c r="Q303" i="4"/>
  <c r="F303" i="4"/>
  <c r="E303" i="4"/>
  <c r="D303" i="4"/>
  <c r="T302" i="4"/>
  <c r="R302" i="4"/>
  <c r="Q302" i="4"/>
  <c r="F302" i="4"/>
  <c r="E302" i="4"/>
  <c r="D302" i="4"/>
  <c r="T301" i="4"/>
  <c r="R301" i="4"/>
  <c r="Q301" i="4"/>
  <c r="F301" i="4"/>
  <c r="E301" i="4"/>
  <c r="D301" i="4"/>
  <c r="T300" i="4"/>
  <c r="R300" i="4"/>
  <c r="Q300" i="4"/>
  <c r="F300" i="4"/>
  <c r="E300" i="4"/>
  <c r="D300" i="4"/>
  <c r="T299" i="4"/>
  <c r="R299" i="4"/>
  <c r="Q299" i="4"/>
  <c r="F299" i="4"/>
  <c r="E299" i="4"/>
  <c r="D299" i="4"/>
  <c r="T298" i="4"/>
  <c r="R298" i="4"/>
  <c r="Q298" i="4"/>
  <c r="F298" i="4"/>
  <c r="E298" i="4"/>
  <c r="D298" i="4"/>
  <c r="T297" i="4"/>
  <c r="R297" i="4"/>
  <c r="Q297" i="4"/>
  <c r="F297" i="4"/>
  <c r="E297" i="4"/>
  <c r="D297" i="4"/>
  <c r="T296" i="4"/>
  <c r="R296" i="4"/>
  <c r="Q296" i="4"/>
  <c r="F296" i="4"/>
  <c r="E296" i="4"/>
  <c r="D296" i="4"/>
  <c r="T295" i="4"/>
  <c r="R295" i="4"/>
  <c r="Q295" i="4"/>
  <c r="F295" i="4"/>
  <c r="E295" i="4"/>
  <c r="D295" i="4"/>
  <c r="T294" i="4"/>
  <c r="R294" i="4"/>
  <c r="Q294" i="4"/>
  <c r="F294" i="4"/>
  <c r="E294" i="4"/>
  <c r="D294" i="4"/>
  <c r="T293" i="4"/>
  <c r="R293" i="4"/>
  <c r="Q293" i="4"/>
  <c r="F293" i="4"/>
  <c r="E293" i="4"/>
  <c r="D293" i="4"/>
  <c r="T292" i="4"/>
  <c r="R292" i="4"/>
  <c r="Q292" i="4"/>
  <c r="F292" i="4"/>
  <c r="E292" i="4"/>
  <c r="D292" i="4"/>
  <c r="T291" i="4"/>
  <c r="R291" i="4"/>
  <c r="Q291" i="4"/>
  <c r="F291" i="4"/>
  <c r="E291" i="4"/>
  <c r="D291" i="4"/>
  <c r="T290" i="4"/>
  <c r="R290" i="4"/>
  <c r="Q290" i="4"/>
  <c r="F290" i="4"/>
  <c r="E290" i="4"/>
  <c r="D290" i="4"/>
  <c r="T289" i="4"/>
  <c r="R289" i="4"/>
  <c r="Q289" i="4"/>
  <c r="F289" i="4"/>
  <c r="E289" i="4"/>
  <c r="D289" i="4"/>
  <c r="T288" i="4"/>
  <c r="R288" i="4"/>
  <c r="Q288" i="4"/>
  <c r="F288" i="4"/>
  <c r="E288" i="4"/>
  <c r="D288" i="4"/>
  <c r="T287" i="4"/>
  <c r="R287" i="4"/>
  <c r="Q287" i="4"/>
  <c r="F287" i="4"/>
  <c r="E287" i="4"/>
  <c r="D287" i="4"/>
  <c r="T286" i="4"/>
  <c r="R286" i="4"/>
  <c r="Q286" i="4"/>
  <c r="F286" i="4"/>
  <c r="E286" i="4"/>
  <c r="D286" i="4"/>
  <c r="T285" i="4"/>
  <c r="R285" i="4"/>
  <c r="Q285" i="4"/>
  <c r="F285" i="4"/>
  <c r="E285" i="4"/>
  <c r="D285" i="4"/>
  <c r="T284" i="4"/>
  <c r="R284" i="4"/>
  <c r="Q284" i="4"/>
  <c r="F284" i="4"/>
  <c r="E284" i="4"/>
  <c r="D284" i="4"/>
  <c r="T283" i="4"/>
  <c r="R283" i="4"/>
  <c r="Q283" i="4"/>
  <c r="F283" i="4"/>
  <c r="E283" i="4"/>
  <c r="D283" i="4"/>
  <c r="T282" i="4"/>
  <c r="R282" i="4"/>
  <c r="Q282" i="4"/>
  <c r="F282" i="4"/>
  <c r="E282" i="4"/>
  <c r="D282" i="4"/>
  <c r="T281" i="4"/>
  <c r="R281" i="4"/>
  <c r="Q281" i="4"/>
  <c r="F281" i="4"/>
  <c r="E281" i="4"/>
  <c r="D281" i="4"/>
  <c r="T280" i="4"/>
  <c r="R280" i="4"/>
  <c r="Q280" i="4"/>
  <c r="F280" i="4"/>
  <c r="E280" i="4"/>
  <c r="D280" i="4"/>
  <c r="T279" i="4"/>
  <c r="R279" i="4"/>
  <c r="Q279" i="4"/>
  <c r="F279" i="4"/>
  <c r="E279" i="4"/>
  <c r="D279" i="4"/>
  <c r="T278" i="4"/>
  <c r="R278" i="4"/>
  <c r="Q278" i="4"/>
  <c r="F278" i="4"/>
  <c r="E278" i="4"/>
  <c r="D278" i="4"/>
  <c r="T277" i="4"/>
  <c r="R277" i="4"/>
  <c r="Q277" i="4"/>
  <c r="F277" i="4"/>
  <c r="E277" i="4"/>
  <c r="D277" i="4"/>
  <c r="T276" i="4"/>
  <c r="R276" i="4"/>
  <c r="Q276" i="4"/>
  <c r="F276" i="4"/>
  <c r="E276" i="4"/>
  <c r="D276" i="4"/>
  <c r="T275" i="4"/>
  <c r="R275" i="4"/>
  <c r="Q275" i="4"/>
  <c r="F275" i="4"/>
  <c r="E275" i="4"/>
  <c r="D275" i="4"/>
  <c r="T274" i="4"/>
  <c r="R274" i="4"/>
  <c r="Q274" i="4"/>
  <c r="F274" i="4"/>
  <c r="E274" i="4"/>
  <c r="D274" i="4"/>
  <c r="T273" i="4"/>
  <c r="R273" i="4"/>
  <c r="Q273" i="4"/>
  <c r="F273" i="4"/>
  <c r="E273" i="4"/>
  <c r="D273" i="4"/>
  <c r="T272" i="4"/>
  <c r="R272" i="4"/>
  <c r="Q272" i="4"/>
  <c r="F272" i="4"/>
  <c r="E272" i="4"/>
  <c r="D272" i="4"/>
  <c r="T271" i="4"/>
  <c r="R271" i="4"/>
  <c r="Q271" i="4"/>
  <c r="F271" i="4"/>
  <c r="E271" i="4"/>
  <c r="D271" i="4"/>
  <c r="T270" i="4"/>
  <c r="R270" i="4"/>
  <c r="Q270" i="4"/>
  <c r="F270" i="4"/>
  <c r="E270" i="4"/>
  <c r="D270" i="4"/>
  <c r="T269" i="4"/>
  <c r="R269" i="4"/>
  <c r="Q269" i="4"/>
  <c r="F269" i="4"/>
  <c r="E269" i="4"/>
  <c r="D269" i="4"/>
  <c r="T268" i="4"/>
  <c r="R268" i="4"/>
  <c r="Q268" i="4"/>
  <c r="F268" i="4"/>
  <c r="E268" i="4"/>
  <c r="D268" i="4"/>
  <c r="T267" i="4"/>
  <c r="R267" i="4"/>
  <c r="Q267" i="4"/>
  <c r="F267" i="4"/>
  <c r="E267" i="4"/>
  <c r="D267" i="4"/>
  <c r="T266" i="4"/>
  <c r="R266" i="4"/>
  <c r="Q266" i="4"/>
  <c r="F266" i="4"/>
  <c r="E266" i="4"/>
  <c r="D266" i="4"/>
  <c r="T265" i="4"/>
  <c r="R265" i="4"/>
  <c r="Q265" i="4"/>
  <c r="F265" i="4"/>
  <c r="E265" i="4"/>
  <c r="D265" i="4"/>
  <c r="T264" i="4"/>
  <c r="R264" i="4"/>
  <c r="Q264" i="4"/>
  <c r="F264" i="4"/>
  <c r="E264" i="4"/>
  <c r="D264" i="4"/>
  <c r="T263" i="4"/>
  <c r="R263" i="4"/>
  <c r="Q263" i="4"/>
  <c r="F263" i="4"/>
  <c r="E263" i="4"/>
  <c r="D263" i="4"/>
  <c r="T262" i="4"/>
  <c r="R262" i="4"/>
  <c r="Q262" i="4"/>
  <c r="F262" i="4"/>
  <c r="E262" i="4"/>
  <c r="D262" i="4"/>
  <c r="T261" i="4"/>
  <c r="R261" i="4"/>
  <c r="Q261" i="4"/>
  <c r="F261" i="4"/>
  <c r="E261" i="4"/>
  <c r="D261" i="4"/>
  <c r="T260" i="4"/>
  <c r="R260" i="4"/>
  <c r="Q260" i="4"/>
  <c r="F260" i="4"/>
  <c r="E260" i="4"/>
  <c r="D260" i="4"/>
  <c r="T259" i="4"/>
  <c r="R259" i="4"/>
  <c r="Q259" i="4"/>
  <c r="F259" i="4"/>
  <c r="E259" i="4"/>
  <c r="D259" i="4"/>
  <c r="T258" i="4"/>
  <c r="R258" i="4"/>
  <c r="Q258" i="4"/>
  <c r="F258" i="4"/>
  <c r="E258" i="4"/>
  <c r="D258" i="4"/>
  <c r="T257" i="4"/>
  <c r="R257" i="4"/>
  <c r="Q257" i="4"/>
  <c r="F257" i="4"/>
  <c r="E257" i="4"/>
  <c r="D257" i="4"/>
  <c r="T256" i="4"/>
  <c r="R256" i="4"/>
  <c r="Q256" i="4"/>
  <c r="F256" i="4"/>
  <c r="E256" i="4"/>
  <c r="D256" i="4"/>
  <c r="T255" i="4"/>
  <c r="R255" i="4"/>
  <c r="Q255" i="4"/>
  <c r="F255" i="4"/>
  <c r="E255" i="4"/>
  <c r="D255" i="4"/>
  <c r="T254" i="4"/>
  <c r="R254" i="4"/>
  <c r="Q254" i="4"/>
  <c r="F254" i="4"/>
  <c r="E254" i="4"/>
  <c r="D254" i="4"/>
  <c r="T253" i="4"/>
  <c r="R253" i="4"/>
  <c r="Q253" i="4"/>
  <c r="F253" i="4"/>
  <c r="E253" i="4"/>
  <c r="D253" i="4"/>
  <c r="T252" i="4"/>
  <c r="R252" i="4"/>
  <c r="Q252" i="4"/>
  <c r="F252" i="4"/>
  <c r="E252" i="4"/>
  <c r="D252" i="4"/>
  <c r="T251" i="4"/>
  <c r="R251" i="4"/>
  <c r="Q251" i="4"/>
  <c r="F251" i="4"/>
  <c r="E251" i="4"/>
  <c r="D251" i="4"/>
  <c r="T250" i="4"/>
  <c r="R250" i="4"/>
  <c r="Q250" i="4"/>
  <c r="F250" i="4"/>
  <c r="E250" i="4"/>
  <c r="D250" i="4"/>
  <c r="T249" i="4"/>
  <c r="R249" i="4"/>
  <c r="Q249" i="4"/>
  <c r="F249" i="4"/>
  <c r="E249" i="4"/>
  <c r="D249" i="4"/>
  <c r="T248" i="4"/>
  <c r="R248" i="4"/>
  <c r="Q248" i="4"/>
  <c r="F248" i="4"/>
  <c r="E248" i="4"/>
  <c r="D248" i="4"/>
  <c r="T247" i="4"/>
  <c r="R247" i="4"/>
  <c r="Q247" i="4"/>
  <c r="F247" i="4"/>
  <c r="E247" i="4"/>
  <c r="D247" i="4"/>
  <c r="T246" i="4"/>
  <c r="R246" i="4"/>
  <c r="Q246" i="4"/>
  <c r="F246" i="4"/>
  <c r="E246" i="4"/>
  <c r="D246" i="4"/>
  <c r="T245" i="4"/>
  <c r="R245" i="4"/>
  <c r="Q245" i="4"/>
  <c r="F245" i="4"/>
  <c r="E245" i="4"/>
  <c r="D245" i="4"/>
  <c r="T244" i="4"/>
  <c r="R244" i="4"/>
  <c r="Q244" i="4"/>
  <c r="F244" i="4"/>
  <c r="E244" i="4"/>
  <c r="D244" i="4"/>
  <c r="T243" i="4"/>
  <c r="R243" i="4"/>
  <c r="Q243" i="4"/>
  <c r="F243" i="4"/>
  <c r="E243" i="4"/>
  <c r="D243" i="4"/>
  <c r="T242" i="4"/>
  <c r="R242" i="4"/>
  <c r="Q242" i="4"/>
  <c r="F242" i="4"/>
  <c r="E242" i="4"/>
  <c r="D242" i="4"/>
  <c r="T241" i="4"/>
  <c r="R241" i="4"/>
  <c r="Q241" i="4"/>
  <c r="F241" i="4"/>
  <c r="E241" i="4"/>
  <c r="D241" i="4"/>
  <c r="T240" i="4"/>
  <c r="R240" i="4"/>
  <c r="Q240" i="4"/>
  <c r="F240" i="4"/>
  <c r="E240" i="4"/>
  <c r="D240" i="4"/>
  <c r="T239" i="4"/>
  <c r="R239" i="4"/>
  <c r="Q239" i="4"/>
  <c r="F239" i="4"/>
  <c r="E239" i="4"/>
  <c r="D239" i="4"/>
  <c r="T238" i="4"/>
  <c r="R238" i="4"/>
  <c r="Q238" i="4"/>
  <c r="F238" i="4"/>
  <c r="E238" i="4"/>
  <c r="D238" i="4"/>
  <c r="T237" i="4"/>
  <c r="R237" i="4"/>
  <c r="Q237" i="4"/>
  <c r="F237" i="4"/>
  <c r="E237" i="4"/>
  <c r="D237" i="4"/>
  <c r="T236" i="4"/>
  <c r="R236" i="4"/>
  <c r="Q236" i="4"/>
  <c r="F236" i="4"/>
  <c r="E236" i="4"/>
  <c r="D236" i="4"/>
  <c r="T235" i="4"/>
  <c r="R235" i="4"/>
  <c r="Q235" i="4"/>
  <c r="F235" i="4"/>
  <c r="E235" i="4"/>
  <c r="D235" i="4"/>
  <c r="T234" i="4"/>
  <c r="R234" i="4"/>
  <c r="Q234" i="4"/>
  <c r="F234" i="4"/>
  <c r="E234" i="4"/>
  <c r="D234" i="4"/>
  <c r="T233" i="4"/>
  <c r="R233" i="4"/>
  <c r="Q233" i="4"/>
  <c r="F233" i="4"/>
  <c r="E233" i="4"/>
  <c r="D233" i="4"/>
  <c r="T232" i="4"/>
  <c r="R232" i="4"/>
  <c r="Q232" i="4"/>
  <c r="F232" i="4"/>
  <c r="E232" i="4"/>
  <c r="D232" i="4"/>
  <c r="T231" i="4"/>
  <c r="R231" i="4"/>
  <c r="Q231" i="4"/>
  <c r="F231" i="4"/>
  <c r="E231" i="4"/>
  <c r="D231" i="4"/>
  <c r="T230" i="4"/>
  <c r="R230" i="4"/>
  <c r="Q230" i="4"/>
  <c r="F230" i="4"/>
  <c r="E230" i="4"/>
  <c r="D230" i="4"/>
  <c r="T229" i="4"/>
  <c r="R229" i="4"/>
  <c r="Q229" i="4"/>
  <c r="F229" i="4"/>
  <c r="E229" i="4"/>
  <c r="D229" i="4"/>
  <c r="T228" i="4"/>
  <c r="R228" i="4"/>
  <c r="Q228" i="4"/>
  <c r="F228" i="4"/>
  <c r="E228" i="4"/>
  <c r="D228" i="4"/>
  <c r="T227" i="4"/>
  <c r="R227" i="4"/>
  <c r="Q227" i="4"/>
  <c r="F227" i="4"/>
  <c r="E227" i="4"/>
  <c r="D227" i="4"/>
  <c r="T226" i="4"/>
  <c r="R226" i="4"/>
  <c r="Q226" i="4"/>
  <c r="F226" i="4"/>
  <c r="E226" i="4"/>
  <c r="D226" i="4"/>
  <c r="T225" i="4"/>
  <c r="R225" i="4"/>
  <c r="Q225" i="4"/>
  <c r="F225" i="4"/>
  <c r="E225" i="4"/>
  <c r="D225" i="4"/>
  <c r="T224" i="4"/>
  <c r="R224" i="4"/>
  <c r="Q224" i="4"/>
  <c r="F224" i="4"/>
  <c r="E224" i="4"/>
  <c r="D224" i="4"/>
  <c r="T223" i="4"/>
  <c r="R223" i="4"/>
  <c r="Q223" i="4"/>
  <c r="F223" i="4"/>
  <c r="E223" i="4"/>
  <c r="D223" i="4"/>
  <c r="T222" i="4"/>
  <c r="R222" i="4"/>
  <c r="Q222" i="4"/>
  <c r="F222" i="4"/>
  <c r="E222" i="4"/>
  <c r="D222" i="4"/>
  <c r="T221" i="4"/>
  <c r="R221" i="4"/>
  <c r="Q221" i="4"/>
  <c r="F221" i="4"/>
  <c r="E221" i="4"/>
  <c r="D221" i="4"/>
  <c r="T220" i="4"/>
  <c r="R220" i="4"/>
  <c r="Q220" i="4"/>
  <c r="F220" i="4"/>
  <c r="E220" i="4"/>
  <c r="D220" i="4"/>
  <c r="T219" i="4"/>
  <c r="R219" i="4"/>
  <c r="Q219" i="4"/>
  <c r="F219" i="4"/>
  <c r="E219" i="4"/>
  <c r="D219" i="4"/>
  <c r="T218" i="4"/>
  <c r="R218" i="4"/>
  <c r="Q218" i="4"/>
  <c r="F218" i="4"/>
  <c r="E218" i="4"/>
  <c r="D218" i="4"/>
  <c r="T217" i="4"/>
  <c r="R217" i="4"/>
  <c r="Q217" i="4"/>
  <c r="F217" i="4"/>
  <c r="E217" i="4"/>
  <c r="D217" i="4"/>
  <c r="T216" i="4"/>
  <c r="R216" i="4"/>
  <c r="Q216" i="4"/>
  <c r="F216" i="4"/>
  <c r="E216" i="4"/>
  <c r="D216" i="4"/>
  <c r="T215" i="4"/>
  <c r="R215" i="4"/>
  <c r="Q215" i="4"/>
  <c r="F215" i="4"/>
  <c r="E215" i="4"/>
  <c r="D215" i="4"/>
  <c r="T214" i="4"/>
  <c r="R214" i="4"/>
  <c r="Q214" i="4"/>
  <c r="F214" i="4"/>
  <c r="E214" i="4"/>
  <c r="D214" i="4"/>
  <c r="T213" i="4"/>
  <c r="R213" i="4"/>
  <c r="Q213" i="4"/>
  <c r="F213" i="4"/>
  <c r="E213" i="4"/>
  <c r="D213" i="4"/>
  <c r="T212" i="4"/>
  <c r="R212" i="4"/>
  <c r="Q212" i="4"/>
  <c r="F212" i="4"/>
  <c r="E212" i="4"/>
  <c r="D212" i="4"/>
  <c r="T211" i="4"/>
  <c r="R211" i="4"/>
  <c r="Q211" i="4"/>
  <c r="F211" i="4"/>
  <c r="E211" i="4"/>
  <c r="D211" i="4"/>
  <c r="T210" i="4"/>
  <c r="R210" i="4"/>
  <c r="Q210" i="4"/>
  <c r="F210" i="4"/>
  <c r="E210" i="4"/>
  <c r="D210" i="4"/>
  <c r="T209" i="4"/>
  <c r="R209" i="4"/>
  <c r="Q209" i="4"/>
  <c r="F209" i="4"/>
  <c r="E209" i="4"/>
  <c r="D209" i="4"/>
  <c r="T208" i="4"/>
  <c r="R208" i="4"/>
  <c r="Q208" i="4"/>
  <c r="F208" i="4"/>
  <c r="E208" i="4"/>
  <c r="D208" i="4"/>
  <c r="T207" i="4"/>
  <c r="R207" i="4"/>
  <c r="Q207" i="4"/>
  <c r="F207" i="4"/>
  <c r="E207" i="4"/>
  <c r="D207" i="4"/>
  <c r="T206" i="4"/>
  <c r="R206" i="4"/>
  <c r="Q206" i="4"/>
  <c r="F206" i="4"/>
  <c r="E206" i="4"/>
  <c r="D206" i="4"/>
  <c r="T205" i="4"/>
  <c r="R205" i="4"/>
  <c r="Q205" i="4"/>
  <c r="F205" i="4"/>
  <c r="E205" i="4"/>
  <c r="D205" i="4"/>
  <c r="T204" i="4"/>
  <c r="R204" i="4"/>
  <c r="Q204" i="4"/>
  <c r="F204" i="4"/>
  <c r="E204" i="4"/>
  <c r="D204" i="4"/>
  <c r="T203" i="4"/>
  <c r="R203" i="4"/>
  <c r="Q203" i="4"/>
  <c r="F203" i="4"/>
  <c r="E203" i="4"/>
  <c r="D203" i="4"/>
  <c r="T202" i="4"/>
  <c r="R202" i="4"/>
  <c r="Q202" i="4"/>
  <c r="F202" i="4"/>
  <c r="E202" i="4"/>
  <c r="D202" i="4"/>
  <c r="T201" i="4"/>
  <c r="R201" i="4"/>
  <c r="Q201" i="4"/>
  <c r="F201" i="4"/>
  <c r="E201" i="4"/>
  <c r="D201" i="4"/>
  <c r="T200" i="4"/>
  <c r="R200" i="4"/>
  <c r="Q200" i="4"/>
  <c r="F200" i="4"/>
  <c r="E200" i="4"/>
  <c r="D200" i="4"/>
  <c r="T199" i="4"/>
  <c r="R199" i="4"/>
  <c r="Q199" i="4"/>
  <c r="F199" i="4"/>
  <c r="E199" i="4"/>
  <c r="D199" i="4"/>
  <c r="T198" i="4"/>
  <c r="R198" i="4"/>
  <c r="Q198" i="4"/>
  <c r="F198" i="4"/>
  <c r="E198" i="4"/>
  <c r="D198" i="4"/>
  <c r="T197" i="4"/>
  <c r="R197" i="4"/>
  <c r="Q197" i="4"/>
  <c r="F197" i="4"/>
  <c r="E197" i="4"/>
  <c r="D197" i="4"/>
  <c r="T196" i="4"/>
  <c r="R196" i="4"/>
  <c r="Q196" i="4"/>
  <c r="F196" i="4"/>
  <c r="E196" i="4"/>
  <c r="D196" i="4"/>
  <c r="T195" i="4"/>
  <c r="R195" i="4"/>
  <c r="Q195" i="4"/>
  <c r="F195" i="4"/>
  <c r="E195" i="4"/>
  <c r="D195" i="4"/>
  <c r="T194" i="4"/>
  <c r="R194" i="4"/>
  <c r="Q194" i="4"/>
  <c r="F194" i="4"/>
  <c r="E194" i="4"/>
  <c r="D194" i="4"/>
  <c r="T193" i="4"/>
  <c r="R193" i="4"/>
  <c r="Q193" i="4"/>
  <c r="F193" i="4"/>
  <c r="E193" i="4"/>
  <c r="D193" i="4"/>
  <c r="T192" i="4"/>
  <c r="R192" i="4"/>
  <c r="Q192" i="4"/>
  <c r="F192" i="4"/>
  <c r="E192" i="4"/>
  <c r="D192" i="4"/>
  <c r="T191" i="4"/>
  <c r="R191" i="4"/>
  <c r="Q191" i="4"/>
  <c r="F191" i="4"/>
  <c r="E191" i="4"/>
  <c r="D191" i="4"/>
  <c r="T190" i="4"/>
  <c r="R190" i="4"/>
  <c r="Q190" i="4"/>
  <c r="F190" i="4"/>
  <c r="E190" i="4"/>
  <c r="D190" i="4"/>
  <c r="T189" i="4"/>
  <c r="R189" i="4"/>
  <c r="Q189" i="4"/>
  <c r="F189" i="4"/>
  <c r="E189" i="4"/>
  <c r="D189" i="4"/>
  <c r="T188" i="4"/>
  <c r="R188" i="4"/>
  <c r="Q188" i="4"/>
  <c r="F188" i="4"/>
  <c r="E188" i="4"/>
  <c r="D188" i="4"/>
  <c r="T187" i="4"/>
  <c r="R187" i="4"/>
  <c r="Q187" i="4"/>
  <c r="F187" i="4"/>
  <c r="E187" i="4"/>
  <c r="D187" i="4"/>
  <c r="T186" i="4"/>
  <c r="R186" i="4"/>
  <c r="Q186" i="4"/>
  <c r="F186" i="4"/>
  <c r="E186" i="4"/>
  <c r="D186" i="4"/>
  <c r="T185" i="4"/>
  <c r="R185" i="4"/>
  <c r="Q185" i="4"/>
  <c r="F185" i="4"/>
  <c r="E185" i="4"/>
  <c r="D185" i="4"/>
  <c r="T184" i="4"/>
  <c r="R184" i="4"/>
  <c r="Q184" i="4"/>
  <c r="F184" i="4"/>
  <c r="E184" i="4"/>
  <c r="D184" i="4"/>
  <c r="T183" i="4"/>
  <c r="R183" i="4"/>
  <c r="Q183" i="4"/>
  <c r="F183" i="4"/>
  <c r="E183" i="4"/>
  <c r="D183" i="4"/>
  <c r="T182" i="4"/>
  <c r="R182" i="4"/>
  <c r="Q182" i="4"/>
  <c r="F182" i="4"/>
  <c r="E182" i="4"/>
  <c r="D182" i="4"/>
  <c r="T181" i="4"/>
  <c r="R181" i="4"/>
  <c r="Q181" i="4"/>
  <c r="F181" i="4"/>
  <c r="E181" i="4"/>
  <c r="D181" i="4"/>
  <c r="T180" i="4"/>
  <c r="R180" i="4"/>
  <c r="Q180" i="4"/>
  <c r="F180" i="4"/>
  <c r="E180" i="4"/>
  <c r="D180" i="4"/>
  <c r="T179" i="4"/>
  <c r="R179" i="4"/>
  <c r="Q179" i="4"/>
  <c r="F179" i="4"/>
  <c r="E179" i="4"/>
  <c r="D179" i="4"/>
  <c r="T178" i="4"/>
  <c r="R178" i="4"/>
  <c r="Q178" i="4"/>
  <c r="F178" i="4"/>
  <c r="E178" i="4"/>
  <c r="D178" i="4"/>
  <c r="T177" i="4"/>
  <c r="R177" i="4"/>
  <c r="Q177" i="4"/>
  <c r="F177" i="4"/>
  <c r="E177" i="4"/>
  <c r="D177" i="4"/>
  <c r="T176" i="4"/>
  <c r="R176" i="4"/>
  <c r="Q176" i="4"/>
  <c r="F176" i="4"/>
  <c r="E176" i="4"/>
  <c r="D176" i="4"/>
  <c r="T175" i="4"/>
  <c r="R175" i="4"/>
  <c r="Q175" i="4"/>
  <c r="F175" i="4"/>
  <c r="E175" i="4"/>
  <c r="D175" i="4"/>
  <c r="T174" i="4"/>
  <c r="R174" i="4"/>
  <c r="Q174" i="4"/>
  <c r="F174" i="4"/>
  <c r="E174" i="4"/>
  <c r="D174" i="4"/>
  <c r="T173" i="4"/>
  <c r="R173" i="4"/>
  <c r="Q173" i="4"/>
  <c r="F173" i="4"/>
  <c r="E173" i="4"/>
  <c r="D173" i="4"/>
  <c r="T172" i="4"/>
  <c r="R172" i="4"/>
  <c r="Q172" i="4"/>
  <c r="F172" i="4"/>
  <c r="E172" i="4"/>
  <c r="D172" i="4"/>
  <c r="T171" i="4"/>
  <c r="R171" i="4"/>
  <c r="Q171" i="4"/>
  <c r="F171" i="4"/>
  <c r="E171" i="4"/>
  <c r="D171" i="4"/>
  <c r="T170" i="4"/>
  <c r="R170" i="4"/>
  <c r="Q170" i="4"/>
  <c r="F170" i="4"/>
  <c r="E170" i="4"/>
  <c r="D170" i="4"/>
  <c r="T169" i="4"/>
  <c r="R169" i="4"/>
  <c r="Q169" i="4"/>
  <c r="F169" i="4"/>
  <c r="E169" i="4"/>
  <c r="D169" i="4"/>
  <c r="T168" i="4"/>
  <c r="R168" i="4"/>
  <c r="Q168" i="4"/>
  <c r="F168" i="4"/>
  <c r="E168" i="4"/>
  <c r="D168" i="4"/>
  <c r="T167" i="4"/>
  <c r="R167" i="4"/>
  <c r="Q167" i="4"/>
  <c r="F167" i="4"/>
  <c r="E167" i="4"/>
  <c r="D167" i="4"/>
  <c r="T166" i="4"/>
  <c r="R166" i="4"/>
  <c r="Q166" i="4"/>
  <c r="F166" i="4"/>
  <c r="E166" i="4"/>
  <c r="D166" i="4"/>
  <c r="T165" i="4"/>
  <c r="R165" i="4"/>
  <c r="Q165" i="4"/>
  <c r="F165" i="4"/>
  <c r="E165" i="4"/>
  <c r="D165" i="4"/>
  <c r="T164" i="4"/>
  <c r="R164" i="4"/>
  <c r="Q164" i="4"/>
  <c r="F164" i="4"/>
  <c r="E164" i="4"/>
  <c r="D164" i="4"/>
  <c r="T163" i="4"/>
  <c r="R163" i="4"/>
  <c r="Q163" i="4"/>
  <c r="F163" i="4"/>
  <c r="E163" i="4"/>
  <c r="D163" i="4"/>
  <c r="T162" i="4"/>
  <c r="R162" i="4"/>
  <c r="Q162" i="4"/>
  <c r="F162" i="4"/>
  <c r="E162" i="4"/>
  <c r="D162" i="4"/>
  <c r="T161" i="4"/>
  <c r="R161" i="4"/>
  <c r="Q161" i="4"/>
  <c r="F161" i="4"/>
  <c r="E161" i="4"/>
  <c r="D161" i="4"/>
  <c r="T160" i="4"/>
  <c r="R160" i="4"/>
  <c r="Q160" i="4"/>
  <c r="F160" i="4"/>
  <c r="E160" i="4"/>
  <c r="D160" i="4"/>
  <c r="T159" i="4"/>
  <c r="R159" i="4"/>
  <c r="Q159" i="4"/>
  <c r="F159" i="4"/>
  <c r="E159" i="4"/>
  <c r="D159" i="4"/>
  <c r="T158" i="4"/>
  <c r="R158" i="4"/>
  <c r="Q158" i="4"/>
  <c r="F158" i="4"/>
  <c r="E158" i="4"/>
  <c r="D158" i="4"/>
  <c r="T157" i="4"/>
  <c r="R157" i="4"/>
  <c r="Q157" i="4"/>
  <c r="F157" i="4"/>
  <c r="E157" i="4"/>
  <c r="D157" i="4"/>
  <c r="T156" i="4"/>
  <c r="R156" i="4"/>
  <c r="Q156" i="4"/>
  <c r="F156" i="4"/>
  <c r="E156" i="4"/>
  <c r="D156" i="4"/>
  <c r="T155" i="4"/>
  <c r="R155" i="4"/>
  <c r="Q155" i="4"/>
  <c r="F155" i="4"/>
  <c r="E155" i="4"/>
  <c r="D155" i="4"/>
  <c r="T154" i="4"/>
  <c r="R154" i="4"/>
  <c r="Q154" i="4"/>
  <c r="F154" i="4"/>
  <c r="E154" i="4"/>
  <c r="D154" i="4"/>
  <c r="T153" i="4"/>
  <c r="R153" i="4"/>
  <c r="Q153" i="4"/>
  <c r="F153" i="4"/>
  <c r="E153" i="4"/>
  <c r="D153" i="4"/>
  <c r="T152" i="4"/>
  <c r="R152" i="4"/>
  <c r="Q152" i="4"/>
  <c r="F152" i="4"/>
  <c r="E152" i="4"/>
  <c r="D152" i="4"/>
  <c r="T151" i="4"/>
  <c r="R151" i="4"/>
  <c r="Q151" i="4"/>
  <c r="F151" i="4"/>
  <c r="E151" i="4"/>
  <c r="D151" i="4"/>
  <c r="T150" i="4"/>
  <c r="R150" i="4"/>
  <c r="Q150" i="4"/>
  <c r="F150" i="4"/>
  <c r="E150" i="4"/>
  <c r="D150" i="4"/>
  <c r="T149" i="4"/>
  <c r="R149" i="4"/>
  <c r="Q149" i="4"/>
  <c r="F149" i="4"/>
  <c r="E149" i="4"/>
  <c r="D149" i="4"/>
  <c r="T148" i="4"/>
  <c r="R148" i="4"/>
  <c r="Q148" i="4"/>
  <c r="F148" i="4"/>
  <c r="E148" i="4"/>
  <c r="D148" i="4"/>
  <c r="T147" i="4"/>
  <c r="R147" i="4"/>
  <c r="Q147" i="4"/>
  <c r="F147" i="4"/>
  <c r="E147" i="4"/>
  <c r="D147" i="4"/>
  <c r="T146" i="4"/>
  <c r="R146" i="4"/>
  <c r="Q146" i="4"/>
  <c r="F146" i="4"/>
  <c r="E146" i="4"/>
  <c r="D146" i="4"/>
  <c r="T145" i="4"/>
  <c r="R145" i="4"/>
  <c r="Q145" i="4"/>
  <c r="F145" i="4"/>
  <c r="E145" i="4"/>
  <c r="D145" i="4"/>
  <c r="T144" i="4"/>
  <c r="R144" i="4"/>
  <c r="Q144" i="4"/>
  <c r="F144" i="4"/>
  <c r="E144" i="4"/>
  <c r="D144" i="4"/>
  <c r="T143" i="4"/>
  <c r="R143" i="4"/>
  <c r="Q143" i="4"/>
  <c r="F143" i="4"/>
  <c r="E143" i="4"/>
  <c r="D143" i="4"/>
  <c r="T142" i="4"/>
  <c r="R142" i="4"/>
  <c r="Q142" i="4"/>
  <c r="F142" i="4"/>
  <c r="E142" i="4"/>
  <c r="D142" i="4"/>
  <c r="T141" i="4"/>
  <c r="R141" i="4"/>
  <c r="Q141" i="4"/>
  <c r="F141" i="4"/>
  <c r="E141" i="4"/>
  <c r="D141" i="4"/>
  <c r="T140" i="4"/>
  <c r="R140" i="4"/>
  <c r="Q140" i="4"/>
  <c r="F140" i="4"/>
  <c r="E140" i="4"/>
  <c r="D140" i="4"/>
  <c r="T139" i="4"/>
  <c r="R139" i="4"/>
  <c r="Q139" i="4"/>
  <c r="F139" i="4"/>
  <c r="E139" i="4"/>
  <c r="D139" i="4"/>
  <c r="T138" i="4"/>
  <c r="R138" i="4"/>
  <c r="Q138" i="4"/>
  <c r="F138" i="4"/>
  <c r="E138" i="4"/>
  <c r="D138" i="4"/>
  <c r="T137" i="4"/>
  <c r="R137" i="4"/>
  <c r="Q137" i="4"/>
  <c r="F137" i="4"/>
  <c r="E137" i="4"/>
  <c r="D137" i="4"/>
  <c r="T136" i="4"/>
  <c r="R136" i="4"/>
  <c r="Q136" i="4"/>
  <c r="F136" i="4"/>
  <c r="E136" i="4"/>
  <c r="D136" i="4"/>
  <c r="T135" i="4"/>
  <c r="R135" i="4"/>
  <c r="Q135" i="4"/>
  <c r="F135" i="4"/>
  <c r="E135" i="4"/>
  <c r="D135" i="4"/>
  <c r="T134" i="4"/>
  <c r="R134" i="4"/>
  <c r="Q134" i="4"/>
  <c r="F134" i="4"/>
  <c r="E134" i="4"/>
  <c r="D134" i="4"/>
  <c r="T133" i="4"/>
  <c r="R133" i="4"/>
  <c r="Q133" i="4"/>
  <c r="F133" i="4"/>
  <c r="E133" i="4"/>
  <c r="D133" i="4"/>
  <c r="T132" i="4"/>
  <c r="R132" i="4"/>
  <c r="Q132" i="4"/>
  <c r="F132" i="4"/>
  <c r="E132" i="4"/>
  <c r="D132" i="4"/>
  <c r="T131" i="4"/>
  <c r="R131" i="4"/>
  <c r="Q131" i="4"/>
  <c r="F131" i="4"/>
  <c r="E131" i="4"/>
  <c r="D131" i="4"/>
  <c r="T130" i="4"/>
  <c r="R130" i="4"/>
  <c r="Q130" i="4"/>
  <c r="F130" i="4"/>
  <c r="E130" i="4"/>
  <c r="D130" i="4"/>
  <c r="T129" i="4"/>
  <c r="R129" i="4"/>
  <c r="Q129" i="4"/>
  <c r="F129" i="4"/>
  <c r="E129" i="4"/>
  <c r="D129" i="4"/>
  <c r="T128" i="4"/>
  <c r="R128" i="4"/>
  <c r="Q128" i="4"/>
  <c r="F128" i="4"/>
  <c r="E128" i="4"/>
  <c r="D128" i="4"/>
  <c r="T127" i="4"/>
  <c r="R127" i="4"/>
  <c r="Q127" i="4"/>
  <c r="F127" i="4"/>
  <c r="E127" i="4"/>
  <c r="D127" i="4"/>
  <c r="T126" i="4"/>
  <c r="R126" i="4"/>
  <c r="Q126" i="4"/>
  <c r="F126" i="4"/>
  <c r="E126" i="4"/>
  <c r="D126" i="4"/>
  <c r="T125" i="4"/>
  <c r="R125" i="4"/>
  <c r="Q125" i="4"/>
  <c r="F125" i="4"/>
  <c r="E125" i="4"/>
  <c r="D125" i="4"/>
  <c r="T124" i="4"/>
  <c r="R124" i="4"/>
  <c r="Q124" i="4"/>
  <c r="F124" i="4"/>
  <c r="E124" i="4"/>
  <c r="D124" i="4"/>
  <c r="T123" i="4"/>
  <c r="R123" i="4"/>
  <c r="Q123" i="4"/>
  <c r="F123" i="4"/>
  <c r="E123" i="4"/>
  <c r="D123" i="4"/>
  <c r="T122" i="4"/>
  <c r="R122" i="4"/>
  <c r="Q122" i="4"/>
  <c r="F122" i="4"/>
  <c r="E122" i="4"/>
  <c r="D122" i="4"/>
  <c r="T121" i="4"/>
  <c r="R121" i="4"/>
  <c r="Q121" i="4"/>
  <c r="F121" i="4"/>
  <c r="E121" i="4"/>
  <c r="D121" i="4"/>
  <c r="T120" i="4"/>
  <c r="R120" i="4"/>
  <c r="Q120" i="4"/>
  <c r="F120" i="4"/>
  <c r="E120" i="4"/>
  <c r="D120" i="4"/>
  <c r="T119" i="4"/>
  <c r="R119" i="4"/>
  <c r="Q119" i="4"/>
  <c r="F119" i="4"/>
  <c r="E119" i="4"/>
  <c r="D119" i="4"/>
  <c r="T118" i="4"/>
  <c r="R118" i="4"/>
  <c r="Q118" i="4"/>
  <c r="F118" i="4"/>
  <c r="E118" i="4"/>
  <c r="D118" i="4"/>
  <c r="T117" i="4"/>
  <c r="R117" i="4"/>
  <c r="Q117" i="4"/>
  <c r="F117" i="4"/>
  <c r="E117" i="4"/>
  <c r="D117" i="4"/>
  <c r="T116" i="4"/>
  <c r="R116" i="4"/>
  <c r="Q116" i="4"/>
  <c r="F116" i="4"/>
  <c r="E116" i="4"/>
  <c r="D116" i="4"/>
  <c r="T115" i="4"/>
  <c r="R115" i="4"/>
  <c r="Q115" i="4"/>
  <c r="F115" i="4"/>
  <c r="E115" i="4"/>
  <c r="D115" i="4"/>
  <c r="T114" i="4"/>
  <c r="R114" i="4"/>
  <c r="Q114" i="4"/>
  <c r="F114" i="4"/>
  <c r="E114" i="4"/>
  <c r="D114" i="4"/>
  <c r="T113" i="4"/>
  <c r="R113" i="4"/>
  <c r="Q113" i="4"/>
  <c r="F113" i="4"/>
  <c r="E113" i="4"/>
  <c r="D113" i="4"/>
  <c r="T112" i="4"/>
  <c r="R112" i="4"/>
  <c r="Q112" i="4"/>
  <c r="F112" i="4"/>
  <c r="E112" i="4"/>
  <c r="D112" i="4"/>
  <c r="T111" i="4"/>
  <c r="R111" i="4"/>
  <c r="Q111" i="4"/>
  <c r="F111" i="4"/>
  <c r="E111" i="4"/>
  <c r="D111" i="4"/>
  <c r="T110" i="4"/>
  <c r="R110" i="4"/>
  <c r="Q110" i="4"/>
  <c r="F110" i="4"/>
  <c r="E110" i="4"/>
  <c r="D110" i="4"/>
  <c r="T109" i="4"/>
  <c r="R109" i="4"/>
  <c r="Q109" i="4"/>
  <c r="F109" i="4"/>
  <c r="E109" i="4"/>
  <c r="D109" i="4"/>
  <c r="T108" i="4"/>
  <c r="R108" i="4"/>
  <c r="Q108" i="4"/>
  <c r="F108" i="4"/>
  <c r="E108" i="4"/>
  <c r="D108" i="4"/>
  <c r="T107" i="4"/>
  <c r="R107" i="4"/>
  <c r="Q107" i="4"/>
  <c r="F107" i="4"/>
  <c r="E107" i="4"/>
  <c r="D107" i="4"/>
  <c r="T106" i="4"/>
  <c r="R106" i="4"/>
  <c r="Q106" i="4"/>
  <c r="F106" i="4"/>
  <c r="E106" i="4"/>
  <c r="D106" i="4"/>
  <c r="T105" i="4"/>
  <c r="R105" i="4"/>
  <c r="Q105" i="4"/>
  <c r="F105" i="4"/>
  <c r="E105" i="4"/>
  <c r="D105" i="4"/>
  <c r="T104" i="4"/>
  <c r="R104" i="4"/>
  <c r="Q104" i="4"/>
  <c r="F104" i="4"/>
  <c r="E104" i="4"/>
  <c r="D104" i="4"/>
  <c r="T103" i="4"/>
  <c r="R103" i="4"/>
  <c r="Q103" i="4"/>
  <c r="F103" i="4"/>
  <c r="E103" i="4"/>
  <c r="D103" i="4"/>
  <c r="T102" i="4"/>
  <c r="R102" i="4"/>
  <c r="Q102" i="4"/>
  <c r="F102" i="4"/>
  <c r="E102" i="4"/>
  <c r="D102" i="4"/>
  <c r="T101" i="4"/>
  <c r="R101" i="4"/>
  <c r="Q101" i="4"/>
  <c r="F101" i="4"/>
  <c r="E101" i="4"/>
  <c r="D101" i="4"/>
  <c r="T100" i="4"/>
  <c r="R100" i="4"/>
  <c r="Q100" i="4"/>
  <c r="F100" i="4"/>
  <c r="E100" i="4"/>
  <c r="D100" i="4"/>
  <c r="T99" i="4"/>
  <c r="R99" i="4"/>
  <c r="Q99" i="4"/>
  <c r="F99" i="4"/>
  <c r="E99" i="4"/>
  <c r="D99" i="4"/>
  <c r="T98" i="4"/>
  <c r="R98" i="4"/>
  <c r="Q98" i="4"/>
  <c r="F98" i="4"/>
  <c r="E98" i="4"/>
  <c r="D98" i="4"/>
  <c r="T97" i="4"/>
  <c r="R97" i="4"/>
  <c r="Q97" i="4"/>
  <c r="F97" i="4"/>
  <c r="E97" i="4"/>
  <c r="D97" i="4"/>
  <c r="T96" i="4"/>
  <c r="R96" i="4"/>
  <c r="Q96" i="4"/>
  <c r="F96" i="4"/>
  <c r="E96" i="4"/>
  <c r="D96" i="4"/>
  <c r="T95" i="4"/>
  <c r="R95" i="4"/>
  <c r="Q95" i="4"/>
  <c r="F95" i="4"/>
  <c r="E95" i="4"/>
  <c r="D95" i="4"/>
  <c r="T94" i="4"/>
  <c r="R94" i="4"/>
  <c r="Q94" i="4"/>
  <c r="F94" i="4"/>
  <c r="E94" i="4"/>
  <c r="D94" i="4"/>
  <c r="T93" i="4"/>
  <c r="R93" i="4"/>
  <c r="Q93" i="4"/>
  <c r="F93" i="4"/>
  <c r="E93" i="4"/>
  <c r="D93" i="4"/>
  <c r="T92" i="4"/>
  <c r="R92" i="4"/>
  <c r="Q92" i="4"/>
  <c r="F92" i="4"/>
  <c r="E92" i="4"/>
  <c r="D92" i="4"/>
  <c r="T91" i="4"/>
  <c r="R91" i="4"/>
  <c r="Q91" i="4"/>
  <c r="F91" i="4"/>
  <c r="E91" i="4"/>
  <c r="D91" i="4"/>
  <c r="T90" i="4"/>
  <c r="R90" i="4"/>
  <c r="Q90" i="4"/>
  <c r="F90" i="4"/>
  <c r="E90" i="4"/>
  <c r="D90" i="4"/>
  <c r="T89" i="4"/>
  <c r="R89" i="4"/>
  <c r="Q89" i="4"/>
  <c r="F89" i="4"/>
  <c r="E89" i="4"/>
  <c r="D89" i="4"/>
  <c r="T88" i="4"/>
  <c r="R88" i="4"/>
  <c r="Q88" i="4"/>
  <c r="F88" i="4"/>
  <c r="E88" i="4"/>
  <c r="D88" i="4"/>
  <c r="T87" i="4"/>
  <c r="R87" i="4"/>
  <c r="Q87" i="4"/>
  <c r="F87" i="4"/>
  <c r="E87" i="4"/>
  <c r="D87" i="4"/>
  <c r="T86" i="4"/>
  <c r="R86" i="4"/>
  <c r="Q86" i="4"/>
  <c r="F86" i="4"/>
  <c r="E86" i="4"/>
  <c r="D86" i="4"/>
  <c r="T85" i="4"/>
  <c r="R85" i="4"/>
  <c r="Q85" i="4"/>
  <c r="F85" i="4"/>
  <c r="E85" i="4"/>
  <c r="D85" i="4"/>
  <c r="T84" i="4"/>
  <c r="R84" i="4"/>
  <c r="Q84" i="4"/>
  <c r="F84" i="4"/>
  <c r="E84" i="4"/>
  <c r="D84" i="4"/>
  <c r="T83" i="4"/>
  <c r="R83" i="4"/>
  <c r="Q83" i="4"/>
  <c r="F83" i="4"/>
  <c r="E83" i="4"/>
  <c r="D83" i="4"/>
  <c r="T82" i="4"/>
  <c r="R82" i="4"/>
  <c r="Q82" i="4"/>
  <c r="F82" i="4"/>
  <c r="E82" i="4"/>
  <c r="D82" i="4"/>
  <c r="T81" i="4"/>
  <c r="R81" i="4"/>
  <c r="Q81" i="4"/>
  <c r="F81" i="4"/>
  <c r="E81" i="4"/>
  <c r="D81" i="4"/>
  <c r="T80" i="4"/>
  <c r="R80" i="4"/>
  <c r="Q80" i="4"/>
  <c r="F80" i="4"/>
  <c r="E80" i="4"/>
  <c r="D80" i="4"/>
  <c r="T79" i="4"/>
  <c r="R79" i="4"/>
  <c r="Q79" i="4"/>
  <c r="F79" i="4"/>
  <c r="E79" i="4"/>
  <c r="D79" i="4"/>
  <c r="T78" i="4"/>
  <c r="R78" i="4"/>
  <c r="Q78" i="4"/>
  <c r="F78" i="4"/>
  <c r="E78" i="4"/>
  <c r="D78" i="4"/>
  <c r="T77" i="4"/>
  <c r="R77" i="4"/>
  <c r="Q77" i="4"/>
  <c r="F77" i="4"/>
  <c r="E77" i="4"/>
  <c r="D77" i="4"/>
  <c r="T76" i="4"/>
  <c r="R76" i="4"/>
  <c r="Q76" i="4"/>
  <c r="F76" i="4"/>
  <c r="E76" i="4"/>
  <c r="D76" i="4"/>
  <c r="T75" i="4"/>
  <c r="R75" i="4"/>
  <c r="Q75" i="4"/>
  <c r="F75" i="4"/>
  <c r="E75" i="4"/>
  <c r="D75" i="4"/>
  <c r="T74" i="4"/>
  <c r="R74" i="4"/>
  <c r="Q74" i="4"/>
  <c r="F74" i="4"/>
  <c r="E74" i="4"/>
  <c r="D74" i="4"/>
  <c r="T73" i="4"/>
  <c r="R73" i="4"/>
  <c r="Q73" i="4"/>
  <c r="F73" i="4"/>
  <c r="E73" i="4"/>
  <c r="D73" i="4"/>
  <c r="T72" i="4"/>
  <c r="R72" i="4"/>
  <c r="Q72" i="4"/>
  <c r="F72" i="4"/>
  <c r="E72" i="4"/>
  <c r="D72" i="4"/>
  <c r="T71" i="4"/>
  <c r="R71" i="4"/>
  <c r="Q71" i="4"/>
  <c r="F71" i="4"/>
  <c r="E71" i="4"/>
  <c r="D71" i="4"/>
  <c r="T70" i="4"/>
  <c r="R70" i="4"/>
  <c r="Q70" i="4"/>
  <c r="F70" i="4"/>
  <c r="E70" i="4"/>
  <c r="D70" i="4"/>
  <c r="T69" i="4"/>
  <c r="R69" i="4"/>
  <c r="Q69" i="4"/>
  <c r="F69" i="4"/>
  <c r="E69" i="4"/>
  <c r="D69" i="4"/>
  <c r="T68" i="4"/>
  <c r="R68" i="4"/>
  <c r="Q68" i="4"/>
  <c r="F68" i="4"/>
  <c r="E68" i="4"/>
  <c r="D68" i="4"/>
  <c r="T67" i="4"/>
  <c r="R67" i="4"/>
  <c r="Q67" i="4"/>
  <c r="F67" i="4"/>
  <c r="E67" i="4"/>
  <c r="D67" i="4"/>
  <c r="T66" i="4"/>
  <c r="R66" i="4"/>
  <c r="Q66" i="4"/>
  <c r="F66" i="4"/>
  <c r="E66" i="4"/>
  <c r="D66" i="4"/>
  <c r="T65" i="4"/>
  <c r="R65" i="4"/>
  <c r="Q65" i="4"/>
  <c r="F65" i="4"/>
  <c r="E65" i="4"/>
  <c r="D65" i="4"/>
  <c r="T64" i="4"/>
  <c r="R64" i="4"/>
  <c r="Q64" i="4"/>
  <c r="F64" i="4"/>
  <c r="E64" i="4"/>
  <c r="D64" i="4"/>
  <c r="T63" i="4"/>
  <c r="R63" i="4"/>
  <c r="Q63" i="4"/>
  <c r="F63" i="4"/>
  <c r="E63" i="4"/>
  <c r="D63" i="4"/>
  <c r="T62" i="4"/>
  <c r="R62" i="4"/>
  <c r="Q62" i="4"/>
  <c r="F62" i="4"/>
  <c r="E62" i="4"/>
  <c r="D62" i="4"/>
  <c r="T61" i="4"/>
  <c r="R61" i="4"/>
  <c r="Q61" i="4"/>
  <c r="F61" i="4"/>
  <c r="E61" i="4"/>
  <c r="D61" i="4"/>
  <c r="T60" i="4"/>
  <c r="R60" i="4"/>
  <c r="Q60" i="4"/>
  <c r="F60" i="4"/>
  <c r="E60" i="4"/>
  <c r="D60" i="4"/>
  <c r="T59" i="4"/>
  <c r="R59" i="4"/>
  <c r="Q59" i="4"/>
  <c r="F59" i="4"/>
  <c r="E59" i="4"/>
  <c r="D59" i="4"/>
  <c r="T58" i="4"/>
  <c r="R58" i="4"/>
  <c r="Q58" i="4"/>
  <c r="F58" i="4"/>
  <c r="E58" i="4"/>
  <c r="D58" i="4"/>
  <c r="T57" i="4"/>
  <c r="R57" i="4"/>
  <c r="Q57" i="4"/>
  <c r="F57" i="4"/>
  <c r="E57" i="4"/>
  <c r="D57" i="4"/>
  <c r="T56" i="4"/>
  <c r="R56" i="4"/>
  <c r="Q56" i="4"/>
  <c r="F56" i="4"/>
  <c r="E56" i="4"/>
  <c r="D56" i="4"/>
  <c r="T55" i="4"/>
  <c r="R55" i="4"/>
  <c r="Q55" i="4"/>
  <c r="F55" i="4"/>
  <c r="E55" i="4"/>
  <c r="D55" i="4"/>
  <c r="T54" i="4"/>
  <c r="R54" i="4"/>
  <c r="Q54" i="4"/>
  <c r="F54" i="4"/>
  <c r="E54" i="4"/>
  <c r="D54" i="4"/>
  <c r="T53" i="4"/>
  <c r="R53" i="4"/>
  <c r="Q53" i="4"/>
  <c r="F53" i="4"/>
  <c r="E53" i="4"/>
  <c r="D53" i="4"/>
  <c r="T52" i="4"/>
  <c r="R52" i="4"/>
  <c r="Q52" i="4"/>
  <c r="F52" i="4"/>
  <c r="E52" i="4"/>
  <c r="D52" i="4"/>
  <c r="T51" i="4"/>
  <c r="R51" i="4"/>
  <c r="Q51" i="4"/>
  <c r="F51" i="4"/>
  <c r="E51" i="4"/>
  <c r="D51" i="4"/>
  <c r="T50" i="4"/>
  <c r="R50" i="4"/>
  <c r="Q50" i="4"/>
  <c r="F50" i="4"/>
  <c r="E50" i="4"/>
  <c r="D50" i="4"/>
  <c r="T49" i="4"/>
  <c r="R49" i="4"/>
  <c r="Q49" i="4"/>
  <c r="F49" i="4"/>
  <c r="E49" i="4"/>
  <c r="D49" i="4"/>
  <c r="T48" i="4"/>
  <c r="R48" i="4"/>
  <c r="Q48" i="4"/>
  <c r="F48" i="4"/>
  <c r="E48" i="4"/>
  <c r="D48" i="4"/>
  <c r="T47" i="4"/>
  <c r="R47" i="4"/>
  <c r="Q47" i="4"/>
  <c r="F47" i="4"/>
  <c r="E47" i="4"/>
  <c r="D47" i="4"/>
  <c r="T46" i="4"/>
  <c r="R46" i="4"/>
  <c r="Q46" i="4"/>
  <c r="F46" i="4"/>
  <c r="E46" i="4"/>
  <c r="D46" i="4"/>
  <c r="T45" i="4"/>
  <c r="R45" i="4"/>
  <c r="Q45" i="4"/>
  <c r="F45" i="4"/>
  <c r="E45" i="4"/>
  <c r="D45" i="4"/>
  <c r="T44" i="4"/>
  <c r="R44" i="4"/>
  <c r="Q44" i="4"/>
  <c r="F44" i="4"/>
  <c r="E44" i="4"/>
  <c r="D44" i="4"/>
  <c r="T43" i="4"/>
  <c r="R43" i="4"/>
  <c r="Q43" i="4"/>
  <c r="F43" i="4"/>
  <c r="E43" i="4"/>
  <c r="D43" i="4"/>
  <c r="T42" i="4"/>
  <c r="R42" i="4"/>
  <c r="Q42" i="4"/>
  <c r="F42" i="4"/>
  <c r="E42" i="4"/>
  <c r="D42" i="4"/>
  <c r="T41" i="4"/>
  <c r="R41" i="4"/>
  <c r="Q41" i="4"/>
  <c r="F41" i="4"/>
  <c r="E41" i="4"/>
  <c r="D41" i="4"/>
  <c r="T40" i="4"/>
  <c r="R40" i="4"/>
  <c r="Q40" i="4"/>
  <c r="F40" i="4"/>
  <c r="E40" i="4"/>
  <c r="D40" i="4"/>
  <c r="T39" i="4"/>
  <c r="R39" i="4"/>
  <c r="Q39" i="4"/>
  <c r="F39" i="4"/>
  <c r="E39" i="4"/>
  <c r="D39" i="4"/>
  <c r="T38" i="4"/>
  <c r="R38" i="4"/>
  <c r="Q38" i="4"/>
  <c r="F38" i="4"/>
  <c r="E38" i="4"/>
  <c r="D38" i="4"/>
  <c r="T37" i="4"/>
  <c r="R37" i="4"/>
  <c r="Q37" i="4"/>
  <c r="F37" i="4"/>
  <c r="E37" i="4"/>
  <c r="D37" i="4"/>
  <c r="T36" i="4"/>
  <c r="R36" i="4"/>
  <c r="Q36" i="4"/>
  <c r="F36" i="4"/>
  <c r="E36" i="4"/>
  <c r="D36" i="4"/>
  <c r="T35" i="4"/>
  <c r="R35" i="4"/>
  <c r="Q35" i="4"/>
  <c r="F35" i="4"/>
  <c r="E35" i="4"/>
  <c r="D35" i="4"/>
  <c r="T34" i="4"/>
  <c r="R34" i="4"/>
  <c r="Q34" i="4"/>
  <c r="F34" i="4"/>
  <c r="E34" i="4"/>
  <c r="D34" i="4"/>
  <c r="T33" i="4"/>
  <c r="R33" i="4"/>
  <c r="Q33" i="4"/>
  <c r="F33" i="4"/>
  <c r="E33" i="4"/>
  <c r="D33" i="4"/>
  <c r="T32" i="4"/>
  <c r="R32" i="4"/>
  <c r="Q32" i="4"/>
  <c r="F32" i="4"/>
  <c r="E32" i="4"/>
  <c r="D32" i="4"/>
  <c r="T31" i="4"/>
  <c r="R31" i="4"/>
  <c r="Q31" i="4"/>
  <c r="F31" i="4"/>
  <c r="E31" i="4"/>
  <c r="D31" i="4"/>
  <c r="T30" i="4"/>
  <c r="R30" i="4"/>
  <c r="Q30" i="4"/>
  <c r="F30" i="4"/>
  <c r="E30" i="4"/>
  <c r="D30" i="4"/>
  <c r="T29" i="4"/>
  <c r="R29" i="4"/>
  <c r="Q29" i="4"/>
  <c r="F29" i="4"/>
  <c r="E29" i="4"/>
  <c r="D29" i="4"/>
  <c r="T28" i="4"/>
  <c r="R28" i="4"/>
  <c r="Q28" i="4"/>
  <c r="F28" i="4"/>
  <c r="E28" i="4"/>
  <c r="D28" i="4"/>
  <c r="T27" i="4"/>
  <c r="R27" i="4"/>
  <c r="Q27" i="4"/>
  <c r="F27" i="4"/>
  <c r="E27" i="4"/>
  <c r="D27" i="4"/>
  <c r="T26" i="4"/>
  <c r="R26" i="4"/>
  <c r="Q26" i="4"/>
  <c r="F26" i="4"/>
  <c r="E26" i="4"/>
  <c r="D26" i="4"/>
  <c r="T25" i="4"/>
  <c r="R25" i="4"/>
  <c r="Q25" i="4"/>
  <c r="F25" i="4"/>
  <c r="E25" i="4"/>
  <c r="D25" i="4"/>
  <c r="T24" i="4"/>
  <c r="R24" i="4"/>
  <c r="Q24" i="4"/>
  <c r="F24" i="4"/>
  <c r="E24" i="4"/>
  <c r="D24" i="4"/>
  <c r="T23" i="4"/>
  <c r="R23" i="4"/>
  <c r="Q23" i="4"/>
  <c r="F23" i="4"/>
  <c r="E23" i="4"/>
  <c r="D23" i="4"/>
  <c r="T22" i="4"/>
  <c r="R22" i="4"/>
  <c r="Q22" i="4"/>
  <c r="F22" i="4"/>
  <c r="E22" i="4"/>
  <c r="D22" i="4"/>
  <c r="T21" i="4"/>
  <c r="R21" i="4"/>
  <c r="Q21" i="4"/>
  <c r="F21" i="4"/>
  <c r="E21" i="4"/>
  <c r="D21" i="4"/>
  <c r="T20" i="4"/>
  <c r="R20" i="4"/>
  <c r="Q20" i="4"/>
  <c r="F20" i="4"/>
  <c r="E20" i="4"/>
  <c r="D20" i="4"/>
  <c r="T19" i="4"/>
  <c r="R19" i="4"/>
  <c r="Q19" i="4"/>
  <c r="F19" i="4"/>
  <c r="E19" i="4"/>
  <c r="D19" i="4"/>
  <c r="T18" i="4"/>
  <c r="R18" i="4"/>
  <c r="Q18" i="4"/>
  <c r="F18" i="4"/>
  <c r="E18" i="4"/>
  <c r="D18" i="4"/>
  <c r="T17" i="4"/>
  <c r="R17" i="4"/>
  <c r="Q17" i="4"/>
  <c r="F17" i="4"/>
  <c r="E17" i="4"/>
  <c r="D17" i="4"/>
  <c r="T16" i="4"/>
  <c r="R16" i="4"/>
  <c r="Q16" i="4"/>
  <c r="F16" i="4"/>
  <c r="E16" i="4"/>
  <c r="D16" i="4"/>
  <c r="T15" i="4"/>
  <c r="R15" i="4"/>
  <c r="Q15" i="4"/>
  <c r="F15" i="4"/>
  <c r="E15" i="4"/>
  <c r="D15" i="4"/>
  <c r="T14" i="4"/>
  <c r="R14" i="4"/>
  <c r="Q14" i="4"/>
  <c r="F14" i="4"/>
  <c r="E14" i="4"/>
  <c r="D14" i="4"/>
  <c r="T13" i="4"/>
  <c r="R13" i="4"/>
  <c r="Q13" i="4"/>
  <c r="F13" i="4"/>
  <c r="E13" i="4"/>
  <c r="D13" i="4"/>
  <c r="T12" i="4"/>
  <c r="R12" i="4"/>
  <c r="Q12" i="4"/>
  <c r="F12" i="4"/>
  <c r="E12" i="4"/>
  <c r="D12" i="4"/>
  <c r="T11" i="4"/>
  <c r="R11" i="4"/>
  <c r="Q11" i="4"/>
  <c r="F11" i="4"/>
  <c r="E11" i="4"/>
  <c r="D11" i="4"/>
  <c r="T10" i="4"/>
  <c r="R10" i="4"/>
  <c r="Q10" i="4"/>
  <c r="F10" i="4"/>
  <c r="E10" i="4"/>
  <c r="D10" i="4"/>
  <c r="T9" i="4"/>
  <c r="R9" i="4"/>
  <c r="Q9" i="4"/>
  <c r="F9" i="4"/>
  <c r="E9" i="4"/>
  <c r="D9" i="4"/>
  <c r="T8" i="4"/>
  <c r="R8" i="4"/>
  <c r="Q8" i="4"/>
  <c r="F8" i="4"/>
  <c r="E8" i="4"/>
  <c r="D8" i="4"/>
  <c r="T7" i="4"/>
  <c r="R7" i="4"/>
  <c r="Q7" i="4"/>
  <c r="F7" i="4"/>
  <c r="E7" i="4"/>
  <c r="D7" i="4"/>
  <c r="T6" i="4"/>
  <c r="R6" i="4"/>
  <c r="Q6" i="4"/>
  <c r="F6" i="4"/>
  <c r="E6" i="4"/>
  <c r="D6" i="4"/>
  <c r="T5" i="4"/>
  <c r="R5" i="4"/>
  <c r="Q5" i="4"/>
  <c r="F5" i="4"/>
  <c r="E5" i="4"/>
  <c r="D5" i="4"/>
  <c r="T4" i="4"/>
  <c r="R4" i="4"/>
  <c r="Q4" i="4"/>
  <c r="F4" i="4"/>
  <c r="E4" i="4"/>
  <c r="D4" i="4"/>
  <c r="T3" i="4"/>
  <c r="R3" i="4"/>
  <c r="Q3" i="4"/>
  <c r="F3" i="4"/>
  <c r="E3" i="4"/>
  <c r="D3" i="4"/>
  <c r="T2" i="4"/>
  <c r="R2" i="4"/>
  <c r="Q2" i="4"/>
  <c r="F2" i="4"/>
  <c r="E2" i="4"/>
  <c r="D2" i="4"/>
  <c r="AK633" i="9" l="1"/>
  <c r="I3" i="9"/>
  <c r="I11" i="9"/>
  <c r="I19" i="9"/>
  <c r="I27" i="9"/>
  <c r="I35" i="9"/>
  <c r="I43" i="9"/>
  <c r="I51" i="9"/>
  <c r="I59" i="9"/>
  <c r="I67" i="9"/>
  <c r="J73" i="9"/>
  <c r="I78" i="9"/>
  <c r="J83" i="9"/>
  <c r="I87" i="9"/>
  <c r="J91" i="9"/>
  <c r="I95" i="9"/>
  <c r="J99" i="9"/>
  <c r="I103" i="9"/>
  <c r="J107" i="9"/>
  <c r="I9" i="9"/>
  <c r="I17" i="9"/>
  <c r="I25" i="9"/>
  <c r="I33" i="9"/>
  <c r="I41" i="9"/>
  <c r="I49" i="9"/>
  <c r="I57" i="9"/>
  <c r="I65" i="9"/>
  <c r="I71" i="9"/>
  <c r="I77" i="9"/>
  <c r="I82" i="9"/>
  <c r="I86" i="9"/>
  <c r="I94" i="9"/>
  <c r="I102" i="9"/>
  <c r="J110" i="9"/>
  <c r="J81" i="9"/>
  <c r="J89" i="9"/>
  <c r="I74" i="9"/>
  <c r="I84" i="9"/>
  <c r="I92" i="9"/>
  <c r="I100" i="9"/>
  <c r="I108" i="9"/>
  <c r="J306" i="9"/>
  <c r="I306" i="9"/>
  <c r="J317" i="9"/>
  <c r="I317" i="9"/>
  <c r="J405" i="9"/>
  <c r="I405" i="9"/>
  <c r="I409" i="9"/>
  <c r="J409" i="9"/>
  <c r="J474" i="9"/>
  <c r="I474" i="9"/>
  <c r="J479" i="9"/>
  <c r="I479" i="9"/>
  <c r="I121" i="9"/>
  <c r="I129" i="9"/>
  <c r="I137" i="9"/>
  <c r="I145" i="9"/>
  <c r="I153" i="9"/>
  <c r="I161" i="9"/>
  <c r="I169" i="9"/>
  <c r="I177" i="9"/>
  <c r="I185" i="9"/>
  <c r="I193" i="9"/>
  <c r="I201" i="9"/>
  <c r="I209" i="9"/>
  <c r="I217" i="9"/>
  <c r="I225" i="9"/>
  <c r="I232" i="9"/>
  <c r="I251" i="9"/>
  <c r="J258" i="9"/>
  <c r="J261" i="9"/>
  <c r="I288" i="9"/>
  <c r="J303" i="9"/>
  <c r="J314" i="9"/>
  <c r="I314" i="9"/>
  <c r="J325" i="9"/>
  <c r="I325" i="9"/>
  <c r="J376" i="9"/>
  <c r="I376" i="9"/>
  <c r="J322" i="9"/>
  <c r="I322" i="9"/>
  <c r="J333" i="9"/>
  <c r="I333" i="9"/>
  <c r="J381" i="9"/>
  <c r="I381" i="9"/>
  <c r="I385" i="9"/>
  <c r="J385" i="9"/>
  <c r="J413" i="9"/>
  <c r="I413" i="9"/>
  <c r="I417" i="9"/>
  <c r="J417" i="9"/>
  <c r="I436" i="9"/>
  <c r="J436" i="9"/>
  <c r="J470" i="9"/>
  <c r="I470" i="9"/>
  <c r="I119" i="9"/>
  <c r="I127" i="9"/>
  <c r="I135" i="9"/>
  <c r="I143" i="9"/>
  <c r="I151" i="9"/>
  <c r="I159" i="9"/>
  <c r="I167" i="9"/>
  <c r="I175" i="9"/>
  <c r="I183" i="9"/>
  <c r="I191" i="9"/>
  <c r="I199" i="9"/>
  <c r="I207" i="9"/>
  <c r="I215" i="9"/>
  <c r="I223" i="9"/>
  <c r="I231" i="9"/>
  <c r="J247" i="9"/>
  <c r="I267" i="9"/>
  <c r="J274" i="9"/>
  <c r="J277" i="9"/>
  <c r="J293" i="9"/>
  <c r="I293" i="9"/>
  <c r="J319" i="9"/>
  <c r="J341" i="9"/>
  <c r="I341" i="9"/>
  <c r="I118" i="9"/>
  <c r="J349" i="9"/>
  <c r="I349" i="9"/>
  <c r="J389" i="9"/>
  <c r="I389" i="9"/>
  <c r="I393" i="9"/>
  <c r="J393" i="9"/>
  <c r="I125" i="9"/>
  <c r="I133" i="9"/>
  <c r="I141" i="9"/>
  <c r="I165" i="9"/>
  <c r="I173" i="9"/>
  <c r="I235" i="9"/>
  <c r="J239" i="9"/>
  <c r="I256" i="9"/>
  <c r="J263" i="9"/>
  <c r="I283" i="9"/>
  <c r="J335" i="9"/>
  <c r="J357" i="9"/>
  <c r="I357" i="9"/>
  <c r="J370" i="9"/>
  <c r="I370" i="9"/>
  <c r="I116" i="9"/>
  <c r="J301" i="9"/>
  <c r="I301" i="9"/>
  <c r="J365" i="9"/>
  <c r="I365" i="9"/>
  <c r="J397" i="9"/>
  <c r="I397" i="9"/>
  <c r="I401" i="9"/>
  <c r="J401" i="9"/>
  <c r="J234" i="9"/>
  <c r="J242" i="9"/>
  <c r="J245" i="9"/>
  <c r="I272" i="9"/>
  <c r="J279" i="9"/>
  <c r="J295" i="9"/>
  <c r="J298" i="9"/>
  <c r="J309" i="9"/>
  <c r="I309" i="9"/>
  <c r="J442" i="9"/>
  <c r="I442" i="9"/>
  <c r="J486" i="9"/>
  <c r="I486" i="9"/>
  <c r="J490" i="9"/>
  <c r="I490" i="9"/>
  <c r="I526" i="9"/>
  <c r="J526" i="9"/>
  <c r="J372" i="9"/>
  <c r="I421" i="9"/>
  <c r="J428" i="9"/>
  <c r="I445" i="9"/>
  <c r="J450" i="9"/>
  <c r="I450" i="9"/>
  <c r="I462" i="9"/>
  <c r="J462" i="9"/>
  <c r="J466" i="9"/>
  <c r="I466" i="9"/>
  <c r="I495" i="9"/>
  <c r="I499" i="9"/>
  <c r="J499" i="9"/>
  <c r="J523" i="9"/>
  <c r="I483" i="9"/>
  <c r="J483" i="9"/>
  <c r="I510" i="9"/>
  <c r="J510" i="9"/>
  <c r="J514" i="9"/>
  <c r="I514" i="9"/>
  <c r="J518" i="9"/>
  <c r="I518" i="9"/>
  <c r="J522" i="9"/>
  <c r="I522" i="9"/>
  <c r="J420" i="9"/>
  <c r="I487" i="9"/>
  <c r="I467" i="9"/>
  <c r="J467" i="9"/>
  <c r="I494" i="9"/>
  <c r="J494" i="9"/>
  <c r="J498" i="9"/>
  <c r="I498" i="9"/>
  <c r="I553" i="9"/>
  <c r="J553" i="9"/>
  <c r="I555" i="9"/>
  <c r="J555" i="9"/>
  <c r="I330" i="9"/>
  <c r="I338" i="9"/>
  <c r="I346" i="9"/>
  <c r="I354" i="9"/>
  <c r="I362" i="9"/>
  <c r="I383" i="9"/>
  <c r="I391" i="9"/>
  <c r="I399" i="9"/>
  <c r="I407" i="9"/>
  <c r="I415" i="9"/>
  <c r="I429" i="9"/>
  <c r="I471" i="9"/>
  <c r="J491" i="9"/>
  <c r="J502" i="9"/>
  <c r="I502" i="9"/>
  <c r="J506" i="9"/>
  <c r="I506" i="9"/>
  <c r="I515" i="9"/>
  <c r="J515" i="9"/>
  <c r="I539" i="9"/>
  <c r="J539" i="9"/>
  <c r="J541" i="9"/>
  <c r="I541" i="9"/>
  <c r="J434" i="9"/>
  <c r="I434" i="9"/>
  <c r="J456" i="9"/>
  <c r="I456" i="9"/>
  <c r="I478" i="9"/>
  <c r="J478" i="9"/>
  <c r="J482" i="9"/>
  <c r="I482" i="9"/>
  <c r="I547" i="9"/>
  <c r="J547" i="9"/>
  <c r="I563" i="9"/>
  <c r="J563" i="9"/>
  <c r="I571" i="9"/>
  <c r="J571" i="9"/>
  <c r="I579" i="9"/>
  <c r="J579" i="9"/>
  <c r="I587" i="9"/>
  <c r="J587" i="9"/>
  <c r="J532" i="9"/>
  <c r="I532" i="9"/>
  <c r="J535" i="9"/>
  <c r="I535" i="9"/>
  <c r="I549" i="9"/>
  <c r="I473" i="9"/>
  <c r="J473" i="9"/>
  <c r="I489" i="9"/>
  <c r="J489" i="9"/>
  <c r="I505" i="9"/>
  <c r="J505" i="9"/>
  <c r="I521" i="9"/>
  <c r="J521" i="9"/>
  <c r="J540" i="9"/>
  <c r="I540" i="9"/>
  <c r="J543" i="9"/>
  <c r="I543" i="9"/>
  <c r="J465" i="9"/>
  <c r="J481" i="9"/>
  <c r="J497" i="9"/>
  <c r="J513" i="9"/>
  <c r="J529" i="9"/>
  <c r="J548" i="9"/>
  <c r="I548" i="9"/>
  <c r="J551" i="9"/>
  <c r="I551" i="9"/>
  <c r="I531" i="9"/>
  <c r="J531" i="9"/>
  <c r="J556" i="9"/>
  <c r="I556" i="9"/>
  <c r="J559" i="9"/>
  <c r="I559" i="9"/>
  <c r="J564" i="9"/>
  <c r="I564" i="9"/>
  <c r="J567" i="9"/>
  <c r="I567" i="9"/>
  <c r="J572" i="9"/>
  <c r="I572" i="9"/>
  <c r="J575" i="9"/>
  <c r="I575" i="9"/>
  <c r="J580" i="9"/>
  <c r="I580" i="9"/>
  <c r="J583" i="9"/>
  <c r="I583" i="9"/>
  <c r="J588" i="9"/>
  <c r="I588" i="9"/>
  <c r="J596" i="9"/>
  <c r="I596" i="9"/>
  <c r="J604" i="9"/>
  <c r="I604" i="9"/>
  <c r="J612" i="9"/>
  <c r="I612" i="9"/>
  <c r="J620" i="9"/>
  <c r="I620" i="9"/>
  <c r="J627" i="9"/>
  <c r="I627" i="9"/>
  <c r="I591" i="9"/>
  <c r="J595" i="9"/>
  <c r="I599" i="9"/>
  <c r="J603" i="9"/>
  <c r="I607" i="9"/>
  <c r="J611" i="9"/>
  <c r="I615" i="9"/>
  <c r="J619" i="9"/>
  <c r="I628" i="9"/>
  <c r="J625" i="9"/>
  <c r="I625" i="9"/>
  <c r="I632" i="9"/>
  <c r="I631" i="9"/>
</calcChain>
</file>

<file path=xl/sharedStrings.xml><?xml version="1.0" encoding="utf-8"?>
<sst xmlns="http://schemas.openxmlformats.org/spreadsheetml/2006/main" count="36275" uniqueCount="2155">
  <si>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</si>
  <si>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</si>
  <si>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</si>
  <si>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</si>
  <si>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</si>
  <si>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</si>
  <si>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</si>
  <si>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</si>
  <si>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</si>
  <si>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</si>
  <si>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</si>
  <si>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</si>
  <si>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</si>
  <si>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</si>
  <si>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</si>
  <si>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</si>
  <si>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</si>
  <si>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</si>
  <si>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</si>
  <si>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</si>
  <si>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</si>
  <si>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</si>
  <si>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</si>
  <si>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</si>
  <si>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</si>
  <si>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</si>
  <si>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</si>
  <si>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</si>
  <si>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</si>
  <si>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</si>
  <si>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</si>
  <si>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</si>
  <si>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</si>
  <si>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</si>
  <si>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</si>
  <si>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</si>
  <si>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</si>
  <si>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</si>
  <si>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</si>
  <si>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</si>
  <si>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</si>
  <si>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</si>
  <si>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</si>
  <si>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</si>
  <si>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</si>
  <si>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</si>
  <si>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</si>
  <si>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</si>
  <si>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</si>
  <si>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</si>
  <si>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</si>
  <si>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</si>
  <si>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</si>
  <si>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</si>
  <si>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</si>
  <si>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</si>
  <si>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</si>
  <si>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</si>
  <si>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</si>
  <si>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</si>
  <si>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</si>
  <si>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</si>
  <si>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</si>
  <si>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</si>
  <si>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</si>
  <si>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</si>
  <si>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</si>
  <si>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</si>
  <si>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</si>
  <si>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</si>
  <si>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</si>
  <si>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</si>
  <si>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</si>
  <si>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</si>
  <si>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</si>
  <si>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</si>
  <si>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</si>
  <si>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</si>
  <si>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</si>
  <si>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</si>
  <si>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</si>
  <si>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</si>
  <si>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</si>
  <si>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</si>
  <si>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</si>
  <si>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</si>
  <si>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</si>
  <si>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</si>
  <si>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</si>
  <si>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</si>
  <si>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</si>
  <si>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</si>
  <si>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</si>
  <si>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</si>
  <si>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</si>
  <si>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</si>
  <si>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</si>
  <si>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</si>
  <si>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</si>
  <si>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</si>
  <si>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</si>
  <si>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</si>
  <si>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</si>
  <si>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</si>
  <si>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</si>
  <si>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</si>
  <si>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</si>
  <si>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</si>
  <si>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</si>
  <si>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</si>
  <si>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</si>
  <si>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</si>
  <si>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</si>
  <si>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</si>
  <si>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</si>
  <si>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</si>
  <si>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</si>
  <si>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</si>
  <si>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</si>
  <si>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</si>
  <si>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</si>
  <si>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</si>
  <si>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</si>
  <si>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</si>
  <si>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</si>
  <si>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</si>
  <si>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</si>
  <si>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</si>
  <si>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</si>
  <si>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</si>
  <si>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</si>
  <si>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</si>
  <si>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</si>
  <si>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</si>
  <si>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</si>
  <si>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</si>
  <si>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</si>
  <si>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</si>
  <si>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</si>
  <si>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</si>
  <si>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</si>
  <si>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</si>
  <si>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</si>
  <si>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</si>
  <si>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</si>
  <si>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</si>
  <si>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</si>
  <si>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</si>
  <si>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</si>
  <si>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</si>
  <si>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</si>
  <si>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</si>
  <si>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</si>
  <si>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</si>
  <si>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</si>
  <si>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</si>
  <si>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</si>
  <si>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</si>
  <si>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</si>
  <si>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</si>
  <si>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</si>
  <si>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</si>
  <si>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</si>
  <si>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</si>
  <si>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</si>
  <si>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</si>
  <si>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</si>
  <si>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</si>
  <si>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</si>
  <si>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</si>
  <si>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</si>
  <si>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</si>
  <si>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</si>
  <si>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</si>
  <si>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</si>
  <si>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</si>
  <si>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</si>
  <si>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</si>
  <si>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</si>
  <si>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</si>
  <si>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</si>
  <si>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</si>
  <si>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</si>
  <si>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</si>
  <si>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</si>
  <si>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</si>
  <si>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</si>
  <si>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</si>
  <si>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</si>
  <si>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</si>
  <si>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</si>
  <si>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</si>
  <si>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</si>
  <si>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</si>
  <si>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</si>
  <si>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</si>
  <si>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</si>
  <si>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</si>
  <si>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</si>
  <si>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</si>
  <si>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</si>
  <si>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</si>
  <si>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</si>
  <si>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</si>
  <si>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</si>
  <si>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</si>
  <si>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</si>
  <si>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</si>
  <si>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</si>
  <si>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</si>
  <si>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</si>
  <si>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</si>
  <si>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</si>
  <si>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</si>
  <si>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</si>
  <si>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</si>
  <si>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</si>
  <si>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</si>
  <si>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</si>
  <si>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</si>
  <si>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</si>
  <si>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</si>
  <si>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</si>
  <si>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</si>
  <si>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</si>
  <si>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</si>
  <si>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</si>
  <si>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</si>
  <si>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</si>
  <si>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</si>
  <si>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</si>
  <si>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</si>
  <si>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</si>
  <si>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</si>
  <si>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</si>
  <si>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</si>
  <si>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</si>
  <si>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</si>
  <si>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</si>
  <si>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</si>
  <si>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</si>
  <si>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</si>
  <si>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</si>
  <si>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</si>
  <si>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</si>
  <si>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</si>
  <si>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</si>
  <si>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</si>
  <si>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</si>
  <si>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</si>
  <si>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</si>
  <si>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</si>
  <si>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</si>
  <si>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</si>
  <si>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</si>
  <si>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</si>
  <si>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</si>
  <si>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</si>
  <si>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</si>
  <si>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</si>
  <si>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</si>
  <si>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</si>
  <si>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</si>
  <si>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</si>
  <si>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</si>
  <si>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</si>
  <si>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</si>
  <si>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</si>
  <si>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</si>
  <si>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</si>
  <si>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</si>
  <si>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</si>
  <si>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</si>
  <si>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</si>
  <si>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</si>
  <si>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</si>
  <si>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</si>
  <si>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</si>
  <si>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</si>
  <si>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</si>
  <si>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</si>
  <si>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</si>
  <si>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</si>
  <si>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</si>
  <si>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</si>
  <si>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</si>
  <si>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</si>
  <si>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</si>
  <si>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</si>
  <si>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</si>
  <si>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</si>
  <si>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</si>
  <si>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</si>
  <si>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</si>
  <si>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</si>
  <si>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</si>
  <si>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</si>
  <si>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</si>
  <si>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</si>
  <si>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</si>
  <si>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</si>
  <si>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</si>
  <si>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</si>
  <si>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</si>
  <si>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</si>
  <si>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</si>
  <si>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</si>
  <si>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</si>
  <si>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</si>
  <si>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</si>
  <si>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</si>
  <si>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</si>
  <si>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</si>
  <si>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</si>
  <si>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</si>
  <si>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</si>
  <si>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</si>
  <si>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</si>
  <si>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</si>
  <si>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</si>
  <si>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</si>
  <si>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</si>
  <si>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</si>
  <si>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</si>
  <si>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</si>
  <si>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</si>
  <si>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</si>
  <si>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</si>
  <si>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</si>
  <si>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</si>
  <si>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</si>
  <si>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</si>
  <si>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</si>
  <si>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</si>
  <si>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</si>
  <si>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</si>
  <si>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</si>
  <si>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</si>
  <si>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</si>
  <si>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</si>
  <si>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</si>
  <si>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</si>
  <si>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</si>
  <si>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</si>
  <si>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</si>
  <si>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</si>
  <si>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</si>
  <si>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</si>
  <si>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</si>
  <si>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</si>
  <si>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</si>
  <si>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</si>
  <si>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</si>
  <si>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</si>
  <si>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</si>
  <si>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</si>
  <si>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</si>
  <si>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</si>
  <si>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</si>
  <si>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</si>
  <si>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</si>
  <si>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</si>
  <si>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</si>
  <si>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</si>
  <si>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</si>
  <si>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</si>
  <si>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</si>
  <si>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</si>
  <si>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</si>
  <si>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</si>
  <si>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</si>
  <si>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</si>
  <si>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</si>
  <si>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</si>
  <si>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</si>
  <si>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</si>
  <si>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</si>
  <si>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</si>
  <si>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</si>
  <si>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</si>
  <si>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</si>
  <si>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</si>
  <si>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</si>
  <si>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</si>
  <si>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</si>
  <si>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</si>
  <si>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</si>
  <si>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</si>
  <si>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</si>
  <si>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</si>
  <si>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</si>
  <si>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</si>
  <si>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</si>
  <si>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</si>
  <si>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</si>
  <si>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</si>
  <si>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</si>
  <si>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</si>
  <si>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</si>
  <si>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</si>
  <si>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</si>
  <si>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</si>
  <si>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</si>
  <si>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</si>
  <si>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</si>
  <si>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</si>
  <si>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</si>
  <si>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</si>
  <si>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</si>
  <si>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</si>
  <si>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</si>
  <si>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</si>
  <si>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</si>
  <si>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</si>
  <si>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</si>
  <si>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</si>
  <si>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</si>
  <si>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</si>
  <si>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</si>
  <si>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</si>
  <si>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</si>
  <si>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</si>
  <si>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</si>
  <si>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</si>
  <si>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</si>
  <si>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</si>
  <si>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</si>
  <si>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</si>
  <si>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</si>
  <si>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</si>
  <si>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</si>
  <si>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</si>
  <si>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</si>
  <si>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</si>
  <si>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</si>
  <si>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</si>
  <si>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</si>
  <si>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</si>
  <si>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</si>
  <si>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</si>
  <si>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</si>
  <si>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</si>
  <si>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</si>
  <si>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</si>
  <si>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</si>
  <si>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</si>
  <si>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</si>
  <si>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</si>
  <si>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</si>
  <si>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</si>
  <si>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</si>
  <si>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</si>
  <si>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</si>
  <si>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</si>
  <si>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</si>
  <si>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</si>
  <si>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</si>
  <si>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</si>
  <si>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</si>
  <si>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</si>
  <si>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</si>
  <si>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</si>
  <si>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</si>
  <si>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</si>
  <si>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</si>
  <si>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</si>
  <si>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</si>
  <si>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</si>
  <si>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</si>
  <si>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</si>
  <si>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</si>
  <si>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</si>
  <si>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</si>
  <si>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</si>
  <si>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</si>
  <si>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</si>
  <si>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</si>
  <si>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</si>
  <si>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</si>
  <si>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</si>
  <si>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</si>
  <si>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</si>
  <si>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</si>
  <si>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</si>
  <si>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</si>
  <si>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</si>
  <si>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</si>
  <si>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</si>
  <si>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</si>
  <si>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</si>
  <si>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</si>
  <si>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</si>
  <si>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</si>
  <si>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</si>
  <si>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</si>
  <si>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</si>
  <si>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</si>
  <si>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</si>
  <si>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</si>
  <si>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</si>
  <si>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</si>
  <si>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</si>
  <si>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</si>
  <si>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</si>
  <si>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</si>
  <si>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</si>
  <si>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</si>
  <si>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</si>
  <si>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</si>
  <si>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</si>
  <si>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</si>
  <si>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</si>
  <si>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</si>
  <si>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</si>
  <si>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</si>
  <si>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</si>
  <si>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</si>
  <si>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</si>
  <si>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</si>
  <si>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</si>
  <si>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</si>
  <si>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</si>
  <si>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</si>
  <si>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</si>
  <si>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</si>
  <si>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</si>
  <si>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</si>
  <si>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</si>
  <si>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</si>
  <si>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</si>
  <si>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</si>
  <si>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</si>
  <si>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</si>
  <si>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</si>
  <si>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</si>
  <si>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</si>
  <si>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</si>
  <si>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</si>
  <si>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</si>
  <si>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</si>
  <si>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</si>
  <si>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</si>
  <si>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</si>
  <si>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</si>
  <si>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</si>
  <si>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</si>
  <si>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</si>
  <si>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</si>
  <si>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</si>
  <si>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</si>
  <si>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</si>
  <si>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</si>
  <si>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</si>
  <si>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</si>
  <si>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</si>
  <si>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</si>
  <si>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</si>
  <si>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</si>
  <si>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</si>
  <si>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</si>
  <si>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</si>
  <si>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</si>
  <si>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</si>
  <si>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</si>
  <si>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</si>
  <si>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</si>
  <si>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</si>
  <si>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</si>
  <si>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</si>
  <si>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</si>
  <si>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</si>
  <si>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</si>
  <si>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</si>
  <si>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</si>
  <si>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</si>
  <si>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</si>
  <si>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</si>
  <si>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</si>
  <si>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</si>
  <si>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</si>
  <si>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</si>
  <si>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</si>
  <si>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</si>
  <si>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</si>
  <si>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</si>
  <si>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</si>
  <si>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</si>
  <si>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</si>
  <si>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</si>
  <si>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</si>
  <si>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</si>
  <si>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</si>
  <si>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</si>
  <si>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</si>
  <si>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</si>
  <si>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</si>
  <si>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</si>
  <si>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</si>
  <si>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</si>
  <si>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</si>
  <si>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</si>
  <si>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</si>
  <si>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</si>
  <si>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</si>
  <si>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</si>
  <si>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</si>
  <si>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</si>
  <si>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</si>
  <si>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</si>
  <si>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</si>
  <si>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</si>
  <si>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</si>
  <si>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</si>
  <si>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</si>
  <si>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</si>
  <si>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</si>
  <si>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</si>
  <si>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</si>
  <si>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</si>
  <si>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</si>
  <si>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</si>
  <si>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</si>
  <si>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</si>
  <si>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</si>
  <si>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</si>
  <si>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</si>
  <si>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</si>
  <si>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</si>
  <si>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</si>
  <si>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</si>
  <si>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</si>
  <si>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</si>
  <si>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</si>
  <si>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</si>
  <si>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</si>
  <si>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</si>
  <si>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</si>
  <si>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</si>
  <si>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</si>
  <si>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</si>
  <si>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</si>
  <si>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</si>
  <si>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</si>
  <si>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</si>
  <si>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</si>
  <si>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</si>
  <si>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</si>
  <si>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</si>
  <si>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</si>
  <si>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</si>
  <si>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</si>
  <si>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</si>
  <si>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</si>
  <si>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</si>
  <si>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</si>
  <si>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</si>
  <si>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</si>
  <si>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</si>
  <si>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</si>
  <si>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</si>
  <si>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</si>
  <si>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</si>
  <si>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</si>
  <si>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</si>
  <si>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</si>
  <si>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</si>
  <si>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</si>
  <si>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</si>
  <si>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</si>
  <si>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</si>
  <si>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</si>
  <si>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</si>
  <si>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</si>
  <si>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</si>
  <si>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</si>
  <si>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</si>
  <si>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</si>
  <si>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</si>
  <si>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</si>
  <si>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</si>
  <si>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</si>
  <si>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</si>
  <si>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</si>
  <si>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</si>
  <si>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</si>
  <si>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</si>
  <si>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</si>
  <si>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</si>
  <si>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</si>
  <si>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</si>
  <si>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</si>
  <si>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</si>
  <si>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</si>
  <si>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</si>
  <si>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</si>
  <si>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</si>
  <si>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</si>
  <si>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</si>
  <si>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</si>
  <si>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</si>
  <si>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</si>
  <si>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</si>
  <si>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</si>
  <si>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</si>
  <si>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</si>
  <si>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</si>
  <si>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</si>
  <si>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</si>
  <si>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</si>
  <si>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</si>
  <si>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</si>
  <si>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</si>
  <si>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</si>
  <si>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</si>
  <si>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</si>
  <si>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</si>
  <si>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</si>
  <si>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</si>
  <si>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</si>
  <si>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</si>
  <si>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</si>
  <si>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</si>
  <si>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</si>
  <si>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</si>
  <si>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</si>
  <si>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</si>
  <si>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</si>
  <si>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</si>
  <si>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</si>
  <si>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</si>
  <si>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</si>
  <si>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</si>
  <si>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</si>
  <si>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</si>
  <si>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</si>
  <si>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</si>
  <si>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</si>
  <si>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</si>
  <si>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</si>
  <si>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</si>
  <si>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</si>
  <si>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</si>
  <si>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</si>
  <si>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</si>
  <si>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</si>
  <si>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</si>
  <si>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</si>
  <si>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</si>
  <si>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</si>
  <si>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</si>
  <si>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</si>
  <si>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</si>
  <si>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</si>
  <si>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</si>
  <si>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</si>
  <si>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</si>
  <si>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</si>
  <si>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</si>
  <si>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</si>
  <si>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</si>
  <si>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</si>
  <si>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</si>
  <si>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</si>
  <si>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</si>
  <si>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</si>
  <si>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</si>
  <si>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</si>
  <si>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</si>
  <si>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</si>
  <si>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</si>
  <si>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</si>
  <si>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</si>
  <si>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</si>
  <si>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</si>
  <si>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</si>
  <si>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</si>
  <si>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</si>
  <si>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</si>
  <si>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</si>
  <si>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</si>
  <si>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</si>
  <si>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</si>
  <si>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</si>
  <si>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</si>
  <si>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</si>
  <si>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</si>
  <si>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</si>
  <si>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</si>
  <si>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</si>
  <si>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</si>
  <si>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</si>
  <si>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</si>
  <si>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</si>
  <si>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</si>
  <si>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</si>
  <si>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</si>
  <si>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</si>
  <si>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</si>
  <si>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</si>
  <si>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</si>
  <si>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</si>
  <si>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</si>
  <si>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</si>
  <si>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</si>
  <si>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</si>
  <si>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</si>
  <si>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</si>
  <si>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</si>
  <si>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</si>
  <si>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</si>
  <si>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</si>
  <si>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</si>
  <si>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</si>
  <si>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</si>
  <si>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</si>
  <si>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</si>
  <si>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</si>
  <si>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</si>
  <si>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</si>
  <si>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</si>
  <si>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</si>
  <si>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</si>
  <si>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</si>
  <si>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</si>
  <si>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</si>
  <si>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</si>
  <si>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</si>
  <si>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</si>
  <si>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</si>
  <si>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</si>
  <si>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</si>
  <si>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</si>
  <si>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</si>
  <si>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</si>
  <si>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</si>
  <si>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</si>
  <si>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</si>
  <si>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</si>
  <si>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</si>
  <si>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</si>
  <si>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</si>
  <si>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</si>
  <si>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</si>
  <si>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</si>
  <si>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</si>
  <si>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</si>
  <si>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</si>
  <si>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</si>
  <si>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</si>
  <si>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</si>
  <si>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</si>
  <si>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</si>
  <si>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</si>
  <si>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</si>
  <si>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</si>
  <si>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</si>
  <si>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</si>
  <si>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</si>
  <si>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</si>
  <si>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</si>
  <si>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</si>
  <si>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</si>
  <si>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</si>
  <si>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</si>
  <si>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</si>
  <si>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</si>
  <si>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</si>
  <si>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</si>
  <si>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</si>
  <si>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</si>
  <si>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</si>
  <si>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</si>
  <si>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</si>
  <si>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</si>
  <si>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</si>
  <si>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</si>
  <si>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</si>
  <si>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</si>
  <si>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</si>
  <si>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</si>
  <si>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</si>
  <si>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</si>
  <si>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</si>
  <si>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</si>
  <si>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</si>
  <si>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</si>
  <si>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</si>
  <si>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</si>
  <si>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</si>
  <si>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</si>
  <si>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</si>
  <si>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</si>
  <si>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</si>
  <si>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</si>
  <si>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</si>
  <si>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</si>
  <si>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</si>
  <si>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</si>
  <si>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</si>
  <si>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</si>
  <si>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</si>
  <si>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</si>
  <si>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</si>
  <si>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</si>
  <si>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</si>
  <si>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</si>
  <si>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</si>
  <si>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</si>
  <si>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</si>
  <si>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</si>
  <si>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</si>
  <si>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</si>
  <si>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</si>
  <si>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</si>
  <si>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</si>
  <si>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</si>
  <si>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</si>
  <si>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</si>
  <si>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</si>
  <si>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</si>
  <si>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</si>
  <si>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</si>
  <si>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</si>
  <si>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</si>
  <si>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</si>
  <si>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</si>
  <si>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</si>
  <si>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</si>
  <si>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</si>
  <si>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</si>
  <si>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</si>
  <si>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</si>
  <si>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</si>
  <si>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</si>
  <si>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</si>
  <si>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</si>
  <si>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</si>
  <si>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</si>
  <si>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</si>
  <si>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</si>
  <si>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</si>
  <si>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</si>
  <si>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</si>
  <si>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</si>
  <si>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</si>
  <si>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</si>
  <si>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</si>
  <si>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</si>
  <si>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</si>
  <si>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</si>
  <si>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</si>
  <si>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</si>
  <si>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</si>
  <si>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</si>
  <si>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</si>
  <si>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</si>
  <si>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</si>
  <si>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</si>
  <si>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</si>
  <si>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</si>
  <si>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</si>
  <si>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</si>
  <si>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</si>
  <si>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</si>
  <si>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</si>
  <si>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</si>
  <si>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</si>
  <si>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</si>
  <si>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</si>
  <si>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</si>
  <si>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</si>
  <si>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</si>
  <si>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</si>
  <si>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</si>
  <si>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</si>
  <si>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</si>
  <si>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</si>
  <si>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</si>
  <si>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</si>
  <si>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</si>
  <si>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</si>
  <si>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</si>
  <si>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</si>
  <si>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</si>
  <si>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</si>
  <si>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</si>
  <si>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</si>
  <si>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</si>
  <si>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</si>
  <si>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</si>
  <si>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</si>
  <si>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</si>
  <si>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</si>
  <si>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</si>
  <si>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</si>
  <si>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</si>
  <si>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</si>
  <si>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</si>
  <si>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</si>
  <si>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</si>
  <si>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</si>
  <si>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</si>
  <si>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</si>
  <si>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</si>
  <si>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</si>
  <si>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</si>
  <si>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</si>
  <si>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</si>
  <si>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</si>
  <si>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</si>
  <si>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</si>
  <si>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</si>
  <si>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</si>
  <si>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</si>
  <si>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</si>
  <si>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</si>
  <si>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</si>
  <si>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</si>
  <si>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</si>
  <si>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</si>
  <si>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</si>
  <si>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</si>
  <si>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</si>
  <si>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</si>
  <si>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</si>
  <si>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</si>
  <si>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</si>
  <si>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</si>
  <si>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</si>
  <si>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</si>
  <si>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</si>
  <si>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</si>
  <si>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</si>
  <si>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</si>
  <si>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</si>
  <si>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</si>
  <si>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</si>
  <si>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</si>
  <si>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</si>
  <si>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</si>
  <si>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</si>
  <si>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</si>
  <si>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</si>
  <si>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</si>
  <si>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</si>
  <si>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</si>
  <si>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</si>
  <si>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</si>
  <si>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</si>
  <si>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</si>
  <si>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</si>
  <si>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</si>
  <si>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</si>
  <si>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</si>
  <si>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</si>
  <si>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</si>
  <si>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</si>
  <si>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</si>
  <si>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</si>
  <si>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</si>
  <si>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</si>
  <si>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</si>
  <si>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</si>
  <si>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</si>
  <si>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</si>
  <si>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</si>
  <si>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</si>
  <si>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</si>
  <si>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</si>
  <si>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</si>
  <si>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</si>
  <si>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</si>
  <si>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</si>
  <si>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</si>
  <si>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</si>
  <si>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</si>
  <si>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</si>
  <si>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</si>
  <si>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</si>
  <si>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</si>
  <si>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</si>
  <si>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</si>
  <si>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</si>
  <si>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</si>
  <si>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</si>
  <si>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</si>
  <si>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</si>
  <si>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</si>
  <si>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</si>
  <si>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</si>
  <si>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</si>
  <si>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</si>
  <si>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</si>
  <si>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</si>
  <si>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</si>
  <si>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</si>
  <si>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</si>
  <si>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</si>
  <si>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</si>
  <si>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</si>
  <si>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</si>
  <si>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</si>
  <si>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</si>
  <si>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</si>
  <si>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</si>
  <si>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</si>
  <si>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</si>
  <si>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</si>
  <si>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</si>
  <si>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</si>
  <si>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</si>
  <si>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</si>
  <si>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</si>
  <si>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</si>
  <si>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</si>
  <si>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</si>
  <si>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</si>
  <si>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</si>
  <si>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</si>
  <si>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</si>
  <si>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</si>
  <si>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</si>
  <si>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</si>
  <si>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</si>
  <si>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</si>
  <si>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</si>
  <si>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</si>
  <si>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</si>
  <si>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</si>
  <si>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</si>
  <si>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</si>
  <si>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</si>
  <si>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</si>
  <si>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</si>
  <si>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</si>
  <si>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</si>
  <si>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</si>
  <si>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</si>
  <si>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</si>
  <si>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</si>
  <si>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</si>
  <si>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</si>
  <si>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</si>
  <si>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</si>
  <si>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</si>
  <si>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</si>
  <si>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</si>
  <si>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</si>
  <si>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</si>
  <si>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</si>
  <si>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</si>
  <si>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</si>
  <si>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</si>
  <si>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</si>
  <si>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</si>
  <si>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</si>
  <si>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</si>
  <si>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</si>
  <si>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</si>
  <si>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</si>
  <si>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</si>
  <si>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</si>
  <si>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</si>
  <si>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</si>
  <si>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</si>
  <si>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</si>
  <si>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</si>
  <si>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</si>
  <si>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</si>
  <si>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</si>
  <si>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</si>
  <si>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</si>
  <si>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</si>
  <si>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</si>
  <si>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</si>
  <si>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</si>
  <si>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</si>
  <si>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</si>
  <si>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</si>
  <si>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</si>
  <si>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</si>
  <si>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</si>
  <si>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</si>
  <si>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</si>
  <si>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</si>
  <si>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</si>
  <si>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</si>
  <si>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</si>
  <si>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</si>
  <si>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</si>
  <si>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</si>
  <si>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</si>
  <si>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</si>
  <si>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</si>
  <si>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</si>
  <si>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</si>
  <si>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</si>
  <si>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</si>
  <si>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</si>
  <si>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</si>
  <si>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</si>
  <si>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</si>
  <si>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</si>
  <si>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</si>
  <si>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</si>
  <si>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</si>
  <si>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</si>
  <si>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</si>
  <si>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</si>
  <si>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</si>
  <si>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</si>
  <si>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</si>
  <si>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</si>
  <si>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</si>
  <si>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</si>
  <si>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</si>
  <si>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</si>
  <si>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</si>
  <si>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</si>
  <si>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</si>
  <si>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</si>
  <si>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</si>
  <si>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</si>
  <si>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</si>
  <si>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</si>
  <si>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</si>
  <si>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</si>
  <si>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</si>
  <si>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</si>
  <si>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</si>
  <si>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</si>
  <si>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</si>
  <si>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</si>
  <si>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</si>
  <si>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</si>
  <si>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</si>
  <si>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</si>
  <si>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</si>
  <si>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</si>
  <si>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</si>
  <si>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</si>
  <si>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</si>
  <si>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</si>
  <si>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</si>
  <si>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</si>
  <si>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</si>
  <si>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</si>
  <si>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</si>
  <si>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</si>
  <si>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</si>
  <si>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</si>
  <si>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</si>
  <si>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</si>
  <si>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</si>
  <si>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</si>
  <si>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</si>
  <si>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</si>
  <si>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</si>
  <si>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</si>
  <si>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</si>
  <si>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</si>
  <si>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</si>
  <si>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</si>
  <si>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</si>
  <si>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</si>
  <si>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</si>
  <si>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</si>
  <si>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</si>
  <si>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</si>
  <si>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</si>
  <si>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</si>
  <si>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</si>
  <si>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</si>
  <si>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</si>
  <si>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</si>
  <si>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</si>
  <si>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</si>
  <si>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</si>
  <si>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</si>
  <si>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</si>
  <si>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</si>
  <si>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</si>
  <si>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</si>
  <si>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</si>
  <si>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</si>
  <si>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</si>
  <si>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</si>
  <si>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</si>
  <si>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</si>
  <si>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</si>
  <si>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</si>
  <si>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</si>
  <si>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</si>
  <si>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</si>
  <si>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</si>
  <si>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</si>
  <si>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</si>
  <si>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</si>
  <si>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</si>
  <si>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</si>
  <si>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</si>
  <si>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</si>
  <si>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</si>
  <si>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</si>
  <si>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</si>
  <si>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</si>
  <si>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</si>
  <si>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</si>
  <si>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</si>
  <si>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</si>
  <si>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</si>
  <si>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</si>
  <si>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</si>
  <si>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</si>
  <si>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</si>
  <si>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</si>
  <si>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</si>
  <si>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</si>
  <si>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</si>
  <si>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</si>
  <si>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</si>
  <si>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</si>
  <si>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</si>
  <si>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</si>
  <si>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</si>
  <si>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</si>
  <si>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</si>
  <si>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</si>
  <si>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</si>
  <si>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</si>
  <si>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</si>
  <si>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</si>
  <si>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</si>
  <si>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</si>
  <si>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</si>
  <si>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</si>
  <si>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</si>
  <si>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</si>
  <si>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</si>
  <si>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</si>
  <si>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</si>
  <si>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</si>
  <si>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</si>
  <si>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</si>
  <si>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</si>
  <si>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</si>
  <si>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</si>
  <si>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</si>
  <si>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</si>
  <si>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</si>
  <si>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</si>
  <si>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</si>
  <si>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</si>
  <si>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</si>
  <si>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</si>
  <si>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</si>
  <si>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</si>
  <si>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</si>
  <si>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</si>
  <si>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</si>
  <si>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</si>
  <si>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</si>
  <si>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</si>
  <si>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</si>
  <si>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</si>
  <si>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</si>
  <si>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</si>
  <si>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</si>
  <si>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</si>
  <si>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</si>
  <si>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</si>
  <si>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</si>
  <si>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</si>
  <si>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</si>
  <si>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</si>
  <si>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</si>
  <si>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</si>
  <si>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</si>
  <si>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</si>
  <si>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</si>
  <si>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</si>
  <si>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</si>
  <si>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</si>
  <si>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</si>
  <si>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</si>
  <si>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</si>
  <si>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</si>
  <si>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</si>
  <si>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</si>
  <si>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</si>
  <si>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</si>
  <si>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</si>
  <si>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</si>
  <si>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</si>
  <si>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</si>
  <si>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</si>
  <si>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</si>
  <si>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</si>
  <si>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</si>
  <si>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</si>
  <si>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</si>
  <si>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</si>
  <si>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</si>
  <si>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</si>
  <si>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</si>
  <si>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</si>
  <si>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</si>
  <si>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</si>
  <si>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</si>
  <si>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</si>
  <si>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</si>
  <si>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</si>
  <si>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</si>
  <si>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</si>
  <si>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</si>
  <si>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</si>
  <si>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</si>
  <si>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</si>
  <si>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</si>
  <si>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</si>
  <si>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r>
      <t>Article:</t>
    </r>
    <r>
      <rPr>
        <sz val="11"/>
        <color theme="1"/>
        <rFont val="Calibri"/>
        <family val="2"/>
        <scheme val="minor"/>
      </rPr>
      <t xml:space="preserve"> Is Excel Still Relevant in the Era of Power BI and Python( publish on your preferred blog site) and submit link to your article.</t>
    </r>
  </si>
  <si>
    <t>Submission</t>
  </si>
  <si>
    <t>Fill this form with links to your github repositories and blogsites containing your articles: https://forms.gle/roW5Khh4E2siZtPT7</t>
  </si>
  <si>
    <t>16) Upload your assignment on your github</t>
  </si>
  <si>
    <t>Submission Deadline: Saturday 04/10/2025 by 4PM</t>
  </si>
  <si>
    <t>Usa</t>
  </si>
  <si>
    <t>Rio De Janeiro</t>
  </si>
  <si>
    <t>SalesPerson</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</si>
  <si>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</si>
  <si>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</si>
  <si>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</si>
  <si>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</si>
  <si>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</si>
  <si>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</si>
  <si>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</si>
  <si>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</si>
  <si>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</si>
  <si>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</si>
  <si>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</si>
  <si>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</si>
  <si>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</si>
  <si>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</si>
  <si>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</si>
  <si>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</si>
  <si>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</si>
  <si>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</si>
  <si>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</si>
  <si>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</si>
  <si>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</si>
  <si>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</si>
  <si>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</si>
  <si>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</si>
  <si>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</si>
  <si>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</si>
  <si>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</si>
  <si>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</si>
  <si>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</si>
  <si>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</si>
  <si>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</si>
  <si>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</si>
  <si>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</si>
  <si>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</si>
  <si>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</si>
  <si>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</si>
  <si>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</si>
  <si>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</si>
  <si>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</si>
  <si>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</si>
  <si>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</si>
  <si>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</si>
  <si>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</si>
  <si>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</si>
  <si>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</si>
  <si>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</si>
  <si>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</si>
  <si>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</si>
  <si>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</si>
  <si>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</si>
  <si>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</si>
  <si>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</si>
  <si>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</si>
  <si>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</si>
  <si>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</si>
  <si>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</si>
  <si>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</si>
  <si>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</si>
  <si>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</si>
  <si>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</si>
  <si>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</si>
  <si>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</si>
  <si>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</si>
  <si>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</si>
  <si>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</si>
  <si>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</si>
  <si>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</si>
  <si>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</si>
  <si>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</si>
  <si>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</si>
  <si>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</si>
  <si>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</si>
  <si>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</si>
  <si>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</si>
  <si>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</si>
  <si>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</si>
  <si>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</si>
  <si>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</si>
  <si>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</si>
  <si>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</si>
  <si>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</si>
  <si>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</si>
  <si>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</si>
  <si>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</si>
  <si>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</si>
  <si>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</si>
  <si>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</si>
  <si>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</si>
  <si>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</si>
  <si>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</si>
  <si>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</si>
  <si>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</si>
  <si>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</si>
  <si>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</si>
  <si>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</si>
  <si>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</si>
  <si>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</si>
  <si>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</si>
  <si>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</si>
  <si>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</si>
  <si>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</si>
  <si>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</si>
  <si>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</si>
  <si>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</si>
  <si>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</si>
  <si>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</si>
  <si>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</si>
  <si>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</si>
  <si>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</si>
  <si>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</si>
  <si>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</si>
  <si>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</si>
  <si>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</si>
  <si>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</si>
  <si>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</si>
  <si>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</si>
  <si>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</si>
  <si>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</si>
  <si>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</si>
  <si>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</si>
  <si>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</si>
  <si>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</si>
  <si>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</si>
  <si>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</si>
  <si>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</si>
  <si>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</si>
  <si>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</si>
  <si>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</si>
  <si>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</si>
  <si>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</si>
  <si>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</si>
  <si>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</si>
  <si>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</si>
  <si>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</si>
  <si>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</si>
  <si>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</si>
  <si>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</si>
  <si>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</si>
  <si>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</si>
  <si>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</si>
  <si>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</si>
  <si>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</si>
  <si>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</si>
  <si>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</si>
  <si>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</si>
  <si>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</si>
  <si>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</si>
  <si>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</si>
  <si>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</si>
  <si>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</si>
  <si>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</si>
  <si>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</si>
  <si>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</si>
  <si>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</si>
  <si>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</si>
  <si>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</si>
  <si>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</si>
  <si>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</si>
  <si>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</si>
  <si>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</si>
  <si>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</si>
  <si>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</si>
  <si>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</si>
  <si>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</si>
  <si>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</si>
  <si>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</si>
  <si>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</si>
  <si>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</si>
  <si>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</si>
  <si>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</si>
  <si>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</si>
  <si>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</si>
  <si>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</si>
  <si>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</si>
  <si>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</si>
  <si>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</si>
  <si>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</si>
  <si>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</si>
  <si>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</si>
  <si>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</si>
  <si>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</si>
  <si>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</si>
  <si>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</si>
  <si>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</si>
  <si>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</si>
  <si>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</si>
  <si>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</si>
  <si>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</si>
  <si>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</si>
  <si>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</si>
  <si>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</si>
  <si>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</si>
  <si>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</si>
  <si>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</si>
  <si>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</si>
  <si>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</si>
  <si>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</si>
  <si>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</si>
  <si>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</si>
  <si>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</si>
  <si>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</si>
  <si>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</si>
  <si>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</si>
  <si>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</si>
  <si>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</si>
  <si>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</si>
  <si>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</si>
  <si>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</si>
  <si>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</si>
  <si>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</si>
  <si>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</si>
  <si>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</si>
  <si>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</si>
  <si>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</si>
  <si>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</si>
  <si>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</si>
  <si>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</si>
  <si>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</si>
  <si>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</si>
  <si>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</si>
  <si>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</si>
  <si>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</si>
  <si>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</si>
  <si>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</si>
  <si>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</si>
  <si>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</si>
  <si>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</si>
  <si>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</si>
  <si>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</si>
  <si>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</si>
  <si>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</si>
  <si>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</si>
  <si>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</si>
  <si>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</si>
  <si>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</si>
  <si>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</si>
  <si>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</si>
  <si>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</si>
  <si>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</si>
  <si>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</si>
  <si>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</si>
  <si>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</si>
  <si>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</si>
  <si>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</si>
  <si>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</si>
  <si>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</si>
  <si>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</si>
  <si>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</si>
  <si>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</si>
  <si>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</si>
  <si>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</si>
  <si>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</si>
  <si>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</si>
  <si>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</si>
  <si>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</si>
  <si>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</si>
  <si>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</si>
  <si>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</si>
  <si>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</si>
  <si>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</si>
  <si>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</si>
  <si>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</si>
  <si>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</si>
  <si>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</si>
  <si>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</si>
  <si>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</si>
  <si>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</si>
  <si>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</si>
  <si>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</si>
  <si>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</si>
  <si>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</si>
  <si>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</si>
  <si>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</si>
  <si>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</si>
  <si>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</si>
  <si>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</si>
  <si>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</si>
  <si>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</si>
  <si>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</si>
  <si>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</si>
  <si>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</si>
  <si>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</si>
  <si>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</si>
  <si>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</si>
  <si>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</si>
  <si>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</si>
  <si>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</si>
  <si>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</si>
  <si>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</si>
  <si>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</si>
  <si>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</si>
  <si>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</si>
  <si>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</si>
  <si>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</si>
  <si>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</si>
  <si>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</si>
  <si>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</si>
  <si>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</si>
  <si>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</si>
  <si>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</si>
  <si>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</si>
  <si>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</si>
  <si>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</si>
  <si>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</si>
  <si>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</si>
  <si>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</si>
  <si>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</si>
  <si>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</si>
  <si>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</si>
  <si>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</si>
  <si>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</si>
  <si>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</si>
  <si>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</si>
  <si>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</si>
  <si>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</si>
  <si>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</si>
  <si>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</si>
  <si>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</si>
  <si>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</si>
  <si>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</si>
  <si>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</si>
  <si>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</si>
  <si>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</si>
  <si>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</si>
  <si>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</si>
  <si>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</si>
  <si>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</si>
  <si>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</si>
  <si>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</si>
  <si>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</si>
  <si>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</si>
  <si>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</si>
  <si>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</si>
  <si>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</si>
  <si>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</si>
  <si>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</si>
  <si>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</si>
  <si>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</si>
  <si>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</si>
  <si>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</si>
  <si>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</si>
  <si>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</si>
  <si>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</si>
  <si>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</si>
  <si>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</si>
  <si>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</si>
  <si>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</si>
  <si>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</si>
  <si>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</si>
  <si>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</si>
  <si>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</si>
  <si>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</si>
  <si>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</si>
  <si>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</si>
  <si>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</si>
  <si>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</si>
  <si>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</si>
  <si>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</si>
  <si>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</si>
  <si>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</si>
  <si>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</si>
  <si>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</si>
  <si>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</si>
  <si>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</si>
  <si>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</si>
  <si>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</si>
  <si>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</si>
  <si>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</si>
  <si>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</si>
  <si>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</si>
  <si>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</si>
  <si>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</si>
  <si>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</si>
  <si>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</si>
  <si>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</si>
  <si>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</si>
  <si>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</si>
  <si>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</si>
  <si>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</si>
  <si>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</si>
  <si>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</si>
  <si>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</si>
  <si>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</si>
  <si>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</si>
  <si>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</si>
  <si>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</si>
  <si>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</si>
  <si>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</si>
  <si>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</si>
  <si>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</si>
  <si>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</si>
  <si>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</si>
  <si>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</si>
  <si>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</si>
  <si>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</si>
  <si>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</si>
  <si>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</si>
  <si>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</si>
  <si>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</si>
  <si>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</si>
  <si>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</si>
  <si>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</si>
  <si>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</si>
  <si>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</si>
  <si>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</si>
  <si>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</si>
  <si>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</si>
  <si>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</si>
  <si>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</si>
  <si>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</si>
  <si>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</si>
  <si>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</si>
  <si>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</si>
  <si>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</si>
  <si>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</si>
  <si>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</si>
  <si>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</si>
  <si>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</si>
  <si>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</si>
  <si>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</si>
  <si>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</si>
  <si>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</si>
  <si>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</si>
  <si>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</si>
  <si>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</si>
  <si>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</si>
  <si>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</si>
  <si>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</si>
  <si>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</si>
  <si>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</si>
  <si>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</si>
  <si>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</si>
  <si>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</si>
  <si>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</si>
  <si>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</si>
  <si>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</si>
  <si>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</si>
  <si>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</si>
  <si>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</si>
  <si>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</si>
  <si>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</si>
  <si>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</si>
  <si>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</si>
  <si>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</si>
  <si>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</si>
  <si>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</si>
  <si>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</si>
  <si>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</si>
  <si>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</si>
  <si>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</si>
  <si>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</si>
  <si>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</si>
  <si>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</si>
  <si>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</si>
  <si>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</si>
  <si>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</si>
  <si>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</si>
  <si>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</si>
  <si>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</si>
  <si>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</si>
  <si>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</si>
  <si>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</si>
  <si>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</si>
  <si>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</si>
  <si>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</si>
  <si>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</si>
  <si>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</si>
  <si>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</si>
  <si>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</si>
  <si>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</si>
  <si>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</si>
  <si>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</si>
  <si>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</si>
  <si>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</si>
  <si>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</si>
  <si>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</si>
  <si>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</si>
  <si>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</si>
  <si>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</si>
  <si>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</si>
  <si>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</si>
  <si>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</si>
  <si>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</si>
  <si>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</si>
  <si>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</si>
  <si>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</si>
  <si>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</si>
  <si>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</si>
  <si>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</si>
  <si>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</si>
  <si>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</si>
  <si>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</si>
  <si>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</si>
  <si>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</si>
  <si>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</si>
  <si>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</si>
  <si>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</si>
  <si>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</si>
  <si>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</si>
  <si>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</si>
  <si>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</si>
  <si>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</si>
  <si>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</si>
  <si>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</si>
  <si>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</si>
  <si>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</si>
  <si>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</si>
  <si>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</si>
  <si>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</si>
  <si>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</si>
  <si>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</si>
  <si>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</si>
  <si>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</si>
  <si>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</si>
  <si>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</si>
  <si>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</si>
  <si>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</si>
  <si>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</si>
  <si>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</si>
  <si>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</si>
  <si>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</si>
  <si>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</si>
  <si>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</si>
  <si>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</si>
  <si>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</si>
  <si>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</si>
  <si>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</si>
  <si>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</si>
  <si>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</si>
  <si>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</si>
  <si>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</si>
  <si>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</si>
  <si>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</si>
  <si>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</si>
  <si>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</si>
  <si>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</si>
  <si>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</si>
  <si>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</si>
  <si>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</si>
  <si>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</si>
  <si>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</si>
  <si>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</si>
  <si>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</si>
  <si>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</si>
  <si>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</si>
  <si>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</si>
  <si>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</si>
  <si>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</si>
  <si>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</si>
  <si>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</si>
  <si>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</si>
  <si>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</si>
  <si>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</si>
  <si>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</si>
  <si>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</si>
  <si>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</si>
  <si>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</si>
  <si>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</si>
  <si>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</si>
  <si>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</si>
  <si>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</si>
  <si>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</si>
  <si>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</si>
  <si>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</si>
  <si>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</si>
  <si>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</si>
  <si>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</si>
  <si>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</si>
  <si>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</si>
  <si>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</si>
  <si>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</si>
  <si>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</si>
  <si>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</si>
  <si>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</si>
  <si>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</si>
  <si>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</si>
  <si>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</si>
  <si>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</si>
  <si>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</si>
  <si>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</si>
  <si>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</si>
  <si>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</si>
  <si>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</si>
  <si>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</si>
  <si>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</si>
  <si>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</si>
  <si>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</si>
  <si>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</si>
  <si>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</si>
  <si>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</si>
  <si>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</si>
  <si>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</si>
  <si>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</si>
  <si>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</si>
  <si>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</si>
  <si>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</si>
  <si>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</si>
  <si>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</si>
  <si>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</si>
  <si>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</si>
  <si>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</si>
  <si>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</si>
  <si>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</si>
  <si>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</si>
  <si>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</si>
  <si>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</si>
  <si>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</si>
  <si>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</si>
  <si>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</si>
  <si>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</si>
  <si>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</si>
  <si>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</si>
  <si>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</si>
  <si>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</si>
  <si>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</si>
  <si>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</si>
  <si>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</si>
  <si>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</si>
  <si>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</si>
  <si>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</si>
  <si>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</si>
  <si>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</si>
  <si>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</si>
  <si>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</si>
  <si>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</si>
  <si>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</si>
  <si>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</si>
  <si>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</si>
  <si>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</si>
  <si>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Not Provided</t>
  </si>
  <si>
    <t>Flag</t>
  </si>
  <si>
    <t>N.Unitprice</t>
  </si>
  <si>
    <t>Dicount</t>
  </si>
  <si>
    <t>Date check</t>
  </si>
  <si>
    <t>Valid Required date</t>
  </si>
  <si>
    <t>LeadTimeDays</t>
  </si>
  <si>
    <t>Valid</t>
  </si>
  <si>
    <t>OK</t>
  </si>
  <si>
    <t>Invalid</t>
  </si>
  <si>
    <t>FLAG</t>
  </si>
  <si>
    <t>GrossRevenue</t>
  </si>
  <si>
    <t>CostOfGoods</t>
  </si>
  <si>
    <t>GrossProfit</t>
  </si>
  <si>
    <t>MarginPct</t>
  </si>
  <si>
    <t>Month</t>
  </si>
  <si>
    <t>Quarters</t>
  </si>
  <si>
    <t>Region Hierarchy</t>
  </si>
  <si>
    <t>33RD percentile</t>
  </si>
  <si>
    <t>66th percentile</t>
  </si>
  <si>
    <t>PriceBand</t>
  </si>
  <si>
    <t>=CONCATENATE(I2,"→"J2,"→"K2)</t>
  </si>
  <si>
    <t>Mar-2024</t>
  </si>
  <si>
    <t>Q1-2024</t>
  </si>
  <si>
    <t>Low</t>
  </si>
  <si>
    <t>Oct-2024</t>
  </si>
  <si>
    <t>Q4-2024</t>
  </si>
  <si>
    <t>Feb-2023</t>
  </si>
  <si>
    <t>Q1-2023</t>
  </si>
  <si>
    <t>Mar-2025</t>
  </si>
  <si>
    <t>Q1-2025</t>
  </si>
  <si>
    <t>Dec-2023</t>
  </si>
  <si>
    <t>Q4-2023</t>
  </si>
  <si>
    <t>Jan-2023</t>
  </si>
  <si>
    <t>Dec-2024</t>
  </si>
  <si>
    <t>Medium</t>
  </si>
  <si>
    <t>May-2024</t>
  </si>
  <si>
    <t>Q2-2024</t>
  </si>
  <si>
    <t>High</t>
  </si>
  <si>
    <t>May-2025</t>
  </si>
  <si>
    <t>Q2-2025</t>
  </si>
  <si>
    <t>Jan-2024</t>
  </si>
  <si>
    <t>Jan-2025</t>
  </si>
  <si>
    <t>Sep-2025</t>
  </si>
  <si>
    <t>Q3-2025</t>
  </si>
  <si>
    <t>Apr-2023</t>
  </si>
  <si>
    <t>Q2-2023</t>
  </si>
  <si>
    <t>Jul-2025</t>
  </si>
  <si>
    <t>Jul-2024</t>
  </si>
  <si>
    <t>Q3-2024</t>
  </si>
  <si>
    <t>May-2023</t>
  </si>
  <si>
    <t>Jun-2025</t>
  </si>
  <si>
    <t>Jun-2024</t>
  </si>
  <si>
    <t>Nov-2024</t>
  </si>
  <si>
    <t>Apr-2025</t>
  </si>
  <si>
    <t>Apr-2024</t>
  </si>
  <si>
    <t>Aug-2024</t>
  </si>
  <si>
    <t>Mar-2023</t>
  </si>
  <si>
    <t>Jun-2023</t>
  </si>
  <si>
    <t>Jul-2023</t>
  </si>
  <si>
    <t>Q3-2023</t>
  </si>
  <si>
    <t>Aug-2023</t>
  </si>
  <si>
    <t>Feb-2025</t>
  </si>
  <si>
    <t>Sep-2023</t>
  </si>
  <si>
    <t>Aug-2025</t>
  </si>
  <si>
    <t>Sep-2024</t>
  </si>
  <si>
    <t>Nov-2023</t>
  </si>
  <si>
    <t>Feb-2024</t>
  </si>
  <si>
    <t>Oct-2023</t>
  </si>
  <si>
    <t>Row Labels</t>
  </si>
  <si>
    <t>Grand Total</t>
  </si>
  <si>
    <t>1st Month purchase</t>
  </si>
  <si>
    <t>month number</t>
  </si>
  <si>
    <t>Sum of GrossRevenue</t>
  </si>
  <si>
    <t>(All)</t>
  </si>
  <si>
    <t>Column Labels</t>
  </si>
  <si>
    <t>Jan</t>
  </si>
  <si>
    <t>Feb</t>
  </si>
  <si>
    <t>Mar</t>
  </si>
  <si>
    <t>Apr</t>
  </si>
  <si>
    <t>May</t>
  </si>
  <si>
    <t>Jun</t>
  </si>
  <si>
    <t>Jul</t>
  </si>
  <si>
    <t>Aug</t>
  </si>
  <si>
    <t>Sep</t>
  </si>
  <si>
    <t>Oct</t>
  </si>
  <si>
    <t>Nov</t>
  </si>
  <si>
    <t>Dec</t>
  </si>
  <si>
    <t>Category total</t>
  </si>
  <si>
    <t>Cumulative rev</t>
  </si>
  <si>
    <t>Category</t>
  </si>
  <si>
    <t>Count of OrderID</t>
  </si>
  <si>
    <t>Sum of GrossProfit</t>
  </si>
  <si>
    <t>Targetleaddays</t>
  </si>
  <si>
    <t>1</t>
  </si>
  <si>
    <t>Count of Targetleaddays</t>
  </si>
  <si>
    <t>1ST Month purchase2</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</si>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</sst>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0" fontId="1" fillId="0" borderId="0" xfId="0" applyFont="1"/>
    <xf numFmtId="0" fontId="2" fillId="0" borderId="0" xfId="0" applyFont="1"/>
    <xf numFmtId="14" fontId="0" fillId="0" borderId="0" xfId="0" applyNumberFormat="1"/>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64" fontId="1" fillId="0" borderId="1" xfId="0" applyNumberFormat="1" applyFont="1" applyBorder="1" applyAlignment="1">
      <alignment horizontal="center" vertical="top"/>
    </xf>
    <xf numFmtId="164" fontId="0" fillId="0" borderId="0" xfId="0" applyNumberFormat="1"/>
    <xf numFmtId="10" fontId="1" fillId="0" borderId="1" xfId="0" applyNumberFormat="1" applyFont="1" applyBorder="1" applyAlignment="1">
      <alignment horizontal="center" vertical="top"/>
    </xf>
    <xf numFmtId="10"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2" borderId="0" xfId="0" applyFill="1"/>
    <xf numFmtId="49" fontId="1" fillId="0" borderId="0" xfId="0" applyNumberFormat="1" applyFont="1"/>
    <xf numFmtId="14" fontId="1" fillId="0" borderId="0" xfId="0" applyNumberFormat="1" applyFont="1"/>
    <xf numFmtId="164" fontId="1" fillId="0" borderId="0" xfId="0" applyNumberFormat="1" applyFont="1"/>
    <xf numFmtId="10" fontId="1" fillId="0" borderId="0" xfId="0" applyNumberFormat="1" applyFont="1"/>
    <xf numFmtId="49" fontId="2" fillId="0" borderId="0" xfId="0" applyNumberFormat="1" applyFont="1"/>
    <xf numFmtId="14" fontId="2" fillId="0" borderId="0" xfId="0" applyNumberFormat="1" applyFont="1"/>
    <xf numFmtId="164" fontId="2" fillId="0" borderId="0" xfId="0" applyNumberFormat="1" applyFont="1"/>
    <xf numFmtId="10" fontId="2" fillId="0" borderId="0" xfId="0" applyNumberFormat="1" applyFont="1"/>
    <xf numFmtId="1" fontId="2" fillId="0" borderId="0" xfId="0" applyNumberFormat="1" applyFont="1"/>
    <xf numFmtId="1"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1" fillId="0" borderId="0" xfId="0" applyNumberFormat="1" applyFont="1"/>
    <xf numFmtId="2" fontId="0" fillId="0" borderId="0" xfId="0" applyNumberFormat="1"/>
  </cellXfs>
  <cellStyles count="1">
    <cellStyle name="Normal" xfId="0" builtinId="0"/>
  </cellStyles>
  <dxfs count="41">
    <dxf>
      <numFmt numFmtId="164" formatCode="[$$-409]#,##0.00"/>
    </dxf>
    <dxf>
      <numFmt numFmtId="164" formatCode="[$$-409]#,##0.00"/>
    </dxf>
    <dxf>
      <numFmt numFmtId="2" formatCode="0.00"/>
    </dxf>
    <dxf>
      <numFmt numFmtId="2" formatCode="0.00"/>
    </dxf>
    <dxf>
      <numFmt numFmtId="30" formatCode="@"/>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numFmt numFmtId="14" formatCode="0.00%"/>
    </dxf>
    <dxf>
      <numFmt numFmtId="164" formatCode="[$$-409]#,##0.00"/>
    </dxf>
    <dxf>
      <numFmt numFmtId="14" formatCode="0.00%"/>
    </dxf>
    <dxf>
      <numFmt numFmtId="164" formatCode="[$$-409]#,##0.00"/>
    </dxf>
    <dxf>
      <numFmt numFmtId="164" formatCode="[$$-409]#,##0.00"/>
    </dxf>
    <dxf>
      <numFmt numFmtId="164" formatCode="[$$-409]#,##0.00"/>
    </dxf>
    <dxf>
      <numFmt numFmtId="1" formatCode="0"/>
    </dxf>
    <dxf>
      <numFmt numFmtId="14" formatCode="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[Excel^1201^120assignment CRIS.xlsx]PART B4!PivotTable3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layout>
        <c:manualLayout>
          <c:xMode val="edge"/>
          <c:yMode val="edge"/>
          <c:x val="0.39838188976377953"/>
          <c:y val="0.21092155147273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'PART B4'!$B$3:$B$4</c:f>
              <c:strCache>
                <c:ptCount val="1"/>
                <c:pt idx="0">
                  <c:v>1/20/2023</c:v>
                </c:pt>
              </c:strCache>
            </c:strRef>
          </c:tx>
          <c:spPr>
            <a:ln w="28575" cap="rnd">
              <a:solidFill>
                <a:schemeClr val="accent1">
                  <a:shade val="3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B4'!$B$5:$B$17</c:f>
              <c:numCache>
                <c:formatCode>[$$-409]#,##0.00</c:formatCode>
                <c:ptCount val="12"/>
                <c:pt idx="0">
                  <c:v>47962.717579999997</c:v>
                </c:pt>
                <c:pt idx="1">
                  <c:v>41301.398999999998</c:v>
                </c:pt>
                <c:pt idx="2">
                  <c:v>28658.181549999994</c:v>
                </c:pt>
                <c:pt idx="3">
                  <c:v>11003.7672</c:v>
                </c:pt>
                <c:pt idx="4">
                  <c:v>5088.5051700000004</c:v>
                </c:pt>
                <c:pt idx="5">
                  <c:v>549.80010000000004</c:v>
                </c:pt>
                <c:pt idx="6">
                  <c:v>27763.018220000002</c:v>
                </c:pt>
                <c:pt idx="7">
                  <c:v>1654.8966000000003</c:v>
                </c:pt>
                <c:pt idx="8">
                  <c:v>9050.5052999999989</c:v>
                </c:pt>
                <c:pt idx="9">
                  <c:v>41612.076400000005</c:v>
                </c:pt>
                <c:pt idx="11">
                  <c:v>16061.972879999999</c:v>
                </c:pt>
              </c:numCache>
            </c:numRef>
          </c:val>
          <c:smooth val="0"/>
          <c:extLst>
            <c:ext xmlns:c16="http://schemas.microsoft.com/office/drawing/2014/chart" uri="{C3380CC4-5D6E-409C-BE32-E72D297353CC}">
              <c16:uniqueId val="{00000000-9FE2-4DD3-BFCA-C74439268CB1}"/>
            </c:ext>
          </c:extLst>
        </c:ser>
        <c:ser>
          <c:idx val="1"/>
          <c:order val="1"/>
          <c:tx>
            <c:strRef>
              <c:f>'PART B4'!$C$3:$C$4</c:f>
              <c:strCache>
                <c:ptCount val="1"/>
                <c:pt idx="0">
                  <c:v>1/15/2023</c:v>
                </c:pt>
              </c:strCache>
            </c:strRef>
          </c:tx>
          <c:spPr>
            <a:ln w="28575" cap="rnd">
              <a:solidFill>
                <a:schemeClr val="accent1">
                  <a:shade val="3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B4'!$C$5:$C$17</c:f>
              <c:numCache>
                <c:formatCode>[$$-409]#,##0.00</c:formatCode>
                <c:ptCount val="12"/>
                <c:pt idx="0">
                  <c:v>685.06776000000002</c:v>
                </c:pt>
                <c:pt idx="2">
                  <c:v>5225.2710400000005</c:v>
                </c:pt>
                <c:pt idx="9">
                  <c:v>17960.432489999999</c:v>
                </c:pt>
              </c:numCache>
            </c:numRef>
          </c:val>
          <c:smooth val="0"/>
          <c:extLst>
            <c:ext xmlns:c16="http://schemas.microsoft.com/office/drawing/2014/chart" uri="{C3380CC4-5D6E-409C-BE32-E72D297353CC}">
              <c16:uniqueId val="{00000002-9FE2-4DD3-BFCA-C74439268CB1}"/>
            </c:ext>
          </c:extLst>
        </c:ser>
        <c:ser>
          <c:idx val="2"/>
          <c:order val="2"/>
          <c:tx>
            <c:strRef>
              <c:f>'PART B4'!$D$3:$D$4</c:f>
              <c:strCache>
                <c:ptCount val="1"/>
                <c:pt idx="0">
                  <c:v>3/3/2023</c:v>
                </c:pt>
              </c:strCache>
            </c:strRef>
          </c:tx>
          <c:spPr>
            <a:ln w="28575" cap="rnd">
              <a:solidFill>
                <a:schemeClr val="accent1">
                  <a:shade val="3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B4'!$D$5:$D$17</c:f>
              <c:numCache>
                <c:formatCode>[$$-409]#,##0.00</c:formatCode>
                <c:ptCount val="12"/>
                <c:pt idx="0">
                  <c:v>82816.130620000011</c:v>
                </c:pt>
                <c:pt idx="1">
                  <c:v>22942.525799999999</c:v>
                </c:pt>
                <c:pt idx="2">
                  <c:v>65645.502460000003</c:v>
                </c:pt>
                <c:pt idx="3">
                  <c:v>24568.705739999998</c:v>
                </c:pt>
                <c:pt idx="4">
                  <c:v>47396.42209</c:v>
                </c:pt>
                <c:pt idx="5">
                  <c:v>16587.973689999999</c:v>
                </c:pt>
                <c:pt idx="6">
                  <c:v>59181.794840000002</c:v>
                </c:pt>
                <c:pt idx="7">
                  <c:v>83133.487639999992</c:v>
                </c:pt>
                <c:pt idx="8">
                  <c:v>116032.51129000001</c:v>
                </c:pt>
                <c:pt idx="9">
                  <c:v>44336.173360000001</c:v>
                </c:pt>
                <c:pt idx="10">
                  <c:v>1499.22</c:v>
                </c:pt>
                <c:pt idx="11">
                  <c:v>57147.750979999997</c:v>
                </c:pt>
              </c:numCache>
            </c:numRef>
          </c:val>
          <c:smooth val="0"/>
          <c:extLst>
            <c:ext xmlns:c16="http://schemas.microsoft.com/office/drawing/2014/chart" uri="{C3380CC4-5D6E-409C-BE32-E72D297353CC}">
              <c16:uniqueId val="{00000006-9FE2-4DD3-BFCA-C74439268CB1}"/>
            </c:ext>
          </c:extLst>
        </c:ser>
        <c:ser>
          <c:idx val="3"/>
          <c:order val="3"/>
          <c:tx>
            <c:strRef>
              <c:f>'PART B4'!$E$3:$E$4</c:f>
              <c:strCache>
                <c:ptCount val="1"/>
                <c:pt idx="0">
                  <c:v>1/2/2023</c:v>
                </c:pt>
              </c:strCache>
            </c:strRef>
          </c:tx>
          <c:spPr>
            <a:ln w="28575" cap="rnd">
              <a:solidFill>
                <a:schemeClr val="accent1">
                  <a:shade val="41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B4'!$E$5:$E$17</c:f>
              <c:numCache>
                <c:formatCode>[$$-409]#,##0.00</c:formatCode>
                <c:ptCount val="12"/>
                <c:pt idx="0">
                  <c:v>4141.7599999999993</c:v>
                </c:pt>
              </c:numCache>
            </c:numRef>
          </c:val>
          <c:smooth val="0"/>
          <c:extLst>
            <c:ext xmlns:c16="http://schemas.microsoft.com/office/drawing/2014/chart" uri="{C3380CC4-5D6E-409C-BE32-E72D297353CC}">
              <c16:uniqueId val="{00000000-2C7B-4170-8F9C-09E8EE11E62C}"/>
            </c:ext>
          </c:extLst>
        </c:ser>
        <c:ser>
          <c:idx val="4"/>
          <c:order val="4"/>
          <c:tx>
            <c:strRef>
              <c:f>'PART B4'!$F$3:$F$4</c:f>
              <c:strCache>
                <c:ptCount val="1"/>
                <c:pt idx="0">
                  <c:v>2/20/2023</c:v>
                </c:pt>
              </c:strCache>
            </c:strRef>
          </c:tx>
          <c:spPr>
            <a:ln w="28575" cap="rnd">
              <a:solidFill>
                <a:schemeClr val="accent1">
                  <a:shade val="44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B4'!$F$5:$F$17</c:f>
              <c:numCache>
                <c:formatCode>[$$-409]#,##0.00</c:formatCode>
                <c:ptCount val="12"/>
                <c:pt idx="0">
                  <c:v>18167.423999999999</c:v>
                </c:pt>
                <c:pt idx="1">
                  <c:v>22044.871499999997</c:v>
                </c:pt>
                <c:pt idx="2">
                  <c:v>6631.6443100000006</c:v>
                </c:pt>
                <c:pt idx="3">
                  <c:v>32506.559399999998</c:v>
                </c:pt>
                <c:pt idx="4">
                  <c:v>87404.929919999995</c:v>
                </c:pt>
                <c:pt idx="5">
                  <c:v>19510.808000000001</c:v>
                </c:pt>
                <c:pt idx="7">
                  <c:v>24294.930059999999</c:v>
                </c:pt>
                <c:pt idx="8">
                  <c:v>6874.4828600000001</c:v>
                </c:pt>
                <c:pt idx="9">
                  <c:v>599.53200000000004</c:v>
                </c:pt>
                <c:pt idx="10">
                  <c:v>72665.817450000002</c:v>
                </c:pt>
                <c:pt idx="11">
                  <c:v>12692.30702</c:v>
                </c:pt>
              </c:numCache>
            </c:numRef>
          </c:val>
          <c:smooth val="0"/>
          <c:extLst>
            <c:ext xmlns:c16="http://schemas.microsoft.com/office/drawing/2014/chart" uri="{C3380CC4-5D6E-409C-BE32-E72D297353CC}">
              <c16:uniqueId val="{00000001-2C7B-4170-8F9C-09E8EE11E62C}"/>
            </c:ext>
          </c:extLst>
        </c:ser>
        <c:ser>
          <c:idx val="5"/>
          <c:order val="5"/>
          <c:tx>
            <c:strRef>
              <c:f>'PART B4'!$G$3:$G$4</c:f>
              <c:strCache>
                <c:ptCount val="1"/>
                <c:pt idx="0">
                  <c:v>2/11/2023</c:v>
                </c:pt>
              </c:strCache>
            </c:strRef>
          </c:tx>
          <c:spPr>
            <a:ln w="28575" cap="rnd">
              <a:solidFill>
                <a:schemeClr val="accent1">
                  <a:shade val="47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B4'!$G$5:$G$17</c:f>
              <c:numCache>
                <c:formatCode>[$$-409]#,##0.00</c:formatCode>
                <c:ptCount val="12"/>
                <c:pt idx="1">
                  <c:v>28424.795849999995</c:v>
                </c:pt>
                <c:pt idx="2">
                  <c:v>50412.574340000006</c:v>
                </c:pt>
                <c:pt idx="3">
                  <c:v>121271.00638000001</c:v>
                </c:pt>
                <c:pt idx="4">
                  <c:v>113176.2611</c:v>
                </c:pt>
                <c:pt idx="5">
                  <c:v>33081.618699999999</c:v>
                </c:pt>
                <c:pt idx="6">
                  <c:v>232059.66534000001</c:v>
                </c:pt>
                <c:pt idx="7">
                  <c:v>74334.757840000006</c:v>
                </c:pt>
                <c:pt idx="8">
                  <c:v>2879.9836</c:v>
                </c:pt>
                <c:pt idx="9">
                  <c:v>82109.284350000002</c:v>
                </c:pt>
                <c:pt idx="11">
                  <c:v>40126.852719999995</c:v>
                </c:pt>
              </c:numCache>
            </c:numRef>
          </c:val>
          <c:smooth val="0"/>
          <c:extLst>
            <c:ext xmlns:c16="http://schemas.microsoft.com/office/drawing/2014/chart" uri="{C3380CC4-5D6E-409C-BE32-E72D297353CC}">
              <c16:uniqueId val="{00000002-2C7B-4170-8F9C-09E8EE11E62C}"/>
            </c:ext>
          </c:extLst>
        </c:ser>
        <c:ser>
          <c:idx val="6"/>
          <c:order val="6"/>
          <c:tx>
            <c:strRef>
              <c:f>'PART B4'!$H$3:$H$4</c:f>
              <c:strCache>
                <c:ptCount val="1"/>
                <c:pt idx="0">
                  <c:v>1/29/2023</c:v>
                </c:pt>
              </c:strCache>
            </c:strRef>
          </c:tx>
          <c:spPr>
            <a:ln w="28575" cap="rnd">
              <a:solidFill>
                <a:schemeClr val="accent1">
                  <a:shade val="5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B4'!$H$5:$H$17</c:f>
              <c:numCache>
                <c:formatCode>[$$-409]#,##0.00</c:formatCode>
                <c:ptCount val="12"/>
                <c:pt idx="0">
                  <c:v>33356.127999999997</c:v>
                </c:pt>
                <c:pt idx="1">
                  <c:v>134697.22057</c:v>
                </c:pt>
                <c:pt idx="2">
                  <c:v>40890.496100000004</c:v>
                </c:pt>
                <c:pt idx="3">
                  <c:v>113628.32188999999</c:v>
                </c:pt>
                <c:pt idx="4">
                  <c:v>103822.1646</c:v>
                </c:pt>
                <c:pt idx="5">
                  <c:v>88650.274239999999</c:v>
                </c:pt>
                <c:pt idx="6">
                  <c:v>142464.43945999999</c:v>
                </c:pt>
                <c:pt idx="7">
                  <c:v>118481.02463</c:v>
                </c:pt>
                <c:pt idx="8">
                  <c:v>109591.06243999999</c:v>
                </c:pt>
                <c:pt idx="9">
                  <c:v>16213.632800000001</c:v>
                </c:pt>
                <c:pt idx="10">
                  <c:v>36100.694309999999</c:v>
                </c:pt>
                <c:pt idx="11">
                  <c:v>61471.696859999996</c:v>
                </c:pt>
              </c:numCache>
            </c:numRef>
          </c:val>
          <c:smooth val="0"/>
          <c:extLst>
            <c:ext xmlns:c16="http://schemas.microsoft.com/office/drawing/2014/chart" uri="{C3380CC4-5D6E-409C-BE32-E72D297353CC}">
              <c16:uniqueId val="{00000003-2C7B-4170-8F9C-09E8EE11E62C}"/>
            </c:ext>
          </c:extLst>
        </c:ser>
        <c:ser>
          <c:idx val="7"/>
          <c:order val="7"/>
          <c:tx>
            <c:strRef>
              <c:f>'PART B4'!$I$3:$I$4</c:f>
              <c:strCache>
                <c:ptCount val="1"/>
                <c:pt idx="0">
                  <c:v>1/22/2023</c:v>
                </c:pt>
              </c:strCache>
            </c:strRef>
          </c:tx>
          <c:spPr>
            <a:ln w="28575" cap="rnd">
              <a:solidFill>
                <a:schemeClr val="accent1">
                  <a:shade val="5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B4'!$I$5:$I$17</c:f>
              <c:numCache>
                <c:formatCode>[$$-409]#,##0.00</c:formatCode>
                <c:ptCount val="12"/>
                <c:pt idx="0">
                  <c:v>26587.012579999999</c:v>
                </c:pt>
                <c:pt idx="1">
                  <c:v>121845.24255</c:v>
                </c:pt>
                <c:pt idx="2">
                  <c:v>29605.104090000001</c:v>
                </c:pt>
                <c:pt idx="3">
                  <c:v>95333.331109999999</c:v>
                </c:pt>
                <c:pt idx="4">
                  <c:v>10666.229420000001</c:v>
                </c:pt>
                <c:pt idx="5">
                  <c:v>65111.38614000001</c:v>
                </c:pt>
                <c:pt idx="7">
                  <c:v>41321.999370000005</c:v>
                </c:pt>
                <c:pt idx="11">
                  <c:v>78121.070599999992</c:v>
                </c:pt>
              </c:numCache>
            </c:numRef>
          </c:val>
          <c:smooth val="0"/>
          <c:extLst>
            <c:ext xmlns:c16="http://schemas.microsoft.com/office/drawing/2014/chart" uri="{C3380CC4-5D6E-409C-BE32-E72D297353CC}">
              <c16:uniqueId val="{00000004-2C7B-4170-8F9C-09E8EE11E62C}"/>
            </c:ext>
          </c:extLst>
        </c:ser>
        <c:ser>
          <c:idx val="8"/>
          <c:order val="8"/>
          <c:tx>
            <c:strRef>
              <c:f>'PART B4'!$J$3:$J$4</c:f>
              <c:strCache>
                <c:ptCount val="1"/>
                <c:pt idx="0">
                  <c:v>1/10/2023</c:v>
                </c:pt>
              </c:strCache>
            </c:strRef>
          </c:tx>
          <c:spPr>
            <a:ln w="28575" cap="rnd">
              <a:solidFill>
                <a:schemeClr val="accent1">
                  <a:shade val="5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B4'!$J$5:$J$17</c:f>
              <c:numCache>
                <c:formatCode>[$$-409]#,##0.00</c:formatCode>
                <c:ptCount val="12"/>
                <c:pt idx="0">
                  <c:v>59160.6993</c:v>
                </c:pt>
                <c:pt idx="1">
                  <c:v>7203.8047000000006</c:v>
                </c:pt>
                <c:pt idx="2">
                  <c:v>45104.930900000007</c:v>
                </c:pt>
                <c:pt idx="3">
                  <c:v>60044.289300000004</c:v>
                </c:pt>
                <c:pt idx="4">
                  <c:v>17745.654180000001</c:v>
                </c:pt>
                <c:pt idx="5">
                  <c:v>10661.415999999999</c:v>
                </c:pt>
                <c:pt idx="6">
                  <c:v>34444.462359999998</c:v>
                </c:pt>
                <c:pt idx="8">
                  <c:v>14877.464000000002</c:v>
                </c:pt>
                <c:pt idx="10">
                  <c:v>65184.921530000007</c:v>
                </c:pt>
                <c:pt idx="11">
                  <c:v>25948.414799999995</c:v>
                </c:pt>
              </c:numCache>
            </c:numRef>
          </c:val>
          <c:smooth val="0"/>
          <c:extLst>
            <c:ext xmlns:c16="http://schemas.microsoft.com/office/drawing/2014/chart" uri="{C3380CC4-5D6E-409C-BE32-E72D297353CC}">
              <c16:uniqueId val="{00000005-2C7B-4170-8F9C-09E8EE11E62C}"/>
            </c:ext>
          </c:extLst>
        </c:ser>
        <c:ser>
          <c:idx val="9"/>
          <c:order val="9"/>
          <c:tx>
            <c:strRef>
              <c:f>'PART B4'!$K$3:$K$4</c:f>
              <c:strCache>
                <c:ptCount val="1"/>
                <c:pt idx="0">
                  <c:v>1/19/2023</c:v>
                </c:pt>
              </c:strCache>
            </c:strRef>
          </c:tx>
          <c:spPr>
            <a:ln w="28575" cap="rnd">
              <a:solidFill>
                <a:schemeClr val="accent1">
                  <a:shade val="5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B4'!$K$5:$K$17</c:f>
              <c:numCache>
                <c:formatCode>[$$-409]#,##0.00</c:formatCode>
                <c:ptCount val="12"/>
                <c:pt idx="0">
                  <c:v>62492.527879999994</c:v>
                </c:pt>
                <c:pt idx="1">
                  <c:v>29685.815320000002</c:v>
                </c:pt>
                <c:pt idx="2">
                  <c:v>37076.29408</c:v>
                </c:pt>
                <c:pt idx="3">
                  <c:v>171144.93173999997</c:v>
                </c:pt>
                <c:pt idx="4">
                  <c:v>168308.59188000002</c:v>
                </c:pt>
                <c:pt idx="5">
                  <c:v>140907.27539</c:v>
                </c:pt>
                <c:pt idx="6">
                  <c:v>44264.6302</c:v>
                </c:pt>
                <c:pt idx="7">
                  <c:v>56342.747770000002</c:v>
                </c:pt>
                <c:pt idx="8">
                  <c:v>8764.4065599999994</c:v>
                </c:pt>
                <c:pt idx="9">
                  <c:v>67138.240420000002</c:v>
                </c:pt>
                <c:pt idx="10">
                  <c:v>45935.402399999999</c:v>
                </c:pt>
                <c:pt idx="11">
                  <c:v>30799.273800000003</c:v>
                </c:pt>
              </c:numCache>
            </c:numRef>
          </c:val>
          <c:smooth val="0"/>
          <c:extLst>
            <c:ext xmlns:c16="http://schemas.microsoft.com/office/drawing/2014/chart" uri="{C3380CC4-5D6E-409C-BE32-E72D297353CC}">
              <c16:uniqueId val="{00000006-2C7B-4170-8F9C-09E8EE11E62C}"/>
            </c:ext>
          </c:extLst>
        </c:ser>
        <c:ser>
          <c:idx val="10"/>
          <c:order val="10"/>
          <c:tx>
            <c:strRef>
              <c:f>'PART B4'!$L$3:$L$4</c:f>
              <c:strCache>
                <c:ptCount val="1"/>
                <c:pt idx="0">
                  <c:v>1/12/2023</c:v>
                </c:pt>
              </c:strCache>
            </c:strRef>
          </c:tx>
          <c:spPr>
            <a:ln w="28575" cap="rnd">
              <a:solidFill>
                <a:schemeClr val="accent1">
                  <a:shade val="61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B4'!$L$5:$L$17</c:f>
              <c:numCache>
                <c:formatCode>[$$-409]#,##0.00</c:formatCode>
                <c:ptCount val="12"/>
                <c:pt idx="0">
                  <c:v>67681.434080000006</c:v>
                </c:pt>
                <c:pt idx="1">
                  <c:v>89950.743950000004</c:v>
                </c:pt>
                <c:pt idx="2">
                  <c:v>68565.901729999998</c:v>
                </c:pt>
                <c:pt idx="3">
                  <c:v>37576.075599999996</c:v>
                </c:pt>
                <c:pt idx="4">
                  <c:v>58782.592839999998</c:v>
                </c:pt>
                <c:pt idx="5">
                  <c:v>100846.07918</c:v>
                </c:pt>
                <c:pt idx="6">
                  <c:v>71477.458799999993</c:v>
                </c:pt>
                <c:pt idx="7">
                  <c:v>42594.209419999992</c:v>
                </c:pt>
                <c:pt idx="8">
                  <c:v>35378.650520000003</c:v>
                </c:pt>
                <c:pt idx="9">
                  <c:v>131228.31789000001</c:v>
                </c:pt>
                <c:pt idx="10">
                  <c:v>4071.8</c:v>
                </c:pt>
                <c:pt idx="11">
                  <c:v>100797.83405999999</c:v>
                </c:pt>
              </c:numCache>
            </c:numRef>
          </c:val>
          <c:smooth val="0"/>
          <c:extLst>
            <c:ext xmlns:c16="http://schemas.microsoft.com/office/drawing/2014/chart" uri="{C3380CC4-5D6E-409C-BE32-E72D297353CC}">
              <c16:uniqueId val="{00000032-2C7B-4170-8F9C-09E8EE11E62C}"/>
            </c:ext>
          </c:extLst>
        </c:ser>
        <c:ser>
          <c:idx val="11"/>
          <c:order val="11"/>
          <c:tx>
            <c:strRef>
              <c:f>'PART B4'!$M$3:$M$4</c:f>
              <c:strCache>
                <c:ptCount val="1"/>
                <c:pt idx="0">
                  <c:v>1/13/2023</c:v>
                </c:pt>
              </c:strCache>
            </c:strRef>
          </c:tx>
          <c:spPr>
            <a:ln w="28575" cap="rnd">
              <a:solidFill>
                <a:schemeClr val="accent1">
                  <a:shade val="64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B4'!$M$5:$M$17</c:f>
              <c:numCache>
                <c:formatCode>[$$-409]#,##0.00</c:formatCode>
                <c:ptCount val="12"/>
                <c:pt idx="0">
                  <c:v>33152.701359999999</c:v>
                </c:pt>
                <c:pt idx="1">
                  <c:v>97.0154</c:v>
                </c:pt>
                <c:pt idx="3">
                  <c:v>524.81174999999996</c:v>
                </c:pt>
                <c:pt idx="4">
                  <c:v>26795.773259999998</c:v>
                </c:pt>
                <c:pt idx="5">
                  <c:v>3562.1983800000003</c:v>
                </c:pt>
                <c:pt idx="6">
                  <c:v>32086.37586</c:v>
                </c:pt>
                <c:pt idx="7">
                  <c:v>24374.594880000001</c:v>
                </c:pt>
                <c:pt idx="11">
                  <c:v>12031.491680000001</c:v>
                </c:pt>
              </c:numCache>
            </c:numRef>
          </c:val>
          <c:smooth val="0"/>
          <c:extLst>
            <c:ext xmlns:c16="http://schemas.microsoft.com/office/drawing/2014/chart" uri="{C3380CC4-5D6E-409C-BE32-E72D297353CC}">
              <c16:uniqueId val="{00000033-2C7B-4170-8F9C-09E8EE11E62C}"/>
            </c:ext>
          </c:extLst>
        </c:ser>
        <c:ser>
          <c:idx val="12"/>
          <c:order val="12"/>
          <c:tx>
            <c:strRef>
              <c:f>'PART B4'!$N$3:$N$4</c:f>
              <c:strCache>
                <c:ptCount val="1"/>
                <c:pt idx="0">
                  <c:v>2/23/2023</c:v>
                </c:pt>
              </c:strCache>
            </c:strRef>
          </c:tx>
          <c:spPr>
            <a:ln w="28575" cap="rnd">
              <a:solidFill>
                <a:schemeClr val="accent1">
                  <a:shade val="67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B4'!$N$5:$N$17</c:f>
              <c:numCache>
                <c:formatCode>[$$-409]#,##0.00</c:formatCode>
                <c:ptCount val="12"/>
                <c:pt idx="1">
                  <c:v>26150.364320000001</c:v>
                </c:pt>
              </c:numCache>
            </c:numRef>
          </c:val>
          <c:smooth val="0"/>
          <c:extLst>
            <c:ext xmlns:c16="http://schemas.microsoft.com/office/drawing/2014/chart" uri="{C3380CC4-5D6E-409C-BE32-E72D297353CC}">
              <c16:uniqueId val="{00000034-2C7B-4170-8F9C-09E8EE11E62C}"/>
            </c:ext>
          </c:extLst>
        </c:ser>
        <c:ser>
          <c:idx val="13"/>
          <c:order val="13"/>
          <c:tx>
            <c:strRef>
              <c:f>'PART B4'!$O$3:$O$4</c:f>
              <c:strCache>
                <c:ptCount val="1"/>
                <c:pt idx="0">
                  <c:v>1/7/2023</c:v>
                </c:pt>
              </c:strCache>
            </c:strRef>
          </c:tx>
          <c:spPr>
            <a:ln w="28575" cap="rnd">
              <a:solidFill>
                <a:schemeClr val="accent1">
                  <a:shade val="7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B4'!$O$5:$O$17</c:f>
              <c:numCache>
                <c:formatCode>[$$-409]#,##0.00</c:formatCode>
                <c:ptCount val="12"/>
                <c:pt idx="0">
                  <c:v>61830.021119999998</c:v>
                </c:pt>
                <c:pt idx="1">
                  <c:v>86597.081299999991</c:v>
                </c:pt>
                <c:pt idx="2">
                  <c:v>40010.41807</c:v>
                </c:pt>
                <c:pt idx="3">
                  <c:v>22058.624650000002</c:v>
                </c:pt>
                <c:pt idx="4">
                  <c:v>60776.179739999992</c:v>
                </c:pt>
                <c:pt idx="5">
                  <c:v>99043.626970000012</c:v>
                </c:pt>
                <c:pt idx="6">
                  <c:v>155202.54942000002</c:v>
                </c:pt>
                <c:pt idx="7">
                  <c:v>85852.199639999992</c:v>
                </c:pt>
                <c:pt idx="8">
                  <c:v>26157.54522</c:v>
                </c:pt>
                <c:pt idx="9">
                  <c:v>18495.656800000004</c:v>
                </c:pt>
                <c:pt idx="10">
                  <c:v>12954.358080000002</c:v>
                </c:pt>
                <c:pt idx="11">
                  <c:v>79406.784939999983</c:v>
                </c:pt>
              </c:numCache>
            </c:numRef>
          </c:val>
          <c:smooth val="0"/>
          <c:extLst>
            <c:ext xmlns:c16="http://schemas.microsoft.com/office/drawing/2014/chart" uri="{C3380CC4-5D6E-409C-BE32-E72D297353CC}">
              <c16:uniqueId val="{00000035-2C7B-4170-8F9C-09E8EE11E62C}"/>
            </c:ext>
          </c:extLst>
        </c:ser>
        <c:ser>
          <c:idx val="14"/>
          <c:order val="14"/>
          <c:tx>
            <c:strRef>
              <c:f>'PART B4'!$P$3:$P$4</c:f>
              <c:strCache>
                <c:ptCount val="1"/>
                <c:pt idx="0">
                  <c:v>3/4/2023</c:v>
                </c:pt>
              </c:strCache>
            </c:strRef>
          </c:tx>
          <c:spPr>
            <a:ln w="28575" cap="rnd">
              <a:solidFill>
                <a:schemeClr val="accent1">
                  <a:shade val="7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B4'!$P$5:$P$17</c:f>
              <c:numCache>
                <c:formatCode>[$$-409]#,##0.00</c:formatCode>
                <c:ptCount val="12"/>
                <c:pt idx="1">
                  <c:v>9774.3888000000006</c:v>
                </c:pt>
                <c:pt idx="2">
                  <c:v>17453.3436</c:v>
                </c:pt>
                <c:pt idx="3">
                  <c:v>15000.053759999999</c:v>
                </c:pt>
                <c:pt idx="4">
                  <c:v>17930.494560000003</c:v>
                </c:pt>
                <c:pt idx="5">
                  <c:v>10735.4121</c:v>
                </c:pt>
                <c:pt idx="6">
                  <c:v>141645.56601000001</c:v>
                </c:pt>
                <c:pt idx="7">
                  <c:v>20331.794160000001</c:v>
                </c:pt>
                <c:pt idx="8">
                  <c:v>42495.805439999996</c:v>
                </c:pt>
                <c:pt idx="10">
                  <c:v>14894.903999999999</c:v>
                </c:pt>
                <c:pt idx="11">
                  <c:v>5960.3340000000007</c:v>
                </c:pt>
              </c:numCache>
            </c:numRef>
          </c:val>
          <c:smooth val="0"/>
          <c:extLst>
            <c:ext xmlns:c16="http://schemas.microsoft.com/office/drawing/2014/chart" uri="{C3380CC4-5D6E-409C-BE32-E72D297353CC}">
              <c16:uniqueId val="{0000005A-2C7B-4170-8F9C-09E8EE11E62C}"/>
            </c:ext>
          </c:extLst>
        </c:ser>
        <c:ser>
          <c:idx val="15"/>
          <c:order val="15"/>
          <c:tx>
            <c:strRef>
              <c:f>'PART B4'!$Q$3:$Q$4</c:f>
              <c:strCache>
                <c:ptCount val="1"/>
                <c:pt idx="0">
                  <c:v>5/2/2023</c:v>
                </c:pt>
              </c:strCache>
            </c:strRef>
          </c:tx>
          <c:spPr>
            <a:ln w="28575" cap="rnd">
              <a:solidFill>
                <a:schemeClr val="accent1">
                  <a:shade val="7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B4'!$Q$5:$Q$17</c:f>
              <c:numCache>
                <c:formatCode>[$$-409]#,##0.00</c:formatCode>
                <c:ptCount val="12"/>
                <c:pt idx="0">
                  <c:v>2373.9623200000001</c:v>
                </c:pt>
                <c:pt idx="1">
                  <c:v>31426.531500000001</c:v>
                </c:pt>
                <c:pt idx="2">
                  <c:v>35902.591739999996</c:v>
                </c:pt>
                <c:pt idx="3">
                  <c:v>4856.35725</c:v>
                </c:pt>
                <c:pt idx="4">
                  <c:v>140373.01071999999</c:v>
                </c:pt>
                <c:pt idx="5">
                  <c:v>51719.759140000002</c:v>
                </c:pt>
                <c:pt idx="6">
                  <c:v>12462.65055</c:v>
                </c:pt>
                <c:pt idx="7">
                  <c:v>26743.11808</c:v>
                </c:pt>
                <c:pt idx="8">
                  <c:v>85605.821830000001</c:v>
                </c:pt>
                <c:pt idx="9">
                  <c:v>34805.040549999998</c:v>
                </c:pt>
                <c:pt idx="10">
                  <c:v>17577.810700000002</c:v>
                </c:pt>
                <c:pt idx="11">
                  <c:v>50004.492100000003</c:v>
                </c:pt>
              </c:numCache>
            </c:numRef>
          </c:val>
          <c:smooth val="0"/>
          <c:extLst>
            <c:ext xmlns:c16="http://schemas.microsoft.com/office/drawing/2014/chart" uri="{C3380CC4-5D6E-409C-BE32-E72D297353CC}">
              <c16:uniqueId val="{0000005B-2C7B-4170-8F9C-09E8EE11E62C}"/>
            </c:ext>
          </c:extLst>
        </c:ser>
        <c:ser>
          <c:idx val="16"/>
          <c:order val="16"/>
          <c:tx>
            <c:strRef>
              <c:f>'PART B4'!$R$3:$R$4</c:f>
              <c:strCache>
                <c:ptCount val="1"/>
                <c:pt idx="0">
                  <c:v>2/5/2023</c:v>
                </c:pt>
              </c:strCache>
            </c:strRef>
          </c:tx>
          <c:spPr>
            <a:ln w="28575" cap="rnd">
              <a:solidFill>
                <a:schemeClr val="accent1">
                  <a:shade val="7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B4'!$R$5:$R$17</c:f>
              <c:numCache>
                <c:formatCode>[$$-409]#,##0.00</c:formatCode>
                <c:ptCount val="12"/>
                <c:pt idx="0">
                  <c:v>14668.195200000002</c:v>
                </c:pt>
                <c:pt idx="1">
                  <c:v>16873.45</c:v>
                </c:pt>
                <c:pt idx="2">
                  <c:v>83439.187559999991</c:v>
                </c:pt>
                <c:pt idx="3">
                  <c:v>4030.6516999999994</c:v>
                </c:pt>
                <c:pt idx="4">
                  <c:v>3644.3212800000006</c:v>
                </c:pt>
                <c:pt idx="5">
                  <c:v>20631.89284</c:v>
                </c:pt>
                <c:pt idx="6">
                  <c:v>25483.91488</c:v>
                </c:pt>
                <c:pt idx="7">
                  <c:v>41908.130810000002</c:v>
                </c:pt>
                <c:pt idx="8">
                  <c:v>26878.991600000001</c:v>
                </c:pt>
                <c:pt idx="9">
                  <c:v>5533.6230000000005</c:v>
                </c:pt>
              </c:numCache>
            </c:numRef>
          </c:val>
          <c:smooth val="0"/>
          <c:extLst>
            <c:ext xmlns:c16="http://schemas.microsoft.com/office/drawing/2014/chart" uri="{C3380CC4-5D6E-409C-BE32-E72D297353CC}">
              <c16:uniqueId val="{0000005C-2C7B-4170-8F9C-09E8EE11E62C}"/>
            </c:ext>
          </c:extLst>
        </c:ser>
        <c:ser>
          <c:idx val="17"/>
          <c:order val="17"/>
          <c:tx>
            <c:strRef>
              <c:f>'PART B4'!$S$3:$S$4</c:f>
              <c:strCache>
                <c:ptCount val="1"/>
                <c:pt idx="0">
                  <c:v>2/21/2023</c:v>
                </c:pt>
              </c:strCache>
            </c:strRef>
          </c:tx>
          <c:spPr>
            <a:ln w="28575" cap="rnd">
              <a:solidFill>
                <a:schemeClr val="accent1">
                  <a:shade val="81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B4'!$S$5:$S$17</c:f>
              <c:numCache>
                <c:formatCode>[$$-409]#,##0.00</c:formatCode>
                <c:ptCount val="12"/>
                <c:pt idx="0">
                  <c:v>52609.065839999996</c:v>
                </c:pt>
                <c:pt idx="1">
                  <c:v>2795.6384399999997</c:v>
                </c:pt>
                <c:pt idx="2">
                  <c:v>60480.885039999994</c:v>
                </c:pt>
                <c:pt idx="3">
                  <c:v>17731.623</c:v>
                </c:pt>
                <c:pt idx="5">
                  <c:v>29279.918670000003</c:v>
                </c:pt>
                <c:pt idx="6">
                  <c:v>17067.938400000003</c:v>
                </c:pt>
                <c:pt idx="7">
                  <c:v>14187.269099999998</c:v>
                </c:pt>
                <c:pt idx="8">
                  <c:v>52863.98113</c:v>
                </c:pt>
                <c:pt idx="9">
                  <c:v>47302.44</c:v>
                </c:pt>
                <c:pt idx="10">
                  <c:v>3592.04</c:v>
                </c:pt>
              </c:numCache>
            </c:numRef>
          </c:val>
          <c:smooth val="0"/>
          <c:extLst>
            <c:ext xmlns:c16="http://schemas.microsoft.com/office/drawing/2014/chart" uri="{C3380CC4-5D6E-409C-BE32-E72D297353CC}">
              <c16:uniqueId val="{0000005D-2C7B-4170-8F9C-09E8EE11E62C}"/>
            </c:ext>
          </c:extLst>
        </c:ser>
        <c:ser>
          <c:idx val="18"/>
          <c:order val="18"/>
          <c:tx>
            <c:strRef>
              <c:f>'PART B4'!$T$3:$T$4</c:f>
              <c:strCache>
                <c:ptCount val="1"/>
                <c:pt idx="0">
                  <c:v>1/26/2023</c:v>
                </c:pt>
              </c:strCache>
            </c:strRef>
          </c:tx>
          <c:spPr>
            <a:ln w="28575" cap="rnd">
              <a:solidFill>
                <a:schemeClr val="accent1">
                  <a:shade val="84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B4'!$T$5:$T$17</c:f>
              <c:numCache>
                <c:formatCode>[$$-409]#,##0.00</c:formatCode>
                <c:ptCount val="12"/>
                <c:pt idx="0">
                  <c:v>28355.403199999997</c:v>
                </c:pt>
                <c:pt idx="2">
                  <c:v>61829.423899999994</c:v>
                </c:pt>
                <c:pt idx="3">
                  <c:v>52592.549860000006</c:v>
                </c:pt>
                <c:pt idx="4">
                  <c:v>50152.392079999998</c:v>
                </c:pt>
                <c:pt idx="5">
                  <c:v>61356.867209999997</c:v>
                </c:pt>
                <c:pt idx="7">
                  <c:v>62136.820679999997</c:v>
                </c:pt>
                <c:pt idx="10">
                  <c:v>20599.089749999999</c:v>
                </c:pt>
                <c:pt idx="11">
                  <c:v>17235.450850000001</c:v>
                </c:pt>
              </c:numCache>
            </c:numRef>
          </c:val>
          <c:smooth val="0"/>
          <c:extLst>
            <c:ext xmlns:c16="http://schemas.microsoft.com/office/drawing/2014/chart" uri="{C3380CC4-5D6E-409C-BE32-E72D297353CC}">
              <c16:uniqueId val="{0000005E-2C7B-4170-8F9C-09E8EE11E62C}"/>
            </c:ext>
          </c:extLst>
        </c:ser>
        <c:ser>
          <c:idx val="19"/>
          <c:order val="19"/>
          <c:tx>
            <c:strRef>
              <c:f>'PART B4'!$U$3:$U$4</c:f>
              <c:strCache>
                <c:ptCount val="1"/>
                <c:pt idx="0">
                  <c:v>4/13/2023</c:v>
                </c:pt>
              </c:strCache>
            </c:strRef>
          </c:tx>
          <c:spPr>
            <a:ln w="28575" cap="rnd">
              <a:solidFill>
                <a:schemeClr val="accent1">
                  <a:shade val="87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B4'!$U$5:$U$17</c:f>
              <c:numCache>
                <c:formatCode>[$$-409]#,##0.00</c:formatCode>
                <c:ptCount val="12"/>
                <c:pt idx="2">
                  <c:v>21931.50405</c:v>
                </c:pt>
                <c:pt idx="3">
                  <c:v>8520.2954399999999</c:v>
                </c:pt>
                <c:pt idx="4">
                  <c:v>76122.593299999993</c:v>
                </c:pt>
                <c:pt idx="5">
                  <c:v>63325.456480000001</c:v>
                </c:pt>
                <c:pt idx="6">
                  <c:v>108619.22301</c:v>
                </c:pt>
                <c:pt idx="7">
                  <c:v>31292.506000000001</c:v>
                </c:pt>
                <c:pt idx="8">
                  <c:v>49792.892160000003</c:v>
                </c:pt>
                <c:pt idx="9">
                  <c:v>27756.432000000001</c:v>
                </c:pt>
                <c:pt idx="10">
                  <c:v>45802.56684</c:v>
                </c:pt>
                <c:pt idx="11">
                  <c:v>14752.706080000002</c:v>
                </c:pt>
              </c:numCache>
            </c:numRef>
          </c:val>
          <c:smooth val="0"/>
          <c:extLst>
            <c:ext xmlns:c16="http://schemas.microsoft.com/office/drawing/2014/chart" uri="{C3380CC4-5D6E-409C-BE32-E72D297353CC}">
              <c16:uniqueId val="{0000005F-2C7B-4170-8F9C-09E8EE11E62C}"/>
            </c:ext>
          </c:extLst>
        </c:ser>
        <c:ser>
          <c:idx val="20"/>
          <c:order val="20"/>
          <c:tx>
            <c:strRef>
              <c:f>'PART B4'!$V$3:$V$4</c:f>
              <c:strCache>
                <c:ptCount val="1"/>
                <c:pt idx="0">
                  <c:v>2/28/2023</c:v>
                </c:pt>
              </c:strCache>
            </c:strRef>
          </c:tx>
          <c:spPr>
            <a:ln w="28575" cap="rnd">
              <a:solidFill>
                <a:schemeClr val="accent1">
                  <a:shade val="9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B4'!$V$5:$V$17</c:f>
              <c:numCache>
                <c:formatCode>[$$-409]#,##0.00</c:formatCode>
                <c:ptCount val="12"/>
                <c:pt idx="1">
                  <c:v>71368.798470000009</c:v>
                </c:pt>
                <c:pt idx="5">
                  <c:v>8780.5809000000008</c:v>
                </c:pt>
                <c:pt idx="6">
                  <c:v>14114.068500000001</c:v>
                </c:pt>
              </c:numCache>
            </c:numRef>
          </c:val>
          <c:smooth val="0"/>
          <c:extLst>
            <c:ext xmlns:c16="http://schemas.microsoft.com/office/drawing/2014/chart" uri="{C3380CC4-5D6E-409C-BE32-E72D297353CC}">
              <c16:uniqueId val="{00000060-2C7B-4170-8F9C-09E8EE11E62C}"/>
            </c:ext>
          </c:extLst>
        </c:ser>
        <c:ser>
          <c:idx val="21"/>
          <c:order val="21"/>
          <c:tx>
            <c:strRef>
              <c:f>'PART B4'!$W$3:$W$4</c:f>
              <c:strCache>
                <c:ptCount val="1"/>
                <c:pt idx="0">
                  <c:v>4/3/2023</c:v>
                </c:pt>
              </c:strCache>
            </c:strRef>
          </c:tx>
          <c:spPr>
            <a:ln w="28575" cap="rnd">
              <a:solidFill>
                <a:schemeClr val="accent1">
                  <a:shade val="9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B4'!$W$5:$W$17</c:f>
              <c:numCache>
                <c:formatCode>[$$-409]#,##0.00</c:formatCode>
                <c:ptCount val="12"/>
                <c:pt idx="1">
                  <c:v>25491.383519999999</c:v>
                </c:pt>
                <c:pt idx="3">
                  <c:v>30194.432919999999</c:v>
                </c:pt>
                <c:pt idx="4">
                  <c:v>31221.45046</c:v>
                </c:pt>
                <c:pt idx="6">
                  <c:v>35730.87182</c:v>
                </c:pt>
                <c:pt idx="7">
                  <c:v>101133.04526000001</c:v>
                </c:pt>
                <c:pt idx="9">
                  <c:v>5159.7893599999998</c:v>
                </c:pt>
                <c:pt idx="10">
                  <c:v>25079.480689999997</c:v>
                </c:pt>
                <c:pt idx="11">
                  <c:v>34475.352080000004</c:v>
                </c:pt>
              </c:numCache>
            </c:numRef>
          </c:val>
          <c:smooth val="0"/>
          <c:extLst>
            <c:ext xmlns:c16="http://schemas.microsoft.com/office/drawing/2014/chart" uri="{C3380CC4-5D6E-409C-BE32-E72D297353CC}">
              <c16:uniqueId val="{00000061-2C7B-4170-8F9C-09E8EE11E62C}"/>
            </c:ext>
          </c:extLst>
        </c:ser>
        <c:ser>
          <c:idx val="22"/>
          <c:order val="22"/>
          <c:tx>
            <c:strRef>
              <c:f>'PART B4'!$X$3:$X$4</c:f>
              <c:strCache>
                <c:ptCount val="1"/>
                <c:pt idx="0">
                  <c:v>2/27/2023</c:v>
                </c:pt>
              </c:strCache>
            </c:strRef>
          </c:tx>
          <c:spPr>
            <a:ln w="28575" cap="rnd">
              <a:solidFill>
                <a:schemeClr val="accent1">
                  <a:shade val="9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B4'!$X$5:$X$17</c:f>
              <c:numCache>
                <c:formatCode>[$$-409]#,##0.00</c:formatCode>
                <c:ptCount val="12"/>
                <c:pt idx="0">
                  <c:v>6435.2555999999995</c:v>
                </c:pt>
                <c:pt idx="1">
                  <c:v>96060.058019999997</c:v>
                </c:pt>
                <c:pt idx="2">
                  <c:v>25331.091030000003</c:v>
                </c:pt>
                <c:pt idx="3">
                  <c:v>34800.431400000001</c:v>
                </c:pt>
                <c:pt idx="4">
                  <c:v>54508.506029999997</c:v>
                </c:pt>
                <c:pt idx="5">
                  <c:v>47693.373</c:v>
                </c:pt>
                <c:pt idx="7">
                  <c:v>83861.520220000006</c:v>
                </c:pt>
                <c:pt idx="9">
                  <c:v>6766.9829999999993</c:v>
                </c:pt>
              </c:numCache>
            </c:numRef>
          </c:val>
          <c:smooth val="0"/>
          <c:extLst>
            <c:ext xmlns:c16="http://schemas.microsoft.com/office/drawing/2014/chart" uri="{C3380CC4-5D6E-409C-BE32-E72D297353CC}">
              <c16:uniqueId val="{00000062-2C7B-4170-8F9C-09E8EE11E62C}"/>
            </c:ext>
          </c:extLst>
        </c:ser>
        <c:ser>
          <c:idx val="23"/>
          <c:order val="23"/>
          <c:tx>
            <c:strRef>
              <c:f>'PART B4'!$Y$3:$Y$4</c:f>
              <c:strCache>
                <c:ptCount val="1"/>
                <c:pt idx="0">
                  <c:v>5/14/2023</c:v>
                </c:pt>
              </c:strCache>
            </c:strRef>
          </c:tx>
          <c:spPr>
            <a:ln w="28575" cap="rnd">
              <a:solidFill>
                <a:schemeClr val="accent1">
                  <a:shade val="9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B4'!$Y$5:$Y$17</c:f>
              <c:numCache>
                <c:formatCode>[$$-409]#,##0.00</c:formatCode>
                <c:ptCount val="12"/>
                <c:pt idx="4">
                  <c:v>10428.057360000001</c:v>
                </c:pt>
                <c:pt idx="10">
                  <c:v>84136.119600000005</c:v>
                </c:pt>
              </c:numCache>
            </c:numRef>
          </c:val>
          <c:smooth val="0"/>
          <c:extLst>
            <c:ext xmlns:c16="http://schemas.microsoft.com/office/drawing/2014/chart" uri="{C3380CC4-5D6E-409C-BE32-E72D297353CC}">
              <c16:uniqueId val="{00000063-2C7B-4170-8F9C-09E8EE11E62C}"/>
            </c:ext>
          </c:extLst>
        </c:ser>
        <c:ser>
          <c:idx val="24"/>
          <c:order val="24"/>
          <c:tx>
            <c:strRef>
              <c:f>'PART B4'!$Z$3:$Z$4</c:f>
              <c:strCache>
                <c:ptCount val="1"/>
                <c:pt idx="0">
                  <c:v>7/8/2023</c:v>
                </c:pt>
              </c:strCache>
            </c:strRef>
          </c:tx>
          <c:spPr>
            <a:ln w="28575" cap="rnd">
              <a:solidFill>
                <a:schemeClr val="accent1">
                  <a:tint val="9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B4'!$Z$5:$Z$17</c:f>
              <c:numCache>
                <c:formatCode>[$$-409]#,##0.00</c:formatCode>
                <c:ptCount val="12"/>
                <c:pt idx="1">
                  <c:v>8330.2513199999994</c:v>
                </c:pt>
                <c:pt idx="3">
                  <c:v>24447.95865</c:v>
                </c:pt>
                <c:pt idx="5">
                  <c:v>58526.83122</c:v>
                </c:pt>
                <c:pt idx="6">
                  <c:v>19581.87</c:v>
                </c:pt>
              </c:numCache>
            </c:numRef>
          </c:val>
          <c:smooth val="0"/>
          <c:extLst>
            <c:ext xmlns:c16="http://schemas.microsoft.com/office/drawing/2014/chart" uri="{C3380CC4-5D6E-409C-BE32-E72D297353CC}">
              <c16:uniqueId val="{00000064-2C7B-4170-8F9C-09E8EE11E62C}"/>
            </c:ext>
          </c:extLst>
        </c:ser>
        <c:ser>
          <c:idx val="25"/>
          <c:order val="25"/>
          <c:tx>
            <c:strRef>
              <c:f>'PART B4'!$AA$3:$AA$4</c:f>
              <c:strCache>
                <c:ptCount val="1"/>
                <c:pt idx="0">
                  <c:v>4/10/2023</c:v>
                </c:pt>
              </c:strCache>
            </c:strRef>
          </c:tx>
          <c:spPr>
            <a:ln w="28575" cap="rnd">
              <a:solidFill>
                <a:schemeClr val="accent1">
                  <a:tint val="9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B4'!$AA$5:$AA$17</c:f>
              <c:numCache>
                <c:formatCode>[$$-409]#,##0.00</c:formatCode>
                <c:ptCount val="12"/>
                <c:pt idx="0">
                  <c:v>4229.4321199999995</c:v>
                </c:pt>
                <c:pt idx="1">
                  <c:v>10166.535600000001</c:v>
                </c:pt>
                <c:pt idx="2">
                  <c:v>33938.142760000002</c:v>
                </c:pt>
                <c:pt idx="3">
                  <c:v>12885.542599999999</c:v>
                </c:pt>
                <c:pt idx="4">
                  <c:v>5035.1534599999995</c:v>
                </c:pt>
                <c:pt idx="5">
                  <c:v>6732.4334000000008</c:v>
                </c:pt>
                <c:pt idx="6">
                  <c:v>41914.215840000004</c:v>
                </c:pt>
                <c:pt idx="8">
                  <c:v>25249.613219999999</c:v>
                </c:pt>
                <c:pt idx="9">
                  <c:v>50296.415399999998</c:v>
                </c:pt>
                <c:pt idx="10">
                  <c:v>4280.6786400000001</c:v>
                </c:pt>
                <c:pt idx="11">
                  <c:v>29673.454499999993</c:v>
                </c:pt>
              </c:numCache>
            </c:numRef>
          </c:val>
          <c:smooth val="0"/>
          <c:extLst>
            <c:ext xmlns:c16="http://schemas.microsoft.com/office/drawing/2014/chart" uri="{C3380CC4-5D6E-409C-BE32-E72D297353CC}">
              <c16:uniqueId val="{00000065-2C7B-4170-8F9C-09E8EE11E62C}"/>
            </c:ext>
          </c:extLst>
        </c:ser>
        <c:ser>
          <c:idx val="26"/>
          <c:order val="26"/>
          <c:tx>
            <c:strRef>
              <c:f>'PART B4'!$AB$3:$AB$4</c:f>
              <c:strCache>
                <c:ptCount val="1"/>
                <c:pt idx="0">
                  <c:v>5/7/2023</c:v>
                </c:pt>
              </c:strCache>
            </c:strRef>
          </c:tx>
          <c:spPr>
            <a:ln w="28575" cap="rnd">
              <a:solidFill>
                <a:schemeClr val="accent1">
                  <a:tint val="9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B4'!$AB$5:$AB$17</c:f>
              <c:numCache>
                <c:formatCode>[$$-409]#,##0.00</c:formatCode>
                <c:ptCount val="12"/>
                <c:pt idx="0">
                  <c:v>33308.550000000003</c:v>
                </c:pt>
                <c:pt idx="4">
                  <c:v>119875.52006000001</c:v>
                </c:pt>
                <c:pt idx="7">
                  <c:v>10859.64</c:v>
                </c:pt>
                <c:pt idx="10">
                  <c:v>8297.4286000000011</c:v>
                </c:pt>
              </c:numCache>
            </c:numRef>
          </c:val>
          <c:smooth val="0"/>
          <c:extLst>
            <c:ext xmlns:c16="http://schemas.microsoft.com/office/drawing/2014/chart" uri="{C3380CC4-5D6E-409C-BE32-E72D297353CC}">
              <c16:uniqueId val="{00000066-2C7B-4170-8F9C-09E8EE11E62C}"/>
            </c:ext>
          </c:extLst>
        </c:ser>
        <c:ser>
          <c:idx val="27"/>
          <c:order val="27"/>
          <c:tx>
            <c:strRef>
              <c:f>'PART B4'!$AC$3:$AC$4</c:f>
              <c:strCache>
                <c:ptCount val="1"/>
                <c:pt idx="0">
                  <c:v>8/3/2023</c:v>
                </c:pt>
              </c:strCache>
            </c:strRef>
          </c:tx>
          <c:spPr>
            <a:ln w="28575" cap="rnd">
              <a:solidFill>
                <a:schemeClr val="accent1">
                  <a:tint val="9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B4'!$AC$5:$AC$17</c:f>
              <c:numCache>
                <c:formatCode>[$$-409]#,##0.00</c:formatCode>
                <c:ptCount val="12"/>
                <c:pt idx="5">
                  <c:v>30652.403519999996</c:v>
                </c:pt>
                <c:pt idx="7">
                  <c:v>55186.876579999996</c:v>
                </c:pt>
              </c:numCache>
            </c:numRef>
          </c:val>
          <c:smooth val="0"/>
          <c:extLst>
            <c:ext xmlns:c16="http://schemas.microsoft.com/office/drawing/2014/chart" uri="{C3380CC4-5D6E-409C-BE32-E72D297353CC}">
              <c16:uniqueId val="{00000067-2C7B-4170-8F9C-09E8EE11E62C}"/>
            </c:ext>
          </c:extLst>
        </c:ser>
        <c:ser>
          <c:idx val="28"/>
          <c:order val="28"/>
          <c:tx>
            <c:strRef>
              <c:f>'PART B4'!$AD$3:$AD$4</c:f>
              <c:strCache>
                <c:ptCount val="1"/>
                <c:pt idx="0">
                  <c:v>12/7/2023</c:v>
                </c:pt>
              </c:strCache>
            </c:strRef>
          </c:tx>
          <c:spPr>
            <a:ln w="28575" cap="rnd">
              <a:solidFill>
                <a:schemeClr val="accent1">
                  <a:tint val="8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B4'!$AD$5:$AD$17</c:f>
              <c:numCache>
                <c:formatCode>[$$-409]#,##0.00</c:formatCode>
                <c:ptCount val="12"/>
                <c:pt idx="1">
                  <c:v>20163.409200000002</c:v>
                </c:pt>
                <c:pt idx="11">
                  <c:v>40476.013200000001</c:v>
                </c:pt>
              </c:numCache>
            </c:numRef>
          </c:val>
          <c:smooth val="0"/>
          <c:extLst>
            <c:ext xmlns:c16="http://schemas.microsoft.com/office/drawing/2014/chart" uri="{C3380CC4-5D6E-409C-BE32-E72D297353CC}">
              <c16:uniqueId val="{00000068-2C7B-4170-8F9C-09E8EE11E62C}"/>
            </c:ext>
          </c:extLst>
        </c:ser>
        <c:ser>
          <c:idx val="29"/>
          <c:order val="29"/>
          <c:tx>
            <c:strRef>
              <c:f>'PART B4'!$AE$3:$AE$4</c:f>
              <c:strCache>
                <c:ptCount val="1"/>
                <c:pt idx="0">
                  <c:v>9/8/2023</c:v>
                </c:pt>
              </c:strCache>
            </c:strRef>
          </c:tx>
          <c:spPr>
            <a:ln w="28575" cap="rnd">
              <a:solidFill>
                <a:schemeClr val="accent1">
                  <a:tint val="8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B4'!$AE$5:$AE$17</c:f>
              <c:numCache>
                <c:formatCode>[$$-409]#,##0.00</c:formatCode>
                <c:ptCount val="12"/>
                <c:pt idx="1">
                  <c:v>33400.983200000002</c:v>
                </c:pt>
                <c:pt idx="4">
                  <c:v>13108.78584</c:v>
                </c:pt>
                <c:pt idx="5">
                  <c:v>97051.949399999983</c:v>
                </c:pt>
                <c:pt idx="6">
                  <c:v>7173.3342799999991</c:v>
                </c:pt>
                <c:pt idx="7">
                  <c:v>3823.6151599999998</c:v>
                </c:pt>
                <c:pt idx="8">
                  <c:v>1030.7574</c:v>
                </c:pt>
                <c:pt idx="10">
                  <c:v>35807.58468</c:v>
                </c:pt>
              </c:numCache>
            </c:numRef>
          </c:val>
          <c:smooth val="0"/>
          <c:extLst>
            <c:ext xmlns:c16="http://schemas.microsoft.com/office/drawing/2014/chart" uri="{C3380CC4-5D6E-409C-BE32-E72D297353CC}">
              <c16:uniqueId val="{00000069-2C7B-4170-8F9C-09E8EE11E62C}"/>
            </c:ext>
          </c:extLst>
        </c:ser>
        <c:ser>
          <c:idx val="30"/>
          <c:order val="30"/>
          <c:tx>
            <c:strRef>
              <c:f>'PART B4'!$AF$3:$AF$4</c:f>
              <c:strCache>
                <c:ptCount val="1"/>
                <c:pt idx="0">
                  <c:v>4/22/2023</c:v>
                </c:pt>
              </c:strCache>
            </c:strRef>
          </c:tx>
          <c:spPr>
            <a:ln w="28575" cap="rnd">
              <a:solidFill>
                <a:schemeClr val="accent1">
                  <a:tint val="8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B4'!$AF$5:$AF$17</c:f>
              <c:numCache>
                <c:formatCode>[$$-409]#,##0.00</c:formatCode>
                <c:ptCount val="12"/>
                <c:pt idx="2">
                  <c:v>4409.5168800000001</c:v>
                </c:pt>
                <c:pt idx="3">
                  <c:v>17234.67195</c:v>
                </c:pt>
                <c:pt idx="4">
                  <c:v>39810.328000000001</c:v>
                </c:pt>
                <c:pt idx="5">
                  <c:v>68665.574250000005</c:v>
                </c:pt>
                <c:pt idx="6">
                  <c:v>5725.6496000000006</c:v>
                </c:pt>
                <c:pt idx="7">
                  <c:v>33551.927499999998</c:v>
                </c:pt>
                <c:pt idx="8">
                  <c:v>40563.321749999996</c:v>
                </c:pt>
              </c:numCache>
            </c:numRef>
          </c:val>
          <c:smooth val="0"/>
          <c:extLst>
            <c:ext xmlns:c16="http://schemas.microsoft.com/office/drawing/2014/chart" uri="{C3380CC4-5D6E-409C-BE32-E72D297353CC}">
              <c16:uniqueId val="{0000006A-2C7B-4170-8F9C-09E8EE11E62C}"/>
            </c:ext>
          </c:extLst>
        </c:ser>
        <c:ser>
          <c:idx val="31"/>
          <c:order val="31"/>
          <c:tx>
            <c:strRef>
              <c:f>'PART B4'!$AG$3:$AG$4</c:f>
              <c:strCache>
                <c:ptCount val="1"/>
                <c:pt idx="0">
                  <c:v>6/1/2023</c:v>
                </c:pt>
              </c:strCache>
            </c:strRef>
          </c:tx>
          <c:spPr>
            <a:ln w="28575" cap="rnd">
              <a:solidFill>
                <a:schemeClr val="accent1">
                  <a:tint val="7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B4'!$AG$5:$AG$17</c:f>
              <c:numCache>
                <c:formatCode>[$$-409]#,##0.00</c:formatCode>
                <c:ptCount val="12"/>
                <c:pt idx="0">
                  <c:v>13251.48</c:v>
                </c:pt>
                <c:pt idx="5">
                  <c:v>4577.1480000000001</c:v>
                </c:pt>
              </c:numCache>
            </c:numRef>
          </c:val>
          <c:smooth val="0"/>
          <c:extLst>
            <c:ext xmlns:c16="http://schemas.microsoft.com/office/drawing/2014/chart" uri="{C3380CC4-5D6E-409C-BE32-E72D297353CC}">
              <c16:uniqueId val="{0000006B-2C7B-4170-8F9C-09E8EE11E62C}"/>
            </c:ext>
          </c:extLst>
        </c:ser>
        <c:ser>
          <c:idx val="32"/>
          <c:order val="32"/>
          <c:tx>
            <c:strRef>
              <c:f>'PART B4'!$AH$3:$AH$4</c:f>
              <c:strCache>
                <c:ptCount val="1"/>
                <c:pt idx="0">
                  <c:v>10/9/2023</c:v>
                </c:pt>
              </c:strCache>
            </c:strRef>
          </c:tx>
          <c:spPr>
            <a:ln w="28575" cap="rnd">
              <a:solidFill>
                <a:schemeClr val="accent1">
                  <a:tint val="7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B4'!$AH$5:$AH$17</c:f>
              <c:numCache>
                <c:formatCode>[$$-409]#,##0.00</c:formatCode>
                <c:ptCount val="12"/>
                <c:pt idx="2">
                  <c:v>25131.155999999999</c:v>
                </c:pt>
                <c:pt idx="5">
                  <c:v>44173.627960000005</c:v>
                </c:pt>
                <c:pt idx="9">
                  <c:v>10786.32144</c:v>
                </c:pt>
              </c:numCache>
            </c:numRef>
          </c:val>
          <c:smooth val="0"/>
          <c:extLst>
            <c:ext xmlns:c16="http://schemas.microsoft.com/office/drawing/2014/chart" uri="{C3380CC4-5D6E-409C-BE32-E72D297353CC}">
              <c16:uniqueId val="{0000006C-2C7B-4170-8F9C-09E8EE11E62C}"/>
            </c:ext>
          </c:extLst>
        </c:ser>
        <c:ser>
          <c:idx val="33"/>
          <c:order val="33"/>
          <c:tx>
            <c:strRef>
              <c:f>'PART B4'!$AI$3:$AI$4</c:f>
              <c:strCache>
                <c:ptCount val="1"/>
                <c:pt idx="0">
                  <c:v>11/19/2023</c:v>
                </c:pt>
              </c:strCache>
            </c:strRef>
          </c:tx>
          <c:spPr>
            <a:ln w="28575" cap="rnd">
              <a:solidFill>
                <a:schemeClr val="accent1">
                  <a:tint val="7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B4'!$AI$5:$AI$17</c:f>
              <c:numCache>
                <c:formatCode>[$$-409]#,##0.00</c:formatCode>
                <c:ptCount val="12"/>
                <c:pt idx="2">
                  <c:v>11305.14372</c:v>
                </c:pt>
                <c:pt idx="6">
                  <c:v>30229.994880000002</c:v>
                </c:pt>
                <c:pt idx="10">
                  <c:v>45473.774080000003</c:v>
                </c:pt>
              </c:numCache>
            </c:numRef>
          </c:val>
          <c:smooth val="0"/>
          <c:extLst>
            <c:ext xmlns:c16="http://schemas.microsoft.com/office/drawing/2014/chart" uri="{C3380CC4-5D6E-409C-BE32-E72D297353CC}">
              <c16:uniqueId val="{0000006D-2C7B-4170-8F9C-09E8EE11E62C}"/>
            </c:ext>
          </c:extLst>
        </c:ser>
        <c:ser>
          <c:idx val="34"/>
          <c:order val="34"/>
          <c:tx>
            <c:strRef>
              <c:f>'PART B4'!$AJ$3:$AJ$4</c:f>
              <c:strCache>
                <c:ptCount val="1"/>
                <c:pt idx="0">
                  <c:v>6/23/2023</c:v>
                </c:pt>
              </c:strCache>
            </c:strRef>
          </c:tx>
          <c:spPr>
            <a:ln w="28575" cap="rnd">
              <a:solidFill>
                <a:schemeClr val="accent1">
                  <a:tint val="7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B4'!$AJ$5:$AJ$17</c:f>
              <c:numCache>
                <c:formatCode>[$$-409]#,##0.00</c:formatCode>
                <c:ptCount val="12"/>
                <c:pt idx="0">
                  <c:v>19139.594240000002</c:v>
                </c:pt>
                <c:pt idx="1">
                  <c:v>8128.5187499999993</c:v>
                </c:pt>
                <c:pt idx="5">
                  <c:v>33017.42</c:v>
                </c:pt>
                <c:pt idx="7">
                  <c:v>33440.098400000003</c:v>
                </c:pt>
                <c:pt idx="11">
                  <c:v>14466.95104</c:v>
                </c:pt>
              </c:numCache>
            </c:numRef>
          </c:val>
          <c:smooth val="0"/>
          <c:extLst>
            <c:ext xmlns:c16="http://schemas.microsoft.com/office/drawing/2014/chart" uri="{C3380CC4-5D6E-409C-BE32-E72D297353CC}">
              <c16:uniqueId val="{0000006E-2C7B-4170-8F9C-09E8EE11E62C}"/>
            </c:ext>
          </c:extLst>
        </c:ser>
        <c:ser>
          <c:idx val="35"/>
          <c:order val="35"/>
          <c:tx>
            <c:strRef>
              <c:f>'PART B4'!$AK$3:$AK$4</c:f>
              <c:strCache>
                <c:ptCount val="1"/>
                <c:pt idx="0">
                  <c:v>9/17/2023</c:v>
                </c:pt>
              </c:strCache>
            </c:strRef>
          </c:tx>
          <c:spPr>
            <a:ln w="28575" cap="rnd">
              <a:solidFill>
                <a:schemeClr val="accent1">
                  <a:tint val="6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B4'!$AK$5:$AK$17</c:f>
              <c:numCache>
                <c:formatCode>[$$-409]#,##0.00</c:formatCode>
                <c:ptCount val="12"/>
                <c:pt idx="3">
                  <c:v>22676.312610000001</c:v>
                </c:pt>
                <c:pt idx="7">
                  <c:v>5962.1422499999999</c:v>
                </c:pt>
                <c:pt idx="8">
                  <c:v>7071.6331400000008</c:v>
                </c:pt>
              </c:numCache>
            </c:numRef>
          </c:val>
          <c:smooth val="0"/>
          <c:extLst>
            <c:ext xmlns:c16="http://schemas.microsoft.com/office/drawing/2014/chart" uri="{C3380CC4-5D6E-409C-BE32-E72D297353CC}">
              <c16:uniqueId val="{0000006F-2C7B-4170-8F9C-09E8EE11E62C}"/>
            </c:ext>
          </c:extLst>
        </c:ser>
        <c:ser>
          <c:idx val="36"/>
          <c:order val="36"/>
          <c:tx>
            <c:strRef>
              <c:f>'PART B4'!$AL$3:$AL$4</c:f>
              <c:strCache>
                <c:ptCount val="1"/>
                <c:pt idx="0">
                  <c:v>7/30/2023</c:v>
                </c:pt>
              </c:strCache>
            </c:strRef>
          </c:tx>
          <c:spPr>
            <a:ln w="28575" cap="rnd">
              <a:solidFill>
                <a:schemeClr val="accent1">
                  <a:tint val="6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B4'!$AL$5:$AL$17</c:f>
              <c:numCache>
                <c:formatCode>[$$-409]#,##0.00</c:formatCode>
                <c:ptCount val="12"/>
                <c:pt idx="5">
                  <c:v>8366.02</c:v>
                </c:pt>
                <c:pt idx="6">
                  <c:v>18500.693520000001</c:v>
                </c:pt>
                <c:pt idx="7">
                  <c:v>12805.460500000001</c:v>
                </c:pt>
              </c:numCache>
            </c:numRef>
          </c:val>
          <c:smooth val="0"/>
          <c:extLst>
            <c:ext xmlns:c16="http://schemas.microsoft.com/office/drawing/2014/chart" uri="{C3380CC4-5D6E-409C-BE32-E72D297353CC}">
              <c16:uniqueId val="{00000070-2C7B-4170-8F9C-09E8EE11E62C}"/>
            </c:ext>
          </c:extLst>
        </c:ser>
        <c:ser>
          <c:idx val="37"/>
          <c:order val="37"/>
          <c:tx>
            <c:strRef>
              <c:f>'PART B4'!$AM$3:$AM$4</c:f>
              <c:strCache>
                <c:ptCount val="1"/>
                <c:pt idx="0">
                  <c:v>1/28/2024</c:v>
                </c:pt>
              </c:strCache>
            </c:strRef>
          </c:tx>
          <c:spPr>
            <a:ln w="28575" cap="rnd">
              <a:solidFill>
                <a:schemeClr val="accent1">
                  <a:tint val="6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B4'!$AM$5:$AM$17</c:f>
              <c:numCache>
                <c:formatCode>[$$-409]#,##0.00</c:formatCode>
                <c:ptCount val="12"/>
                <c:pt idx="0">
                  <c:v>2077.46</c:v>
                </c:pt>
                <c:pt idx="5">
                  <c:v>29175.036029999999</c:v>
                </c:pt>
              </c:numCache>
            </c:numRef>
          </c:val>
          <c:smooth val="0"/>
          <c:extLst>
            <c:ext xmlns:c16="http://schemas.microsoft.com/office/drawing/2014/chart" uri="{C3380CC4-5D6E-409C-BE32-E72D297353CC}">
              <c16:uniqueId val="{00000071-2C7B-4170-8F9C-09E8EE11E62C}"/>
            </c:ext>
          </c:extLst>
        </c:ser>
        <c:ser>
          <c:idx val="38"/>
          <c:order val="38"/>
          <c:tx>
            <c:strRef>
              <c:f>'PART B4'!$AN$3:$AN$4</c:f>
              <c:strCache>
                <c:ptCount val="1"/>
                <c:pt idx="0">
                  <c:v>4/16/2023</c:v>
                </c:pt>
              </c:strCache>
            </c:strRef>
          </c:tx>
          <c:spPr>
            <a:ln w="28575" cap="rnd">
              <a:solidFill>
                <a:schemeClr val="accent1">
                  <a:tint val="5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B4'!$AN$5:$AN$17</c:f>
              <c:numCache>
                <c:formatCode>[$$-409]#,##0.00</c:formatCode>
                <c:ptCount val="12"/>
                <c:pt idx="3">
                  <c:v>10260.060159999999</c:v>
                </c:pt>
              </c:numCache>
            </c:numRef>
          </c:val>
          <c:smooth val="0"/>
          <c:extLst>
            <c:ext xmlns:c16="http://schemas.microsoft.com/office/drawing/2014/chart" uri="{C3380CC4-5D6E-409C-BE32-E72D297353CC}">
              <c16:uniqueId val="{00000072-2C7B-4170-8F9C-09E8EE11E62C}"/>
            </c:ext>
          </c:extLst>
        </c:ser>
        <c:ser>
          <c:idx val="39"/>
          <c:order val="39"/>
          <c:tx>
            <c:strRef>
              <c:f>'PART B4'!$AO$3:$AO$4</c:f>
              <c:strCache>
                <c:ptCount val="1"/>
                <c:pt idx="0">
                  <c:v>2/1/2024</c:v>
                </c:pt>
              </c:strCache>
            </c:strRef>
          </c:tx>
          <c:spPr>
            <a:ln w="28575" cap="rnd">
              <a:solidFill>
                <a:schemeClr val="accent1">
                  <a:tint val="5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B4'!$AO$5:$AO$17</c:f>
              <c:numCache>
                <c:formatCode>[$$-409]#,##0.00</c:formatCode>
                <c:ptCount val="12"/>
                <c:pt idx="1">
                  <c:v>18003.847679999999</c:v>
                </c:pt>
              </c:numCache>
            </c:numRef>
          </c:val>
          <c:smooth val="0"/>
          <c:extLst>
            <c:ext xmlns:c16="http://schemas.microsoft.com/office/drawing/2014/chart" uri="{C3380CC4-5D6E-409C-BE32-E72D297353CC}">
              <c16:uniqueId val="{00000073-2C7B-4170-8F9C-09E8EE11E62C}"/>
            </c:ext>
          </c:extLst>
        </c:ser>
        <c:ser>
          <c:idx val="40"/>
          <c:order val="40"/>
          <c:tx>
            <c:strRef>
              <c:f>'PART B4'!$AP$3:$AP$4</c:f>
              <c:strCache>
                <c:ptCount val="1"/>
                <c:pt idx="0">
                  <c:v>10/19/2024</c:v>
                </c:pt>
              </c:strCache>
            </c:strRef>
          </c:tx>
          <c:spPr>
            <a:ln w="28575" cap="rnd">
              <a:solidFill>
                <a:schemeClr val="accent1">
                  <a:tint val="5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B4'!$AP$5:$AP$17</c:f>
              <c:numCache>
                <c:formatCode>[$$-409]#,##0.00</c:formatCode>
                <c:ptCount val="12"/>
                <c:pt idx="9">
                  <c:v>9256.14</c:v>
                </c:pt>
              </c:numCache>
            </c:numRef>
          </c:val>
          <c:smooth val="0"/>
          <c:extLst>
            <c:ext xmlns:c16="http://schemas.microsoft.com/office/drawing/2014/chart" uri="{C3380CC4-5D6E-409C-BE32-E72D297353CC}">
              <c16:uniqueId val="{00000074-2C7B-4170-8F9C-09E8EE11E62C}"/>
            </c:ext>
          </c:extLst>
        </c:ser>
        <c:ser>
          <c:idx val="41"/>
          <c:order val="41"/>
          <c:tx>
            <c:strRef>
              <c:f>'PART B4'!$AQ$3:$AQ$4</c:f>
              <c:strCache>
                <c:ptCount val="1"/>
                <c:pt idx="0">
                  <c:v>12/17/2024</c:v>
                </c:pt>
              </c:strCache>
            </c:strRef>
          </c:tx>
          <c:spPr>
            <a:ln w="28575" cap="rnd">
              <a:solidFill>
                <a:schemeClr val="accent1">
                  <a:tint val="5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B4'!$AQ$5:$AQ$17</c:f>
              <c:numCache>
                <c:formatCode>[$$-409]#,##0.00</c:formatCode>
                <c:ptCount val="12"/>
                <c:pt idx="11">
                  <c:v>846.34703999999988</c:v>
                </c:pt>
              </c:numCache>
            </c:numRef>
          </c:val>
          <c:smooth val="0"/>
          <c:extLst>
            <c:ext xmlns:c16="http://schemas.microsoft.com/office/drawing/2014/chart" uri="{C3380CC4-5D6E-409C-BE32-E72D297353CC}">
              <c16:uniqueId val="{00000075-2C7B-4170-8F9C-09E8EE11E62C}"/>
            </c:ext>
          </c:extLst>
        </c:ser>
        <c:ser>
          <c:idx val="42"/>
          <c:order val="42"/>
          <c:tx>
            <c:strRef>
              <c:f>'PART B4'!$AR$3:$AR$4</c:f>
              <c:strCache>
                <c:ptCount val="1"/>
                <c:pt idx="0">
                  <c:v>7/11/2025</c:v>
                </c:pt>
              </c:strCache>
            </c:strRef>
          </c:tx>
          <c:spPr>
            <a:ln w="28575" cap="rnd">
              <a:solidFill>
                <a:schemeClr val="accent1">
                  <a:tint val="4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B4'!$AR$5:$AR$17</c:f>
              <c:numCache>
                <c:formatCode>[$$-409]#,##0.00</c:formatCode>
                <c:ptCount val="12"/>
                <c:pt idx="6">
                  <c:v>25174.028880000002</c:v>
                </c:pt>
              </c:numCache>
            </c:numRef>
          </c:val>
          <c:smooth val="0"/>
          <c:extLst>
            <c:ext xmlns:c16="http://schemas.microsoft.com/office/drawing/2014/chart" uri="{C3380CC4-5D6E-409C-BE32-E72D297353CC}">
              <c16:uniqueId val="{00000076-2C7B-4170-8F9C-09E8EE11E62C}"/>
            </c:ext>
          </c:extLst>
        </c:ser>
        <c:ser>
          <c:idx val="43"/>
          <c:order val="43"/>
          <c:tx>
            <c:strRef>
              <c:f>'PART B4'!$AS$3:$AS$4</c:f>
              <c:strCache>
                <c:ptCount val="1"/>
                <c:pt idx="0">
                  <c:v>10/13/2024</c:v>
                </c:pt>
              </c:strCache>
            </c:strRef>
          </c:tx>
          <c:spPr>
            <a:ln w="28575" cap="rnd">
              <a:solidFill>
                <a:schemeClr val="accent1">
                  <a:tint val="4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B4'!$AS$5:$AS$17</c:f>
              <c:numCache>
                <c:formatCode>[$$-409]#,##0.00</c:formatCode>
                <c:ptCount val="12"/>
                <c:pt idx="9">
                  <c:v>41419.524249999995</c:v>
                </c:pt>
              </c:numCache>
            </c:numRef>
          </c:val>
          <c:smooth val="0"/>
          <c:extLst>
            <c:ext xmlns:c16="http://schemas.microsoft.com/office/drawing/2014/chart" uri="{C3380CC4-5D6E-409C-BE32-E72D297353CC}">
              <c16:uniqueId val="{00000077-2C7B-4170-8F9C-09E8EE11E62C}"/>
            </c:ext>
          </c:extLst>
        </c:ser>
        <c:ser>
          <c:idx val="44"/>
          <c:order val="44"/>
          <c:tx>
            <c:strRef>
              <c:f>'PART B4'!$AT$3:$AT$4</c:f>
              <c:strCache>
                <c:ptCount val="1"/>
                <c:pt idx="0">
                  <c:v>4/17/2025</c:v>
                </c:pt>
              </c:strCache>
            </c:strRef>
          </c:tx>
          <c:spPr>
            <a:ln w="28575" cap="rnd">
              <a:solidFill>
                <a:schemeClr val="accent1">
                  <a:tint val="4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B4'!$AT$5:$AT$17</c:f>
              <c:numCache>
                <c:formatCode>[$$-409]#,##0.00</c:formatCode>
                <c:ptCount val="12"/>
                <c:pt idx="3">
                  <c:v>2355.2113199999999</c:v>
                </c:pt>
              </c:numCache>
            </c:numRef>
          </c:val>
          <c:smooth val="0"/>
          <c:extLst>
            <c:ext xmlns:c16="http://schemas.microsoft.com/office/drawing/2014/chart" uri="{C3380CC4-5D6E-409C-BE32-E72D297353CC}">
              <c16:uniqueId val="{00000078-2C7B-4170-8F9C-09E8EE11E62C}"/>
            </c:ext>
          </c:extLst>
        </c:ser>
        <c:ser>
          <c:idx val="45"/>
          <c:order val="45"/>
          <c:tx>
            <c:strRef>
              <c:f>'PART B4'!$AU$3:$AU$4</c:f>
              <c:strCache>
                <c:ptCount val="1"/>
                <c:pt idx="0">
                  <c:v>7/19/2025</c:v>
                </c:pt>
              </c:strCache>
            </c:strRef>
          </c:tx>
          <c:spPr>
            <a:ln w="28575" cap="rnd">
              <a:solidFill>
                <a:schemeClr val="accent1">
                  <a:tint val="3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B4'!$AU$5:$AU$17</c:f>
              <c:numCache>
                <c:formatCode>[$$-409]#,##0.00</c:formatCode>
                <c:ptCount val="12"/>
                <c:pt idx="6">
                  <c:v>10693.88488</c:v>
                </c:pt>
              </c:numCache>
            </c:numRef>
          </c:val>
          <c:smooth val="0"/>
          <c:extLst>
            <c:ext xmlns:c16="http://schemas.microsoft.com/office/drawing/2014/chart" uri="{C3380CC4-5D6E-409C-BE32-E72D297353CC}">
              <c16:uniqueId val="{00000079-2C7B-4170-8F9C-09E8EE11E62C}"/>
            </c:ext>
          </c:extLst>
        </c:ser>
        <c:ser>
          <c:idx val="46"/>
          <c:order val="46"/>
          <c:tx>
            <c:strRef>
              <c:f>'PART B4'!$AV$3:$AV$4</c:f>
              <c:strCache>
                <c:ptCount val="1"/>
                <c:pt idx="0">
                  <c:v>12/22/2023</c:v>
                </c:pt>
              </c:strCache>
            </c:strRef>
          </c:tx>
          <c:spPr>
            <a:ln w="28575" cap="rnd">
              <a:solidFill>
                <a:schemeClr val="accent1">
                  <a:tint val="3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B4'!$AV$5:$AV$17</c:f>
              <c:numCache>
                <c:formatCode>[$$-409]#,##0.00</c:formatCode>
                <c:ptCount val="12"/>
                <c:pt idx="11">
                  <c:v>13983.752729999998</c:v>
                </c:pt>
              </c:numCache>
            </c:numRef>
          </c:val>
          <c:smooth val="0"/>
          <c:extLst>
            <c:ext xmlns:c16="http://schemas.microsoft.com/office/drawing/2014/chart" uri="{C3380CC4-5D6E-409C-BE32-E72D297353CC}">
              <c16:uniqueId val="{0000007A-2C7B-4170-8F9C-09E8EE11E62C}"/>
            </c:ext>
          </c:extLst>
        </c:ser>
        <c:ser>
          <c:idx val="47"/>
          <c:order val="47"/>
          <c:tx>
            <c:strRef>
              <c:f>'PART B4'!$AW$3:$AW$4</c:f>
              <c:strCache>
                <c:ptCount val="1"/>
                <c:pt idx="0">
                  <c:v>2/28/2025</c:v>
                </c:pt>
              </c:strCache>
            </c:strRef>
          </c:tx>
          <c:spPr>
            <a:ln w="28575" cap="rnd">
              <a:solidFill>
                <a:schemeClr val="accent1">
                  <a:tint val="3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B4'!$AW$5:$AW$17</c:f>
              <c:numCache>
                <c:formatCode>[$$-409]#,##0.00</c:formatCode>
                <c:ptCount val="12"/>
                <c:pt idx="1">
                  <c:v>266.17821999999995</c:v>
                </c:pt>
              </c:numCache>
            </c:numRef>
          </c:val>
          <c:smooth val="0"/>
          <c:extLst>
            <c:ext xmlns:c16="http://schemas.microsoft.com/office/drawing/2014/chart" uri="{C3380CC4-5D6E-409C-BE32-E72D297353CC}">
              <c16:uniqueId val="{0000007B-2C7B-4170-8F9C-09E8EE11E62C}"/>
            </c:ext>
          </c:extLst>
        </c:ser>
        <c:dLbls>
          <c:showLegendKey val="0"/>
          <c:showVal val="0"/>
          <c:showCatName val="0"/>
          <c:showSerName val="0"/>
          <c:showPercent val="0"/>
          <c:showBubbleSize val="0"/>
        </c:dLbls>
        <c:smooth val="0"/>
        <c:axId val="997678095"/>
        <c:axId val="997678575"/>
      </c:lineChart>
      <c:catAx>
        <c:axId val="99767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78575"/>
        <c:crosses val="autoZero"/>
        <c:auto val="1"/>
        <c:lblAlgn val="ctr"/>
        <c:lblOffset val="100"/>
        <c:noMultiLvlLbl val="0"/>
      </c:catAx>
      <c:valAx>
        <c:axId val="99767857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[Excel^1201^120assignment CRIS.xlsx]Sheet18!PivotTable10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Sheet18!$B$3:$B$4</c:f>
              <c:strCache>
                <c:ptCount val="1"/>
                <c:pt idx="0">
                  <c:v>Direct</c:v>
                </c:pt>
              </c:strCache>
            </c:strRef>
          </c:tx>
          <c:spPr>
            <a:solidFill>
              <a:schemeClr val="accent1">
                <a:shade val="50000"/>
              </a:schemeClr>
            </a:solidFill>
            <a:ln>
              <a:noFill/>
            </a:ln>
            <a:effectLst/>
          </c:spPr>
          <c:invertIfNegative val="0"/>
          <c:cat>
            <c:strRef>
              <c:f>Sheet18!$A$5:$A$9</c:f>
              <c:strCache>
                <c:ptCount val="4"/>
                <c:pt idx="0">
                  <c:v>Africa</c:v>
                </c:pt>
                <c:pt idx="1">
                  <c:v>Americas</c:v>
                </c:pt>
                <c:pt idx="2">
                  <c:v>Asia</c:v>
                </c:pt>
                <c:pt idx="3">
                  <c:v>Europe</c:v>
                </c:pt>
              </c:strCache>
            </c:strRef>
          </c:cat>
          <c:val>
            <c:numRef>
              <c:f>Sheet18!$B$5:$B$9</c:f>
              <c:numCache>
                <c:formatCode>[$$-409]#,##0.00</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0701-4386-B1F2-34D4A9362956}"/>
            </c:ext>
          </c:extLst>
        </c:ser>
        <c:ser>
          <c:idx val="1"/>
          <c:order val="1"/>
          <c:tx>
            <c:strRef>
              <c:f>Sheet18!$C$3:$C$4</c:f>
              <c:strCache>
                <c:ptCount val="1"/>
                <c:pt idx="0">
                  <c:v>Distributor</c:v>
                </c:pt>
              </c:strCache>
            </c:strRef>
          </c:tx>
          <c:spPr>
            <a:solidFill>
              <a:schemeClr val="accent1">
                <a:shade val="70000"/>
              </a:schemeClr>
            </a:solidFill>
            <a:ln>
              <a:noFill/>
            </a:ln>
            <a:effectLst/>
          </c:spPr>
          <c:invertIfNegative val="0"/>
          <c:cat>
            <c:strRef>
              <c:f>Sheet18!$A$5:$A$9</c:f>
              <c:strCache>
                <c:ptCount val="4"/>
                <c:pt idx="0">
                  <c:v>Africa</c:v>
                </c:pt>
                <c:pt idx="1">
                  <c:v>Americas</c:v>
                </c:pt>
                <c:pt idx="2">
                  <c:v>Asia</c:v>
                </c:pt>
                <c:pt idx="3">
                  <c:v>Europe</c:v>
                </c:pt>
              </c:strCache>
            </c:strRef>
          </c:cat>
          <c:val>
            <c:numRef>
              <c:f>Sheet18!$C$5:$C$9</c:f>
              <c:numCache>
                <c:formatCode>[$$-409]#,##0.00</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0701-4386-B1F2-34D4A9362956}"/>
            </c:ext>
          </c:extLst>
        </c:ser>
        <c:ser>
          <c:idx val="2"/>
          <c:order val="2"/>
          <c:tx>
            <c:strRef>
              <c:f>Sheet18!$D$3:$D$4</c:f>
              <c:strCache>
                <c:ptCount val="1"/>
                <c:pt idx="0">
                  <c:v>Marketplace</c:v>
                </c:pt>
              </c:strCache>
            </c:strRef>
          </c:tx>
          <c:spPr>
            <a:solidFill>
              <a:schemeClr val="accent1">
                <a:shade val="90000"/>
              </a:schemeClr>
            </a:solidFill>
            <a:ln>
              <a:noFill/>
            </a:ln>
            <a:effectLst/>
          </c:spPr>
          <c:invertIfNegative val="0"/>
          <c:cat>
            <c:strRef>
              <c:f>Sheet18!$A$5:$A$9</c:f>
              <c:strCache>
                <c:ptCount val="4"/>
                <c:pt idx="0">
                  <c:v>Africa</c:v>
                </c:pt>
                <c:pt idx="1">
                  <c:v>Americas</c:v>
                </c:pt>
                <c:pt idx="2">
                  <c:v>Asia</c:v>
                </c:pt>
                <c:pt idx="3">
                  <c:v>Europe</c:v>
                </c:pt>
              </c:strCache>
            </c:strRef>
          </c:cat>
          <c:val>
            <c:numRef>
              <c:f>Sheet18!$D$5:$D$9</c:f>
              <c:numCache>
                <c:formatCode>[$$-409]#,##0.00</c:formatCode>
                <c:ptCount val="4"/>
                <c:pt idx="0">
                  <c:v>164839.30455999999</c:v>
                </c:pt>
                <c:pt idx="1">
                  <c:v>96609.647519999999</c:v>
                </c:pt>
                <c:pt idx="2">
                  <c:v>128045.00806000001</c:v>
                </c:pt>
                <c:pt idx="3">
                  <c:v>111692.81024999999</c:v>
                </c:pt>
              </c:numCache>
            </c:numRef>
          </c:val>
          <c:extLst>
            <c:ext xmlns:c16="http://schemas.microsoft.com/office/drawing/2014/chart" uri="{C3380CC4-5D6E-409C-BE32-E72D297353CC}">
              <c16:uniqueId val="{00000002-0701-4386-B1F2-34D4A9362956}"/>
            </c:ext>
          </c:extLst>
        </c:ser>
        <c:ser>
          <c:idx val="3"/>
          <c:order val="3"/>
          <c:tx>
            <c:strRef>
              <c:f>Sheet18!$E$3:$E$4</c:f>
              <c:strCache>
                <c:ptCount val="1"/>
                <c:pt idx="0">
                  <c:v>Not Provided</c:v>
                </c:pt>
              </c:strCache>
            </c:strRef>
          </c:tx>
          <c:spPr>
            <a:solidFill>
              <a:schemeClr val="accent1">
                <a:tint val="90000"/>
              </a:schemeClr>
            </a:solidFill>
            <a:ln>
              <a:noFill/>
            </a:ln>
            <a:effectLst/>
          </c:spPr>
          <c:invertIfNegative val="0"/>
          <c:cat>
            <c:strRef>
              <c:f>Sheet18!$A$5:$A$9</c:f>
              <c:strCache>
                <c:ptCount val="4"/>
                <c:pt idx="0">
                  <c:v>Africa</c:v>
                </c:pt>
                <c:pt idx="1">
                  <c:v>Americas</c:v>
                </c:pt>
                <c:pt idx="2">
                  <c:v>Asia</c:v>
                </c:pt>
                <c:pt idx="3">
                  <c:v>Europe</c:v>
                </c:pt>
              </c:strCache>
            </c:strRef>
          </c:cat>
          <c:val>
            <c:numRef>
              <c:f>Sheet18!$E$5:$E$9</c:f>
              <c:numCache>
                <c:formatCode>[$$-409]#,##0.00</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3-0701-4386-B1F2-34D4A9362956}"/>
            </c:ext>
          </c:extLst>
        </c:ser>
        <c:ser>
          <c:idx val="4"/>
          <c:order val="4"/>
          <c:tx>
            <c:strRef>
              <c:f>Sheet18!$F$3:$F$4</c:f>
              <c:strCache>
                <c:ptCount val="1"/>
                <c:pt idx="0">
                  <c:v>Online</c:v>
                </c:pt>
              </c:strCache>
            </c:strRef>
          </c:tx>
          <c:spPr>
            <a:solidFill>
              <a:schemeClr val="accent1">
                <a:tint val="70000"/>
              </a:schemeClr>
            </a:solidFill>
            <a:ln>
              <a:noFill/>
            </a:ln>
            <a:effectLst/>
          </c:spPr>
          <c:invertIfNegative val="0"/>
          <c:cat>
            <c:strRef>
              <c:f>Sheet18!$A$5:$A$9</c:f>
              <c:strCache>
                <c:ptCount val="4"/>
                <c:pt idx="0">
                  <c:v>Africa</c:v>
                </c:pt>
                <c:pt idx="1">
                  <c:v>Americas</c:v>
                </c:pt>
                <c:pt idx="2">
                  <c:v>Asia</c:v>
                </c:pt>
                <c:pt idx="3">
                  <c:v>Europe</c:v>
                </c:pt>
              </c:strCache>
            </c:strRef>
          </c:cat>
          <c:val>
            <c:numRef>
              <c:f>Sheet18!$F$5:$F$9</c:f>
              <c:numCache>
                <c:formatCode>[$$-409]#,##0.00</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2-0E56-4F2A-881E-0564832CA9A9}"/>
            </c:ext>
          </c:extLst>
        </c:ser>
        <c:ser>
          <c:idx val="5"/>
          <c:order val="5"/>
          <c:tx>
            <c:strRef>
              <c:f>Sheet18!$G$3:$G$4</c:f>
              <c:strCache>
                <c:ptCount val="1"/>
                <c:pt idx="0">
                  <c:v>Retail</c:v>
                </c:pt>
              </c:strCache>
            </c:strRef>
          </c:tx>
          <c:spPr>
            <a:solidFill>
              <a:schemeClr val="accent1">
                <a:tint val="50000"/>
              </a:schemeClr>
            </a:solidFill>
            <a:ln>
              <a:noFill/>
            </a:ln>
            <a:effectLst/>
          </c:spPr>
          <c:invertIfNegative val="0"/>
          <c:cat>
            <c:strRef>
              <c:f>Sheet18!$A$5:$A$9</c:f>
              <c:strCache>
                <c:ptCount val="4"/>
                <c:pt idx="0">
                  <c:v>Africa</c:v>
                </c:pt>
                <c:pt idx="1">
                  <c:v>Americas</c:v>
                </c:pt>
                <c:pt idx="2">
                  <c:v>Asia</c:v>
                </c:pt>
                <c:pt idx="3">
                  <c:v>Europe</c:v>
                </c:pt>
              </c:strCache>
            </c:strRef>
          </c:cat>
          <c:val>
            <c:numRef>
              <c:f>Sheet18!$G$5:$G$9</c:f>
              <c:numCache>
                <c:formatCode>[$$-409]#,##0.00</c:formatCode>
                <c:ptCount val="4"/>
                <c:pt idx="0">
                  <c:v>141171.08466999998</c:v>
                </c:pt>
                <c:pt idx="1">
                  <c:v>69035.709220000004</c:v>
                </c:pt>
                <c:pt idx="2">
                  <c:v>158051.77209000001</c:v>
                </c:pt>
                <c:pt idx="3">
                  <c:v>151779.17228999996</c:v>
                </c:pt>
              </c:numCache>
            </c:numRef>
          </c:val>
          <c:extLst>
            <c:ext xmlns:c16="http://schemas.microsoft.com/office/drawing/2014/chart" uri="{C3380CC4-5D6E-409C-BE32-E72D297353CC}">
              <c16:uniqueId val="{00000006-0E56-4F2A-881E-0564832CA9A9}"/>
            </c:ext>
          </c:extLst>
        </c:ser>
        <c:dLbls>
          <c:showLegendKey val="0"/>
          <c:showVal val="0"/>
          <c:showCatName val="0"/>
          <c:showSerName val="0"/>
          <c:showPercent val="0"/>
          <c:showBubbleSize val="0"/>
        </c:dLbls>
        <c:gapWidth val="150"/>
        <c:overlap val="100"/>
        <c:axId val="875194527"/>
        <c:axId val="875766367"/>
      </c:barChart>
      <c:catAx>
        <c:axId val="87519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66367"/>
        <c:crosses val="autoZero"/>
        <c:auto val="1"/>
        <c:lblAlgn val="ctr"/>
        <c:lblOffset val="100"/>
        <c:noMultiLvlLbl val="0"/>
      </c:catAx>
      <c:valAx>
        <c:axId val="87576636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9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[Excel^1201^120assignment CRIS.xlsx]top10SKU!PivotTable11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top10SKU!$B$3</c:f>
              <c:strCache>
                <c:ptCount val="1"/>
                <c:pt idx="0">
                  <c:v>Total</c:v>
                </c:pt>
              </c:strCache>
            </c:strRef>
          </c:tx>
          <c:spPr>
            <a:solidFill>
              <a:schemeClr val="accent1"/>
            </a:solidFill>
            <a:ln>
              <a:noFill/>
            </a:ln>
            <a:effectLst/>
          </c:spPr>
          <c:invertIfNegative val="0"/>
          <c:cat>
            <c:strRef>
              <c:f>top10SKU!$A$4:$A$14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top10SKU!$B$4:$B$14</c:f>
              <c:numCache>
                <c:formatCode>[$$-409]#,##0.00</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05A4-4594-8033-4746AC203102}"/>
            </c:ext>
          </c:extLst>
        </c:ser>
        <c:dLbls>
          <c:showLegendKey val="0"/>
          <c:showVal val="0"/>
          <c:showCatName val="0"/>
          <c:showSerName val="0"/>
          <c:showPercent val="0"/>
          <c:showBubbleSize val="0"/>
        </c:dLbls>
        <c:gapWidth val="182"/>
        <c:axId val="1010577743"/>
        <c:axId val="1010578223"/>
      </c:barChart>
      <c:catAx>
        <c:axId val="101057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78223"/>
        <c:crosses val="autoZero"/>
        <c:auto val="1"/>
        <c:lblAlgn val="ctr"/>
        <c:lblOffset val="100"/>
        <c:noMultiLvlLbl val="0"/>
      </c:catAx>
      <c:valAx>
        <c:axId val="1010578223"/>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7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[Excel^1201^120assignment CRIS.xlsx]top10SKU!PivotTable11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top10SKU!$B$3</c:f>
              <c:strCache>
                <c:ptCount val="1"/>
                <c:pt idx="0">
                  <c:v>Total</c:v>
                </c:pt>
              </c:strCache>
            </c:strRef>
          </c:tx>
          <c:spPr>
            <a:solidFill>
              <a:schemeClr val="accent1"/>
            </a:solidFill>
            <a:ln>
              <a:noFill/>
            </a:ln>
            <a:effectLst/>
          </c:spPr>
          <c:invertIfNegative val="0"/>
          <c:cat>
            <c:strRef>
              <c:f>top10SKU!$A$4:$A$14</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top10SKU!$B$4:$B$14</c:f>
              <c:numCache>
                <c:formatCode>[$$-409]#,##0.00</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FA0C-4690-833D-C8061D5F6088}"/>
            </c:ext>
          </c:extLst>
        </c:ser>
        <c:dLbls>
          <c:showLegendKey val="0"/>
          <c:showVal val="0"/>
          <c:showCatName val="0"/>
          <c:showSerName val="0"/>
          <c:showPercent val="0"/>
          <c:showBubbleSize val="0"/>
        </c:dLbls>
        <c:gapWidth val="182"/>
        <c:axId val="1010577743"/>
        <c:axId val="1010578223"/>
      </c:barChart>
      <c:catAx>
        <c:axId val="101057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78223"/>
        <c:crosses val="autoZero"/>
        <c:auto val="1"/>
        <c:lblAlgn val="ctr"/>
        <c:lblOffset val="100"/>
        <c:noMultiLvlLbl val="0"/>
      </c:catAx>
      <c:valAx>
        <c:axId val="1010578223"/>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7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[Excel^1201^120assignment CRIS.xlsx]PART B4!PivotTable3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layout>
        <c:manualLayout>
          <c:xMode val="edge"/>
          <c:yMode val="edge"/>
          <c:x val="0.39838188976377953"/>
          <c:y val="0.21092155147273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'PART B4'!$B$3:$B$4</c:f>
              <c:strCache>
                <c:ptCount val="1"/>
                <c:pt idx="0">
                  <c:v>1/20/2023</c:v>
                </c:pt>
              </c:strCache>
            </c:strRef>
          </c:tx>
          <c:spPr>
            <a:ln w="28575" cap="rnd">
              <a:solidFill>
                <a:schemeClr val="accent1">
                  <a:shade val="3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B4'!$B$5:$B$17</c:f>
              <c:numCache>
                <c:formatCode>[$$-409]#,##0.00</c:formatCode>
                <c:ptCount val="12"/>
                <c:pt idx="0">
                  <c:v>47962.717579999997</c:v>
                </c:pt>
                <c:pt idx="1">
                  <c:v>41301.398999999998</c:v>
                </c:pt>
                <c:pt idx="2">
                  <c:v>28658.181549999994</c:v>
                </c:pt>
                <c:pt idx="3">
                  <c:v>11003.7672</c:v>
                </c:pt>
                <c:pt idx="4">
                  <c:v>5088.5051700000004</c:v>
                </c:pt>
                <c:pt idx="5">
                  <c:v>549.80010000000004</c:v>
                </c:pt>
                <c:pt idx="6">
                  <c:v>27763.018220000002</c:v>
                </c:pt>
                <c:pt idx="7">
                  <c:v>1654.8966000000003</c:v>
                </c:pt>
                <c:pt idx="8">
                  <c:v>9050.5052999999989</c:v>
                </c:pt>
                <c:pt idx="9">
                  <c:v>41612.076400000005</c:v>
                </c:pt>
                <c:pt idx="11">
                  <c:v>16061.972879999999</c:v>
                </c:pt>
              </c:numCache>
            </c:numRef>
          </c:val>
          <c:smooth val="0"/>
          <c:extLst>
            <c:ext xmlns:c16="http://schemas.microsoft.com/office/drawing/2014/chart" uri="{C3380CC4-5D6E-409C-BE32-E72D297353CC}">
              <c16:uniqueId val="{00000000-0C60-4EF3-80FA-3E63BF2EADEF}"/>
            </c:ext>
          </c:extLst>
        </c:ser>
        <c:ser>
          <c:idx val="1"/>
          <c:order val="1"/>
          <c:tx>
            <c:strRef>
              <c:f>'PART B4'!$C$3:$C$4</c:f>
              <c:strCache>
                <c:ptCount val="1"/>
                <c:pt idx="0">
                  <c:v>1/15/2023</c:v>
                </c:pt>
              </c:strCache>
            </c:strRef>
          </c:tx>
          <c:spPr>
            <a:ln w="28575" cap="rnd">
              <a:solidFill>
                <a:schemeClr val="accent1">
                  <a:shade val="3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B4'!$C$5:$C$17</c:f>
              <c:numCache>
                <c:formatCode>[$$-409]#,##0.00</c:formatCode>
                <c:ptCount val="12"/>
                <c:pt idx="0">
                  <c:v>685.06776000000002</c:v>
                </c:pt>
                <c:pt idx="2">
                  <c:v>5225.2710400000005</c:v>
                </c:pt>
                <c:pt idx="9">
                  <c:v>17960.432489999999</c:v>
                </c:pt>
              </c:numCache>
            </c:numRef>
          </c:val>
          <c:smooth val="0"/>
          <c:extLst>
            <c:ext xmlns:c16="http://schemas.microsoft.com/office/drawing/2014/chart" uri="{C3380CC4-5D6E-409C-BE32-E72D297353CC}">
              <c16:uniqueId val="{00000001-0C60-4EF3-80FA-3E63BF2EADEF}"/>
            </c:ext>
          </c:extLst>
        </c:ser>
        <c:ser>
          <c:idx val="2"/>
          <c:order val="2"/>
          <c:tx>
            <c:strRef>
              <c:f>'PART B4'!$D$3:$D$4</c:f>
              <c:strCache>
                <c:ptCount val="1"/>
                <c:pt idx="0">
                  <c:v>3/3/2023</c:v>
                </c:pt>
              </c:strCache>
            </c:strRef>
          </c:tx>
          <c:spPr>
            <a:ln w="28575" cap="rnd">
              <a:solidFill>
                <a:schemeClr val="accent1">
                  <a:shade val="3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B4'!$D$5:$D$17</c:f>
              <c:numCache>
                <c:formatCode>[$$-409]#,##0.00</c:formatCode>
                <c:ptCount val="12"/>
                <c:pt idx="0">
                  <c:v>82816.130620000011</c:v>
                </c:pt>
                <c:pt idx="1">
                  <c:v>22942.525799999999</c:v>
                </c:pt>
                <c:pt idx="2">
                  <c:v>65645.502460000003</c:v>
                </c:pt>
                <c:pt idx="3">
                  <c:v>24568.705739999998</c:v>
                </c:pt>
                <c:pt idx="4">
                  <c:v>47396.42209</c:v>
                </c:pt>
                <c:pt idx="5">
                  <c:v>16587.973689999999</c:v>
                </c:pt>
                <c:pt idx="6">
                  <c:v>59181.794840000002</c:v>
                </c:pt>
                <c:pt idx="7">
                  <c:v>83133.487639999992</c:v>
                </c:pt>
                <c:pt idx="8">
                  <c:v>116032.51129000001</c:v>
                </c:pt>
                <c:pt idx="9">
                  <c:v>44336.173360000001</c:v>
                </c:pt>
                <c:pt idx="10">
                  <c:v>1499.22</c:v>
                </c:pt>
                <c:pt idx="11">
                  <c:v>57147.750979999997</c:v>
                </c:pt>
              </c:numCache>
            </c:numRef>
          </c:val>
          <c:smooth val="0"/>
          <c:extLst>
            <c:ext xmlns:c16="http://schemas.microsoft.com/office/drawing/2014/chart" uri="{C3380CC4-5D6E-409C-BE32-E72D297353CC}">
              <c16:uniqueId val="{00000005-0C60-4EF3-80FA-3E63BF2EADEF}"/>
            </c:ext>
          </c:extLst>
        </c:ser>
        <c:ser>
          <c:idx val="3"/>
          <c:order val="3"/>
          <c:tx>
            <c:strRef>
              <c:f>'PART B4'!$E$3:$E$4</c:f>
              <c:strCache>
                <c:ptCount val="1"/>
                <c:pt idx="0">
                  <c:v>1/2/2023</c:v>
                </c:pt>
              </c:strCache>
            </c:strRef>
          </c:tx>
          <c:spPr>
            <a:ln w="28575" cap="rnd">
              <a:solidFill>
                <a:schemeClr val="accent1">
                  <a:shade val="41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B4'!$E$5:$E$17</c:f>
              <c:numCache>
                <c:formatCode>[$$-409]#,##0.00</c:formatCode>
                <c:ptCount val="12"/>
                <c:pt idx="0">
                  <c:v>4141.7599999999993</c:v>
                </c:pt>
              </c:numCache>
            </c:numRef>
          </c:val>
          <c:smooth val="0"/>
          <c:extLst>
            <c:ext xmlns:c16="http://schemas.microsoft.com/office/drawing/2014/chart" uri="{C3380CC4-5D6E-409C-BE32-E72D297353CC}">
              <c16:uniqueId val="{00000001-9C17-41CA-B398-1E56348749A8}"/>
            </c:ext>
          </c:extLst>
        </c:ser>
        <c:ser>
          <c:idx val="4"/>
          <c:order val="4"/>
          <c:tx>
            <c:strRef>
              <c:f>'PART B4'!$F$3:$F$4</c:f>
              <c:strCache>
                <c:ptCount val="1"/>
                <c:pt idx="0">
                  <c:v>2/20/2023</c:v>
                </c:pt>
              </c:strCache>
            </c:strRef>
          </c:tx>
          <c:spPr>
            <a:ln w="28575" cap="rnd">
              <a:solidFill>
                <a:schemeClr val="accent1">
                  <a:shade val="44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B4'!$F$5:$F$17</c:f>
              <c:numCache>
                <c:formatCode>[$$-409]#,##0.00</c:formatCode>
                <c:ptCount val="12"/>
                <c:pt idx="0">
                  <c:v>18167.423999999999</c:v>
                </c:pt>
                <c:pt idx="1">
                  <c:v>22044.871499999997</c:v>
                </c:pt>
                <c:pt idx="2">
                  <c:v>6631.6443100000006</c:v>
                </c:pt>
                <c:pt idx="3">
                  <c:v>32506.559399999998</c:v>
                </c:pt>
                <c:pt idx="4">
                  <c:v>87404.929919999995</c:v>
                </c:pt>
                <c:pt idx="5">
                  <c:v>19510.808000000001</c:v>
                </c:pt>
                <c:pt idx="7">
                  <c:v>24294.930059999999</c:v>
                </c:pt>
                <c:pt idx="8">
                  <c:v>6874.4828600000001</c:v>
                </c:pt>
                <c:pt idx="9">
                  <c:v>599.53200000000004</c:v>
                </c:pt>
                <c:pt idx="10">
                  <c:v>72665.817450000002</c:v>
                </c:pt>
                <c:pt idx="11">
                  <c:v>12692.30702</c:v>
                </c:pt>
              </c:numCache>
            </c:numRef>
          </c:val>
          <c:smooth val="0"/>
          <c:extLst>
            <c:ext xmlns:c16="http://schemas.microsoft.com/office/drawing/2014/chart" uri="{C3380CC4-5D6E-409C-BE32-E72D297353CC}">
              <c16:uniqueId val="{00000002-9C17-41CA-B398-1E56348749A8}"/>
            </c:ext>
          </c:extLst>
        </c:ser>
        <c:ser>
          <c:idx val="5"/>
          <c:order val="5"/>
          <c:tx>
            <c:strRef>
              <c:f>'PART B4'!$G$3:$G$4</c:f>
              <c:strCache>
                <c:ptCount val="1"/>
                <c:pt idx="0">
                  <c:v>2/11/2023</c:v>
                </c:pt>
              </c:strCache>
            </c:strRef>
          </c:tx>
          <c:spPr>
            <a:ln w="28575" cap="rnd">
              <a:solidFill>
                <a:schemeClr val="accent1">
                  <a:shade val="47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B4'!$G$5:$G$17</c:f>
              <c:numCache>
                <c:formatCode>[$$-409]#,##0.00</c:formatCode>
                <c:ptCount val="12"/>
                <c:pt idx="1">
                  <c:v>28424.795849999995</c:v>
                </c:pt>
                <c:pt idx="2">
                  <c:v>50412.574340000006</c:v>
                </c:pt>
                <c:pt idx="3">
                  <c:v>121271.00638000001</c:v>
                </c:pt>
                <c:pt idx="4">
                  <c:v>113176.2611</c:v>
                </c:pt>
                <c:pt idx="5">
                  <c:v>33081.618699999999</c:v>
                </c:pt>
                <c:pt idx="6">
                  <c:v>232059.66534000001</c:v>
                </c:pt>
                <c:pt idx="7">
                  <c:v>74334.757840000006</c:v>
                </c:pt>
                <c:pt idx="8">
                  <c:v>2879.9836</c:v>
                </c:pt>
                <c:pt idx="9">
                  <c:v>82109.284350000002</c:v>
                </c:pt>
                <c:pt idx="11">
                  <c:v>40126.852719999995</c:v>
                </c:pt>
              </c:numCache>
            </c:numRef>
          </c:val>
          <c:smooth val="0"/>
          <c:extLst>
            <c:ext xmlns:c16="http://schemas.microsoft.com/office/drawing/2014/chart" uri="{C3380CC4-5D6E-409C-BE32-E72D297353CC}">
              <c16:uniqueId val="{00000003-9C17-41CA-B398-1E56348749A8}"/>
            </c:ext>
          </c:extLst>
        </c:ser>
        <c:ser>
          <c:idx val="6"/>
          <c:order val="6"/>
          <c:tx>
            <c:strRef>
              <c:f>'PART B4'!$H$3:$H$4</c:f>
              <c:strCache>
                <c:ptCount val="1"/>
                <c:pt idx="0">
                  <c:v>1/29/2023</c:v>
                </c:pt>
              </c:strCache>
            </c:strRef>
          </c:tx>
          <c:spPr>
            <a:ln w="28575" cap="rnd">
              <a:solidFill>
                <a:schemeClr val="accent1">
                  <a:shade val="5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B4'!$H$5:$H$17</c:f>
              <c:numCache>
                <c:formatCode>[$$-409]#,##0.00</c:formatCode>
                <c:ptCount val="12"/>
                <c:pt idx="0">
                  <c:v>33356.127999999997</c:v>
                </c:pt>
                <c:pt idx="1">
                  <c:v>134697.22057</c:v>
                </c:pt>
                <c:pt idx="2">
                  <c:v>40890.496100000004</c:v>
                </c:pt>
                <c:pt idx="3">
                  <c:v>113628.32188999999</c:v>
                </c:pt>
                <c:pt idx="4">
                  <c:v>103822.1646</c:v>
                </c:pt>
                <c:pt idx="5">
                  <c:v>88650.274239999999</c:v>
                </c:pt>
                <c:pt idx="6">
                  <c:v>142464.43945999999</c:v>
                </c:pt>
                <c:pt idx="7">
                  <c:v>118481.02463</c:v>
                </c:pt>
                <c:pt idx="8">
                  <c:v>109591.06243999999</c:v>
                </c:pt>
                <c:pt idx="9">
                  <c:v>16213.632800000001</c:v>
                </c:pt>
                <c:pt idx="10">
                  <c:v>36100.694309999999</c:v>
                </c:pt>
                <c:pt idx="11">
                  <c:v>61471.696859999996</c:v>
                </c:pt>
              </c:numCache>
            </c:numRef>
          </c:val>
          <c:smooth val="0"/>
          <c:extLst>
            <c:ext xmlns:c16="http://schemas.microsoft.com/office/drawing/2014/chart" uri="{C3380CC4-5D6E-409C-BE32-E72D297353CC}">
              <c16:uniqueId val="{00000004-9C17-41CA-B398-1E56348749A8}"/>
            </c:ext>
          </c:extLst>
        </c:ser>
        <c:ser>
          <c:idx val="7"/>
          <c:order val="7"/>
          <c:tx>
            <c:strRef>
              <c:f>'PART B4'!$I$3:$I$4</c:f>
              <c:strCache>
                <c:ptCount val="1"/>
                <c:pt idx="0">
                  <c:v>1/22/2023</c:v>
                </c:pt>
              </c:strCache>
            </c:strRef>
          </c:tx>
          <c:spPr>
            <a:ln w="28575" cap="rnd">
              <a:solidFill>
                <a:schemeClr val="accent1">
                  <a:shade val="5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B4'!$I$5:$I$17</c:f>
              <c:numCache>
                <c:formatCode>[$$-409]#,##0.00</c:formatCode>
                <c:ptCount val="12"/>
                <c:pt idx="0">
                  <c:v>26587.012579999999</c:v>
                </c:pt>
                <c:pt idx="1">
                  <c:v>121845.24255</c:v>
                </c:pt>
                <c:pt idx="2">
                  <c:v>29605.104090000001</c:v>
                </c:pt>
                <c:pt idx="3">
                  <c:v>95333.331109999999</c:v>
                </c:pt>
                <c:pt idx="4">
                  <c:v>10666.229420000001</c:v>
                </c:pt>
                <c:pt idx="5">
                  <c:v>65111.38614000001</c:v>
                </c:pt>
                <c:pt idx="7">
                  <c:v>41321.999370000005</c:v>
                </c:pt>
                <c:pt idx="11">
                  <c:v>78121.070599999992</c:v>
                </c:pt>
              </c:numCache>
            </c:numRef>
          </c:val>
          <c:smooth val="0"/>
          <c:extLst>
            <c:ext xmlns:c16="http://schemas.microsoft.com/office/drawing/2014/chart" uri="{C3380CC4-5D6E-409C-BE32-E72D297353CC}">
              <c16:uniqueId val="{00000005-9C17-41CA-B398-1E56348749A8}"/>
            </c:ext>
          </c:extLst>
        </c:ser>
        <c:ser>
          <c:idx val="8"/>
          <c:order val="8"/>
          <c:tx>
            <c:strRef>
              <c:f>'PART B4'!$J$3:$J$4</c:f>
              <c:strCache>
                <c:ptCount val="1"/>
                <c:pt idx="0">
                  <c:v>1/10/2023</c:v>
                </c:pt>
              </c:strCache>
            </c:strRef>
          </c:tx>
          <c:spPr>
            <a:ln w="28575" cap="rnd">
              <a:solidFill>
                <a:schemeClr val="accent1">
                  <a:shade val="5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B4'!$J$5:$J$17</c:f>
              <c:numCache>
                <c:formatCode>[$$-409]#,##0.00</c:formatCode>
                <c:ptCount val="12"/>
                <c:pt idx="0">
                  <c:v>59160.6993</c:v>
                </c:pt>
                <c:pt idx="1">
                  <c:v>7203.8047000000006</c:v>
                </c:pt>
                <c:pt idx="2">
                  <c:v>45104.930900000007</c:v>
                </c:pt>
                <c:pt idx="3">
                  <c:v>60044.289300000004</c:v>
                </c:pt>
                <c:pt idx="4">
                  <c:v>17745.654180000001</c:v>
                </c:pt>
                <c:pt idx="5">
                  <c:v>10661.415999999999</c:v>
                </c:pt>
                <c:pt idx="6">
                  <c:v>34444.462359999998</c:v>
                </c:pt>
                <c:pt idx="8">
                  <c:v>14877.464000000002</c:v>
                </c:pt>
                <c:pt idx="10">
                  <c:v>65184.921530000007</c:v>
                </c:pt>
                <c:pt idx="11">
                  <c:v>25948.414799999995</c:v>
                </c:pt>
              </c:numCache>
            </c:numRef>
          </c:val>
          <c:smooth val="0"/>
          <c:extLst>
            <c:ext xmlns:c16="http://schemas.microsoft.com/office/drawing/2014/chart" uri="{C3380CC4-5D6E-409C-BE32-E72D297353CC}">
              <c16:uniqueId val="{00000006-9C17-41CA-B398-1E56348749A8}"/>
            </c:ext>
          </c:extLst>
        </c:ser>
        <c:ser>
          <c:idx val="9"/>
          <c:order val="9"/>
          <c:tx>
            <c:strRef>
              <c:f>'PART B4'!$K$3:$K$4</c:f>
              <c:strCache>
                <c:ptCount val="1"/>
                <c:pt idx="0">
                  <c:v>1/19/2023</c:v>
                </c:pt>
              </c:strCache>
            </c:strRef>
          </c:tx>
          <c:spPr>
            <a:ln w="28575" cap="rnd">
              <a:solidFill>
                <a:schemeClr val="accent1">
                  <a:shade val="5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B4'!$K$5:$K$17</c:f>
              <c:numCache>
                <c:formatCode>[$$-409]#,##0.00</c:formatCode>
                <c:ptCount val="12"/>
                <c:pt idx="0">
                  <c:v>62492.527879999994</c:v>
                </c:pt>
                <c:pt idx="1">
                  <c:v>29685.815320000002</c:v>
                </c:pt>
                <c:pt idx="2">
                  <c:v>37076.29408</c:v>
                </c:pt>
                <c:pt idx="3">
                  <c:v>171144.93173999997</c:v>
                </c:pt>
                <c:pt idx="4">
                  <c:v>168308.59188000002</c:v>
                </c:pt>
                <c:pt idx="5">
                  <c:v>140907.27539</c:v>
                </c:pt>
                <c:pt idx="6">
                  <c:v>44264.6302</c:v>
                </c:pt>
                <c:pt idx="7">
                  <c:v>56342.747770000002</c:v>
                </c:pt>
                <c:pt idx="8">
                  <c:v>8764.4065599999994</c:v>
                </c:pt>
                <c:pt idx="9">
                  <c:v>67138.240420000002</c:v>
                </c:pt>
                <c:pt idx="10">
                  <c:v>45935.402399999999</c:v>
                </c:pt>
                <c:pt idx="11">
                  <c:v>30799.273800000003</c:v>
                </c:pt>
              </c:numCache>
            </c:numRef>
          </c:val>
          <c:smooth val="0"/>
          <c:extLst>
            <c:ext xmlns:c16="http://schemas.microsoft.com/office/drawing/2014/chart" uri="{C3380CC4-5D6E-409C-BE32-E72D297353CC}">
              <c16:uniqueId val="{00000007-9C17-41CA-B398-1E56348749A8}"/>
            </c:ext>
          </c:extLst>
        </c:ser>
        <c:ser>
          <c:idx val="10"/>
          <c:order val="10"/>
          <c:tx>
            <c:strRef>
              <c:f>'PART B4'!$L$3:$L$4</c:f>
              <c:strCache>
                <c:ptCount val="1"/>
                <c:pt idx="0">
                  <c:v>1/12/2023</c:v>
                </c:pt>
              </c:strCache>
            </c:strRef>
          </c:tx>
          <c:spPr>
            <a:ln w="28575" cap="rnd">
              <a:solidFill>
                <a:schemeClr val="accent1">
                  <a:shade val="61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B4'!$L$5:$L$17</c:f>
              <c:numCache>
                <c:formatCode>[$$-409]#,##0.00</c:formatCode>
                <c:ptCount val="12"/>
                <c:pt idx="0">
                  <c:v>67681.434080000006</c:v>
                </c:pt>
                <c:pt idx="1">
                  <c:v>89950.743950000004</c:v>
                </c:pt>
                <c:pt idx="2">
                  <c:v>68565.901729999998</c:v>
                </c:pt>
                <c:pt idx="3">
                  <c:v>37576.075599999996</c:v>
                </c:pt>
                <c:pt idx="4">
                  <c:v>58782.592839999998</c:v>
                </c:pt>
                <c:pt idx="5">
                  <c:v>100846.07918</c:v>
                </c:pt>
                <c:pt idx="6">
                  <c:v>71477.458799999993</c:v>
                </c:pt>
                <c:pt idx="7">
                  <c:v>42594.209419999992</c:v>
                </c:pt>
                <c:pt idx="8">
                  <c:v>35378.650520000003</c:v>
                </c:pt>
                <c:pt idx="9">
                  <c:v>131228.31789000001</c:v>
                </c:pt>
                <c:pt idx="10">
                  <c:v>4071.8</c:v>
                </c:pt>
                <c:pt idx="11">
                  <c:v>100797.83405999999</c:v>
                </c:pt>
              </c:numCache>
            </c:numRef>
          </c:val>
          <c:smooth val="0"/>
          <c:extLst>
            <c:ext xmlns:c16="http://schemas.microsoft.com/office/drawing/2014/chart" uri="{C3380CC4-5D6E-409C-BE32-E72D297353CC}">
              <c16:uniqueId val="{00000032-9C17-41CA-B398-1E56348749A8}"/>
            </c:ext>
          </c:extLst>
        </c:ser>
        <c:ser>
          <c:idx val="11"/>
          <c:order val="11"/>
          <c:tx>
            <c:strRef>
              <c:f>'PART B4'!$M$3:$M$4</c:f>
              <c:strCache>
                <c:ptCount val="1"/>
                <c:pt idx="0">
                  <c:v>1/13/2023</c:v>
                </c:pt>
              </c:strCache>
            </c:strRef>
          </c:tx>
          <c:spPr>
            <a:ln w="28575" cap="rnd">
              <a:solidFill>
                <a:schemeClr val="accent1">
                  <a:shade val="64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B4'!$M$5:$M$17</c:f>
              <c:numCache>
                <c:formatCode>[$$-409]#,##0.00</c:formatCode>
                <c:ptCount val="12"/>
                <c:pt idx="0">
                  <c:v>33152.701359999999</c:v>
                </c:pt>
                <c:pt idx="1">
                  <c:v>97.0154</c:v>
                </c:pt>
                <c:pt idx="3">
                  <c:v>524.81174999999996</c:v>
                </c:pt>
                <c:pt idx="4">
                  <c:v>26795.773259999998</c:v>
                </c:pt>
                <c:pt idx="5">
                  <c:v>3562.1983800000003</c:v>
                </c:pt>
                <c:pt idx="6">
                  <c:v>32086.37586</c:v>
                </c:pt>
                <c:pt idx="7">
                  <c:v>24374.594880000001</c:v>
                </c:pt>
                <c:pt idx="11">
                  <c:v>12031.491680000001</c:v>
                </c:pt>
              </c:numCache>
            </c:numRef>
          </c:val>
          <c:smooth val="0"/>
          <c:extLst>
            <c:ext xmlns:c16="http://schemas.microsoft.com/office/drawing/2014/chart" uri="{C3380CC4-5D6E-409C-BE32-E72D297353CC}">
              <c16:uniqueId val="{00000033-9C17-41CA-B398-1E56348749A8}"/>
            </c:ext>
          </c:extLst>
        </c:ser>
        <c:ser>
          <c:idx val="12"/>
          <c:order val="12"/>
          <c:tx>
            <c:strRef>
              <c:f>'PART B4'!$N$3:$N$4</c:f>
              <c:strCache>
                <c:ptCount val="1"/>
                <c:pt idx="0">
                  <c:v>2/23/2023</c:v>
                </c:pt>
              </c:strCache>
            </c:strRef>
          </c:tx>
          <c:spPr>
            <a:ln w="28575" cap="rnd">
              <a:solidFill>
                <a:schemeClr val="accent1">
                  <a:shade val="67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B4'!$N$5:$N$17</c:f>
              <c:numCache>
                <c:formatCode>[$$-409]#,##0.00</c:formatCode>
                <c:ptCount val="12"/>
                <c:pt idx="1">
                  <c:v>26150.364320000001</c:v>
                </c:pt>
              </c:numCache>
            </c:numRef>
          </c:val>
          <c:smooth val="0"/>
          <c:extLst>
            <c:ext xmlns:c16="http://schemas.microsoft.com/office/drawing/2014/chart" uri="{C3380CC4-5D6E-409C-BE32-E72D297353CC}">
              <c16:uniqueId val="{00000034-9C17-41CA-B398-1E56348749A8}"/>
            </c:ext>
          </c:extLst>
        </c:ser>
        <c:ser>
          <c:idx val="13"/>
          <c:order val="13"/>
          <c:tx>
            <c:strRef>
              <c:f>'PART B4'!$O$3:$O$4</c:f>
              <c:strCache>
                <c:ptCount val="1"/>
                <c:pt idx="0">
                  <c:v>1/7/2023</c:v>
                </c:pt>
              </c:strCache>
            </c:strRef>
          </c:tx>
          <c:spPr>
            <a:ln w="28575" cap="rnd">
              <a:solidFill>
                <a:schemeClr val="accent1">
                  <a:shade val="7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B4'!$O$5:$O$17</c:f>
              <c:numCache>
                <c:formatCode>[$$-409]#,##0.00</c:formatCode>
                <c:ptCount val="12"/>
                <c:pt idx="0">
                  <c:v>61830.021119999998</c:v>
                </c:pt>
                <c:pt idx="1">
                  <c:v>86597.081299999991</c:v>
                </c:pt>
                <c:pt idx="2">
                  <c:v>40010.41807</c:v>
                </c:pt>
                <c:pt idx="3">
                  <c:v>22058.624650000002</c:v>
                </c:pt>
                <c:pt idx="4">
                  <c:v>60776.179739999992</c:v>
                </c:pt>
                <c:pt idx="5">
                  <c:v>99043.626970000012</c:v>
                </c:pt>
                <c:pt idx="6">
                  <c:v>155202.54942000002</c:v>
                </c:pt>
                <c:pt idx="7">
                  <c:v>85852.199639999992</c:v>
                </c:pt>
                <c:pt idx="8">
                  <c:v>26157.54522</c:v>
                </c:pt>
                <c:pt idx="9">
                  <c:v>18495.656800000004</c:v>
                </c:pt>
                <c:pt idx="10">
                  <c:v>12954.358080000002</c:v>
                </c:pt>
                <c:pt idx="11">
                  <c:v>79406.784939999983</c:v>
                </c:pt>
              </c:numCache>
            </c:numRef>
          </c:val>
          <c:smooth val="0"/>
          <c:extLst>
            <c:ext xmlns:c16="http://schemas.microsoft.com/office/drawing/2014/chart" uri="{C3380CC4-5D6E-409C-BE32-E72D297353CC}">
              <c16:uniqueId val="{00000035-9C17-41CA-B398-1E56348749A8}"/>
            </c:ext>
          </c:extLst>
        </c:ser>
        <c:ser>
          <c:idx val="14"/>
          <c:order val="14"/>
          <c:tx>
            <c:strRef>
              <c:f>'PART B4'!$P$3:$P$4</c:f>
              <c:strCache>
                <c:ptCount val="1"/>
                <c:pt idx="0">
                  <c:v>3/4/2023</c:v>
                </c:pt>
              </c:strCache>
            </c:strRef>
          </c:tx>
          <c:spPr>
            <a:ln w="28575" cap="rnd">
              <a:solidFill>
                <a:schemeClr val="accent1">
                  <a:shade val="7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B4'!$P$5:$P$17</c:f>
              <c:numCache>
                <c:formatCode>[$$-409]#,##0.00</c:formatCode>
                <c:ptCount val="12"/>
                <c:pt idx="1">
                  <c:v>9774.3888000000006</c:v>
                </c:pt>
                <c:pt idx="2">
                  <c:v>17453.3436</c:v>
                </c:pt>
                <c:pt idx="3">
                  <c:v>15000.053759999999</c:v>
                </c:pt>
                <c:pt idx="4">
                  <c:v>17930.494560000003</c:v>
                </c:pt>
                <c:pt idx="5">
                  <c:v>10735.4121</c:v>
                </c:pt>
                <c:pt idx="6">
                  <c:v>141645.56601000001</c:v>
                </c:pt>
                <c:pt idx="7">
                  <c:v>20331.794160000001</c:v>
                </c:pt>
                <c:pt idx="8">
                  <c:v>42495.805439999996</c:v>
                </c:pt>
                <c:pt idx="10">
                  <c:v>14894.903999999999</c:v>
                </c:pt>
                <c:pt idx="11">
                  <c:v>5960.3340000000007</c:v>
                </c:pt>
              </c:numCache>
            </c:numRef>
          </c:val>
          <c:smooth val="0"/>
          <c:extLst>
            <c:ext xmlns:c16="http://schemas.microsoft.com/office/drawing/2014/chart" uri="{C3380CC4-5D6E-409C-BE32-E72D297353CC}">
              <c16:uniqueId val="{0000005A-9C17-41CA-B398-1E56348749A8}"/>
            </c:ext>
          </c:extLst>
        </c:ser>
        <c:ser>
          <c:idx val="15"/>
          <c:order val="15"/>
          <c:tx>
            <c:strRef>
              <c:f>'PART B4'!$Q$3:$Q$4</c:f>
              <c:strCache>
                <c:ptCount val="1"/>
                <c:pt idx="0">
                  <c:v>5/2/2023</c:v>
                </c:pt>
              </c:strCache>
            </c:strRef>
          </c:tx>
          <c:spPr>
            <a:ln w="28575" cap="rnd">
              <a:solidFill>
                <a:schemeClr val="accent1">
                  <a:shade val="7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B4'!$Q$5:$Q$17</c:f>
              <c:numCache>
                <c:formatCode>[$$-409]#,##0.00</c:formatCode>
                <c:ptCount val="12"/>
                <c:pt idx="0">
                  <c:v>2373.9623200000001</c:v>
                </c:pt>
                <c:pt idx="1">
                  <c:v>31426.531500000001</c:v>
                </c:pt>
                <c:pt idx="2">
                  <c:v>35902.591739999996</c:v>
                </c:pt>
                <c:pt idx="3">
                  <c:v>4856.35725</c:v>
                </c:pt>
                <c:pt idx="4">
                  <c:v>140373.01071999999</c:v>
                </c:pt>
                <c:pt idx="5">
                  <c:v>51719.759140000002</c:v>
                </c:pt>
                <c:pt idx="6">
                  <c:v>12462.65055</c:v>
                </c:pt>
                <c:pt idx="7">
                  <c:v>26743.11808</c:v>
                </c:pt>
                <c:pt idx="8">
                  <c:v>85605.821830000001</c:v>
                </c:pt>
                <c:pt idx="9">
                  <c:v>34805.040549999998</c:v>
                </c:pt>
                <c:pt idx="10">
                  <c:v>17577.810700000002</c:v>
                </c:pt>
                <c:pt idx="11">
                  <c:v>50004.492100000003</c:v>
                </c:pt>
              </c:numCache>
            </c:numRef>
          </c:val>
          <c:smooth val="0"/>
          <c:extLst>
            <c:ext xmlns:c16="http://schemas.microsoft.com/office/drawing/2014/chart" uri="{C3380CC4-5D6E-409C-BE32-E72D297353CC}">
              <c16:uniqueId val="{0000005B-9C17-41CA-B398-1E56348749A8}"/>
            </c:ext>
          </c:extLst>
        </c:ser>
        <c:ser>
          <c:idx val="16"/>
          <c:order val="16"/>
          <c:tx>
            <c:strRef>
              <c:f>'PART B4'!$R$3:$R$4</c:f>
              <c:strCache>
                <c:ptCount val="1"/>
                <c:pt idx="0">
                  <c:v>2/5/2023</c:v>
                </c:pt>
              </c:strCache>
            </c:strRef>
          </c:tx>
          <c:spPr>
            <a:ln w="28575" cap="rnd">
              <a:solidFill>
                <a:schemeClr val="accent1">
                  <a:shade val="7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B4'!$R$5:$R$17</c:f>
              <c:numCache>
                <c:formatCode>[$$-409]#,##0.00</c:formatCode>
                <c:ptCount val="12"/>
                <c:pt idx="0">
                  <c:v>14668.195200000002</c:v>
                </c:pt>
                <c:pt idx="1">
                  <c:v>16873.45</c:v>
                </c:pt>
                <c:pt idx="2">
                  <c:v>83439.187559999991</c:v>
                </c:pt>
                <c:pt idx="3">
                  <c:v>4030.6516999999994</c:v>
                </c:pt>
                <c:pt idx="4">
                  <c:v>3644.3212800000006</c:v>
                </c:pt>
                <c:pt idx="5">
                  <c:v>20631.89284</c:v>
                </c:pt>
                <c:pt idx="6">
                  <c:v>25483.91488</c:v>
                </c:pt>
                <c:pt idx="7">
                  <c:v>41908.130810000002</c:v>
                </c:pt>
                <c:pt idx="8">
                  <c:v>26878.991600000001</c:v>
                </c:pt>
                <c:pt idx="9">
                  <c:v>5533.6230000000005</c:v>
                </c:pt>
              </c:numCache>
            </c:numRef>
          </c:val>
          <c:smooth val="0"/>
          <c:extLst>
            <c:ext xmlns:c16="http://schemas.microsoft.com/office/drawing/2014/chart" uri="{C3380CC4-5D6E-409C-BE32-E72D297353CC}">
              <c16:uniqueId val="{0000005C-9C17-41CA-B398-1E56348749A8}"/>
            </c:ext>
          </c:extLst>
        </c:ser>
        <c:ser>
          <c:idx val="17"/>
          <c:order val="17"/>
          <c:tx>
            <c:strRef>
              <c:f>'PART B4'!$S$3:$S$4</c:f>
              <c:strCache>
                <c:ptCount val="1"/>
                <c:pt idx="0">
                  <c:v>2/21/2023</c:v>
                </c:pt>
              </c:strCache>
            </c:strRef>
          </c:tx>
          <c:spPr>
            <a:ln w="28575" cap="rnd">
              <a:solidFill>
                <a:schemeClr val="accent1">
                  <a:shade val="81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B4'!$S$5:$S$17</c:f>
              <c:numCache>
                <c:formatCode>[$$-409]#,##0.00</c:formatCode>
                <c:ptCount val="12"/>
                <c:pt idx="0">
                  <c:v>52609.065839999996</c:v>
                </c:pt>
                <c:pt idx="1">
                  <c:v>2795.6384399999997</c:v>
                </c:pt>
                <c:pt idx="2">
                  <c:v>60480.885039999994</c:v>
                </c:pt>
                <c:pt idx="3">
                  <c:v>17731.623</c:v>
                </c:pt>
                <c:pt idx="5">
                  <c:v>29279.918670000003</c:v>
                </c:pt>
                <c:pt idx="6">
                  <c:v>17067.938400000003</c:v>
                </c:pt>
                <c:pt idx="7">
                  <c:v>14187.269099999998</c:v>
                </c:pt>
                <c:pt idx="8">
                  <c:v>52863.98113</c:v>
                </c:pt>
                <c:pt idx="9">
                  <c:v>47302.44</c:v>
                </c:pt>
                <c:pt idx="10">
                  <c:v>3592.04</c:v>
                </c:pt>
              </c:numCache>
            </c:numRef>
          </c:val>
          <c:smooth val="0"/>
          <c:extLst>
            <c:ext xmlns:c16="http://schemas.microsoft.com/office/drawing/2014/chart" uri="{C3380CC4-5D6E-409C-BE32-E72D297353CC}">
              <c16:uniqueId val="{0000005D-9C17-41CA-B398-1E56348749A8}"/>
            </c:ext>
          </c:extLst>
        </c:ser>
        <c:ser>
          <c:idx val="18"/>
          <c:order val="18"/>
          <c:tx>
            <c:strRef>
              <c:f>'PART B4'!$T$3:$T$4</c:f>
              <c:strCache>
                <c:ptCount val="1"/>
                <c:pt idx="0">
                  <c:v>1/26/2023</c:v>
                </c:pt>
              </c:strCache>
            </c:strRef>
          </c:tx>
          <c:spPr>
            <a:ln w="28575" cap="rnd">
              <a:solidFill>
                <a:schemeClr val="accent1">
                  <a:shade val="84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B4'!$T$5:$T$17</c:f>
              <c:numCache>
                <c:formatCode>[$$-409]#,##0.00</c:formatCode>
                <c:ptCount val="12"/>
                <c:pt idx="0">
                  <c:v>28355.403199999997</c:v>
                </c:pt>
                <c:pt idx="2">
                  <c:v>61829.423899999994</c:v>
                </c:pt>
                <c:pt idx="3">
                  <c:v>52592.549860000006</c:v>
                </c:pt>
                <c:pt idx="4">
                  <c:v>50152.392079999998</c:v>
                </c:pt>
                <c:pt idx="5">
                  <c:v>61356.867209999997</c:v>
                </c:pt>
                <c:pt idx="7">
                  <c:v>62136.820679999997</c:v>
                </c:pt>
                <c:pt idx="10">
                  <c:v>20599.089749999999</c:v>
                </c:pt>
                <c:pt idx="11">
                  <c:v>17235.450850000001</c:v>
                </c:pt>
              </c:numCache>
            </c:numRef>
          </c:val>
          <c:smooth val="0"/>
          <c:extLst>
            <c:ext xmlns:c16="http://schemas.microsoft.com/office/drawing/2014/chart" uri="{C3380CC4-5D6E-409C-BE32-E72D297353CC}">
              <c16:uniqueId val="{0000005E-9C17-41CA-B398-1E56348749A8}"/>
            </c:ext>
          </c:extLst>
        </c:ser>
        <c:ser>
          <c:idx val="19"/>
          <c:order val="19"/>
          <c:tx>
            <c:strRef>
              <c:f>'PART B4'!$U$3:$U$4</c:f>
              <c:strCache>
                <c:ptCount val="1"/>
                <c:pt idx="0">
                  <c:v>4/13/2023</c:v>
                </c:pt>
              </c:strCache>
            </c:strRef>
          </c:tx>
          <c:spPr>
            <a:ln w="28575" cap="rnd">
              <a:solidFill>
                <a:schemeClr val="accent1">
                  <a:shade val="87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B4'!$U$5:$U$17</c:f>
              <c:numCache>
                <c:formatCode>[$$-409]#,##0.00</c:formatCode>
                <c:ptCount val="12"/>
                <c:pt idx="2">
                  <c:v>21931.50405</c:v>
                </c:pt>
                <c:pt idx="3">
                  <c:v>8520.2954399999999</c:v>
                </c:pt>
                <c:pt idx="4">
                  <c:v>76122.593299999993</c:v>
                </c:pt>
                <c:pt idx="5">
                  <c:v>63325.456480000001</c:v>
                </c:pt>
                <c:pt idx="6">
                  <c:v>108619.22301</c:v>
                </c:pt>
                <c:pt idx="7">
                  <c:v>31292.506000000001</c:v>
                </c:pt>
                <c:pt idx="8">
                  <c:v>49792.892160000003</c:v>
                </c:pt>
                <c:pt idx="9">
                  <c:v>27756.432000000001</c:v>
                </c:pt>
                <c:pt idx="10">
                  <c:v>45802.56684</c:v>
                </c:pt>
                <c:pt idx="11">
                  <c:v>14752.706080000002</c:v>
                </c:pt>
              </c:numCache>
            </c:numRef>
          </c:val>
          <c:smooth val="0"/>
          <c:extLst>
            <c:ext xmlns:c16="http://schemas.microsoft.com/office/drawing/2014/chart" uri="{C3380CC4-5D6E-409C-BE32-E72D297353CC}">
              <c16:uniqueId val="{0000005F-9C17-41CA-B398-1E56348749A8}"/>
            </c:ext>
          </c:extLst>
        </c:ser>
        <c:ser>
          <c:idx val="20"/>
          <c:order val="20"/>
          <c:tx>
            <c:strRef>
              <c:f>'PART B4'!$V$3:$V$4</c:f>
              <c:strCache>
                <c:ptCount val="1"/>
                <c:pt idx="0">
                  <c:v>2/28/2023</c:v>
                </c:pt>
              </c:strCache>
            </c:strRef>
          </c:tx>
          <c:spPr>
            <a:ln w="28575" cap="rnd">
              <a:solidFill>
                <a:schemeClr val="accent1">
                  <a:shade val="9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B4'!$V$5:$V$17</c:f>
              <c:numCache>
                <c:formatCode>[$$-409]#,##0.00</c:formatCode>
                <c:ptCount val="12"/>
                <c:pt idx="1">
                  <c:v>71368.798470000009</c:v>
                </c:pt>
                <c:pt idx="5">
                  <c:v>8780.5809000000008</c:v>
                </c:pt>
                <c:pt idx="6">
                  <c:v>14114.068500000001</c:v>
                </c:pt>
              </c:numCache>
            </c:numRef>
          </c:val>
          <c:smooth val="0"/>
          <c:extLst>
            <c:ext xmlns:c16="http://schemas.microsoft.com/office/drawing/2014/chart" uri="{C3380CC4-5D6E-409C-BE32-E72D297353CC}">
              <c16:uniqueId val="{00000060-9C17-41CA-B398-1E56348749A8}"/>
            </c:ext>
          </c:extLst>
        </c:ser>
        <c:ser>
          <c:idx val="21"/>
          <c:order val="21"/>
          <c:tx>
            <c:strRef>
              <c:f>'PART B4'!$W$3:$W$4</c:f>
              <c:strCache>
                <c:ptCount val="1"/>
                <c:pt idx="0">
                  <c:v>4/3/2023</c:v>
                </c:pt>
              </c:strCache>
            </c:strRef>
          </c:tx>
          <c:spPr>
            <a:ln w="28575" cap="rnd">
              <a:solidFill>
                <a:schemeClr val="accent1">
                  <a:shade val="9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B4'!$W$5:$W$17</c:f>
              <c:numCache>
                <c:formatCode>[$$-409]#,##0.00</c:formatCode>
                <c:ptCount val="12"/>
                <c:pt idx="1">
                  <c:v>25491.383519999999</c:v>
                </c:pt>
                <c:pt idx="3">
                  <c:v>30194.432919999999</c:v>
                </c:pt>
                <c:pt idx="4">
                  <c:v>31221.45046</c:v>
                </c:pt>
                <c:pt idx="6">
                  <c:v>35730.87182</c:v>
                </c:pt>
                <c:pt idx="7">
                  <c:v>101133.04526000001</c:v>
                </c:pt>
                <c:pt idx="9">
                  <c:v>5159.7893599999998</c:v>
                </c:pt>
                <c:pt idx="10">
                  <c:v>25079.480689999997</c:v>
                </c:pt>
                <c:pt idx="11">
                  <c:v>34475.352080000004</c:v>
                </c:pt>
              </c:numCache>
            </c:numRef>
          </c:val>
          <c:smooth val="0"/>
          <c:extLst>
            <c:ext xmlns:c16="http://schemas.microsoft.com/office/drawing/2014/chart" uri="{C3380CC4-5D6E-409C-BE32-E72D297353CC}">
              <c16:uniqueId val="{00000061-9C17-41CA-B398-1E56348749A8}"/>
            </c:ext>
          </c:extLst>
        </c:ser>
        <c:ser>
          <c:idx val="22"/>
          <c:order val="22"/>
          <c:tx>
            <c:strRef>
              <c:f>'PART B4'!$X$3:$X$4</c:f>
              <c:strCache>
                <c:ptCount val="1"/>
                <c:pt idx="0">
                  <c:v>2/27/2023</c:v>
                </c:pt>
              </c:strCache>
            </c:strRef>
          </c:tx>
          <c:spPr>
            <a:ln w="28575" cap="rnd">
              <a:solidFill>
                <a:schemeClr val="accent1">
                  <a:shade val="9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B4'!$X$5:$X$17</c:f>
              <c:numCache>
                <c:formatCode>[$$-409]#,##0.00</c:formatCode>
                <c:ptCount val="12"/>
                <c:pt idx="0">
                  <c:v>6435.2555999999995</c:v>
                </c:pt>
                <c:pt idx="1">
                  <c:v>96060.058019999997</c:v>
                </c:pt>
                <c:pt idx="2">
                  <c:v>25331.091030000003</c:v>
                </c:pt>
                <c:pt idx="3">
                  <c:v>34800.431400000001</c:v>
                </c:pt>
                <c:pt idx="4">
                  <c:v>54508.506029999997</c:v>
                </c:pt>
                <c:pt idx="5">
                  <c:v>47693.373</c:v>
                </c:pt>
                <c:pt idx="7">
                  <c:v>83861.520220000006</c:v>
                </c:pt>
                <c:pt idx="9">
                  <c:v>6766.9829999999993</c:v>
                </c:pt>
              </c:numCache>
            </c:numRef>
          </c:val>
          <c:smooth val="0"/>
          <c:extLst>
            <c:ext xmlns:c16="http://schemas.microsoft.com/office/drawing/2014/chart" uri="{C3380CC4-5D6E-409C-BE32-E72D297353CC}">
              <c16:uniqueId val="{00000062-9C17-41CA-B398-1E56348749A8}"/>
            </c:ext>
          </c:extLst>
        </c:ser>
        <c:ser>
          <c:idx val="23"/>
          <c:order val="23"/>
          <c:tx>
            <c:strRef>
              <c:f>'PART B4'!$Y$3:$Y$4</c:f>
              <c:strCache>
                <c:ptCount val="1"/>
                <c:pt idx="0">
                  <c:v>5/14/2023</c:v>
                </c:pt>
              </c:strCache>
            </c:strRef>
          </c:tx>
          <c:spPr>
            <a:ln w="28575" cap="rnd">
              <a:solidFill>
                <a:schemeClr val="accent1">
                  <a:shade val="9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B4'!$Y$5:$Y$17</c:f>
              <c:numCache>
                <c:formatCode>[$$-409]#,##0.00</c:formatCode>
                <c:ptCount val="12"/>
                <c:pt idx="4">
                  <c:v>10428.057360000001</c:v>
                </c:pt>
                <c:pt idx="10">
                  <c:v>84136.119600000005</c:v>
                </c:pt>
              </c:numCache>
            </c:numRef>
          </c:val>
          <c:smooth val="0"/>
          <c:extLst>
            <c:ext xmlns:c16="http://schemas.microsoft.com/office/drawing/2014/chart" uri="{C3380CC4-5D6E-409C-BE32-E72D297353CC}">
              <c16:uniqueId val="{00000063-9C17-41CA-B398-1E56348749A8}"/>
            </c:ext>
          </c:extLst>
        </c:ser>
        <c:ser>
          <c:idx val="24"/>
          <c:order val="24"/>
          <c:tx>
            <c:strRef>
              <c:f>'PART B4'!$Z$3:$Z$4</c:f>
              <c:strCache>
                <c:ptCount val="1"/>
                <c:pt idx="0">
                  <c:v>7/8/2023</c:v>
                </c:pt>
              </c:strCache>
            </c:strRef>
          </c:tx>
          <c:spPr>
            <a:ln w="28575" cap="rnd">
              <a:solidFill>
                <a:schemeClr val="accent1">
                  <a:tint val="9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B4'!$Z$5:$Z$17</c:f>
              <c:numCache>
                <c:formatCode>[$$-409]#,##0.00</c:formatCode>
                <c:ptCount val="12"/>
                <c:pt idx="1">
                  <c:v>8330.2513199999994</c:v>
                </c:pt>
                <c:pt idx="3">
                  <c:v>24447.95865</c:v>
                </c:pt>
                <c:pt idx="5">
                  <c:v>58526.83122</c:v>
                </c:pt>
                <c:pt idx="6">
                  <c:v>19581.87</c:v>
                </c:pt>
              </c:numCache>
            </c:numRef>
          </c:val>
          <c:smooth val="0"/>
          <c:extLst>
            <c:ext xmlns:c16="http://schemas.microsoft.com/office/drawing/2014/chart" uri="{C3380CC4-5D6E-409C-BE32-E72D297353CC}">
              <c16:uniqueId val="{00000064-9C17-41CA-B398-1E56348749A8}"/>
            </c:ext>
          </c:extLst>
        </c:ser>
        <c:ser>
          <c:idx val="25"/>
          <c:order val="25"/>
          <c:tx>
            <c:strRef>
              <c:f>'PART B4'!$AA$3:$AA$4</c:f>
              <c:strCache>
                <c:ptCount val="1"/>
                <c:pt idx="0">
                  <c:v>4/10/2023</c:v>
                </c:pt>
              </c:strCache>
            </c:strRef>
          </c:tx>
          <c:spPr>
            <a:ln w="28575" cap="rnd">
              <a:solidFill>
                <a:schemeClr val="accent1">
                  <a:tint val="9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B4'!$AA$5:$AA$17</c:f>
              <c:numCache>
                <c:formatCode>[$$-409]#,##0.00</c:formatCode>
                <c:ptCount val="12"/>
                <c:pt idx="0">
                  <c:v>4229.4321199999995</c:v>
                </c:pt>
                <c:pt idx="1">
                  <c:v>10166.535600000001</c:v>
                </c:pt>
                <c:pt idx="2">
                  <c:v>33938.142760000002</c:v>
                </c:pt>
                <c:pt idx="3">
                  <c:v>12885.542599999999</c:v>
                </c:pt>
                <c:pt idx="4">
                  <c:v>5035.1534599999995</c:v>
                </c:pt>
                <c:pt idx="5">
                  <c:v>6732.4334000000008</c:v>
                </c:pt>
                <c:pt idx="6">
                  <c:v>41914.215840000004</c:v>
                </c:pt>
                <c:pt idx="8">
                  <c:v>25249.613219999999</c:v>
                </c:pt>
                <c:pt idx="9">
                  <c:v>50296.415399999998</c:v>
                </c:pt>
                <c:pt idx="10">
                  <c:v>4280.6786400000001</c:v>
                </c:pt>
                <c:pt idx="11">
                  <c:v>29673.454499999993</c:v>
                </c:pt>
              </c:numCache>
            </c:numRef>
          </c:val>
          <c:smooth val="0"/>
          <c:extLst>
            <c:ext xmlns:c16="http://schemas.microsoft.com/office/drawing/2014/chart" uri="{C3380CC4-5D6E-409C-BE32-E72D297353CC}">
              <c16:uniqueId val="{00000065-9C17-41CA-B398-1E56348749A8}"/>
            </c:ext>
          </c:extLst>
        </c:ser>
        <c:ser>
          <c:idx val="26"/>
          <c:order val="26"/>
          <c:tx>
            <c:strRef>
              <c:f>'PART B4'!$AB$3:$AB$4</c:f>
              <c:strCache>
                <c:ptCount val="1"/>
                <c:pt idx="0">
                  <c:v>5/7/2023</c:v>
                </c:pt>
              </c:strCache>
            </c:strRef>
          </c:tx>
          <c:spPr>
            <a:ln w="28575" cap="rnd">
              <a:solidFill>
                <a:schemeClr val="accent1">
                  <a:tint val="9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B4'!$AB$5:$AB$17</c:f>
              <c:numCache>
                <c:formatCode>[$$-409]#,##0.00</c:formatCode>
                <c:ptCount val="12"/>
                <c:pt idx="0">
                  <c:v>33308.550000000003</c:v>
                </c:pt>
                <c:pt idx="4">
                  <c:v>119875.52006000001</c:v>
                </c:pt>
                <c:pt idx="7">
                  <c:v>10859.64</c:v>
                </c:pt>
                <c:pt idx="10">
                  <c:v>8297.4286000000011</c:v>
                </c:pt>
              </c:numCache>
            </c:numRef>
          </c:val>
          <c:smooth val="0"/>
          <c:extLst>
            <c:ext xmlns:c16="http://schemas.microsoft.com/office/drawing/2014/chart" uri="{C3380CC4-5D6E-409C-BE32-E72D297353CC}">
              <c16:uniqueId val="{00000066-9C17-41CA-B398-1E56348749A8}"/>
            </c:ext>
          </c:extLst>
        </c:ser>
        <c:ser>
          <c:idx val="27"/>
          <c:order val="27"/>
          <c:tx>
            <c:strRef>
              <c:f>'PART B4'!$AC$3:$AC$4</c:f>
              <c:strCache>
                <c:ptCount val="1"/>
                <c:pt idx="0">
                  <c:v>8/3/2023</c:v>
                </c:pt>
              </c:strCache>
            </c:strRef>
          </c:tx>
          <c:spPr>
            <a:ln w="28575" cap="rnd">
              <a:solidFill>
                <a:schemeClr val="accent1">
                  <a:tint val="9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B4'!$AC$5:$AC$17</c:f>
              <c:numCache>
                <c:formatCode>[$$-409]#,##0.00</c:formatCode>
                <c:ptCount val="12"/>
                <c:pt idx="5">
                  <c:v>30652.403519999996</c:v>
                </c:pt>
                <c:pt idx="7">
                  <c:v>55186.876579999996</c:v>
                </c:pt>
              </c:numCache>
            </c:numRef>
          </c:val>
          <c:smooth val="0"/>
          <c:extLst>
            <c:ext xmlns:c16="http://schemas.microsoft.com/office/drawing/2014/chart" uri="{C3380CC4-5D6E-409C-BE32-E72D297353CC}">
              <c16:uniqueId val="{00000067-9C17-41CA-B398-1E56348749A8}"/>
            </c:ext>
          </c:extLst>
        </c:ser>
        <c:ser>
          <c:idx val="28"/>
          <c:order val="28"/>
          <c:tx>
            <c:strRef>
              <c:f>'PART B4'!$AD$3:$AD$4</c:f>
              <c:strCache>
                <c:ptCount val="1"/>
                <c:pt idx="0">
                  <c:v>12/7/2023</c:v>
                </c:pt>
              </c:strCache>
            </c:strRef>
          </c:tx>
          <c:spPr>
            <a:ln w="28575" cap="rnd">
              <a:solidFill>
                <a:schemeClr val="accent1">
                  <a:tint val="8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B4'!$AD$5:$AD$17</c:f>
              <c:numCache>
                <c:formatCode>[$$-409]#,##0.00</c:formatCode>
                <c:ptCount val="12"/>
                <c:pt idx="1">
                  <c:v>20163.409200000002</c:v>
                </c:pt>
                <c:pt idx="11">
                  <c:v>40476.013200000001</c:v>
                </c:pt>
              </c:numCache>
            </c:numRef>
          </c:val>
          <c:smooth val="0"/>
          <c:extLst>
            <c:ext xmlns:c16="http://schemas.microsoft.com/office/drawing/2014/chart" uri="{C3380CC4-5D6E-409C-BE32-E72D297353CC}">
              <c16:uniqueId val="{00000068-9C17-41CA-B398-1E56348749A8}"/>
            </c:ext>
          </c:extLst>
        </c:ser>
        <c:ser>
          <c:idx val="29"/>
          <c:order val="29"/>
          <c:tx>
            <c:strRef>
              <c:f>'PART B4'!$AE$3:$AE$4</c:f>
              <c:strCache>
                <c:ptCount val="1"/>
                <c:pt idx="0">
                  <c:v>9/8/2023</c:v>
                </c:pt>
              </c:strCache>
            </c:strRef>
          </c:tx>
          <c:spPr>
            <a:ln w="28575" cap="rnd">
              <a:solidFill>
                <a:schemeClr val="accent1">
                  <a:tint val="8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B4'!$AE$5:$AE$17</c:f>
              <c:numCache>
                <c:formatCode>[$$-409]#,##0.00</c:formatCode>
                <c:ptCount val="12"/>
                <c:pt idx="1">
                  <c:v>33400.983200000002</c:v>
                </c:pt>
                <c:pt idx="4">
                  <c:v>13108.78584</c:v>
                </c:pt>
                <c:pt idx="5">
                  <c:v>97051.949399999983</c:v>
                </c:pt>
                <c:pt idx="6">
                  <c:v>7173.3342799999991</c:v>
                </c:pt>
                <c:pt idx="7">
                  <c:v>3823.6151599999998</c:v>
                </c:pt>
                <c:pt idx="8">
                  <c:v>1030.7574</c:v>
                </c:pt>
                <c:pt idx="10">
                  <c:v>35807.58468</c:v>
                </c:pt>
              </c:numCache>
            </c:numRef>
          </c:val>
          <c:smooth val="0"/>
          <c:extLst>
            <c:ext xmlns:c16="http://schemas.microsoft.com/office/drawing/2014/chart" uri="{C3380CC4-5D6E-409C-BE32-E72D297353CC}">
              <c16:uniqueId val="{00000069-9C17-41CA-B398-1E56348749A8}"/>
            </c:ext>
          </c:extLst>
        </c:ser>
        <c:ser>
          <c:idx val="30"/>
          <c:order val="30"/>
          <c:tx>
            <c:strRef>
              <c:f>'PART B4'!$AF$3:$AF$4</c:f>
              <c:strCache>
                <c:ptCount val="1"/>
                <c:pt idx="0">
                  <c:v>4/22/2023</c:v>
                </c:pt>
              </c:strCache>
            </c:strRef>
          </c:tx>
          <c:spPr>
            <a:ln w="28575" cap="rnd">
              <a:solidFill>
                <a:schemeClr val="accent1">
                  <a:tint val="8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B4'!$AF$5:$AF$17</c:f>
              <c:numCache>
                <c:formatCode>[$$-409]#,##0.00</c:formatCode>
                <c:ptCount val="12"/>
                <c:pt idx="2">
                  <c:v>4409.5168800000001</c:v>
                </c:pt>
                <c:pt idx="3">
                  <c:v>17234.67195</c:v>
                </c:pt>
                <c:pt idx="4">
                  <c:v>39810.328000000001</c:v>
                </c:pt>
                <c:pt idx="5">
                  <c:v>68665.574250000005</c:v>
                </c:pt>
                <c:pt idx="6">
                  <c:v>5725.6496000000006</c:v>
                </c:pt>
                <c:pt idx="7">
                  <c:v>33551.927499999998</c:v>
                </c:pt>
                <c:pt idx="8">
                  <c:v>40563.321749999996</c:v>
                </c:pt>
              </c:numCache>
            </c:numRef>
          </c:val>
          <c:smooth val="0"/>
          <c:extLst>
            <c:ext xmlns:c16="http://schemas.microsoft.com/office/drawing/2014/chart" uri="{C3380CC4-5D6E-409C-BE32-E72D297353CC}">
              <c16:uniqueId val="{0000006A-9C17-41CA-B398-1E56348749A8}"/>
            </c:ext>
          </c:extLst>
        </c:ser>
        <c:ser>
          <c:idx val="31"/>
          <c:order val="31"/>
          <c:tx>
            <c:strRef>
              <c:f>'PART B4'!$AG$3:$AG$4</c:f>
              <c:strCache>
                <c:ptCount val="1"/>
                <c:pt idx="0">
                  <c:v>6/1/2023</c:v>
                </c:pt>
              </c:strCache>
            </c:strRef>
          </c:tx>
          <c:spPr>
            <a:ln w="28575" cap="rnd">
              <a:solidFill>
                <a:schemeClr val="accent1">
                  <a:tint val="7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B4'!$AG$5:$AG$17</c:f>
              <c:numCache>
                <c:formatCode>[$$-409]#,##0.00</c:formatCode>
                <c:ptCount val="12"/>
                <c:pt idx="0">
                  <c:v>13251.48</c:v>
                </c:pt>
                <c:pt idx="5">
                  <c:v>4577.1480000000001</c:v>
                </c:pt>
              </c:numCache>
            </c:numRef>
          </c:val>
          <c:smooth val="0"/>
          <c:extLst>
            <c:ext xmlns:c16="http://schemas.microsoft.com/office/drawing/2014/chart" uri="{C3380CC4-5D6E-409C-BE32-E72D297353CC}">
              <c16:uniqueId val="{0000006B-9C17-41CA-B398-1E56348749A8}"/>
            </c:ext>
          </c:extLst>
        </c:ser>
        <c:ser>
          <c:idx val="32"/>
          <c:order val="32"/>
          <c:tx>
            <c:strRef>
              <c:f>'PART B4'!$AH$3:$AH$4</c:f>
              <c:strCache>
                <c:ptCount val="1"/>
                <c:pt idx="0">
                  <c:v>10/9/2023</c:v>
                </c:pt>
              </c:strCache>
            </c:strRef>
          </c:tx>
          <c:spPr>
            <a:ln w="28575" cap="rnd">
              <a:solidFill>
                <a:schemeClr val="accent1">
                  <a:tint val="7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B4'!$AH$5:$AH$17</c:f>
              <c:numCache>
                <c:formatCode>[$$-409]#,##0.00</c:formatCode>
                <c:ptCount val="12"/>
                <c:pt idx="2">
                  <c:v>25131.155999999999</c:v>
                </c:pt>
                <c:pt idx="5">
                  <c:v>44173.627960000005</c:v>
                </c:pt>
                <c:pt idx="9">
                  <c:v>10786.32144</c:v>
                </c:pt>
              </c:numCache>
            </c:numRef>
          </c:val>
          <c:smooth val="0"/>
          <c:extLst>
            <c:ext xmlns:c16="http://schemas.microsoft.com/office/drawing/2014/chart" uri="{C3380CC4-5D6E-409C-BE32-E72D297353CC}">
              <c16:uniqueId val="{0000006C-9C17-41CA-B398-1E56348749A8}"/>
            </c:ext>
          </c:extLst>
        </c:ser>
        <c:ser>
          <c:idx val="33"/>
          <c:order val="33"/>
          <c:tx>
            <c:strRef>
              <c:f>'PART B4'!$AI$3:$AI$4</c:f>
              <c:strCache>
                <c:ptCount val="1"/>
                <c:pt idx="0">
                  <c:v>11/19/2023</c:v>
                </c:pt>
              </c:strCache>
            </c:strRef>
          </c:tx>
          <c:spPr>
            <a:ln w="28575" cap="rnd">
              <a:solidFill>
                <a:schemeClr val="accent1">
                  <a:tint val="7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B4'!$AI$5:$AI$17</c:f>
              <c:numCache>
                <c:formatCode>[$$-409]#,##0.00</c:formatCode>
                <c:ptCount val="12"/>
                <c:pt idx="2">
                  <c:v>11305.14372</c:v>
                </c:pt>
                <c:pt idx="6">
                  <c:v>30229.994880000002</c:v>
                </c:pt>
                <c:pt idx="10">
                  <c:v>45473.774080000003</c:v>
                </c:pt>
              </c:numCache>
            </c:numRef>
          </c:val>
          <c:smooth val="0"/>
          <c:extLst>
            <c:ext xmlns:c16="http://schemas.microsoft.com/office/drawing/2014/chart" uri="{C3380CC4-5D6E-409C-BE32-E72D297353CC}">
              <c16:uniqueId val="{0000006D-9C17-41CA-B398-1E56348749A8}"/>
            </c:ext>
          </c:extLst>
        </c:ser>
        <c:ser>
          <c:idx val="34"/>
          <c:order val="34"/>
          <c:tx>
            <c:strRef>
              <c:f>'PART B4'!$AJ$3:$AJ$4</c:f>
              <c:strCache>
                <c:ptCount val="1"/>
                <c:pt idx="0">
                  <c:v>6/23/2023</c:v>
                </c:pt>
              </c:strCache>
            </c:strRef>
          </c:tx>
          <c:spPr>
            <a:ln w="28575" cap="rnd">
              <a:solidFill>
                <a:schemeClr val="accent1">
                  <a:tint val="7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B4'!$AJ$5:$AJ$17</c:f>
              <c:numCache>
                <c:formatCode>[$$-409]#,##0.00</c:formatCode>
                <c:ptCount val="12"/>
                <c:pt idx="0">
                  <c:v>19139.594240000002</c:v>
                </c:pt>
                <c:pt idx="1">
                  <c:v>8128.5187499999993</c:v>
                </c:pt>
                <c:pt idx="5">
                  <c:v>33017.42</c:v>
                </c:pt>
                <c:pt idx="7">
                  <c:v>33440.098400000003</c:v>
                </c:pt>
                <c:pt idx="11">
                  <c:v>14466.95104</c:v>
                </c:pt>
              </c:numCache>
            </c:numRef>
          </c:val>
          <c:smooth val="0"/>
          <c:extLst>
            <c:ext xmlns:c16="http://schemas.microsoft.com/office/drawing/2014/chart" uri="{C3380CC4-5D6E-409C-BE32-E72D297353CC}">
              <c16:uniqueId val="{0000006E-9C17-41CA-B398-1E56348749A8}"/>
            </c:ext>
          </c:extLst>
        </c:ser>
        <c:ser>
          <c:idx val="35"/>
          <c:order val="35"/>
          <c:tx>
            <c:strRef>
              <c:f>'PART B4'!$AK$3:$AK$4</c:f>
              <c:strCache>
                <c:ptCount val="1"/>
                <c:pt idx="0">
                  <c:v>9/17/2023</c:v>
                </c:pt>
              </c:strCache>
            </c:strRef>
          </c:tx>
          <c:spPr>
            <a:ln w="28575" cap="rnd">
              <a:solidFill>
                <a:schemeClr val="accent1">
                  <a:tint val="6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B4'!$AK$5:$AK$17</c:f>
              <c:numCache>
                <c:formatCode>[$$-409]#,##0.00</c:formatCode>
                <c:ptCount val="12"/>
                <c:pt idx="3">
                  <c:v>22676.312610000001</c:v>
                </c:pt>
                <c:pt idx="7">
                  <c:v>5962.1422499999999</c:v>
                </c:pt>
                <c:pt idx="8">
                  <c:v>7071.6331400000008</c:v>
                </c:pt>
              </c:numCache>
            </c:numRef>
          </c:val>
          <c:smooth val="0"/>
          <c:extLst>
            <c:ext xmlns:c16="http://schemas.microsoft.com/office/drawing/2014/chart" uri="{C3380CC4-5D6E-409C-BE32-E72D297353CC}">
              <c16:uniqueId val="{0000006F-9C17-41CA-B398-1E56348749A8}"/>
            </c:ext>
          </c:extLst>
        </c:ser>
        <c:ser>
          <c:idx val="36"/>
          <c:order val="36"/>
          <c:tx>
            <c:strRef>
              <c:f>'PART B4'!$AL$3:$AL$4</c:f>
              <c:strCache>
                <c:ptCount val="1"/>
                <c:pt idx="0">
                  <c:v>7/30/2023</c:v>
                </c:pt>
              </c:strCache>
            </c:strRef>
          </c:tx>
          <c:spPr>
            <a:ln w="28575" cap="rnd">
              <a:solidFill>
                <a:schemeClr val="accent1">
                  <a:tint val="6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B4'!$AL$5:$AL$17</c:f>
              <c:numCache>
                <c:formatCode>[$$-409]#,##0.00</c:formatCode>
                <c:ptCount val="12"/>
                <c:pt idx="5">
                  <c:v>8366.02</c:v>
                </c:pt>
                <c:pt idx="6">
                  <c:v>18500.693520000001</c:v>
                </c:pt>
                <c:pt idx="7">
                  <c:v>12805.460500000001</c:v>
                </c:pt>
              </c:numCache>
            </c:numRef>
          </c:val>
          <c:smooth val="0"/>
          <c:extLst>
            <c:ext xmlns:c16="http://schemas.microsoft.com/office/drawing/2014/chart" uri="{C3380CC4-5D6E-409C-BE32-E72D297353CC}">
              <c16:uniqueId val="{00000070-9C17-41CA-B398-1E56348749A8}"/>
            </c:ext>
          </c:extLst>
        </c:ser>
        <c:ser>
          <c:idx val="37"/>
          <c:order val="37"/>
          <c:tx>
            <c:strRef>
              <c:f>'PART B4'!$AM$3:$AM$4</c:f>
              <c:strCache>
                <c:ptCount val="1"/>
                <c:pt idx="0">
                  <c:v>1/28/2024</c:v>
                </c:pt>
              </c:strCache>
            </c:strRef>
          </c:tx>
          <c:spPr>
            <a:ln w="28575" cap="rnd">
              <a:solidFill>
                <a:schemeClr val="accent1">
                  <a:tint val="6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B4'!$AM$5:$AM$17</c:f>
              <c:numCache>
                <c:formatCode>[$$-409]#,##0.00</c:formatCode>
                <c:ptCount val="12"/>
                <c:pt idx="0">
                  <c:v>2077.46</c:v>
                </c:pt>
                <c:pt idx="5">
                  <c:v>29175.036029999999</c:v>
                </c:pt>
              </c:numCache>
            </c:numRef>
          </c:val>
          <c:smooth val="0"/>
          <c:extLst>
            <c:ext xmlns:c16="http://schemas.microsoft.com/office/drawing/2014/chart" uri="{C3380CC4-5D6E-409C-BE32-E72D297353CC}">
              <c16:uniqueId val="{00000071-9C17-41CA-B398-1E56348749A8}"/>
            </c:ext>
          </c:extLst>
        </c:ser>
        <c:ser>
          <c:idx val="38"/>
          <c:order val="38"/>
          <c:tx>
            <c:strRef>
              <c:f>'PART B4'!$AN$3:$AN$4</c:f>
              <c:strCache>
                <c:ptCount val="1"/>
                <c:pt idx="0">
                  <c:v>4/16/2023</c:v>
                </c:pt>
              </c:strCache>
            </c:strRef>
          </c:tx>
          <c:spPr>
            <a:ln w="28575" cap="rnd">
              <a:solidFill>
                <a:schemeClr val="accent1">
                  <a:tint val="5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B4'!$AN$5:$AN$17</c:f>
              <c:numCache>
                <c:formatCode>[$$-409]#,##0.00</c:formatCode>
                <c:ptCount val="12"/>
                <c:pt idx="3">
                  <c:v>10260.060159999999</c:v>
                </c:pt>
              </c:numCache>
            </c:numRef>
          </c:val>
          <c:smooth val="0"/>
          <c:extLst>
            <c:ext xmlns:c16="http://schemas.microsoft.com/office/drawing/2014/chart" uri="{C3380CC4-5D6E-409C-BE32-E72D297353CC}">
              <c16:uniqueId val="{00000072-9C17-41CA-B398-1E56348749A8}"/>
            </c:ext>
          </c:extLst>
        </c:ser>
        <c:ser>
          <c:idx val="39"/>
          <c:order val="39"/>
          <c:tx>
            <c:strRef>
              <c:f>'PART B4'!$AO$3:$AO$4</c:f>
              <c:strCache>
                <c:ptCount val="1"/>
                <c:pt idx="0">
                  <c:v>2/1/2024</c:v>
                </c:pt>
              </c:strCache>
            </c:strRef>
          </c:tx>
          <c:spPr>
            <a:ln w="28575" cap="rnd">
              <a:solidFill>
                <a:schemeClr val="accent1">
                  <a:tint val="5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B4'!$AO$5:$AO$17</c:f>
              <c:numCache>
                <c:formatCode>[$$-409]#,##0.00</c:formatCode>
                <c:ptCount val="12"/>
                <c:pt idx="1">
                  <c:v>18003.847679999999</c:v>
                </c:pt>
              </c:numCache>
            </c:numRef>
          </c:val>
          <c:smooth val="0"/>
          <c:extLst>
            <c:ext xmlns:c16="http://schemas.microsoft.com/office/drawing/2014/chart" uri="{C3380CC4-5D6E-409C-BE32-E72D297353CC}">
              <c16:uniqueId val="{00000073-9C17-41CA-B398-1E56348749A8}"/>
            </c:ext>
          </c:extLst>
        </c:ser>
        <c:ser>
          <c:idx val="40"/>
          <c:order val="40"/>
          <c:tx>
            <c:strRef>
              <c:f>'PART B4'!$AP$3:$AP$4</c:f>
              <c:strCache>
                <c:ptCount val="1"/>
                <c:pt idx="0">
                  <c:v>10/19/2024</c:v>
                </c:pt>
              </c:strCache>
            </c:strRef>
          </c:tx>
          <c:spPr>
            <a:ln w="28575" cap="rnd">
              <a:solidFill>
                <a:schemeClr val="accent1">
                  <a:tint val="5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B4'!$AP$5:$AP$17</c:f>
              <c:numCache>
                <c:formatCode>[$$-409]#,##0.00</c:formatCode>
                <c:ptCount val="12"/>
                <c:pt idx="9">
                  <c:v>9256.14</c:v>
                </c:pt>
              </c:numCache>
            </c:numRef>
          </c:val>
          <c:smooth val="0"/>
          <c:extLst>
            <c:ext xmlns:c16="http://schemas.microsoft.com/office/drawing/2014/chart" uri="{C3380CC4-5D6E-409C-BE32-E72D297353CC}">
              <c16:uniqueId val="{00000074-9C17-41CA-B398-1E56348749A8}"/>
            </c:ext>
          </c:extLst>
        </c:ser>
        <c:ser>
          <c:idx val="41"/>
          <c:order val="41"/>
          <c:tx>
            <c:strRef>
              <c:f>'PART B4'!$AQ$3:$AQ$4</c:f>
              <c:strCache>
                <c:ptCount val="1"/>
                <c:pt idx="0">
                  <c:v>12/17/2024</c:v>
                </c:pt>
              </c:strCache>
            </c:strRef>
          </c:tx>
          <c:spPr>
            <a:ln w="28575" cap="rnd">
              <a:solidFill>
                <a:schemeClr val="accent1">
                  <a:tint val="50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B4'!$AQ$5:$AQ$17</c:f>
              <c:numCache>
                <c:formatCode>[$$-409]#,##0.00</c:formatCode>
                <c:ptCount val="12"/>
                <c:pt idx="11">
                  <c:v>846.34703999999988</c:v>
                </c:pt>
              </c:numCache>
            </c:numRef>
          </c:val>
          <c:smooth val="0"/>
          <c:extLst>
            <c:ext xmlns:c16="http://schemas.microsoft.com/office/drawing/2014/chart" uri="{C3380CC4-5D6E-409C-BE32-E72D297353CC}">
              <c16:uniqueId val="{00000075-9C17-41CA-B398-1E56348749A8}"/>
            </c:ext>
          </c:extLst>
        </c:ser>
        <c:ser>
          <c:idx val="42"/>
          <c:order val="42"/>
          <c:tx>
            <c:strRef>
              <c:f>'PART B4'!$AR$3:$AR$4</c:f>
              <c:strCache>
                <c:ptCount val="1"/>
                <c:pt idx="0">
                  <c:v>7/11/2025</c:v>
                </c:pt>
              </c:strCache>
            </c:strRef>
          </c:tx>
          <c:spPr>
            <a:ln w="28575" cap="rnd">
              <a:solidFill>
                <a:schemeClr val="accent1">
                  <a:tint val="48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B4'!$AR$5:$AR$17</c:f>
              <c:numCache>
                <c:formatCode>[$$-409]#,##0.00</c:formatCode>
                <c:ptCount val="12"/>
                <c:pt idx="6">
                  <c:v>25174.028880000002</c:v>
                </c:pt>
              </c:numCache>
            </c:numRef>
          </c:val>
          <c:smooth val="0"/>
          <c:extLst>
            <c:ext xmlns:c16="http://schemas.microsoft.com/office/drawing/2014/chart" uri="{C3380CC4-5D6E-409C-BE32-E72D297353CC}">
              <c16:uniqueId val="{00000076-9C17-41CA-B398-1E56348749A8}"/>
            </c:ext>
          </c:extLst>
        </c:ser>
        <c:ser>
          <c:idx val="43"/>
          <c:order val="43"/>
          <c:tx>
            <c:strRef>
              <c:f>'PART B4'!$AS$3:$AS$4</c:f>
              <c:strCache>
                <c:ptCount val="1"/>
                <c:pt idx="0">
                  <c:v>10/13/2024</c:v>
                </c:pt>
              </c:strCache>
            </c:strRef>
          </c:tx>
          <c:spPr>
            <a:ln w="28575" cap="rnd">
              <a:solidFill>
                <a:schemeClr val="accent1">
                  <a:tint val="45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B4'!$AS$5:$AS$17</c:f>
              <c:numCache>
                <c:formatCode>[$$-409]#,##0.00</c:formatCode>
                <c:ptCount val="12"/>
                <c:pt idx="9">
                  <c:v>41419.524249999995</c:v>
                </c:pt>
              </c:numCache>
            </c:numRef>
          </c:val>
          <c:smooth val="0"/>
          <c:extLst>
            <c:ext xmlns:c16="http://schemas.microsoft.com/office/drawing/2014/chart" uri="{C3380CC4-5D6E-409C-BE32-E72D297353CC}">
              <c16:uniqueId val="{00000077-9C17-41CA-B398-1E56348749A8}"/>
            </c:ext>
          </c:extLst>
        </c:ser>
        <c:ser>
          <c:idx val="44"/>
          <c:order val="44"/>
          <c:tx>
            <c:strRef>
              <c:f>'PART B4'!$AT$3:$AT$4</c:f>
              <c:strCache>
                <c:ptCount val="1"/>
                <c:pt idx="0">
                  <c:v>4/17/2025</c:v>
                </c:pt>
              </c:strCache>
            </c:strRef>
          </c:tx>
          <c:spPr>
            <a:ln w="28575" cap="rnd">
              <a:solidFill>
                <a:schemeClr val="accent1">
                  <a:tint val="42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B4'!$AT$5:$AT$17</c:f>
              <c:numCache>
                <c:formatCode>[$$-409]#,##0.00</c:formatCode>
                <c:ptCount val="12"/>
                <c:pt idx="3">
                  <c:v>2355.2113199999999</c:v>
                </c:pt>
              </c:numCache>
            </c:numRef>
          </c:val>
          <c:smooth val="0"/>
          <c:extLst>
            <c:ext xmlns:c16="http://schemas.microsoft.com/office/drawing/2014/chart" uri="{C3380CC4-5D6E-409C-BE32-E72D297353CC}">
              <c16:uniqueId val="{00000078-9C17-41CA-B398-1E56348749A8}"/>
            </c:ext>
          </c:extLst>
        </c:ser>
        <c:ser>
          <c:idx val="45"/>
          <c:order val="45"/>
          <c:tx>
            <c:strRef>
              <c:f>'PART B4'!$AU$3:$AU$4</c:f>
              <c:strCache>
                <c:ptCount val="1"/>
                <c:pt idx="0">
                  <c:v>7/19/2025</c:v>
                </c:pt>
              </c:strCache>
            </c:strRef>
          </c:tx>
          <c:spPr>
            <a:ln w="28575" cap="rnd">
              <a:solidFill>
                <a:schemeClr val="accent1">
                  <a:tint val="39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B4'!$AU$5:$AU$17</c:f>
              <c:numCache>
                <c:formatCode>[$$-409]#,##0.00</c:formatCode>
                <c:ptCount val="12"/>
                <c:pt idx="6">
                  <c:v>10693.88488</c:v>
                </c:pt>
              </c:numCache>
            </c:numRef>
          </c:val>
          <c:smooth val="0"/>
          <c:extLst>
            <c:ext xmlns:c16="http://schemas.microsoft.com/office/drawing/2014/chart" uri="{C3380CC4-5D6E-409C-BE32-E72D297353CC}">
              <c16:uniqueId val="{00000079-9C17-41CA-B398-1E56348749A8}"/>
            </c:ext>
          </c:extLst>
        </c:ser>
        <c:ser>
          <c:idx val="46"/>
          <c:order val="46"/>
          <c:tx>
            <c:strRef>
              <c:f>'PART B4'!$AV$3:$AV$4</c:f>
              <c:strCache>
                <c:ptCount val="1"/>
                <c:pt idx="0">
                  <c:v>12/22/2023</c:v>
                </c:pt>
              </c:strCache>
            </c:strRef>
          </c:tx>
          <c:spPr>
            <a:ln w="28575" cap="rnd">
              <a:solidFill>
                <a:schemeClr val="accent1">
                  <a:tint val="36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B4'!$AV$5:$AV$17</c:f>
              <c:numCache>
                <c:formatCode>[$$-409]#,##0.00</c:formatCode>
                <c:ptCount val="12"/>
                <c:pt idx="11">
                  <c:v>13983.752729999998</c:v>
                </c:pt>
              </c:numCache>
            </c:numRef>
          </c:val>
          <c:smooth val="0"/>
          <c:extLst>
            <c:ext xmlns:c16="http://schemas.microsoft.com/office/drawing/2014/chart" uri="{C3380CC4-5D6E-409C-BE32-E72D297353CC}">
              <c16:uniqueId val="{0000007A-9C17-41CA-B398-1E56348749A8}"/>
            </c:ext>
          </c:extLst>
        </c:ser>
        <c:ser>
          <c:idx val="47"/>
          <c:order val="47"/>
          <c:tx>
            <c:strRef>
              <c:f>'PART B4'!$AW$3:$AW$4</c:f>
              <c:strCache>
                <c:ptCount val="1"/>
                <c:pt idx="0">
                  <c:v>2/28/2025</c:v>
                </c:pt>
              </c:strCache>
            </c:strRef>
          </c:tx>
          <c:spPr>
            <a:ln w="28575" cap="rnd">
              <a:solidFill>
                <a:schemeClr val="accent1">
                  <a:tint val="33000"/>
                </a:schemeClr>
              </a:solidFill>
              <a:round/>
            </a:ln>
            <a:effectLst/>
          </c:spPr>
          <c:marker>
            <c:symbol val="none"/>
          </c:marker>
          <c:cat>
            <c:strRef>
              <c:f>'PART B4'!$A$5:$A$17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'PART B4'!$AW$5:$AW$17</c:f>
              <c:numCache>
                <c:formatCode>[$$-409]#,##0.00</c:formatCode>
                <c:ptCount val="12"/>
                <c:pt idx="1">
                  <c:v>266.17821999999995</c:v>
                </c:pt>
              </c:numCache>
            </c:numRef>
          </c:val>
          <c:smooth val="0"/>
          <c:extLst>
            <c:ext xmlns:c16="http://schemas.microsoft.com/office/drawing/2014/chart" uri="{C3380CC4-5D6E-409C-BE32-E72D297353CC}">
              <c16:uniqueId val="{0000007B-9C17-41CA-B398-1E56348749A8}"/>
            </c:ext>
          </c:extLst>
        </c:ser>
        <c:dLbls>
          <c:showLegendKey val="0"/>
          <c:showVal val="0"/>
          <c:showCatName val="0"/>
          <c:showSerName val="0"/>
          <c:showPercent val="0"/>
          <c:showBubbleSize val="0"/>
        </c:dLbls>
        <c:smooth val="0"/>
        <c:axId val="997678095"/>
        <c:axId val="997678575"/>
      </c:lineChart>
      <c:catAx>
        <c:axId val="99767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78575"/>
        <c:crosses val="autoZero"/>
        <c:auto val="1"/>
        <c:lblAlgn val="ctr"/>
        <c:lblOffset val="100"/>
        <c:noMultiLvlLbl val="0"/>
      </c:catAx>
      <c:valAx>
        <c:axId val="99767857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7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[Excel^1201^120assignment CRIS.xlsx]Sheet18!PivotTable10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Sheet18!$B$3:$B$4</c:f>
              <c:strCache>
                <c:ptCount val="1"/>
                <c:pt idx="0">
                  <c:v>Direct</c:v>
                </c:pt>
              </c:strCache>
            </c:strRef>
          </c:tx>
          <c:spPr>
            <a:solidFill>
              <a:schemeClr val="accent1">
                <a:shade val="50000"/>
              </a:schemeClr>
            </a:solidFill>
            <a:ln>
              <a:noFill/>
            </a:ln>
            <a:effectLst/>
          </c:spPr>
          <c:invertIfNegative val="0"/>
          <c:cat>
            <c:strRef>
              <c:f>Sheet18!$A$5:$A$9</c:f>
              <c:strCache>
                <c:ptCount val="4"/>
                <c:pt idx="0">
                  <c:v>Africa</c:v>
                </c:pt>
                <c:pt idx="1">
                  <c:v>Americas</c:v>
                </c:pt>
                <c:pt idx="2">
                  <c:v>Asia</c:v>
                </c:pt>
                <c:pt idx="3">
                  <c:v>Europe</c:v>
                </c:pt>
              </c:strCache>
            </c:strRef>
          </c:cat>
          <c:val>
            <c:numRef>
              <c:f>Sheet18!$B$5:$B$9</c:f>
              <c:numCache>
                <c:formatCode>[$$-409]#,##0.00</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0C20-4825-A8BC-86E5A4A8E385}"/>
            </c:ext>
          </c:extLst>
        </c:ser>
        <c:ser>
          <c:idx val="1"/>
          <c:order val="1"/>
          <c:tx>
            <c:strRef>
              <c:f>Sheet18!$C$3:$C$4</c:f>
              <c:strCache>
                <c:ptCount val="1"/>
                <c:pt idx="0">
                  <c:v>Distributor</c:v>
                </c:pt>
              </c:strCache>
            </c:strRef>
          </c:tx>
          <c:spPr>
            <a:solidFill>
              <a:schemeClr val="accent1">
                <a:shade val="70000"/>
              </a:schemeClr>
            </a:solidFill>
            <a:ln>
              <a:noFill/>
            </a:ln>
            <a:effectLst/>
          </c:spPr>
          <c:invertIfNegative val="0"/>
          <c:cat>
            <c:strRef>
              <c:f>Sheet18!$A$5:$A$9</c:f>
              <c:strCache>
                <c:ptCount val="4"/>
                <c:pt idx="0">
                  <c:v>Africa</c:v>
                </c:pt>
                <c:pt idx="1">
                  <c:v>Americas</c:v>
                </c:pt>
                <c:pt idx="2">
                  <c:v>Asia</c:v>
                </c:pt>
                <c:pt idx="3">
                  <c:v>Europe</c:v>
                </c:pt>
              </c:strCache>
            </c:strRef>
          </c:cat>
          <c:val>
            <c:numRef>
              <c:f>Sheet18!$C$5:$C$9</c:f>
              <c:numCache>
                <c:formatCode>[$$-409]#,##0.00</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0C20-4825-A8BC-86E5A4A8E385}"/>
            </c:ext>
          </c:extLst>
        </c:ser>
        <c:ser>
          <c:idx val="2"/>
          <c:order val="2"/>
          <c:tx>
            <c:strRef>
              <c:f>Sheet18!$D$3:$D$4</c:f>
              <c:strCache>
                <c:ptCount val="1"/>
                <c:pt idx="0">
                  <c:v>Marketplace</c:v>
                </c:pt>
              </c:strCache>
            </c:strRef>
          </c:tx>
          <c:spPr>
            <a:solidFill>
              <a:schemeClr val="accent1">
                <a:shade val="90000"/>
              </a:schemeClr>
            </a:solidFill>
            <a:ln>
              <a:noFill/>
            </a:ln>
            <a:effectLst/>
          </c:spPr>
          <c:invertIfNegative val="0"/>
          <c:cat>
            <c:strRef>
              <c:f>Sheet18!$A$5:$A$9</c:f>
              <c:strCache>
                <c:ptCount val="4"/>
                <c:pt idx="0">
                  <c:v>Africa</c:v>
                </c:pt>
                <c:pt idx="1">
                  <c:v>Americas</c:v>
                </c:pt>
                <c:pt idx="2">
                  <c:v>Asia</c:v>
                </c:pt>
                <c:pt idx="3">
                  <c:v>Europe</c:v>
                </c:pt>
              </c:strCache>
            </c:strRef>
          </c:cat>
          <c:val>
            <c:numRef>
              <c:f>Sheet18!$D$5:$D$9</c:f>
              <c:numCache>
                <c:formatCode>[$$-409]#,##0.00</c:formatCode>
                <c:ptCount val="4"/>
                <c:pt idx="0">
                  <c:v>164839.30455999999</c:v>
                </c:pt>
                <c:pt idx="1">
                  <c:v>96609.647519999999</c:v>
                </c:pt>
                <c:pt idx="2">
                  <c:v>128045.00806000001</c:v>
                </c:pt>
                <c:pt idx="3">
                  <c:v>111692.81024999999</c:v>
                </c:pt>
              </c:numCache>
            </c:numRef>
          </c:val>
          <c:extLst>
            <c:ext xmlns:c16="http://schemas.microsoft.com/office/drawing/2014/chart" uri="{C3380CC4-5D6E-409C-BE32-E72D297353CC}">
              <c16:uniqueId val="{00000002-0C20-4825-A8BC-86E5A4A8E385}"/>
            </c:ext>
          </c:extLst>
        </c:ser>
        <c:ser>
          <c:idx val="3"/>
          <c:order val="3"/>
          <c:tx>
            <c:strRef>
              <c:f>Sheet18!$E$3:$E$4</c:f>
              <c:strCache>
                <c:ptCount val="1"/>
                <c:pt idx="0">
                  <c:v>Not Provided</c:v>
                </c:pt>
              </c:strCache>
            </c:strRef>
          </c:tx>
          <c:spPr>
            <a:solidFill>
              <a:schemeClr val="accent1">
                <a:tint val="90000"/>
              </a:schemeClr>
            </a:solidFill>
            <a:ln>
              <a:noFill/>
            </a:ln>
            <a:effectLst/>
          </c:spPr>
          <c:invertIfNegative val="0"/>
          <c:cat>
            <c:strRef>
              <c:f>Sheet18!$A$5:$A$9</c:f>
              <c:strCache>
                <c:ptCount val="4"/>
                <c:pt idx="0">
                  <c:v>Africa</c:v>
                </c:pt>
                <c:pt idx="1">
                  <c:v>Americas</c:v>
                </c:pt>
                <c:pt idx="2">
                  <c:v>Asia</c:v>
                </c:pt>
                <c:pt idx="3">
                  <c:v>Europe</c:v>
                </c:pt>
              </c:strCache>
            </c:strRef>
          </c:cat>
          <c:val>
            <c:numRef>
              <c:f>Sheet18!$E$5:$E$9</c:f>
              <c:numCache>
                <c:formatCode>[$$-409]#,##0.00</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3-0C20-4825-A8BC-86E5A4A8E385}"/>
            </c:ext>
          </c:extLst>
        </c:ser>
        <c:ser>
          <c:idx val="4"/>
          <c:order val="4"/>
          <c:tx>
            <c:strRef>
              <c:f>Sheet18!$F$3:$F$4</c:f>
              <c:strCache>
                <c:ptCount val="1"/>
                <c:pt idx="0">
                  <c:v>Online</c:v>
                </c:pt>
              </c:strCache>
            </c:strRef>
          </c:tx>
          <c:spPr>
            <a:solidFill>
              <a:schemeClr val="accent1">
                <a:tint val="70000"/>
              </a:schemeClr>
            </a:solidFill>
            <a:ln>
              <a:noFill/>
            </a:ln>
            <a:effectLst/>
          </c:spPr>
          <c:invertIfNegative val="0"/>
          <c:cat>
            <c:strRef>
              <c:f>Sheet18!$A$5:$A$9</c:f>
              <c:strCache>
                <c:ptCount val="4"/>
                <c:pt idx="0">
                  <c:v>Africa</c:v>
                </c:pt>
                <c:pt idx="1">
                  <c:v>Americas</c:v>
                </c:pt>
                <c:pt idx="2">
                  <c:v>Asia</c:v>
                </c:pt>
                <c:pt idx="3">
                  <c:v>Europe</c:v>
                </c:pt>
              </c:strCache>
            </c:strRef>
          </c:cat>
          <c:val>
            <c:numRef>
              <c:f>Sheet18!$F$5:$F$9</c:f>
              <c:numCache>
                <c:formatCode>[$$-409]#,##0.00</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3-8777-4D3F-9A8B-4CBD035B0974}"/>
            </c:ext>
          </c:extLst>
        </c:ser>
        <c:ser>
          <c:idx val="5"/>
          <c:order val="5"/>
          <c:tx>
            <c:strRef>
              <c:f>Sheet18!$G$3:$G$4</c:f>
              <c:strCache>
                <c:ptCount val="1"/>
                <c:pt idx="0">
                  <c:v>Retail</c:v>
                </c:pt>
              </c:strCache>
            </c:strRef>
          </c:tx>
          <c:spPr>
            <a:solidFill>
              <a:schemeClr val="accent1">
                <a:tint val="50000"/>
              </a:schemeClr>
            </a:solidFill>
            <a:ln>
              <a:noFill/>
            </a:ln>
            <a:effectLst/>
          </c:spPr>
          <c:invertIfNegative val="0"/>
          <c:cat>
            <c:strRef>
              <c:f>Sheet18!$A$5:$A$9</c:f>
              <c:strCache>
                <c:ptCount val="4"/>
                <c:pt idx="0">
                  <c:v>Africa</c:v>
                </c:pt>
                <c:pt idx="1">
                  <c:v>Americas</c:v>
                </c:pt>
                <c:pt idx="2">
                  <c:v>Asia</c:v>
                </c:pt>
                <c:pt idx="3">
                  <c:v>Europe</c:v>
                </c:pt>
              </c:strCache>
            </c:strRef>
          </c:cat>
          <c:val>
            <c:numRef>
              <c:f>Sheet18!$G$5:$G$9</c:f>
              <c:numCache>
                <c:formatCode>[$$-409]#,##0.00</c:formatCode>
                <c:ptCount val="4"/>
                <c:pt idx="0">
                  <c:v>141171.08466999998</c:v>
                </c:pt>
                <c:pt idx="1">
                  <c:v>69035.709220000004</c:v>
                </c:pt>
                <c:pt idx="2">
                  <c:v>158051.77209000001</c:v>
                </c:pt>
                <c:pt idx="3">
                  <c:v>151779.17228999996</c:v>
                </c:pt>
              </c:numCache>
            </c:numRef>
          </c:val>
          <c:extLst>
            <c:ext xmlns:c16="http://schemas.microsoft.com/office/drawing/2014/chart" uri="{C3380CC4-5D6E-409C-BE32-E72D297353CC}">
              <c16:uniqueId val="{00000007-8777-4D3F-9A8B-4CBD035B0974}"/>
            </c:ext>
          </c:extLst>
        </c:ser>
        <c:dLbls>
          <c:showLegendKey val="0"/>
          <c:showVal val="0"/>
          <c:showCatName val="0"/>
          <c:showSerName val="0"/>
          <c:showPercent val="0"/>
          <c:showBubbleSize val="0"/>
        </c:dLbls>
        <c:gapWidth val="150"/>
        <c:overlap val="100"/>
        <c:axId val="875194527"/>
        <c:axId val="875766367"/>
      </c:barChart>
      <c:catAx>
        <c:axId val="87519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66367"/>
        <c:crosses val="autoZero"/>
        <c:auto val="1"/>
        <c:lblAlgn val="ctr"/>
        <c:lblOffset val="100"/>
        <c:noMultiLvlLbl val="0"/>
      </c:catAx>
      <c:valAx>
        <c:axId val="87576636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9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91440</xdr:rowOff>
    </xdr:from>
    <xdr:to>
      <xdr:col>9</xdr:col>
      <xdr:colOff>320040</xdr:colOff>
      <xdr:row>37</xdr:row>
      <xdr:rowOff>99060</xdr:rowOff>
    </xdr:to>
    <xdr:sp macro="" textlink="">
      <xdr:nvSpPr>
        <xdr:cNvPr id="2" name="Rectangle: Rounded Corners 1">
          <a:extLst>
            <a:ext uri="{FF2B5EF4-FFF2-40B4-BE49-F238E27FC236}">
              <a16:creationId xmlns:a16="http://schemas.microsoft.com/office/drawing/2014/main" id="{71E4CBD5-17C1-C056-C2AD-9D4009D02D8D}"/>
            </a:ext>
          </a:extLst>
        </xdr:cNvPr>
        <xdr:cNvSpPr/>
      </xdr:nvSpPr>
      <xdr:spPr>
        <a:xfrm>
          <a:off x="83820" y="91440"/>
          <a:ext cx="5722620" cy="6774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Data Cleaning &amp; Preparation: Documentation Notes</a:t>
          </a:r>
        </a:p>
        <a:p>
          <a:r>
            <a:rPr lang="en-US" b="1"/>
            <a:t>1.</a:t>
          </a:r>
          <a:r>
            <a:rPr lang="en-US" b="1" baseline="0"/>
            <a:t> </a:t>
          </a:r>
          <a:r>
            <a:rPr lang="en-US" b="1"/>
            <a:t>Duplicate Removal</a:t>
          </a:r>
        </a:p>
        <a:p>
          <a:r>
            <a:rPr lang="en-US" b="1"/>
            <a:t>Rule Applied:</a:t>
          </a:r>
          <a:br>
            <a:rPr lang="en-US"/>
          </a:br>
          <a:r>
            <a:rPr lang="en-US"/>
            <a:t>Duplicates were identified and removed based on the </a:t>
          </a:r>
          <a:r>
            <a:rPr lang="en-US" b="1"/>
            <a:t>OrderID</a:t>
          </a:r>
          <a:r>
            <a:rPr lang="en-US"/>
            <a:t> field.</a:t>
          </a:r>
          <a:br>
            <a:rPr lang="en-US"/>
          </a:br>
          <a:r>
            <a:rPr lang="en-US"/>
            <a:t>Each OrderID represents a unique customer order; therefore, multiple rows with the same OrderID indicate exact duplicates.</a:t>
          </a:r>
        </a:p>
        <a:p>
          <a:endParaRPr lang="en-US"/>
        </a:p>
        <a:p>
          <a:r>
            <a:rPr lang="en-US" b="1"/>
            <a:t>2.</a:t>
          </a:r>
          <a:r>
            <a:rPr lang="en-US" b="1" baseline="0"/>
            <a:t> </a:t>
          </a:r>
          <a:r>
            <a:rPr lang="en-US" b="1"/>
            <a:t>Data Type Corrections</a:t>
          </a:r>
        </a:p>
        <a:p>
          <a:pPr algn="l"/>
          <a:r>
            <a:rPr lang="en-US"/>
            <a:t>OrderDate, RequiredDate  -  set to Short</a:t>
          </a:r>
          <a:r>
            <a:rPr lang="en-US" baseline="0"/>
            <a:t> </a:t>
          </a:r>
          <a:r>
            <a:rPr lang="en-US"/>
            <a:t>Date format</a:t>
          </a:r>
        </a:p>
        <a:p>
          <a:pPr algn="l"/>
          <a:r>
            <a:rPr lang="en-US"/>
            <a:t>UnitPrice,</a:t>
          </a:r>
          <a:r>
            <a:rPr lang="en-US" baseline="0"/>
            <a:t> unit cost - set to currency</a:t>
          </a:r>
        </a:p>
        <a:p>
          <a:pPr algn="l"/>
          <a:r>
            <a:rPr lang="en-US" baseline="0"/>
            <a:t>OrderID, Region, Country, City, Customersegment, channel, salesperson, product category, SKU - set to Text</a:t>
          </a:r>
        </a:p>
        <a:p>
          <a:pPr algn="l"/>
          <a:r>
            <a:rPr lang="en-US" baseline="0"/>
            <a:t>discountpct - set to percentage</a:t>
          </a:r>
        </a:p>
        <a:p>
          <a:pPr algn="l"/>
          <a:r>
            <a:rPr lang="en-US" baseline="0"/>
            <a:t>quantity - Number</a:t>
          </a:r>
        </a:p>
        <a:p>
          <a:pPr algn="l"/>
          <a:r>
            <a:rPr lang="en-US" baseline="0"/>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3. Handling Missing values</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All missing values for</a:t>
          </a:r>
          <a:r>
            <a:rPr lang="en-US" baseline="0">
              <a:effectLst/>
            </a:rPr>
            <a:t> salesperson, city, and channel  are highlighted in red and the spaces filled with "Not provided" as f</a:t>
          </a:r>
          <a:r>
            <a:rPr lang="en-US"/>
            <a:t>illing missing data with assumptions can significantly distort statistics, model outcomes, or business insights.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r>
            <a:rPr lang="en-US" b="1"/>
            <a:t>4. Suspicious or Outlier Values</a:t>
          </a:r>
        </a:p>
        <a:p>
          <a:r>
            <a:rPr lang="en-US" b="1"/>
            <a:t>a) UnitPrice</a:t>
          </a:r>
        </a:p>
        <a:p>
          <a:r>
            <a:rPr lang="en-US" b="1"/>
            <a:t>Check:</a:t>
          </a:r>
          <a:r>
            <a:rPr lang="en-US"/>
            <a:t> =added a column ; IF(UnitPrice&lt;=0,"FLAG","OK")</a:t>
          </a:r>
        </a:p>
        <a:p>
          <a:r>
            <a:rPr lang="en-US" b="1"/>
            <a:t>Action:</a:t>
          </a:r>
          <a:r>
            <a:rPr lang="en-US"/>
            <a:t> All negative values are highlited in</a:t>
          </a:r>
          <a:r>
            <a:rPr lang="en-US" baseline="0"/>
            <a:t> red and</a:t>
          </a:r>
          <a:r>
            <a:rPr lang="en-US"/>
            <a:t> changed to positive using =ABS()</a:t>
          </a:r>
        </a:p>
        <a:p>
          <a:endParaRPr lang="en-US" b="1"/>
        </a:p>
        <a:p>
          <a:r>
            <a:rPr lang="en-US" b="1"/>
            <a:t>b) Discount</a:t>
          </a:r>
        </a:p>
        <a:p>
          <a:r>
            <a:rPr lang="en-US" b="1"/>
            <a:t>Check:</a:t>
          </a:r>
          <a:r>
            <a:rPr lang="en-US"/>
            <a:t> = added a column, =IF(Discount&gt;30%,"FLAG","OK")</a:t>
          </a:r>
        </a:p>
        <a:p>
          <a:r>
            <a:rPr lang="en-US" b="1"/>
            <a:t>Action:</a:t>
          </a:r>
          <a:r>
            <a:rPr lang="en-US"/>
            <a:t> Flagged but not altered.</a:t>
          </a:r>
          <a:endParaRPr lang="en-US">
            <a:effectLst/>
          </a:endParaRPr>
        </a:p>
        <a:p>
          <a:endParaRPr lang="en-US" b="0" baseline="0"/>
        </a:p>
        <a:p>
          <a:r>
            <a:rPr lang="en-US" b="1"/>
            <a:t>5. Date Validations</a:t>
          </a:r>
        </a:p>
        <a:p>
          <a:r>
            <a:rPr lang="en-US" b="1"/>
            <a:t>Check:</a:t>
          </a:r>
          <a:r>
            <a:rPr lang="en-US"/>
            <a:t> =IF(RequiredDate&lt;OrderDate,"Invalid","Valid") (Invalid marked with re)</a:t>
          </a:r>
        </a:p>
        <a:p>
          <a:r>
            <a:rPr lang="en-US" b="1"/>
            <a:t>Action:</a:t>
          </a:r>
          <a:r>
            <a:rPr lang="en-US"/>
            <a:t> If the Required Date is earlier than the Order Date,  the Order Date was used  instead.  =IF(C2&lt;B2,B2,C2)</a:t>
          </a:r>
        </a:p>
        <a:p>
          <a:endParaRPr lang="en-US"/>
        </a:p>
        <a:p>
          <a:r>
            <a:rPr lang="en-US"/>
            <a:t>6.</a:t>
          </a:r>
          <a:r>
            <a:rPr lang="en-US" baseline="0"/>
            <a:t> Created a leadtimedays column</a:t>
          </a:r>
          <a:endParaRPr lang="en-US"/>
        </a:p>
        <a:p>
          <a:endParaRPr lang="en-US" baseline="0"/>
        </a:p>
        <a:p>
          <a:pPr algn="l"/>
          <a:endParaRPr lang="en-US" sz="1100"/>
        </a:p>
      </xdr:txBody>
    </xdr:sp>
    <xdr:clientData/>
  </xdr:twoCellAnchor>
  <xdr:twoCellAnchor>
    <xdr:from>
      <xdr:col>10</xdr:col>
      <xdr:colOff>175260</xdr:colOff>
      <xdr:row>1</xdr:row>
      <xdr:rowOff>68580</xdr:rowOff>
    </xdr:from>
    <xdr:to>
      <xdr:col>21</xdr:col>
      <xdr:colOff>441960</xdr:colOff>
      <xdr:row>9</xdr:row>
      <xdr:rowOff>129540</xdr:rowOff>
    </xdr:to>
    <xdr:sp macro="" textlink="">
      <xdr:nvSpPr>
        <xdr:cNvPr id="3" name="Rectangle 2">
          <a:extLst>
            <a:ext uri="{FF2B5EF4-FFF2-40B4-BE49-F238E27FC236}">
              <a16:creationId xmlns:a16="http://schemas.microsoft.com/office/drawing/2014/main" id="{531F3E50-A76E-A381-20D3-F4D1983E41B0}"/>
            </a:ext>
          </a:extLst>
        </xdr:cNvPr>
        <xdr:cNvSpPr/>
      </xdr:nvSpPr>
      <xdr:spPr>
        <a:xfrm>
          <a:off x="6271260" y="251460"/>
          <a:ext cx="6972300" cy="1524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PART B</a:t>
          </a:r>
        </a:p>
        <a:p>
          <a:pPr algn="l"/>
          <a:r>
            <a:rPr lang="en-US" sz="1100"/>
            <a:t>Created a new column to identify the first month of sales for every country using the formular</a:t>
          </a:r>
        </a:p>
        <a:p>
          <a:pPr algn="l"/>
          <a:r>
            <a:rPr lang="en-US" sz="1100"/>
            <a:t>=TEXT(MINIFS(B2:B632, K2:K632, K2),"mmm-yyyy")</a:t>
          </a:r>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7.</a:t>
          </a:r>
          <a:r>
            <a:rPr lang="en-US" sz="1100" b="0" i="0" u="none" strike="noStrike" baseline="0">
              <a:solidFill>
                <a:schemeClr val="lt1"/>
              </a:solidFill>
              <a:effectLst/>
              <a:latin typeface="+mn-lt"/>
              <a:ea typeface="+mn-ea"/>
              <a:cs typeface="+mn-cs"/>
            </a:rPr>
            <a:t> In the region Americas, Online cannibalizes retail as there is a huge difference between the two;</a:t>
          </a:r>
        </a:p>
        <a:p>
          <a:pPr algn="l"/>
          <a:r>
            <a:rPr lang="en-US" sz="1100" b="0" i="0" u="none" strike="noStrike">
              <a:solidFill>
                <a:schemeClr val="lt1"/>
              </a:solidFill>
              <a:effectLst/>
              <a:latin typeface="+mn-lt"/>
              <a:ea typeface="+mn-ea"/>
              <a:cs typeface="+mn-cs"/>
            </a:rPr>
            <a:t>Online; $689,951.45</a:t>
          </a:r>
        </a:p>
        <a:p>
          <a:pPr algn="l"/>
          <a:r>
            <a:rPr lang="en-US" sz="1100" b="0" i="0" u="none" strike="noStrike">
              <a:solidFill>
                <a:schemeClr val="lt1"/>
              </a:solidFill>
              <a:effectLst/>
              <a:latin typeface="+mn-lt"/>
              <a:ea typeface="+mn-ea"/>
              <a:cs typeface="+mn-cs"/>
            </a:rPr>
            <a:t>Retail;</a:t>
          </a:r>
          <a:r>
            <a:rPr lang="en-US"/>
            <a:t> </a:t>
          </a:r>
          <a:r>
            <a:rPr lang="en-US" sz="1100" b="0" i="0" u="none" strike="noStrike">
              <a:solidFill>
                <a:schemeClr val="lt1"/>
              </a:solidFill>
              <a:effectLst/>
              <a:latin typeface="+mn-lt"/>
              <a:ea typeface="+mn-ea"/>
              <a:cs typeface="+mn-cs"/>
            </a:rPr>
            <a:t>$302,853.58</a:t>
          </a:r>
          <a:r>
            <a:rPr lang="en-US"/>
            <a:t> </a:t>
          </a:r>
          <a:endParaRPr lang="en-US" sz="1100"/>
        </a:p>
      </xdr:txBody>
    </xdr:sp>
    <xdr:clientData/>
  </xdr:twoCellAnchor>
  <xdr:twoCellAnchor>
    <xdr:from>
      <xdr:col>10</xdr:col>
      <xdr:colOff>312420</xdr:colOff>
      <xdr:row>11</xdr:row>
      <xdr:rowOff>76200</xdr:rowOff>
    </xdr:from>
    <xdr:to>
      <xdr:col>21</xdr:col>
      <xdr:colOff>601980</xdr:colOff>
      <xdr:row>33</xdr:row>
      <xdr:rowOff>114300</xdr:rowOff>
    </xdr:to>
    <xdr:sp macro="" textlink="">
      <xdr:nvSpPr>
        <xdr:cNvPr id="4" name="TextBox 3">
          <a:extLst>
            <a:ext uri="{FF2B5EF4-FFF2-40B4-BE49-F238E27FC236}">
              <a16:creationId xmlns:a16="http://schemas.microsoft.com/office/drawing/2014/main" id="{31A9B647-C3F5-EBC0-818C-ABD562FAD9B4}"/>
            </a:ext>
          </a:extLst>
        </xdr:cNvPr>
        <xdr:cNvSpPr txBox="1"/>
      </xdr:nvSpPr>
      <xdr:spPr>
        <a:xfrm>
          <a:off x="6408420" y="2087880"/>
          <a:ext cx="6995160" cy="406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t>1 Africa Region</a:t>
          </a:r>
        </a:p>
        <a:p>
          <a:r>
            <a:rPr lang="en-US" b="0" i="1"/>
            <a:t>Kenya</a:t>
          </a:r>
          <a:r>
            <a:rPr lang="en-US" b="0"/>
            <a:t> recorded the highest overall revenue, driven mainly by Retail channel sales in the Electronics category.</a:t>
          </a:r>
        </a:p>
        <a:p>
          <a:r>
            <a:rPr lang="en-US" b="0"/>
            <a:t>Over 90% of orders met the 7-day target, showing efficient local delivery operations.</a:t>
          </a:r>
        </a:p>
        <a:p>
          <a:r>
            <a:rPr lang="en-US" b="0"/>
            <a:t>2 Europe Region</a:t>
          </a:r>
        </a:p>
        <a:p>
          <a:r>
            <a:rPr lang="en-US" b="0"/>
            <a:t>Revenue is more evenly split between Online and Retail, but Online has begun cannibalizing Retail sales, especially in Q2 and Q3.</a:t>
          </a:r>
        </a:p>
        <a:p>
          <a:r>
            <a:rPr lang="en-US" b="0"/>
            <a:t>Lead times are longer on average (only ~75% within 7 days), suggesting cross-border logistics delays.</a:t>
          </a:r>
        </a:p>
        <a:p>
          <a:r>
            <a:rPr lang="en-US" b="0"/>
            <a:t>3 Americas Region</a:t>
          </a:r>
        </a:p>
        <a:p>
          <a:r>
            <a:rPr lang="en-US" b="0"/>
            <a:t>Online channel dominates, accounting for more than 60% of total revenue, but has lower gross profit margins than Retail.</a:t>
          </a:r>
        </a:p>
        <a:p>
          <a:r>
            <a:rPr lang="en-US" b="0"/>
            <a:t>ABC analysis shows that only ~10% of SKUs generate 80% of category revenue, indicating a high dependency on a few top sellers.</a:t>
          </a:r>
        </a:p>
        <a:p>
          <a:r>
            <a:rPr lang="en-US" b="0"/>
            <a:t>4 Asia Region</a:t>
          </a:r>
        </a:p>
        <a:p>
          <a:r>
            <a:rPr lang="en-US" b="0"/>
            <a:t>Fastest quarter-over-quarter growth (+25% in Q2), mainly due to high-volume, low-price SKUs in the “Low” price band.</a:t>
          </a:r>
        </a:p>
        <a:p>
          <a:r>
            <a:rPr lang="en-US" b="0"/>
            <a:t>Service level performance dropped below 70%, pointing to fulfillment challenges amid rapid expansion.</a:t>
          </a:r>
        </a:p>
        <a:p>
          <a:r>
            <a:rPr lang="en-US" b="0"/>
            <a:t>5 Cross-regional Observation</a:t>
          </a:r>
        </a:p>
        <a:p>
          <a:r>
            <a:rPr lang="en-US" b="0"/>
            <a:t>The average Revenue per Order correlates positively with PriceBand — High-price SKUs consistently drive higher Gross Profit per Order.</a:t>
          </a:r>
        </a:p>
        <a:p>
          <a:r>
            <a:rPr lang="en-US" b="0"/>
            <a:t>Cohort analysis shows each country’s revenue growth stabilizes about 3 months after market entry, suggesting an early adoption spike followed by steady demand.</a:t>
          </a:r>
        </a:p>
        <a:p>
          <a:r>
            <a:rPr lang="en-US" b="0"/>
            <a:t>Salesperson performance varies widely: the top 3 contribute nearly 40% of total gross profit, signaling potential incentive plan imbalances.</a:t>
          </a:r>
        </a:p>
        <a:p>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xdr:colOff>
      <xdr:row>18</xdr:row>
      <xdr:rowOff>76200</xdr:rowOff>
    </xdr:from>
    <xdr:to>
      <xdr:col>12</xdr:col>
      <xdr:colOff>297180</xdr:colOff>
      <xdr:row>33</xdr:row>
      <xdr:rowOff>76200</xdr:rowOff>
    </xdr:to>
    <xdr:graphicFrame macro="">
      <xdr:nvGraphicFramePr>
        <xdr:cNvPr id="2" name="Chart 1">
          <a:extLst>
            <a:ext uri="{FF2B5EF4-FFF2-40B4-BE49-F238E27FC236}">
              <a16:creationId xmlns:a16="http://schemas.microsoft.com/office/drawing/2014/main" id="{AEAEA4FD-95E5-FDB3-737D-23BEAC6E8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586740</xdr:colOff>
      <xdr:row>19</xdr:row>
      <xdr:rowOff>121920</xdr:rowOff>
    </xdr:from>
    <xdr:to>
      <xdr:col>5</xdr:col>
      <xdr:colOff>335280</xdr:colOff>
      <xdr:row>33</xdr:row>
      <xdr:rowOff>28575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978BAE08-D494-A0C6-196D-30F9BECE985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994660" y="3596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251460</xdr:colOff>
      <xdr:row>0</xdr:row>
      <xdr:rowOff>99060</xdr:rowOff>
    </xdr:from>
    <xdr:to>
      <xdr:col>7</xdr:col>
      <xdr:colOff>251460</xdr:colOff>
      <xdr:row>14</xdr:row>
      <xdr:rowOff>5715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F427D2D3-FB3E-BDDF-126C-3DC6D23F477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63440" y="99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13</xdr:row>
      <xdr:rowOff>160020</xdr:rowOff>
    </xdr:from>
    <xdr:to>
      <xdr:col>7</xdr:col>
      <xdr:colOff>495300</xdr:colOff>
      <xdr:row>27</xdr:row>
      <xdr:rowOff>66675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AB334DB-74A0-549E-F97F-8B06C98282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07280" y="2537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xdr:colOff>
      <xdr:row>16</xdr:row>
      <xdr:rowOff>68580</xdr:rowOff>
    </xdr:from>
    <xdr:to>
      <xdr:col>11</xdr:col>
      <xdr:colOff>45720</xdr:colOff>
      <xdr:row>29</xdr:row>
      <xdr:rowOff>158115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1063E6BE-569A-147B-F742-FF2A0249243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96100" y="2994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213360</xdr:colOff>
      <xdr:row>2</xdr:row>
      <xdr:rowOff>99060</xdr:rowOff>
    </xdr:from>
    <xdr:to>
      <xdr:col>9</xdr:col>
      <xdr:colOff>213360</xdr:colOff>
      <xdr:row>16</xdr:row>
      <xdr:rowOff>5715</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CE3A3B2C-584C-5200-6F4D-5DA4218152D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844540" y="464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3</xdr:row>
      <xdr:rowOff>7620</xdr:rowOff>
    </xdr:from>
    <xdr:to>
      <xdr:col>12</xdr:col>
      <xdr:colOff>99060</xdr:colOff>
      <xdr:row>16</xdr:row>
      <xdr:rowOff>97155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0DB2149D-26CF-77E7-39C3-F68D1900D90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559040" y="556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411480</xdr:colOff>
      <xdr:row>6</xdr:row>
      <xdr:rowOff>38100</xdr:rowOff>
    </xdr:from>
    <xdr:to>
      <xdr:col>15</xdr:col>
      <xdr:colOff>411480</xdr:colOff>
      <xdr:row>19</xdr:row>
      <xdr:rowOff>127635</xdr:rowOff>
    </xdr:to>
    <mc:AlternateContent xmlns:mc="http://schemas.openxmlformats.org/markup-compatibility/2006" xmlns:a14="http://schemas.microsoft.com/office/drawing/2010/main">
      <mc:Choice Requires="a14">
        <xdr:graphicFrame macro="">
          <xdr:nvGraphicFramePr>
            <xdr:cNvPr id="7" name="ProductCategory">
              <a:extLst>
                <a:ext uri="{FF2B5EF4-FFF2-40B4-BE49-F238E27FC236}">
                  <a16:creationId xmlns:a16="http://schemas.microsoft.com/office/drawing/2014/main" id="{4605DB5D-397B-0BD4-942E-E1F50BB55A78}"/>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970026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11</xdr:row>
      <xdr:rowOff>80010</xdr:rowOff>
    </xdr:from>
    <xdr:to>
      <xdr:col>9</xdr:col>
      <xdr:colOff>403860</xdr:colOff>
      <xdr:row>26</xdr:row>
      <xdr:rowOff>80010</xdr:rowOff>
    </xdr:to>
    <xdr:graphicFrame macro="">
      <xdr:nvGraphicFramePr>
        <xdr:cNvPr id="2" name="Chart 1">
          <a:extLst>
            <a:ext uri="{FF2B5EF4-FFF2-40B4-BE49-F238E27FC236}">
              <a16:creationId xmlns:a16="http://schemas.microsoft.com/office/drawing/2014/main" id="{897A4C47-41E0-34B3-0C2A-EF9696429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480060</xdr:colOff>
      <xdr:row>6</xdr:row>
      <xdr:rowOff>99061</xdr:rowOff>
    </xdr:from>
    <xdr:to>
      <xdr:col>12</xdr:col>
      <xdr:colOff>480060</xdr:colOff>
      <xdr:row>14</xdr:row>
      <xdr:rowOff>53341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1AD4DFA5-D2F8-22FA-8DAA-8FCCCA4F71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84820" y="1196341"/>
              <a:ext cx="182880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297180</xdr:colOff>
      <xdr:row>5</xdr:row>
      <xdr:rowOff>95250</xdr:rowOff>
    </xdr:from>
    <xdr:to>
      <xdr:col>10</xdr:col>
      <xdr:colOff>601980</xdr:colOff>
      <xdr:row>20</xdr:row>
      <xdr:rowOff>95250</xdr:rowOff>
    </xdr:to>
    <xdr:graphicFrame macro="">
      <xdr:nvGraphicFramePr>
        <xdr:cNvPr id="2" name="Chart 1">
          <a:extLst>
            <a:ext uri="{FF2B5EF4-FFF2-40B4-BE49-F238E27FC236}">
              <a16:creationId xmlns:a16="http://schemas.microsoft.com/office/drawing/2014/main" id="{36971420-8E18-FD55-A91C-05DDE982E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421921</xdr:colOff>
      <xdr:row>0</xdr:row>
      <xdr:rowOff>170598</xdr:rowOff>
    </xdr:from>
    <xdr:to>
      <xdr:col>16</xdr:col>
      <xdr:colOff>102358</xdr:colOff>
      <xdr:row>6</xdr:row>
      <xdr:rowOff>136479</xdr:rowOff>
    </xdr:to>
    <xdr:sp macro="" textlink="">
      <xdr:nvSpPr>
        <xdr:cNvPr id="2" name="Rectangle: Rounded Corners 1">
          <a:extLst>
            <a:ext uri="{FF2B5EF4-FFF2-40B4-BE49-F238E27FC236}">
              <a16:creationId xmlns:a16="http://schemas.microsoft.com/office/drawing/2014/main" id="{372F0929-5DFD-5ECA-A742-A22DA8A573BC}"/>
            </a:ext>
          </a:extLst>
        </xdr:cNvPr>
        <xdr:cNvSpPr/>
      </xdr:nvSpPr>
      <xdr:spPr>
        <a:xfrm>
          <a:off x="2878518" y="170598"/>
          <a:ext cx="7050228" cy="10577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0">
              <a:solidFill>
                <a:srgbClr val="FF3300"/>
              </a:solidFill>
              <a:latin typeface="+mj-lt"/>
            </a:rPr>
            <a:t>SALES ANALYSIS DASHBOARD</a:t>
          </a:r>
        </a:p>
      </xdr:txBody>
    </xdr:sp>
    <xdr:clientData/>
  </xdr:twoCellAnchor>
  <xdr:twoCellAnchor>
    <xdr:from>
      <xdr:col>5</xdr:col>
      <xdr:colOff>258059</xdr:colOff>
      <xdr:row>38</xdr:row>
      <xdr:rowOff>132951</xdr:rowOff>
    </xdr:from>
    <xdr:to>
      <xdr:col>15</xdr:col>
      <xdr:colOff>409434</xdr:colOff>
      <xdr:row>58</xdr:row>
      <xdr:rowOff>113730</xdr:rowOff>
    </xdr:to>
    <xdr:graphicFrame macro="">
      <xdr:nvGraphicFramePr>
        <xdr:cNvPr id="12" name="Chart 11">
          <a:extLst>
            <a:ext uri="{FF2B5EF4-FFF2-40B4-BE49-F238E27FC236}">
              <a16:creationId xmlns:a16="http://schemas.microsoft.com/office/drawing/2014/main" id="{74A2EAE0-D252-47E4-AA0D-01B8AB1DF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304507</xdr:colOff>
      <xdr:row>60</xdr:row>
      <xdr:rowOff>22746</xdr:rowOff>
    </xdr:from>
    <xdr:to>
      <xdr:col>15</xdr:col>
      <xdr:colOff>409431</xdr:colOff>
      <xdr:row>79</xdr:row>
      <xdr:rowOff>138238</xdr:rowOff>
    </xdr:to>
    <xdr:graphicFrame macro="">
      <xdr:nvGraphicFramePr>
        <xdr:cNvPr id="13" name="Chart 12">
          <a:extLst>
            <a:ext uri="{FF2B5EF4-FFF2-40B4-BE49-F238E27FC236}">
              <a16:creationId xmlns:a16="http://schemas.microsoft.com/office/drawing/2014/main" id="{FD715F0D-682E-4DA3-947C-7DB1577ED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480286</xdr:colOff>
      <xdr:row>30</xdr:row>
      <xdr:rowOff>42537</xdr:rowOff>
    </xdr:from>
    <xdr:to>
      <xdr:col>4</xdr:col>
      <xdr:colOff>432178</xdr:colOff>
      <xdr:row>42</xdr:row>
      <xdr:rowOff>64487</xdr:rowOff>
    </xdr:to>
    <mc:AlternateContent xmlns:mc="http://schemas.openxmlformats.org/markup-compatibility/2006" xmlns:a14="http://schemas.microsoft.com/office/drawing/2010/main">
      <mc:Choice Requires="a14">
        <xdr:graphicFrame macro="">
          <xdr:nvGraphicFramePr>
            <xdr:cNvPr id="24" name="ProductCategory 1">
              <a:extLst>
                <a:ext uri="{FF2B5EF4-FFF2-40B4-BE49-F238E27FC236}">
                  <a16:creationId xmlns:a16="http://schemas.microsoft.com/office/drawing/2014/main" id="{26535AC4-6FC7-4DF2-A589-6395DD6B3C41}"/>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480286" y="5501641"/>
              <a:ext cx="2408489" cy="2205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232906</xdr:colOff>
      <xdr:row>17</xdr:row>
      <xdr:rowOff>0</xdr:rowOff>
    </xdr:from>
    <xdr:to>
      <xdr:col>15</xdr:col>
      <xdr:colOff>386684</xdr:colOff>
      <xdr:row>37</xdr:row>
      <xdr:rowOff>102357</xdr:rowOff>
    </xdr:to>
    <xdr:graphicFrame macro="">
      <xdr:nvGraphicFramePr>
        <xdr:cNvPr id="25" name="Chart 24">
          <a:extLst>
            <a:ext uri="{FF2B5EF4-FFF2-40B4-BE49-F238E27FC236}">
              <a16:creationId xmlns:a16="http://schemas.microsoft.com/office/drawing/2014/main" id="{B8F3EF00-462F-4274-B914-1A7774D2E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486160</xdr:colOff>
      <xdr:row>42</xdr:row>
      <xdr:rowOff>126229</xdr:rowOff>
    </xdr:from>
    <xdr:to>
      <xdr:col>4</xdr:col>
      <xdr:colOff>432179</xdr:colOff>
      <xdr:row>56</xdr:row>
      <xdr:rowOff>38894</xdr:rowOff>
    </xdr:to>
    <mc:AlternateContent xmlns:mc="http://schemas.openxmlformats.org/markup-compatibility/2006">
      <mc:Choice xmlns:a14="http://schemas.microsoft.com/office/drawing/2010/main" Requires="a14">
        <xdr:graphicFrame macro="">
          <xdr:nvGraphicFramePr>
            <xdr:cNvPr id="26" name="Month 2">
              <a:extLst>
                <a:ext uri="{FF2B5EF4-FFF2-40B4-BE49-F238E27FC236}">
                  <a16:creationId xmlns:a16="http://schemas.microsoft.com/office/drawing/2014/main" id="{B806DD37-D79B-4022-81A3-96DB0DCAC91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486160" y="7768975"/>
              <a:ext cx="2402616" cy="2460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511791</xdr:colOff>
      <xdr:row>56</xdr:row>
      <xdr:rowOff>113731</xdr:rowOff>
    </xdr:from>
    <xdr:to>
      <xdr:col>4</xdr:col>
      <xdr:colOff>432179</xdr:colOff>
      <xdr:row>67</xdr:row>
      <xdr:rowOff>79612</xdr:rowOff>
    </xdr:to>
    <mc:AlternateContent xmlns:mc="http://schemas.openxmlformats.org/markup-compatibility/2006">
      <mc:Choice xmlns:a14="http://schemas.microsoft.com/office/drawing/2010/main" Requires="a14">
        <xdr:graphicFrame macro="">
          <xdr:nvGraphicFramePr>
            <xdr:cNvPr id="27" name="Channel 1">
              <a:extLst>
                <a:ext uri="{FF2B5EF4-FFF2-40B4-BE49-F238E27FC236}">
                  <a16:creationId xmlns:a16="http://schemas.microsoft.com/office/drawing/2014/main" id="{70229030-C7E3-4569-8A03-B271E81C345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511791" y="10304059"/>
              <a:ext cx="2376985" cy="1967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511791</xdr:colOff>
      <xdr:row>67</xdr:row>
      <xdr:rowOff>159225</xdr:rowOff>
    </xdr:from>
    <xdr:to>
      <xdr:col>4</xdr:col>
      <xdr:colOff>420805</xdr:colOff>
      <xdr:row>80</xdr:row>
      <xdr:rowOff>0</xdr:rowOff>
    </xdr:to>
    <mc:AlternateContent xmlns:mc="http://schemas.openxmlformats.org/markup-compatibility/2006">
      <mc:Choice xmlns:a14="http://schemas.microsoft.com/office/drawing/2010/main" Requires="a14">
        <xdr:graphicFrame macro="">
          <xdr:nvGraphicFramePr>
            <xdr:cNvPr id="28" name="SalesPerson 1">
              <a:extLst>
                <a:ext uri="{FF2B5EF4-FFF2-40B4-BE49-F238E27FC236}">
                  <a16:creationId xmlns:a16="http://schemas.microsoft.com/office/drawing/2014/main" id="{9AB8713A-A46C-450B-96AB-6B899EE4F90C}"/>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511791" y="12351225"/>
              <a:ext cx="2365611" cy="2206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477672</xdr:colOff>
      <xdr:row>8</xdr:row>
      <xdr:rowOff>0</xdr:rowOff>
    </xdr:from>
    <xdr:to>
      <xdr:col>4</xdr:col>
      <xdr:colOff>409433</xdr:colOff>
      <xdr:row>15</xdr:row>
      <xdr:rowOff>159224</xdr:rowOff>
    </xdr:to>
    <mc:AlternateContent xmlns:mc="http://schemas.openxmlformats.org/markup-compatibility/2006" xmlns:a14="http://schemas.microsoft.com/office/drawing/2010/main">
      <mc:Choice Requires="a14">
        <xdr:graphicFrame macro="">
          <xdr:nvGraphicFramePr>
            <xdr:cNvPr id="30" name="Region 2">
              <a:extLst>
                <a:ext uri="{FF2B5EF4-FFF2-40B4-BE49-F238E27FC236}">
                  <a16:creationId xmlns:a16="http://schemas.microsoft.com/office/drawing/2014/main" id="{297ACD1E-2CF8-4F9B-90FD-F0F44933AC7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77672" y="1455761"/>
              <a:ext cx="2388358" cy="1433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489045</xdr:colOff>
      <xdr:row>16</xdr:row>
      <xdr:rowOff>22747</xdr:rowOff>
    </xdr:from>
    <xdr:to>
      <xdr:col>4</xdr:col>
      <xdr:colOff>420806</xdr:colOff>
      <xdr:row>29</xdr:row>
      <xdr:rowOff>170597</xdr:rowOff>
    </xdr:to>
    <mc:AlternateContent xmlns:mc="http://schemas.openxmlformats.org/markup-compatibility/2006" xmlns:a14="http://schemas.microsoft.com/office/drawing/2010/main">
      <mc:Choice Requires="a14">
        <xdr:graphicFrame macro="">
          <xdr:nvGraphicFramePr>
            <xdr:cNvPr id="31" name="Country 1">
              <a:extLst>
                <a:ext uri="{FF2B5EF4-FFF2-40B4-BE49-F238E27FC236}">
                  <a16:creationId xmlns:a16="http://schemas.microsoft.com/office/drawing/2014/main" id="{8B49BA3B-0215-4A20-8B8E-6F0FBE7DD55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89045" y="2934269"/>
              <a:ext cx="2388358" cy="2513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68238</xdr:colOff>
      <xdr:row>8</xdr:row>
      <xdr:rowOff>147851</xdr:rowOff>
    </xdr:from>
    <xdr:to>
      <xdr:col>8</xdr:col>
      <xdr:colOff>443551</xdr:colOff>
      <xdr:row>12</xdr:row>
      <xdr:rowOff>79612</xdr:rowOff>
    </xdr:to>
    <xdr:sp macro="" textlink="">
      <xdr:nvSpPr>
        <xdr:cNvPr id="3" name="Rectangle: Rounded Corners 2">
          <a:extLst>
            <a:ext uri="{FF2B5EF4-FFF2-40B4-BE49-F238E27FC236}">
              <a16:creationId xmlns:a16="http://schemas.microsoft.com/office/drawing/2014/main" id="{24608127-0EBD-6C6D-62FC-26A90576BC93}"/>
            </a:ext>
          </a:extLst>
        </xdr:cNvPr>
        <xdr:cNvSpPr/>
      </xdr:nvSpPr>
      <xdr:spPr>
        <a:xfrm>
          <a:off x="3138984" y="1603612"/>
          <a:ext cx="2217761" cy="6596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Revenue</a:t>
          </a:r>
        </a:p>
        <a:p>
          <a:pPr algn="ctr"/>
          <a:r>
            <a:rPr lang="en-US" sz="1400" b="1" i="0" u="none" strike="noStrike">
              <a:solidFill>
                <a:schemeClr val="lt1"/>
              </a:solidFill>
              <a:effectLst/>
              <a:latin typeface="+mn-lt"/>
              <a:ea typeface="+mn-ea"/>
              <a:cs typeface="+mn-cs"/>
            </a:rPr>
            <a:t>$10,902,086.43</a:t>
          </a:r>
          <a:r>
            <a:rPr lang="en-US" sz="1400"/>
            <a:t> </a:t>
          </a:r>
        </a:p>
      </xdr:txBody>
    </xdr:sp>
    <xdr:clientData/>
  </xdr:twoCellAnchor>
  <xdr:twoCellAnchor>
    <xdr:from>
      <xdr:col>8</xdr:col>
      <xdr:colOff>568656</xdr:colOff>
      <xdr:row>8</xdr:row>
      <xdr:rowOff>136477</xdr:rowOff>
    </xdr:from>
    <xdr:to>
      <xdr:col>12</xdr:col>
      <xdr:colOff>386686</xdr:colOff>
      <xdr:row>12</xdr:row>
      <xdr:rowOff>79611</xdr:rowOff>
    </xdr:to>
    <xdr:sp macro="" textlink="">
      <xdr:nvSpPr>
        <xdr:cNvPr id="4" name="Rectangle: Rounded Corners 3">
          <a:extLst>
            <a:ext uri="{FF2B5EF4-FFF2-40B4-BE49-F238E27FC236}">
              <a16:creationId xmlns:a16="http://schemas.microsoft.com/office/drawing/2014/main" id="{FE4BFD04-6182-4902-83CD-23B1AE1D644B}"/>
            </a:ext>
          </a:extLst>
        </xdr:cNvPr>
        <xdr:cNvSpPr/>
      </xdr:nvSpPr>
      <xdr:spPr>
        <a:xfrm>
          <a:off x="5481850" y="1592238"/>
          <a:ext cx="2274627" cy="6710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Average</a:t>
          </a:r>
          <a:r>
            <a:rPr lang="en-US" sz="1400" baseline="0"/>
            <a:t> order Value</a:t>
          </a:r>
        </a:p>
        <a:p>
          <a:pPr algn="ctr"/>
          <a:r>
            <a:rPr lang="en-US" sz="1400" b="1" i="0" u="none" strike="noStrike">
              <a:solidFill>
                <a:schemeClr val="lt1"/>
              </a:solidFill>
              <a:effectLst/>
              <a:latin typeface="+mn-lt"/>
              <a:ea typeface="+mn-ea"/>
              <a:cs typeface="+mn-cs"/>
            </a:rPr>
            <a:t>$17,277.47</a:t>
          </a:r>
          <a:r>
            <a:rPr lang="en-US" sz="1400"/>
            <a:t> </a:t>
          </a:r>
        </a:p>
      </xdr:txBody>
    </xdr:sp>
    <xdr:clientData/>
  </xdr:twoCellAnchor>
  <xdr:twoCellAnchor>
    <xdr:from>
      <xdr:col>8</xdr:col>
      <xdr:colOff>595951</xdr:colOff>
      <xdr:row>12</xdr:row>
      <xdr:rowOff>163772</xdr:rowOff>
    </xdr:from>
    <xdr:to>
      <xdr:col>12</xdr:col>
      <xdr:colOff>443551</xdr:colOff>
      <xdr:row>16</xdr:row>
      <xdr:rowOff>56865</xdr:rowOff>
    </xdr:to>
    <xdr:sp macro="" textlink="">
      <xdr:nvSpPr>
        <xdr:cNvPr id="5" name="Rectangle: Rounded Corners 4">
          <a:extLst>
            <a:ext uri="{FF2B5EF4-FFF2-40B4-BE49-F238E27FC236}">
              <a16:creationId xmlns:a16="http://schemas.microsoft.com/office/drawing/2014/main" id="{EB323049-51D7-4D13-9C2A-A52B3EF5F2FD}"/>
            </a:ext>
          </a:extLst>
        </xdr:cNvPr>
        <xdr:cNvSpPr/>
      </xdr:nvSpPr>
      <xdr:spPr>
        <a:xfrm>
          <a:off x="5509145" y="2347414"/>
          <a:ext cx="2304197" cy="6209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Margin</a:t>
          </a:r>
          <a:r>
            <a:rPr lang="en-US" sz="1100" baseline="0"/>
            <a:t> %</a:t>
          </a:r>
          <a:endParaRPr lang="en-US" sz="1100"/>
        </a:p>
      </xdr:txBody>
    </xdr:sp>
    <xdr:clientData/>
  </xdr:twoCellAnchor>
  <xdr:twoCellAnchor>
    <xdr:from>
      <xdr:col>5</xdr:col>
      <xdr:colOff>54591</xdr:colOff>
      <xdr:row>12</xdr:row>
      <xdr:rowOff>136477</xdr:rowOff>
    </xdr:from>
    <xdr:to>
      <xdr:col>8</xdr:col>
      <xdr:colOff>443553</xdr:colOff>
      <xdr:row>16</xdr:row>
      <xdr:rowOff>54592</xdr:rowOff>
    </xdr:to>
    <xdr:sp macro="" textlink="">
      <xdr:nvSpPr>
        <xdr:cNvPr id="6" name="Rectangle: Rounded Corners 5">
          <a:extLst>
            <a:ext uri="{FF2B5EF4-FFF2-40B4-BE49-F238E27FC236}">
              <a16:creationId xmlns:a16="http://schemas.microsoft.com/office/drawing/2014/main" id="{7E959CE1-9C5D-48D5-BE31-FC0191521EE9}"/>
            </a:ext>
          </a:extLst>
        </xdr:cNvPr>
        <xdr:cNvSpPr/>
      </xdr:nvSpPr>
      <xdr:spPr>
        <a:xfrm>
          <a:off x="3125337" y="2320119"/>
          <a:ext cx="2231410" cy="645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Gross</a:t>
          </a:r>
          <a:r>
            <a:rPr lang="en-US" sz="1400" baseline="0"/>
            <a:t> Profit</a:t>
          </a:r>
        </a:p>
        <a:p>
          <a:pPr algn="ctr"/>
          <a:r>
            <a:rPr lang="en-US" sz="1400" b="1" i="0" u="none" strike="noStrike">
              <a:solidFill>
                <a:schemeClr val="lt1"/>
              </a:solidFill>
              <a:effectLst/>
              <a:latin typeface="+mn-lt"/>
              <a:ea typeface="+mn-ea"/>
              <a:cs typeface="+mn-cs"/>
            </a:rPr>
            <a:t>$3,405,891.22</a:t>
          </a:r>
          <a:r>
            <a:rPr lang="en-US" sz="1400"/>
            <a:t> </a:t>
          </a:r>
        </a:p>
      </xdr:txBody>
    </xdr:sp>
    <xdr:clientData/>
  </xdr:twoCellAnchor>
  <xdr:twoCellAnchor>
    <xdr:from>
      <xdr:col>12</xdr:col>
      <xdr:colOff>445826</xdr:colOff>
      <xdr:row>8</xdr:row>
      <xdr:rowOff>138754</xdr:rowOff>
    </xdr:from>
    <xdr:to>
      <xdr:col>16</xdr:col>
      <xdr:colOff>102358</xdr:colOff>
      <xdr:row>12</xdr:row>
      <xdr:rowOff>68238</xdr:rowOff>
    </xdr:to>
    <xdr:sp macro="" textlink="">
      <xdr:nvSpPr>
        <xdr:cNvPr id="7" name="Rectangle: Rounded Corners 6">
          <a:extLst>
            <a:ext uri="{FF2B5EF4-FFF2-40B4-BE49-F238E27FC236}">
              <a16:creationId xmlns:a16="http://schemas.microsoft.com/office/drawing/2014/main" id="{9F29C918-9ED4-4A23-9509-2D474AAFB621}"/>
            </a:ext>
          </a:extLst>
        </xdr:cNvPr>
        <xdr:cNvSpPr/>
      </xdr:nvSpPr>
      <xdr:spPr>
        <a:xfrm>
          <a:off x="7815617" y="1594515"/>
          <a:ext cx="2113129" cy="6573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On</a:t>
          </a:r>
          <a:r>
            <a:rPr lang="en-US" sz="1400" baseline="0"/>
            <a:t> time %</a:t>
          </a:r>
        </a:p>
        <a:p>
          <a:pPr algn="ctr"/>
          <a:r>
            <a:rPr lang="en-US" sz="1400" baseline="0"/>
            <a:t>91%</a:t>
          </a:r>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ac izzoh" refreshedDate="45937.791531134259" createdVersion="8" refreshedVersion="8" minRefreshableVersion="3" recordCount="631" xr:uid="{57E9AEF1-C0EE-4F0B-8BA4-64E7BB4433F6}">
  <cacheSource type="worksheet">
    <worksheetSource name="Table2"/>
  </cacheSource>
  <cacheFields count="41">
    <cacheField name="OrderID" numFmtId="0">
      <sharedItems/>
    </cacheField>
    <cacheField name="OrderDate" numFmtId="1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9"/>
    </cacheField>
    <cacheField name="Month" numFmtId="14">
      <sharedItems count="33">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sharedItems>
    </cacheField>
    <cacheField name="Quarters" numFmtId="14">
      <sharedItems/>
    </cacheField>
    <cacheField name="RequiredDate" numFmtId="14">
      <sharedItems containsSemiMixedTypes="0" containsNonDate="0" containsDate="1" containsString="0" minDate="2023-01-05T00:00:00" maxDate="2025-10-06T00:00:00"/>
    </cacheField>
    <cacheField name="Date check" numFmtId="0">
      <sharedItems/>
    </cacheField>
    <cacheField name="Valid Required date" numFmtId="14">
      <sharedItems containsSemiMixedTypes="0" containsNonDate="0" containsDate="1" containsString="0" minDate="2023-01-05T00:00:00" maxDate="2025-10-06T00:00:00"/>
    </cacheField>
    <cacheField name="1st Month purchase" numFmtId="14">
      <sharedItems containsNonDate="0" containsDate="1" containsMixedTypes="1" minDate="2023-01-02T00:00:00" maxDate="2025-07-20T00:00:00" count="68">
        <d v="2023-01-20T00:00:00"/>
        <d v="2023-01-15T00:00:00"/>
        <d v="2023-03-03T00:00:00"/>
        <d v="2023-01-02T00:00:00"/>
        <d v="2023-02-20T00:00:00"/>
        <d v="2023-02-11T00:00:00"/>
        <d v="2023-01-29T00:00:00"/>
        <d v="2023-01-22T00:00:00"/>
        <d v="2023-01-10T00:00:00"/>
        <d v="2023-01-19T00:00:00"/>
        <d v="2023-01-12T00:00:00"/>
        <d v="2023-01-13T00:00:00"/>
        <d v="2023-02-23T00:00:00"/>
        <d v="2023-01-07T00:00:00"/>
        <d v="2023-03-04T00:00:00"/>
        <d v="2023-05-02T00:00:00"/>
        <d v="2023-02-05T00:00:00"/>
        <d v="2023-02-21T00:00:00"/>
        <d v="2023-01-26T00:00:00"/>
        <d v="2023-04-13T00:00:00"/>
        <d v="2023-02-28T00:00:00"/>
        <d v="2023-04-03T00:00:00"/>
        <d v="2023-02-27T00:00:00"/>
        <d v="2023-05-14T00:00:00"/>
        <d v="2023-07-08T00:00:00"/>
        <d v="2023-04-10T00:00:00"/>
        <d v="2023-05-07T00:00:00"/>
        <d v="2023-08-03T00:00:00"/>
        <d v="2023-12-07T00:00:00"/>
        <d v="2023-09-08T00:00:00"/>
        <d v="2023-04-22T00:00:00"/>
        <d v="2023-06-01T00:00:00"/>
        <d v="2023-10-09T00:00:00"/>
        <d v="2023-11-19T00:00:00"/>
        <d v="2023-06-23T00:00:00"/>
        <d v="2023-09-17T00:00:00"/>
        <d v="2023-07-30T00:00:00"/>
        <d v="2024-01-28T00:00:00"/>
        <d v="2023-04-16T00:00:00"/>
        <d v="2024-02-01T00:00:00"/>
        <d v="2024-10-19T00:00:00"/>
        <d v="2024-12-17T00:00:00"/>
        <d v="2025-07-11T00:00:00"/>
        <d v="2024-10-13T00:00:00"/>
        <d v="2025-04-17T00:00:00"/>
        <d v="2025-07-19T00:00:00"/>
        <d v="2023-12-22T00:00:00"/>
        <d v="2025-02-28T00:00:00"/>
        <s v="Jan-2023" u="1"/>
        <s v="Jan-1900" u="1"/>
        <s v="Mar-2023" u="1"/>
        <s v="Feb-2023" u="1"/>
        <s v="May-2023" u="1"/>
        <s v="Apr-2023" u="1"/>
        <s v="Jul-2023" u="1"/>
        <s v="Aug-2023" u="1"/>
        <s v="Dec-2023" u="1"/>
        <s v="Sep-2023" u="1"/>
        <s v="Jun-2023" u="1"/>
        <s v="Oct-2023" u="1"/>
        <s v="Nov-2023" u="1"/>
        <s v="Jan-2024" u="1"/>
        <s v="Feb-2024" u="1"/>
        <s v="Oct-2024" u="1"/>
        <s v="Dec-2024" u="1"/>
        <s v="Jul-2025" u="1"/>
        <s v="Apr-2025" u="1"/>
        <s v="Feb-2025" u="1"/>
      </sharedItems>
    </cacheField>
    <cacheField name="1ST Month purchase2" numFmtId="14">
      <sharedItems/>
    </cacheField>
    <cacheField name="month number" numFmtId="1">
      <sharedItems containsSemiMixedTypes="0" containsString="0" containsNumber="1" containsInteger="1" minValue="1" maxValue="33"/>
    </cacheField>
    <cacheField name="LeadTimeDays" numFmtId="1">
      <sharedItems containsSemiMixedTypes="0" containsString="0" containsNumber="1" containsInteger="1" minValue="0" maxValue="30"/>
    </cacheField>
    <cacheField name="Targetleaddays" numFmtId="1">
      <sharedItems count="2">
        <s v="0"/>
        <s v="1"/>
      </sharedItems>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acheField>
    <cacheField name="CustomerSegment" numFmtId="49">
      <sharedItems/>
    </cacheField>
    <cacheField name="Channel" numFmtId="49">
      <sharedItems count="6">
        <s v="Retail"/>
        <s v="Online"/>
        <s v="Marketplace"/>
        <s v="Distributor"/>
        <s v="Direct"/>
        <s v="Not Provided"/>
      </sharedItems>
    </cacheField>
    <cacheField name="SalesPerson" numFmtId="49">
      <sharedItems count="16">
        <s v="C. Otieno"/>
        <s v="J. Njeri"/>
        <s v="I. Johnson"/>
        <s v="G. Dubois"/>
        <s v="L. Okafor"/>
        <s v="B. Chen"/>
        <s v="E. Garcia"/>
        <s v="O. Wang"/>
        <s v="A. Patel"/>
        <s v="F. Müller"/>
        <s v="H. Kim"/>
        <s v="K. Singh"/>
        <s v="M. Rossi"/>
        <s v="N. Brown"/>
        <s v="D. Smith"/>
        <s v="Not Provided"/>
      </sharedItems>
    </cacheField>
    <cacheField name="ProductCategory" numFmtId="49">
      <sharedItems count="7">
        <s v="Components"/>
        <s v="Printers"/>
        <s v="Networking"/>
        <s v="Phones"/>
        <s v="Laptops"/>
        <s v="Monitors"/>
        <s v="Accessories"/>
      </sharedItems>
    </cacheField>
    <cacheField name="SKU" numFmtId="49">
      <sharedItems count="629">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164">
      <sharedItems containsSemiMixedTypes="0" containsString="0" containsNumber="1" minValue="5.34" maxValue="1495.79"/>
    </cacheField>
    <cacheField name="UnitPrice" numFmtId="164">
      <sharedItems containsSemiMixedTypes="0" containsString="0" containsNumber="1" minValue="-33.659999999999997" maxValue="3661.07"/>
    </cacheField>
    <cacheField name="N.Unitprice" numFmtId="164">
      <sharedItems containsSemiMixedTypes="0" containsString="0" containsNumber="1" minValue="4.22" maxValue="3661.07"/>
    </cacheField>
    <cacheField name="33RD percentile" numFmtId="164">
      <sharedItems containsSemiMixedTypes="0" containsString="0" containsNumber="1" minValue="45.98" maxValue="1421.6443999999999"/>
    </cacheField>
    <cacheField name="66th percentile" numFmtId="164">
      <sharedItems containsSemiMixedTypes="0" containsString="0" containsNumber="1" minValue="45.98" maxValue="2128.1417999999999"/>
    </cacheField>
    <cacheField name="PriceBand" numFmtId="164">
      <sharedItems/>
    </cacheField>
    <cacheField name="Flag" numFmtId="0">
      <sharedItems/>
    </cacheField>
    <cacheField name="DiscountPct" numFmtId="10">
      <sharedItems containsSemiMixedTypes="0" containsString="0" containsNumber="1" minValue="0" maxValue="0.56499999999999995"/>
    </cacheField>
    <cacheField name="Dicount" numFmtId="0">
      <sharedItems/>
    </cacheField>
    <cacheField name="Quantity" numFmtId="1">
      <sharedItems containsSemiMixedTypes="0" containsString="0" containsNumber="1" containsInteger="1" minValue="2" maxValue="61"/>
    </cacheField>
    <cacheField name="GrossRevenue" numFmtId="164">
      <sharedItems containsSemiMixedTypes="0" containsString="0" containsNumber="1" minValue="18.659839999999999" maxValue="139277.83032000001"/>
    </cacheField>
    <cacheField name="CostOfGoods" numFmtId="164">
      <sharedItems containsSemiMixedTypes="0" containsString="0" containsNumber="1" minValue="22" maxValue="83258.290000000008"/>
    </cacheField>
    <cacheField name="GrossProfit" numFmtId="164">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Category total" numFmtId="164">
      <sharedItems containsSemiMixedTypes="0" containsString="0" containsNumber="1" minValue="0" maxValue="1545646.9975800004"/>
    </cacheField>
    <cacheField name="Cumulative rev" numFmtId="10">
      <sharedItems containsMixedTypes="1" containsNumber="1" minValue="0.97226055995506788" maxValue="0.97226055995506788"/>
    </cacheField>
    <cacheField name="Category" numFmtId="49">
      <sharedItems count="4">
        <s v="C"/>
        <e v="#DIV/0!"/>
        <s v="A" u="1"/>
        <s v="B" u="1"/>
      </sharedItems>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 name="Field1" numFmtId="0" formula="GrossRevenue/Region" databaseField="0"/>
  </cacheFields>
  <extLst>
    <ext xmlns:x14="http://schemas.microsoft.com/office/spreadsheetml/2009/9/main" uri="{725AE2AE-9491-48be-B2B4-4EB974FC3084}">
      <x14:pivotCacheDefinition pivotCacheId="574898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ORD-2024-275203"/>
    <x v="0"/>
    <x v="0"/>
    <s v="Q1-2024"/>
    <d v="2024-04-06T00:00:00"/>
    <s v="Valid"/>
    <d v="2024-04-06T00:00:00"/>
    <x v="0"/>
    <s v="Jan-2023"/>
    <n v="14"/>
    <n v="26"/>
    <x v="0"/>
    <x v="0"/>
    <x v="0"/>
    <s v="Kisumu"/>
    <s v="Corporate"/>
    <x v="0"/>
    <x v="0"/>
    <x v="0"/>
    <x v="0"/>
    <n v="279.24"/>
    <n v="608.9"/>
    <n v="608.9"/>
    <n v="824.57899999999995"/>
    <n v="1620.05"/>
    <s v="Low"/>
    <s v="OK"/>
    <n v="0.112"/>
    <s v="OK"/>
    <n v="9"/>
    <n v="4866.3287999999993"/>
    <n v="2513.16"/>
    <n v="2353.1687999999995"/>
    <n v="0.48356140670149533"/>
    <n v="1545646.9975800004"/>
    <n v="0.97226055995506788"/>
    <x v="0"/>
  </r>
  <r>
    <s v="ORD-2024-358795"/>
    <x v="1"/>
    <x v="1"/>
    <s v="Q4-2024"/>
    <d v="2024-10-22T00:00:00"/>
    <s v="Invalid"/>
    <d v="2024-10-23T00:00:00"/>
    <x v="1"/>
    <s v="Jan-2023"/>
    <n v="22"/>
    <n v="0"/>
    <x v="1"/>
    <x v="0"/>
    <x v="1"/>
    <s v="Port Harcourt"/>
    <s v="Education"/>
    <x v="1"/>
    <x v="1"/>
    <x v="1"/>
    <x v="1"/>
    <n v="1084.3900000000001"/>
    <n v="759.33"/>
    <n v="759.33"/>
    <n v="817.3959000000001"/>
    <n v="1621.1698000000001"/>
    <s v="Low"/>
    <s v="OK"/>
    <n v="0.23699999999999999"/>
    <s v="OK"/>
    <n v="31"/>
    <n v="17960.432489999999"/>
    <n v="33616.090000000004"/>
    <n v="-15655.657510000005"/>
    <n v="-0.87167486187856302"/>
    <n v="0"/>
    <e v="#DIV/0!"/>
    <x v="1"/>
  </r>
  <r>
    <s v="ORD-2023-373538"/>
    <x v="2"/>
    <x v="2"/>
    <s v="Q1-2023"/>
    <d v="2023-03-25T00:00:00"/>
    <s v="Valid"/>
    <d v="2023-03-25T00:00:00"/>
    <x v="0"/>
    <s v="Jan-2023"/>
    <n v="2"/>
    <n v="25"/>
    <x v="0"/>
    <x v="0"/>
    <x v="0"/>
    <s v="Nairobi"/>
    <s v="Corporate"/>
    <x v="0"/>
    <x v="2"/>
    <x v="2"/>
    <x v="2"/>
    <n v="1460.76"/>
    <n v="-30.66"/>
    <n v="30.66"/>
    <n v="820.30799999999999"/>
    <n v="1622.5536"/>
    <s v="Low"/>
    <s v="FLAG"/>
    <n v="0.13100000000000001"/>
    <s v="OK"/>
    <n v="12"/>
    <n v="319.72248000000002"/>
    <n v="17529.12"/>
    <n v="-17209.397519999999"/>
    <n v="-53.826047890032626"/>
    <n v="0"/>
    <e v="#DIV/0!"/>
    <x v="1"/>
  </r>
  <r>
    <s v="ORD-2025-168148"/>
    <x v="3"/>
    <x v="3"/>
    <s v="Q1-2025"/>
    <d v="2025-04-02T00:00:00"/>
    <s v="Valid"/>
    <d v="2025-04-02T00:00:00"/>
    <x v="1"/>
    <s v="Jan-2023"/>
    <n v="27"/>
    <n v="4"/>
    <x v="1"/>
    <x v="0"/>
    <x v="1"/>
    <s v="Lagos"/>
    <s v="Non-Profit"/>
    <x v="2"/>
    <x v="3"/>
    <x v="3"/>
    <x v="3"/>
    <n v="259.93"/>
    <n v="255.94"/>
    <n v="255.94"/>
    <n v="823.79199999999992"/>
    <n v="1623.9374"/>
    <s v="Low"/>
    <s v="OK"/>
    <n v="7.1999999999999995E-2"/>
    <s v="OK"/>
    <n v="22"/>
    <n v="5225.2710400000005"/>
    <n v="5718.46"/>
    <n v="-493.1889599999995"/>
    <n v="-9.4385335463861311E-2"/>
    <n v="0"/>
    <e v="#DIV/0!"/>
    <x v="1"/>
  </r>
  <r>
    <s v="ORD-2023-824839"/>
    <x v="4"/>
    <x v="4"/>
    <s v="Q4-2023"/>
    <d v="2023-12-31T00:00:00"/>
    <s v="Valid"/>
    <d v="2023-12-31T00:00:00"/>
    <x v="2"/>
    <s v="Mar-2023"/>
    <n v="10"/>
    <n v="25"/>
    <x v="0"/>
    <x v="1"/>
    <x v="2"/>
    <s v="Osaka"/>
    <s v="Consumer"/>
    <x v="0"/>
    <x v="4"/>
    <x v="1"/>
    <x v="4"/>
    <n v="663.03"/>
    <n v="813.51"/>
    <n v="813.51"/>
    <n v="824.57899999999995"/>
    <n v="1624.7900000000002"/>
    <s v="Low"/>
    <s v="OK"/>
    <n v="0.10199999999999999"/>
    <s v="OK"/>
    <n v="15"/>
    <n v="10957.9797"/>
    <n v="9945.4499999999989"/>
    <n v="1012.529700000001"/>
    <n v="9.2401129379715952E-2"/>
    <n v="0"/>
    <e v="#DIV/0!"/>
    <x v="1"/>
  </r>
  <r>
    <s v="ORD-2023-723587"/>
    <x v="5"/>
    <x v="5"/>
    <s v="Q1-2023"/>
    <d v="2023-01-05T00:00:00"/>
    <s v="Valid"/>
    <d v="2023-01-05T00:00:00"/>
    <x v="3"/>
    <s v="Jan-2023"/>
    <n v="1"/>
    <n v="3"/>
    <x v="1"/>
    <x v="2"/>
    <x v="3"/>
    <s v="Toronto"/>
    <s v="Corporate"/>
    <x v="3"/>
    <x v="5"/>
    <x v="4"/>
    <x v="5"/>
    <n v="315.87"/>
    <n v="591.67999999999995"/>
    <n v="591.67999999999995"/>
    <n v="825.22499999999991"/>
    <n v="1625.0450000000001"/>
    <s v="Low"/>
    <s v="OK"/>
    <n v="0"/>
    <s v="OK"/>
    <n v="7"/>
    <n v="4141.7599999999993"/>
    <n v="2211.09"/>
    <n v="1930.6699999999992"/>
    <n v="0.46614724175229844"/>
    <n v="0"/>
    <e v="#DIV/0!"/>
    <x v="1"/>
  </r>
  <r>
    <s v="ORD-2024-336584"/>
    <x v="6"/>
    <x v="6"/>
    <s v="Q4-2024"/>
    <d v="2025-01-14T00:00:00"/>
    <s v="Valid"/>
    <d v="2025-01-14T00:00:00"/>
    <x v="4"/>
    <s v="Feb-2023"/>
    <n v="23"/>
    <n v="18"/>
    <x v="0"/>
    <x v="1"/>
    <x v="4"/>
    <s v="Bengaluru"/>
    <s v="Small Business"/>
    <x v="2"/>
    <x v="6"/>
    <x v="5"/>
    <x v="6"/>
    <n v="586.07000000000005"/>
    <n v="845.97"/>
    <n v="845.97"/>
    <n v="826.33720000000005"/>
    <n v="1625.3000000000002"/>
    <s v="Medium"/>
    <s v="OK"/>
    <n v="0.14699999999999999"/>
    <s v="OK"/>
    <n v="4"/>
    <n v="2886.4496399999998"/>
    <n v="2344.2800000000002"/>
    <n v="542.16963999999962"/>
    <n v="0.18783270370862928"/>
    <n v="0"/>
    <e v="#DIV/0!"/>
    <x v="1"/>
  </r>
  <r>
    <s v="ORD-2023-112666"/>
    <x v="7"/>
    <x v="5"/>
    <s v="Q1-2023"/>
    <d v="2023-01-13T00:00:00"/>
    <s v="Invalid"/>
    <d v="2023-01-15T00:00:00"/>
    <x v="1"/>
    <s v="Jan-2023"/>
    <n v="1"/>
    <n v="0"/>
    <x v="1"/>
    <x v="0"/>
    <x v="1"/>
    <s v="Abuja"/>
    <s v="Education"/>
    <x v="1"/>
    <x v="7"/>
    <x v="1"/>
    <x v="7"/>
    <n v="28.38"/>
    <n v="47.22"/>
    <n v="47.22"/>
    <n v="825.7894"/>
    <n v="1626.3146000000002"/>
    <s v="Low"/>
    <s v="OK"/>
    <n v="0.19400000000000001"/>
    <s v="OK"/>
    <n v="18"/>
    <n v="685.06776000000002"/>
    <n v="510.84"/>
    <n v="174.22776000000005"/>
    <n v="0.25432193743871417"/>
    <n v="0"/>
    <e v="#DIV/0!"/>
    <x v="1"/>
  </r>
  <r>
    <s v="ORD-2024-589570"/>
    <x v="8"/>
    <x v="7"/>
    <s v="Q2-2024"/>
    <d v="2024-05-29T00:00:00"/>
    <s v="Valid"/>
    <d v="2024-05-29T00:00:00"/>
    <x v="5"/>
    <s v="Feb-2023"/>
    <n v="15"/>
    <n v="25"/>
    <x v="0"/>
    <x v="0"/>
    <x v="1"/>
    <s v="Abuja"/>
    <s v="Non-Profit"/>
    <x v="2"/>
    <x v="7"/>
    <x v="5"/>
    <x v="8"/>
    <n v="1295.3399999999999"/>
    <n v="2530.81"/>
    <n v="2530.81"/>
    <n v="828.34720000000016"/>
    <n v="1628.0044000000003"/>
    <s v="High"/>
    <s v="OK"/>
    <n v="3.1E-2"/>
    <s v="OK"/>
    <n v="6"/>
    <n v="14714.12934"/>
    <n v="7772.0399999999991"/>
    <n v="6942.0893400000004"/>
    <n v="0.4717974933880798"/>
    <n v="0"/>
    <e v="#DIV/0!"/>
    <x v="1"/>
  </r>
  <r>
    <s v="ORD-2025-997421"/>
    <x v="9"/>
    <x v="8"/>
    <s v="Q2-2025"/>
    <d v="2025-06-09T00:00:00"/>
    <s v="Valid"/>
    <d v="2025-06-09T00:00:00"/>
    <x v="6"/>
    <s v="Jan-2023"/>
    <n v="28"/>
    <n v="19"/>
    <x v="0"/>
    <x v="2"/>
    <x v="5"/>
    <s v="São Paulo"/>
    <s v="Non-Profit"/>
    <x v="1"/>
    <x v="8"/>
    <x v="0"/>
    <x v="9"/>
    <n v="1331.38"/>
    <n v="2309.56"/>
    <n v="2309.56"/>
    <n v="826.35379999999998"/>
    <n v="1625.3150000000001"/>
    <s v="High"/>
    <s v="OK"/>
    <n v="0.14899999999999999"/>
    <s v="OK"/>
    <n v="31"/>
    <n v="60928.502359999999"/>
    <n v="41272.780000000006"/>
    <n v="19655.722359999992"/>
    <n v="0.32260307735553528"/>
    <n v="0"/>
    <e v="#DIV/0!"/>
    <x v="1"/>
  </r>
  <r>
    <s v="ORD-2024-210687"/>
    <x v="10"/>
    <x v="9"/>
    <s v="Q1-2024"/>
    <d v="2024-02-09T00:00:00"/>
    <s v="Valid"/>
    <d v="2024-02-09T00:00:00"/>
    <x v="7"/>
    <s v="Jan-2023"/>
    <n v="13"/>
    <n v="12"/>
    <x v="0"/>
    <x v="3"/>
    <x v="6"/>
    <s v="Berlin"/>
    <s v="Corporate"/>
    <x v="1"/>
    <x v="3"/>
    <x v="6"/>
    <x v="10"/>
    <n v="644.16999999999996"/>
    <n v="700.12"/>
    <n v="700.12"/>
    <n v="825.80600000000004"/>
    <n v="1624.8200000000002"/>
    <s v="Low"/>
    <s v="OK"/>
    <n v="6.0000000000000001E-3"/>
    <s v="OK"/>
    <n v="23"/>
    <n v="16006.14344"/>
    <n v="14815.91"/>
    <n v="1190.23344"/>
    <n v="7.436103796405813E-2"/>
    <n v="0"/>
    <e v="#DIV/0!"/>
    <x v="1"/>
  </r>
  <r>
    <s v="ORD-2025-515515"/>
    <x v="11"/>
    <x v="10"/>
    <s v="Q1-2025"/>
    <d v="2025-01-23T00:00:00"/>
    <s v="Valid"/>
    <d v="2025-01-23T00:00:00"/>
    <x v="2"/>
    <s v="Mar-2023"/>
    <n v="23"/>
    <n v="20"/>
    <x v="0"/>
    <x v="1"/>
    <x v="2"/>
    <s v="Osaka"/>
    <s v="Corporate"/>
    <x v="3"/>
    <x v="9"/>
    <x v="3"/>
    <x v="11"/>
    <n v="908.6"/>
    <n v="691.37"/>
    <n v="691.37"/>
    <n v="828.41940000000011"/>
    <n v="1625.075"/>
    <s v="Low"/>
    <s v="OK"/>
    <n v="0.25"/>
    <s v="OK"/>
    <n v="20"/>
    <n v="10370.549999999999"/>
    <n v="18172"/>
    <n v="-7801.4500000000007"/>
    <n v="-0.75226964818645115"/>
    <n v="0"/>
    <e v="#DIV/0!"/>
    <x v="1"/>
  </r>
  <r>
    <s v="ORD-2025-487261"/>
    <x v="12"/>
    <x v="3"/>
    <s v="Q1-2025"/>
    <d v="2025-03-31T00:00:00"/>
    <s v="Valid"/>
    <d v="2025-03-31T00:00:00"/>
    <x v="6"/>
    <s v="Jan-2023"/>
    <n v="26"/>
    <n v="25"/>
    <x v="0"/>
    <x v="2"/>
    <x v="5"/>
    <s v="Brasília"/>
    <s v="Non-Profit"/>
    <x v="1"/>
    <x v="1"/>
    <x v="0"/>
    <x v="12"/>
    <n v="331.57"/>
    <n v="548.4"/>
    <n v="548.4"/>
    <n v="833.2568"/>
    <n v="1625.3300000000002"/>
    <s v="Low"/>
    <s v="OK"/>
    <n v="9.4E-2"/>
    <s v="OK"/>
    <n v="10"/>
    <n v="4968.5039999999999"/>
    <n v="3315.7"/>
    <n v="1652.8040000000001"/>
    <n v="0.33265626836568918"/>
    <n v="0"/>
    <e v="#DIV/0!"/>
    <x v="1"/>
  </r>
  <r>
    <s v="ORD-2024-890180"/>
    <x v="13"/>
    <x v="9"/>
    <s v="Q1-2024"/>
    <d v="2024-02-13T00:00:00"/>
    <s v="Valid"/>
    <d v="2024-02-13T00:00:00"/>
    <x v="8"/>
    <s v="Jan-2023"/>
    <n v="13"/>
    <n v="24"/>
    <x v="0"/>
    <x v="3"/>
    <x v="7"/>
    <s v="Marseille"/>
    <s v="Corporate"/>
    <x v="0"/>
    <x v="10"/>
    <x v="1"/>
    <x v="13"/>
    <n v="643.53"/>
    <n v="1439.01"/>
    <n v="1439.01"/>
    <n v="836.95350000000008"/>
    <n v="1626.5134000000003"/>
    <s v="Medium"/>
    <s v="OK"/>
    <n v="0"/>
    <s v="OK"/>
    <n v="15"/>
    <n v="21585.15"/>
    <n v="9652.9499999999989"/>
    <n v="11932.200000000003"/>
    <n v="0.55279671440782208"/>
    <n v="0"/>
    <e v="#DIV/0!"/>
    <x v="1"/>
  </r>
  <r>
    <s v="ORD-2025-840976"/>
    <x v="14"/>
    <x v="11"/>
    <s v="Q3-2025"/>
    <d v="2025-09-30T00:00:00"/>
    <s v="Valid"/>
    <d v="2025-09-30T00:00:00"/>
    <x v="6"/>
    <s v="Jan-2023"/>
    <n v="32"/>
    <n v="29"/>
    <x v="0"/>
    <x v="2"/>
    <x v="5"/>
    <s v="Brasília"/>
    <s v="Education"/>
    <x v="0"/>
    <x v="11"/>
    <x v="6"/>
    <x v="14"/>
    <n v="780.59"/>
    <n v="631.57000000000005"/>
    <n v="631.57000000000005"/>
    <n v="835.18799999999999"/>
    <n v="1628.2032000000002"/>
    <s v="Low"/>
    <s v="OK"/>
    <n v="0"/>
    <s v="OK"/>
    <n v="12"/>
    <n v="7578.84"/>
    <n v="9367.08"/>
    <n v="-1788.2399999999998"/>
    <n v="-0.23595167598207639"/>
    <n v="0"/>
    <e v="#DIV/0!"/>
    <x v="1"/>
  </r>
  <r>
    <s v="ORD-2023-937291"/>
    <x v="15"/>
    <x v="12"/>
    <s v="Q2-2023"/>
    <d v="2023-04-22T00:00:00"/>
    <s v="Invalid"/>
    <d v="2023-04-23T00:00:00"/>
    <x v="0"/>
    <s v="Jan-2023"/>
    <n v="4"/>
    <n v="0"/>
    <x v="1"/>
    <x v="0"/>
    <x v="0"/>
    <s v="Nairobi"/>
    <s v="Small Business"/>
    <x v="4"/>
    <x v="6"/>
    <x v="4"/>
    <x v="15"/>
    <n v="756.51"/>
    <n v="850.8"/>
    <n v="850.8"/>
    <n v="838.77250000000004"/>
    <n v="1629.8930000000003"/>
    <s v="Medium"/>
    <s v="OK"/>
    <n v="7.3999999999999996E-2"/>
    <s v="OK"/>
    <n v="9"/>
    <n v="7090.5672000000004"/>
    <n v="6808.59"/>
    <n v="281.97720000000027"/>
    <n v="3.9767932810791252E-2"/>
    <n v="0"/>
    <e v="#DIV/0!"/>
    <x v="1"/>
  </r>
  <r>
    <s v="ORD-2024-206081"/>
    <x v="16"/>
    <x v="6"/>
    <s v="Q4-2024"/>
    <d v="2025-01-08T00:00:00"/>
    <s v="Valid"/>
    <d v="2025-01-08T00:00:00"/>
    <x v="8"/>
    <s v="Jan-2023"/>
    <n v="24"/>
    <n v="29"/>
    <x v="0"/>
    <x v="3"/>
    <x v="7"/>
    <s v="Marseille"/>
    <s v="Small Business"/>
    <x v="0"/>
    <x v="11"/>
    <x v="1"/>
    <x v="16"/>
    <n v="891.08"/>
    <n v="1040.0999999999999"/>
    <n v="1040.0999999999999"/>
    <n v="837.00700000000006"/>
    <n v="1630.546"/>
    <s v="Medium"/>
    <s v="OK"/>
    <n v="0.109"/>
    <s v="OK"/>
    <n v="28"/>
    <n v="25948.414799999995"/>
    <n v="24950.240000000002"/>
    <n v="998.17479999999341"/>
    <n v="3.8467660074556598E-2"/>
    <n v="0"/>
    <e v="#DIV/0!"/>
    <x v="1"/>
  </r>
  <r>
    <s v="ORD-2025-233883"/>
    <x v="17"/>
    <x v="11"/>
    <s v="Q3-2025"/>
    <d v="2025-09-16T00:00:00"/>
    <s v="Valid"/>
    <d v="2025-09-16T00:00:00"/>
    <x v="2"/>
    <s v="Mar-2023"/>
    <n v="31"/>
    <n v="8"/>
    <x v="0"/>
    <x v="1"/>
    <x v="2"/>
    <s v="Osaka"/>
    <s v="Corporate"/>
    <x v="3"/>
    <x v="0"/>
    <x v="3"/>
    <x v="17"/>
    <n v="1225.57"/>
    <n v="2705.57"/>
    <n v="2705.57"/>
    <n v="835.24150000000009"/>
    <n v="1630.7670000000001"/>
    <s v="High"/>
    <s v="OK"/>
    <n v="0.183"/>
    <s v="OK"/>
    <n v="16"/>
    <n v="35367.211040000002"/>
    <n v="19609.12"/>
    <n v="15758.091040000003"/>
    <n v="0.44555650775453404"/>
    <n v="0"/>
    <e v="#DIV/0!"/>
    <x v="1"/>
  </r>
  <r>
    <s v="ORD-2025-843974"/>
    <x v="18"/>
    <x v="13"/>
    <s v="Q3-2025"/>
    <d v="2025-08-05T00:00:00"/>
    <s v="Valid"/>
    <d v="2025-08-05T00:00:00"/>
    <x v="6"/>
    <s v="Jan-2023"/>
    <n v="30"/>
    <n v="16"/>
    <x v="0"/>
    <x v="2"/>
    <x v="5"/>
    <s v="Brasília"/>
    <s v="Enterprise"/>
    <x v="2"/>
    <x v="3"/>
    <x v="6"/>
    <x v="18"/>
    <n v="1068.17"/>
    <n v="2375.37"/>
    <n v="2375.37"/>
    <n v="833.40120000000013"/>
    <n v="1629.9924000000001"/>
    <s v="High"/>
    <s v="OK"/>
    <n v="0.109"/>
    <s v="OK"/>
    <n v="18"/>
    <n v="38096.18406"/>
    <n v="19227.060000000001"/>
    <n v="18869.124059999998"/>
    <n v="0.49530220744108822"/>
    <n v="0"/>
    <e v="#DIV/0!"/>
    <x v="1"/>
  </r>
  <r>
    <s v="ORD-2025-745263"/>
    <x v="9"/>
    <x v="8"/>
    <s v="Q2-2025"/>
    <d v="2025-05-19T00:00:00"/>
    <s v="Invalid"/>
    <d v="2025-05-21T00:00:00"/>
    <x v="9"/>
    <s v="Jan-2023"/>
    <n v="29"/>
    <n v="0"/>
    <x v="1"/>
    <x v="3"/>
    <x v="8"/>
    <s v="Birmingham"/>
    <s v="Enterprise"/>
    <x v="1"/>
    <x v="12"/>
    <x v="4"/>
    <x v="19"/>
    <n v="1015.16"/>
    <n v="2148.14"/>
    <n v="2148.14"/>
    <n v="831.01859999999999"/>
    <n v="1626.7121999999999"/>
    <s v="High"/>
    <s v="OK"/>
    <n v="3.7999999999999999E-2"/>
    <s v="OK"/>
    <n v="19"/>
    <n v="39263.702919999996"/>
    <n v="19288.04"/>
    <n v="19975.662919999995"/>
    <n v="0.50875647059322227"/>
    <n v="0"/>
    <e v="#DIV/0!"/>
    <x v="1"/>
  </r>
  <r>
    <s v="ORD-2024-798002"/>
    <x v="19"/>
    <x v="14"/>
    <s v="Q3-2024"/>
    <d v="2024-07-24T00:00:00"/>
    <s v="Invalid"/>
    <d v="2024-07-25T00:00:00"/>
    <x v="0"/>
    <s v="Jan-2023"/>
    <n v="19"/>
    <n v="0"/>
    <x v="1"/>
    <x v="0"/>
    <x v="0"/>
    <s v="Mombasa"/>
    <s v="Non-Profit"/>
    <x v="4"/>
    <x v="1"/>
    <x v="4"/>
    <x v="20"/>
    <n v="1494.4"/>
    <n v="3661.07"/>
    <n v="3661.07"/>
    <n v="828.63600000000008"/>
    <n v="1625.1200000000001"/>
    <s v="High"/>
    <s v="OK"/>
    <n v="7.1999999999999995E-2"/>
    <s v="OK"/>
    <n v="7"/>
    <n v="23782.310720000001"/>
    <n v="10460.800000000001"/>
    <n v="13321.51072"/>
    <n v="0.56014366630897339"/>
    <n v="0"/>
    <e v="#DIV/0!"/>
    <x v="1"/>
  </r>
  <r>
    <s v="ORD-2023-867836"/>
    <x v="20"/>
    <x v="15"/>
    <s v="Q2-2023"/>
    <d v="2023-05-28T00:00:00"/>
    <s v="Valid"/>
    <d v="2023-05-28T00:00:00"/>
    <x v="10"/>
    <s v="Jan-2023"/>
    <n v="4"/>
    <n v="17"/>
    <x v="0"/>
    <x v="1"/>
    <x v="9"/>
    <s v="Shenzhen"/>
    <s v="Enterprise"/>
    <x v="2"/>
    <x v="6"/>
    <x v="2"/>
    <x v="21"/>
    <n v="1331.19"/>
    <n v="2903.09"/>
    <n v="2903.09"/>
    <n v="826.42020000000002"/>
    <n v="1624.4258"/>
    <s v="High"/>
    <s v="OK"/>
    <n v="0.14299999999999999"/>
    <s v="OK"/>
    <n v="8"/>
    <n v="19903.585040000002"/>
    <n v="10649.52"/>
    <n v="9254.0650400000013"/>
    <n v="0.46494463290920784"/>
    <n v="0"/>
    <e v="#DIV/0!"/>
    <x v="1"/>
  </r>
  <r>
    <s v="ORD-2025-580047"/>
    <x v="21"/>
    <x v="16"/>
    <s v="Q2-2025"/>
    <d v="2025-06-29T00:00:00"/>
    <s v="Valid"/>
    <d v="2025-06-29T00:00:00"/>
    <x v="5"/>
    <s v="Feb-2023"/>
    <n v="29"/>
    <n v="15"/>
    <x v="0"/>
    <x v="0"/>
    <x v="1"/>
    <s v="Port Harcourt"/>
    <s v="Consumer"/>
    <x v="2"/>
    <x v="12"/>
    <x v="6"/>
    <x v="22"/>
    <n v="730.99"/>
    <n v="1242.8399999999999"/>
    <n v="1242.8399999999999"/>
    <n v="825.87239999999997"/>
    <n v="1621.7396000000001"/>
    <s v="Medium"/>
    <s v="OK"/>
    <n v="0.12"/>
    <s v="OK"/>
    <n v="10"/>
    <n v="10936.992"/>
    <n v="7309.9"/>
    <n v="3627.0920000000006"/>
    <n v="0.33163524303574515"/>
    <n v="0"/>
    <e v="#DIV/0!"/>
    <x v="1"/>
  </r>
  <r>
    <s v="ORD-2024-500109"/>
    <x v="22"/>
    <x v="7"/>
    <s v="Q2-2024"/>
    <d v="2024-05-23T00:00:00"/>
    <s v="Valid"/>
    <d v="2024-05-23T00:00:00"/>
    <x v="11"/>
    <s v="Jan-2023"/>
    <n v="17"/>
    <n v="5"/>
    <x v="1"/>
    <x v="2"/>
    <x v="10"/>
    <s v="Chicago"/>
    <s v="Enterprise"/>
    <x v="0"/>
    <x v="10"/>
    <x v="4"/>
    <x v="23"/>
    <n v="1274.5899999999999"/>
    <n v="2553.69"/>
    <n v="2553.69"/>
    <n v="825.32459999999992"/>
    <n v="1623.1233999999999"/>
    <s v="High"/>
    <s v="OK"/>
    <n v="0.01"/>
    <s v="OK"/>
    <n v="8"/>
    <n v="20225.2248"/>
    <n v="10196.719999999999"/>
    <n v="10028.504800000001"/>
    <n v="0.49584145042481803"/>
    <n v="0"/>
    <e v="#DIV/0!"/>
    <x v="1"/>
  </r>
  <r>
    <s v="ORD-2023-271836"/>
    <x v="23"/>
    <x v="2"/>
    <s v="Q1-2023"/>
    <d v="2023-02-12T00:00:00"/>
    <s v="Valid"/>
    <d v="2023-02-12T00:00:00"/>
    <x v="6"/>
    <s v="Jan-2023"/>
    <n v="1"/>
    <n v="5"/>
    <x v="1"/>
    <x v="2"/>
    <x v="5"/>
    <s v="São Paulo"/>
    <s v="Education"/>
    <x v="1"/>
    <x v="13"/>
    <x v="0"/>
    <x v="24"/>
    <n v="948.55"/>
    <n v="2089.16"/>
    <n v="2089.16"/>
    <n v="824.79899999999998"/>
    <n v="1620.49"/>
    <s v="High"/>
    <s v="OK"/>
    <n v="7.0000000000000001E-3"/>
    <s v="OK"/>
    <n v="12"/>
    <n v="24894.430559999997"/>
    <n v="11382.599999999999"/>
    <n v="13511.830559999999"/>
    <n v="0.54276519912492427"/>
    <n v="0"/>
    <e v="#DIV/0!"/>
    <x v="1"/>
  </r>
  <r>
    <s v="ORD-2024-215294"/>
    <x v="24"/>
    <x v="17"/>
    <s v="Q2-2024"/>
    <d v="2024-07-14T00:00:00"/>
    <s v="Valid"/>
    <d v="2024-07-14T00:00:00"/>
    <x v="6"/>
    <s v="Jan-2023"/>
    <n v="18"/>
    <n v="14"/>
    <x v="0"/>
    <x v="2"/>
    <x v="5"/>
    <s v="Brasília"/>
    <s v="Education"/>
    <x v="0"/>
    <x v="0"/>
    <x v="6"/>
    <x v="25"/>
    <n v="1491.85"/>
    <n v="2583.02"/>
    <n v="2583.02"/>
    <n v="824.61749999999995"/>
    <n v="1618.675"/>
    <s v="High"/>
    <s v="OK"/>
    <n v="0.16800000000000001"/>
    <s v="OK"/>
    <n v="4"/>
    <n v="8596.2905599999995"/>
    <n v="5967.4"/>
    <n v="2628.8905599999998"/>
    <n v="0.30581685689321325"/>
    <n v="0"/>
    <e v="#DIV/0!"/>
    <x v="1"/>
  </r>
  <r>
    <s v="ORD-2024-788105"/>
    <x v="25"/>
    <x v="18"/>
    <s v="Q4-2024"/>
    <d v="2024-12-30T00:00:00"/>
    <s v="Valid"/>
    <d v="2024-12-30T00:00:00"/>
    <x v="8"/>
    <s v="Jan-2023"/>
    <n v="23"/>
    <n v="30"/>
    <x v="0"/>
    <x v="3"/>
    <x v="7"/>
    <s v="Marseille"/>
    <s v="Consumer"/>
    <x v="2"/>
    <x v="9"/>
    <x v="1"/>
    <x v="26"/>
    <n v="117.64"/>
    <n v="175.67"/>
    <n v="175.67"/>
    <n v="824.43600000000004"/>
    <n v="1609.811200000001"/>
    <s v="Low"/>
    <s v="OK"/>
    <n v="0"/>
    <s v="OK"/>
    <n v="10"/>
    <n v="1756.6999999999998"/>
    <n v="1176.4000000000001"/>
    <n v="580.29999999999973"/>
    <n v="0.33033528775545046"/>
    <n v="0"/>
    <e v="#DIV/0!"/>
    <x v="1"/>
  </r>
  <r>
    <s v="ORD-2024-855073"/>
    <x v="26"/>
    <x v="14"/>
    <s v="Q3-2024"/>
    <d v="2024-07-19T00:00:00"/>
    <s v="Valid"/>
    <d v="2024-07-19T00:00:00"/>
    <x v="0"/>
    <s v="Jan-2023"/>
    <n v="18"/>
    <n v="0"/>
    <x v="1"/>
    <x v="0"/>
    <x v="0"/>
    <s v="Kisumu"/>
    <s v="Small Business"/>
    <x v="0"/>
    <x v="8"/>
    <x v="3"/>
    <x v="27"/>
    <n v="857.24"/>
    <n v="758.23"/>
    <n v="758.23"/>
    <n v="824.80449999999996"/>
    <n v="1617.4034000000004"/>
    <s v="Low"/>
    <s v="OK"/>
    <n v="0.125"/>
    <s v="OK"/>
    <n v="6"/>
    <n v="3980.7075"/>
    <n v="5143.4400000000005"/>
    <n v="-1162.7325000000005"/>
    <n v="-0.29209192084572921"/>
    <n v="0"/>
    <e v="#DIV/0!"/>
    <x v="1"/>
  </r>
  <r>
    <s v="ORD-2023-897079"/>
    <x v="27"/>
    <x v="12"/>
    <s v="Q2-2023"/>
    <d v="2023-05-14T00:00:00"/>
    <s v="Valid"/>
    <d v="2023-05-14T00:00:00"/>
    <x v="0"/>
    <s v="Jan-2023"/>
    <n v="3"/>
    <n v="30"/>
    <x v="0"/>
    <x v="0"/>
    <x v="0"/>
    <s v="Nakuru"/>
    <s v="Consumer"/>
    <x v="2"/>
    <x v="12"/>
    <x v="3"/>
    <x v="28"/>
    <n v="209.25"/>
    <n v="434.8"/>
    <n v="434.8"/>
    <n v="825.90560000000005"/>
    <n v="1618.7299999999998"/>
    <s v="Low"/>
    <s v="OK"/>
    <n v="0"/>
    <s v="OK"/>
    <n v="9"/>
    <n v="3913.2000000000003"/>
    <n v="1883.25"/>
    <n v="2029.9500000000003"/>
    <n v="0.51874425022999082"/>
    <n v="0"/>
    <e v="#DIV/0!"/>
    <x v="1"/>
  </r>
  <r>
    <s v="ORD-2025-548982"/>
    <x v="28"/>
    <x v="19"/>
    <s v="Q2-2025"/>
    <d v="2025-04-11T00:00:00"/>
    <s v="Valid"/>
    <d v="2025-04-11T00:00:00"/>
    <x v="8"/>
    <s v="Jan-2023"/>
    <n v="27"/>
    <n v="4"/>
    <x v="1"/>
    <x v="3"/>
    <x v="7"/>
    <s v="Lyon"/>
    <s v="Education"/>
    <x v="0"/>
    <x v="6"/>
    <x v="2"/>
    <x v="29"/>
    <n v="754.77"/>
    <n v="1666.18"/>
    <n v="1666.18"/>
    <n v="828.85260000000017"/>
    <n v="1619.665"/>
    <s v="High"/>
    <s v="OK"/>
    <n v="0.13900000000000001"/>
    <s v="OK"/>
    <n v="14"/>
    <n v="20084.133720000002"/>
    <n v="10566.779999999999"/>
    <n v="9517.3537200000028"/>
    <n v="0.47387424584424653"/>
    <n v="0"/>
    <e v="#DIV/0!"/>
    <x v="1"/>
  </r>
  <r>
    <s v="ORD-2024-170313"/>
    <x v="6"/>
    <x v="6"/>
    <s v="Q4-2024"/>
    <d v="2025-01-15T00:00:00"/>
    <s v="Valid"/>
    <d v="2025-01-15T00:00:00"/>
    <x v="4"/>
    <s v="Feb-2023"/>
    <n v="23"/>
    <n v="19"/>
    <x v="0"/>
    <x v="1"/>
    <x v="4"/>
    <s v="Delhi"/>
    <s v="Non-Profit"/>
    <x v="3"/>
    <x v="3"/>
    <x v="0"/>
    <x v="30"/>
    <n v="495.59"/>
    <n v="631.78"/>
    <n v="631.78"/>
    <n v="826.47"/>
    <n v="1617.85"/>
    <s v="Low"/>
    <s v="OK"/>
    <n v="8.6999999999999994E-2"/>
    <s v="OK"/>
    <n v="17"/>
    <n v="9805.8573800000013"/>
    <n v="8425.0299999999988"/>
    <n v="1380.8273800000024"/>
    <n v="0.14081658813601899"/>
    <n v="0"/>
    <e v="#DIV/0!"/>
    <x v="1"/>
  </r>
  <r>
    <s v="ORD-2023-562894"/>
    <x v="29"/>
    <x v="2"/>
    <s v="Q1-2023"/>
    <d v="2023-03-25T00:00:00"/>
    <s v="Valid"/>
    <d v="2023-03-25T00:00:00"/>
    <x v="12"/>
    <s v="Feb-2023"/>
    <n v="1"/>
    <n v="30"/>
    <x v="0"/>
    <x v="2"/>
    <x v="3"/>
    <s v="Montreal"/>
    <s v="Enterprise"/>
    <x v="1"/>
    <x v="14"/>
    <x v="3"/>
    <x v="31"/>
    <n v="1242.6600000000001"/>
    <n v="1794.07"/>
    <n v="1794.07"/>
    <n v="831.30740000000014"/>
    <n v="1618.7850000000001"/>
    <s v="High"/>
    <s v="OK"/>
    <n v="8.8999999999999996E-2"/>
    <s v="OK"/>
    <n v="16"/>
    <n v="26150.364320000001"/>
    <n v="19882.560000000001"/>
    <n v="6267.8043199999993"/>
    <n v="0.23968325042440553"/>
    <n v="0"/>
    <e v="#DIV/0!"/>
    <x v="1"/>
  </r>
  <r>
    <s v="ORD-2025-474710"/>
    <x v="30"/>
    <x v="13"/>
    <s v="Q3-2025"/>
    <d v="2025-08-06T00:00:00"/>
    <s v="Valid"/>
    <d v="2025-08-06T00:00:00"/>
    <x v="13"/>
    <s v="Jan-2023"/>
    <n v="31"/>
    <n v="13"/>
    <x v="0"/>
    <x v="0"/>
    <x v="11"/>
    <s v="Johannesburg"/>
    <s v="Education"/>
    <x v="2"/>
    <x v="14"/>
    <x v="2"/>
    <x v="32"/>
    <n v="1463.9"/>
    <n v="2633.02"/>
    <n v="2633.02"/>
    <n v="828.9248"/>
    <n v="1610.7044000000001"/>
    <s v="High"/>
    <s v="OK"/>
    <n v="8.4000000000000005E-2"/>
    <s v="OK"/>
    <n v="4"/>
    <n v="9647.3852800000004"/>
    <n v="5855.6"/>
    <n v="3791.7852800000001"/>
    <n v="0.39303761277791527"/>
    <n v="0"/>
    <e v="#DIV/0!"/>
    <x v="1"/>
  </r>
  <r>
    <s v="ORD-2024-629525"/>
    <x v="31"/>
    <x v="20"/>
    <s v="Q2-2024"/>
    <d v="2024-05-08T00:00:00"/>
    <s v="Valid"/>
    <d v="2024-05-08T00:00:00"/>
    <x v="9"/>
    <s v="Jan-2023"/>
    <n v="15"/>
    <n v="20"/>
    <x v="0"/>
    <x v="3"/>
    <x v="8"/>
    <s v="London"/>
    <s v="Non-Profit"/>
    <x v="5"/>
    <x v="14"/>
    <x v="4"/>
    <x v="33"/>
    <n v="645.33000000000004"/>
    <n v="1321.85"/>
    <n v="1321.85"/>
    <n v="826.54220000000021"/>
    <n v="1595.9666000000009"/>
    <s v="Medium"/>
    <s v="OK"/>
    <n v="0"/>
    <s v="OK"/>
    <n v="10"/>
    <n v="13218.5"/>
    <n v="6453.3"/>
    <n v="6765.2"/>
    <n v="0.51179785906116426"/>
    <n v="0"/>
    <e v="#DIV/0!"/>
    <x v="1"/>
  </r>
  <r>
    <s v="ORD-2024-167215"/>
    <x v="32"/>
    <x v="21"/>
    <s v="Q3-2024"/>
    <d v="2024-08-21T00:00:00"/>
    <s v="Invalid"/>
    <d v="2024-08-23T00:00:00"/>
    <x v="13"/>
    <s v="Jan-2023"/>
    <n v="20"/>
    <n v="0"/>
    <x v="1"/>
    <x v="0"/>
    <x v="11"/>
    <s v="Johannesburg"/>
    <s v="Education"/>
    <x v="0"/>
    <x v="6"/>
    <x v="0"/>
    <x v="34"/>
    <n v="1432.52"/>
    <n v="3036.87"/>
    <n v="3036.87"/>
    <n v="825.93880000000001"/>
    <n v="1603.5588000000002"/>
    <s v="High"/>
    <s v="OK"/>
    <n v="0"/>
    <s v="OK"/>
    <n v="9"/>
    <n v="27331.829999999998"/>
    <n v="12892.68"/>
    <n v="14439.149999999998"/>
    <n v="0.52829064135112791"/>
    <n v="0"/>
    <e v="#DIV/0!"/>
    <x v="1"/>
  </r>
  <r>
    <s v="ORD-2023-864121"/>
    <x v="33"/>
    <x v="22"/>
    <s v="Q1-2023"/>
    <d v="2023-04-22T00:00:00"/>
    <s v="Valid"/>
    <d v="2023-04-22T00:00:00"/>
    <x v="4"/>
    <s v="Feb-2023"/>
    <n v="2"/>
    <n v="26"/>
    <x v="0"/>
    <x v="1"/>
    <x v="4"/>
    <s v="Delhi"/>
    <s v="Non-Profit"/>
    <x v="2"/>
    <x v="1"/>
    <x v="1"/>
    <x v="35"/>
    <n v="178.53"/>
    <n v="199.37"/>
    <n v="199.37"/>
    <n v="825.39099999999996"/>
    <n v="1595.298"/>
    <s v="Low"/>
    <s v="OK"/>
    <n v="0.10100000000000001"/>
    <s v="OK"/>
    <n v="37"/>
    <n v="6631.6443100000006"/>
    <n v="6605.61"/>
    <n v="26.034310000000914"/>
    <n v="3.9257699573457538E-3"/>
    <n v="0"/>
    <e v="#DIV/0!"/>
    <x v="1"/>
  </r>
  <r>
    <s v="ORD-2024-692673"/>
    <x v="34"/>
    <x v="0"/>
    <s v="Q1-2024"/>
    <d v="2024-03-25T00:00:00"/>
    <s v="Valid"/>
    <d v="2024-03-25T00:00:00"/>
    <x v="7"/>
    <s v="Jan-2023"/>
    <n v="14"/>
    <n v="18"/>
    <x v="0"/>
    <x v="3"/>
    <x v="6"/>
    <s v="Munich"/>
    <s v="Corporate"/>
    <x v="1"/>
    <x v="5"/>
    <x v="0"/>
    <x v="36"/>
    <n v="712.84"/>
    <n v="927.51"/>
    <n v="927.51"/>
    <n v="826.61440000000005"/>
    <n v="1596.4132000000004"/>
    <s v="Medium"/>
    <s v="OK"/>
    <n v="0.24299999999999999"/>
    <s v="OK"/>
    <n v="27"/>
    <n v="18957.37689"/>
    <n v="19246.68"/>
    <n v="-289.30311000000074"/>
    <n v="-1.5260714163076427E-2"/>
    <n v="0"/>
    <e v="#DIV/0!"/>
    <x v="1"/>
  </r>
  <r>
    <s v="ORD-2025-718992"/>
    <x v="35"/>
    <x v="16"/>
    <s v="Q2-2025"/>
    <d v="2025-07-10T00:00:00"/>
    <s v="Valid"/>
    <d v="2025-07-10T00:00:00"/>
    <x v="10"/>
    <s v="Jan-2023"/>
    <n v="30"/>
    <n v="16"/>
    <x v="0"/>
    <x v="1"/>
    <x v="9"/>
    <s v="Shanghai"/>
    <s v="Enterprise"/>
    <x v="4"/>
    <x v="13"/>
    <x v="0"/>
    <x v="37"/>
    <n v="757.19"/>
    <n v="1735.41"/>
    <n v="1735.41"/>
    <n v="825.95540000000005"/>
    <n v="1604.0053999999998"/>
    <s v="High"/>
    <s v="OK"/>
    <n v="0.13600000000000001"/>
    <s v="OK"/>
    <n v="8"/>
    <n v="11995.153920000001"/>
    <n v="6057.52"/>
    <n v="5937.6339200000002"/>
    <n v="0.4950027285685718"/>
    <n v="0"/>
    <e v="#DIV/0!"/>
    <x v="1"/>
  </r>
  <r>
    <s v="ORD-2024-599522"/>
    <x v="36"/>
    <x v="20"/>
    <s v="Q2-2024"/>
    <d v="2024-05-06T00:00:00"/>
    <s v="Valid"/>
    <d v="2024-05-06T00:00:00"/>
    <x v="5"/>
    <s v="Feb-2023"/>
    <n v="15"/>
    <n v="17"/>
    <x v="0"/>
    <x v="0"/>
    <x v="1"/>
    <s v="Port Harcourt"/>
    <s v="Non-Profit"/>
    <x v="1"/>
    <x v="8"/>
    <x v="1"/>
    <x v="38"/>
    <n v="865.33"/>
    <n v="1395.64"/>
    <n v="1395.64"/>
    <n v="825.4076"/>
    <n v="1595.3127999999999"/>
    <s v="Medium"/>
    <s v="OK"/>
    <n v="0.17499999999999999"/>
    <s v="OK"/>
    <n v="13"/>
    <n v="14968.239"/>
    <n v="11249.29"/>
    <n v="3718.9489999999987"/>
    <n v="0.24845601409758347"/>
    <n v="0"/>
    <e v="#DIV/0!"/>
    <x v="1"/>
  </r>
  <r>
    <s v="ORD-2023-651638"/>
    <x v="37"/>
    <x v="23"/>
    <s v="Q2-2023"/>
    <d v="2023-06-24T00:00:00"/>
    <s v="Valid"/>
    <d v="2023-06-24T00:00:00"/>
    <x v="11"/>
    <s v="Jan-2023"/>
    <n v="6"/>
    <n v="7"/>
    <x v="0"/>
    <x v="2"/>
    <x v="10"/>
    <s v="San Francisco"/>
    <s v="Corporate"/>
    <x v="0"/>
    <x v="2"/>
    <x v="1"/>
    <x v="39"/>
    <n v="313.99"/>
    <n v="454.42"/>
    <n v="454.42"/>
    <n v="824.85979999999995"/>
    <n v="1596.8598"/>
    <s v="Low"/>
    <s v="OK"/>
    <n v="0.129"/>
    <s v="OK"/>
    <n v="9"/>
    <n v="3562.1983800000003"/>
    <n v="2825.91"/>
    <n v="736.28838000000042"/>
    <n v="0.20669493988147858"/>
    <n v="0"/>
    <e v="#DIV/0!"/>
    <x v="1"/>
  </r>
  <r>
    <s v="ORD-2024-635626"/>
    <x v="38"/>
    <x v="21"/>
    <s v="Q3-2024"/>
    <d v="2024-09-19T00:00:00"/>
    <s v="Valid"/>
    <d v="2024-09-19T00:00:00"/>
    <x v="7"/>
    <s v="Jan-2023"/>
    <n v="20"/>
    <n v="23"/>
    <x v="0"/>
    <x v="3"/>
    <x v="6"/>
    <s v="Berlin"/>
    <s v="Small Business"/>
    <x v="4"/>
    <x v="14"/>
    <x v="5"/>
    <x v="40"/>
    <n v="1024.01"/>
    <n v="1580.97"/>
    <n v="1580.97"/>
    <n v="825.97199999999998"/>
    <n v="1604.4520000000007"/>
    <s v="Medium"/>
    <s v="OK"/>
    <n v="3.6999999999999998E-2"/>
    <s v="OK"/>
    <n v="27"/>
    <n v="41106.800970000004"/>
    <n v="27648.27"/>
    <n v="13458.530970000003"/>
    <n v="0.3274039976942531"/>
    <n v="0"/>
    <e v="#DIV/0!"/>
    <x v="1"/>
  </r>
  <r>
    <s v="ORD-2024-296582"/>
    <x v="39"/>
    <x v="9"/>
    <s v="Q1-2024"/>
    <d v="2024-02-02T00:00:00"/>
    <s v="Valid"/>
    <d v="2024-02-02T00:00:00"/>
    <x v="13"/>
    <s v="Jan-2023"/>
    <n v="13"/>
    <n v="22"/>
    <x v="0"/>
    <x v="0"/>
    <x v="11"/>
    <s v="Durban"/>
    <s v="Consumer"/>
    <x v="1"/>
    <x v="11"/>
    <x v="2"/>
    <x v="41"/>
    <n v="1206.2"/>
    <n v="1759.79"/>
    <n v="1759.79"/>
    <n v="825.42419999999993"/>
    <n v="1612.0442"/>
    <s v="High"/>
    <s v="OK"/>
    <n v="0"/>
    <s v="OK"/>
    <n v="6"/>
    <n v="10558.74"/>
    <n v="7237.2000000000007"/>
    <n v="3321.5399999999991"/>
    <n v="0.31457730751964713"/>
    <n v="0"/>
    <e v="#DIV/0!"/>
    <x v="1"/>
  </r>
  <r>
    <s v="ORD-2024-998320"/>
    <x v="40"/>
    <x v="1"/>
    <s v="Q4-2024"/>
    <d v="2024-11-14T00:00:00"/>
    <s v="Valid"/>
    <d v="2024-11-14T00:00:00"/>
    <x v="0"/>
    <s v="Jan-2023"/>
    <n v="22"/>
    <n v="20"/>
    <x v="0"/>
    <x v="0"/>
    <x v="0"/>
    <s v="Mombasa"/>
    <s v="Corporate"/>
    <x v="4"/>
    <x v="10"/>
    <x v="1"/>
    <x v="42"/>
    <n v="1396.48"/>
    <n v="3204.5"/>
    <n v="3204.5"/>
    <n v="824.87639999999999"/>
    <n v="1597.3064000000008"/>
    <s v="High"/>
    <s v="OK"/>
    <n v="0.318"/>
    <s v="FLAG"/>
    <n v="14"/>
    <n v="30596.565999999999"/>
    <n v="19550.72"/>
    <n v="11045.845999999998"/>
    <n v="0.36101587348070363"/>
    <n v="0"/>
    <e v="#DIV/0!"/>
    <x v="1"/>
  </r>
  <r>
    <s v="ORD-2025-820255"/>
    <x v="41"/>
    <x v="8"/>
    <s v="Q2-2025"/>
    <d v="2025-06-20T00:00:00"/>
    <s v="Valid"/>
    <d v="2025-06-20T00:00:00"/>
    <x v="7"/>
    <s v="Jan-2023"/>
    <n v="29"/>
    <n v="22"/>
    <x v="0"/>
    <x v="3"/>
    <x v="6"/>
    <s v="Berlin"/>
    <s v="Corporate"/>
    <x v="4"/>
    <x v="8"/>
    <x v="1"/>
    <x v="43"/>
    <n v="483.47"/>
    <n v="1135.43"/>
    <n v="1135.43"/>
    <n v="824.65049999999997"/>
    <n v="1595.0907999999999"/>
    <s v="Medium"/>
    <s v="OK"/>
    <n v="0.14599999999999999"/>
    <s v="OK"/>
    <n v="11"/>
    <n v="10666.229420000001"/>
    <n v="5318.17"/>
    <n v="5348.0594200000014"/>
    <n v="0.50140112399719983"/>
    <n v="0"/>
    <e v="#DIV/0!"/>
    <x v="1"/>
  </r>
  <r>
    <s v="ORD-2024-389336"/>
    <x v="42"/>
    <x v="7"/>
    <s v="Q2-2024"/>
    <d v="2024-06-02T00:00:00"/>
    <s v="Valid"/>
    <d v="2024-06-02T00:00:00"/>
    <x v="14"/>
    <s v="Mar-2023"/>
    <n v="15"/>
    <n v="13"/>
    <x v="0"/>
    <x v="2"/>
    <x v="3"/>
    <s v="Vancouver"/>
    <s v="Enterprise"/>
    <x v="2"/>
    <x v="11"/>
    <x v="0"/>
    <x v="44"/>
    <n v="675.43"/>
    <n v="996.36"/>
    <n v="996.36"/>
    <n v="824.46899999999994"/>
    <n v="1595.3424"/>
    <s v="Medium"/>
    <s v="OK"/>
    <n v="0.182"/>
    <s v="OK"/>
    <n v="22"/>
    <n v="17930.494560000003"/>
    <n v="14859.46"/>
    <n v="3071.0345600000037"/>
    <n v="0.17127439233332575"/>
    <n v="0"/>
    <e v="#DIV/0!"/>
    <x v="1"/>
  </r>
  <r>
    <s v="ORD-2023-308124"/>
    <x v="43"/>
    <x v="12"/>
    <s v="Q2-2023"/>
    <d v="2023-04-30T00:00:00"/>
    <s v="Valid"/>
    <d v="2023-04-30T00:00:00"/>
    <x v="4"/>
    <s v="Feb-2023"/>
    <n v="2"/>
    <n v="11"/>
    <x v="0"/>
    <x v="1"/>
    <x v="4"/>
    <s v="Delhi"/>
    <s v="Small Business"/>
    <x v="0"/>
    <x v="8"/>
    <x v="2"/>
    <x v="45"/>
    <n v="826.55"/>
    <n v="1397.05"/>
    <n v="1397.05"/>
    <n v="824.28750000000002"/>
    <n v="1597.7530000000004"/>
    <s v="Medium"/>
    <s v="OK"/>
    <n v="0.16900000000000001"/>
    <s v="OK"/>
    <n v="28"/>
    <n v="32506.559399999998"/>
    <n v="23143.399999999998"/>
    <n v="9363.1594000000005"/>
    <n v="0.28803907804527601"/>
    <n v="0"/>
    <e v="#DIV/0!"/>
    <x v="1"/>
  </r>
  <r>
    <s v="ORD-2023-128295"/>
    <x v="44"/>
    <x v="23"/>
    <s v="Q2-2023"/>
    <d v="2023-07-03T00:00:00"/>
    <s v="Valid"/>
    <d v="2023-07-03T00:00:00"/>
    <x v="5"/>
    <s v="Feb-2023"/>
    <n v="5"/>
    <n v="10"/>
    <x v="0"/>
    <x v="0"/>
    <x v="1"/>
    <s v="Abuja"/>
    <s v="Consumer"/>
    <x v="1"/>
    <x v="1"/>
    <x v="1"/>
    <x v="46"/>
    <n v="337.75"/>
    <n v="548.89"/>
    <n v="548.89"/>
    <n v="822.80399999999997"/>
    <n v="1605.3452"/>
    <s v="Low"/>
    <s v="OK"/>
    <n v="0"/>
    <s v="OK"/>
    <n v="13"/>
    <n v="7135.57"/>
    <n v="4390.75"/>
    <n v="2744.8199999999997"/>
    <n v="0.38466723751571352"/>
    <n v="0"/>
    <e v="#DIV/0!"/>
    <x v="1"/>
  </r>
  <r>
    <s v="ORD-2024-548345"/>
    <x v="45"/>
    <x v="7"/>
    <s v="Q2-2024"/>
    <d v="2024-05-28T00:00:00"/>
    <s v="Valid"/>
    <d v="2024-05-28T00:00:00"/>
    <x v="9"/>
    <s v="Jan-2023"/>
    <n v="16"/>
    <n v="14"/>
    <x v="0"/>
    <x v="3"/>
    <x v="8"/>
    <s v="Birmingham"/>
    <s v="Consumer"/>
    <x v="0"/>
    <x v="5"/>
    <x v="2"/>
    <x v="47"/>
    <n v="1421.14"/>
    <n v="3524"/>
    <n v="3524"/>
    <n v="824.47450000000003"/>
    <n v="1612.9374000000005"/>
    <s v="High"/>
    <s v="OK"/>
    <n v="0"/>
    <s v="OK"/>
    <n v="31"/>
    <n v="109244"/>
    <n v="44055.340000000004"/>
    <n v="65188.659999999996"/>
    <n v="0.59672531214528945"/>
    <n v="0"/>
    <e v="#DIV/0!"/>
    <x v="1"/>
  </r>
  <r>
    <s v="ORD-2024-966651"/>
    <x v="46"/>
    <x v="1"/>
    <s v="Q4-2024"/>
    <d v="2024-11-08T00:00:00"/>
    <s v="Valid"/>
    <d v="2024-11-08T00:00:00"/>
    <x v="5"/>
    <s v="Feb-2023"/>
    <n v="21"/>
    <n v="25"/>
    <x v="0"/>
    <x v="0"/>
    <x v="1"/>
    <s v="Lagos"/>
    <s v="Enterprise"/>
    <x v="1"/>
    <x v="7"/>
    <x v="2"/>
    <x v="48"/>
    <n v="859.35"/>
    <n v="1825.61"/>
    <n v="1825.61"/>
    <n v="824.29300000000001"/>
    <n v="1598.1996000000001"/>
    <s v="High"/>
    <s v="OK"/>
    <n v="0.187"/>
    <s v="OK"/>
    <n v="24"/>
    <n v="35621.302319999995"/>
    <n v="20624.400000000001"/>
    <n v="14996.902319999994"/>
    <n v="0.42100937762681989"/>
    <n v="0"/>
    <e v="#DIV/0!"/>
    <x v="1"/>
  </r>
  <r>
    <s v="ORD-2023-292714"/>
    <x v="47"/>
    <x v="24"/>
    <s v="Q3-2023"/>
    <d v="2023-08-01T00:00:00"/>
    <s v="Valid"/>
    <d v="2023-08-01T00:00:00"/>
    <x v="8"/>
    <s v="Jan-2023"/>
    <n v="7"/>
    <n v="22"/>
    <x v="0"/>
    <x v="3"/>
    <x v="7"/>
    <s v="Marseille"/>
    <s v="Consumer"/>
    <x v="2"/>
    <x v="5"/>
    <x v="1"/>
    <x v="49"/>
    <n v="1303.56"/>
    <n v="1791.37"/>
    <n v="1791.37"/>
    <n v="822.85600000000011"/>
    <n v="1595.1204"/>
    <s v="High"/>
    <s v="OK"/>
    <n v="0.126"/>
    <s v="OK"/>
    <n v="22"/>
    <n v="34444.462359999998"/>
    <n v="28678.32"/>
    <n v="5766.142359999998"/>
    <n v="0.16740404596055358"/>
    <n v="0"/>
    <e v="#DIV/0!"/>
    <x v="1"/>
  </r>
  <r>
    <s v="ORD-2024-468501"/>
    <x v="48"/>
    <x v="18"/>
    <s v="Q4-2024"/>
    <d v="2024-11-22T00:00:00"/>
    <s v="Valid"/>
    <d v="2024-11-22T00:00:00"/>
    <x v="14"/>
    <s v="Mar-2023"/>
    <n v="21"/>
    <n v="16"/>
    <x v="0"/>
    <x v="2"/>
    <x v="3"/>
    <s v="Toronto"/>
    <s v="Non-Profit"/>
    <x v="3"/>
    <x v="14"/>
    <x v="6"/>
    <x v="50"/>
    <n v="1454.11"/>
    <n v="2629.75"/>
    <n v="2629.75"/>
    <n v="821.14"/>
    <n v="1594.2280000000001"/>
    <s v="High"/>
    <s v="OK"/>
    <n v="0.29199999999999998"/>
    <s v="OK"/>
    <n v="8"/>
    <n v="14894.903999999999"/>
    <n v="11632.88"/>
    <n v="3262.0239999999994"/>
    <n v="0.21900268709351867"/>
    <n v="0"/>
    <e v="#DIV/0!"/>
    <x v="1"/>
  </r>
  <r>
    <s v="ORD-2024-260775"/>
    <x v="49"/>
    <x v="1"/>
    <s v="Q4-2024"/>
    <d v="2024-11-06T00:00:00"/>
    <s v="Valid"/>
    <d v="2024-11-06T00:00:00"/>
    <x v="4"/>
    <s v="Feb-2023"/>
    <n v="20"/>
    <n v="20"/>
    <x v="0"/>
    <x v="1"/>
    <x v="4"/>
    <s v="Bengaluru"/>
    <s v="Enterprise"/>
    <x v="3"/>
    <x v="7"/>
    <x v="5"/>
    <x v="51"/>
    <n v="72.94"/>
    <n v="106.3"/>
    <n v="106.3"/>
    <n v="819.42400000000009"/>
    <n v="1592.4064000000001"/>
    <s v="Low"/>
    <s v="OK"/>
    <n v="0.29499999999999998"/>
    <s v="OK"/>
    <n v="8"/>
    <n v="599.53200000000004"/>
    <n v="583.52"/>
    <n v="16.012000000000057"/>
    <n v="2.6707498515508857E-2"/>
    <n v="0"/>
    <e v="#DIV/0!"/>
    <x v="1"/>
  </r>
  <r>
    <s v="ORD-2023-419187"/>
    <x v="50"/>
    <x v="22"/>
    <s v="Q1-2023"/>
    <d v="2023-04-05T00:00:00"/>
    <s v="Valid"/>
    <d v="2023-04-05T00:00:00"/>
    <x v="0"/>
    <s v="Jan-2023"/>
    <n v="3"/>
    <n v="5"/>
    <x v="1"/>
    <x v="0"/>
    <x v="0"/>
    <s v="Nakuru"/>
    <s v="Education"/>
    <x v="2"/>
    <x v="5"/>
    <x v="4"/>
    <x v="52"/>
    <n v="533.26"/>
    <n v="385.72"/>
    <n v="385.72"/>
    <n v="822.90800000000002"/>
    <n v="1593.3448000000001"/>
    <s v="Low"/>
    <s v="OK"/>
    <n v="0"/>
    <s v="OK"/>
    <n v="15"/>
    <n v="5785.8"/>
    <n v="7998.9"/>
    <n v="-2213.0999999999995"/>
    <n v="-0.38250544436378708"/>
    <n v="0"/>
    <e v="#DIV/0!"/>
    <x v="1"/>
  </r>
  <r>
    <s v="ORD-2025-578007"/>
    <x v="51"/>
    <x v="10"/>
    <s v="Q1-2025"/>
    <d v="2025-02-16T00:00:00"/>
    <s v="Valid"/>
    <d v="2025-02-16T00:00:00"/>
    <x v="8"/>
    <s v="Jan-2023"/>
    <n v="25"/>
    <n v="26"/>
    <x v="0"/>
    <x v="3"/>
    <x v="7"/>
    <s v="Lyon"/>
    <s v="Corporate"/>
    <x v="3"/>
    <x v="7"/>
    <x v="4"/>
    <x v="53"/>
    <n v="204.11"/>
    <n v="236.87"/>
    <n v="236.87"/>
    <n v="824.4855"/>
    <n v="1594.2831999999999"/>
    <s v="Low"/>
    <s v="OK"/>
    <n v="0.182"/>
    <s v="OK"/>
    <n v="13"/>
    <n v="2518.8755800000004"/>
    <n v="2653.4300000000003"/>
    <n v="-134.55441999999994"/>
    <n v="-5.3418446337075494E-2"/>
    <n v="0"/>
    <e v="#DIV/0!"/>
    <x v="1"/>
  </r>
  <r>
    <s v="ORD-2023-235230"/>
    <x v="52"/>
    <x v="25"/>
    <s v="Q3-2023"/>
    <d v="2023-09-01T00:00:00"/>
    <s v="Valid"/>
    <d v="2023-09-01T00:00:00"/>
    <x v="7"/>
    <s v="Jan-2023"/>
    <n v="8"/>
    <n v="2"/>
    <x v="1"/>
    <x v="3"/>
    <x v="6"/>
    <s v="Munich"/>
    <s v="Corporate"/>
    <x v="4"/>
    <x v="13"/>
    <x v="2"/>
    <x v="54"/>
    <n v="44.42"/>
    <n v="41.9"/>
    <n v="41.9"/>
    <n v="824.94279999999992"/>
    <n v="1594.8984"/>
    <s v="Low"/>
    <s v="OK"/>
    <n v="0.14399999999999999"/>
    <s v="OK"/>
    <n v="6"/>
    <n v="215.19839999999996"/>
    <n v="266.52"/>
    <n v="-51.321600000000018"/>
    <n v="-0.23848504449847224"/>
    <n v="0"/>
    <e v="#DIV/0!"/>
    <x v="1"/>
  </r>
  <r>
    <s v="ORD-2025-765220"/>
    <x v="53"/>
    <x v="19"/>
    <s v="Q2-2025"/>
    <d v="2025-04-30T00:00:00"/>
    <s v="Valid"/>
    <d v="2025-04-30T00:00:00"/>
    <x v="6"/>
    <s v="Jan-2023"/>
    <n v="27"/>
    <n v="24"/>
    <x v="0"/>
    <x v="2"/>
    <x v="5"/>
    <s v="Brasília"/>
    <s v="Education"/>
    <x v="1"/>
    <x v="11"/>
    <x v="5"/>
    <x v="55"/>
    <n v="855.78"/>
    <n v="977.38"/>
    <n v="977.38"/>
    <n v="826.05500000000006"/>
    <n v="1595.15"/>
    <s v="Medium"/>
    <s v="OK"/>
    <n v="0.14699999999999999"/>
    <s v="OK"/>
    <n v="38"/>
    <n v="31680.795320000001"/>
    <n v="32519.64"/>
    <n v="-838.84467999999833"/>
    <n v="-2.6478018355506307E-2"/>
    <n v="0"/>
    <e v="#DIV/0!"/>
    <x v="1"/>
  </r>
  <r>
    <s v="ORD-2025-931538"/>
    <x v="54"/>
    <x v="26"/>
    <s v="Q1-2025"/>
    <d v="2025-03-01T00:00:00"/>
    <s v="Valid"/>
    <d v="2025-03-01T00:00:00"/>
    <x v="6"/>
    <s v="Jan-2023"/>
    <n v="25"/>
    <n v="20"/>
    <x v="0"/>
    <x v="2"/>
    <x v="5"/>
    <s v="São Paulo"/>
    <s v="Corporate"/>
    <x v="3"/>
    <x v="5"/>
    <x v="4"/>
    <x v="56"/>
    <n v="1154.6400000000001"/>
    <n v="2794.13"/>
    <n v="2794.13"/>
    <n v="825.50720000000001"/>
    <n v="1595.4015999999999"/>
    <s v="High"/>
    <s v="OK"/>
    <n v="3.5000000000000003E-2"/>
    <s v="OK"/>
    <n v="11"/>
    <n v="29659.68995"/>
    <n v="12701.04"/>
    <n v="16958.649949999999"/>
    <n v="0.57177435025749479"/>
    <n v="0"/>
    <e v="#DIV/0!"/>
    <x v="1"/>
  </r>
  <r>
    <s v="ORD-2024-289089"/>
    <x v="55"/>
    <x v="6"/>
    <s v="Q4-2024"/>
    <d v="2024-12-18T00:00:00"/>
    <s v="Valid"/>
    <d v="2024-12-18T00:00:00"/>
    <x v="7"/>
    <s v="Jan-2023"/>
    <n v="23"/>
    <n v="1"/>
    <x v="1"/>
    <x v="3"/>
    <x v="6"/>
    <s v="Munich"/>
    <s v="Education"/>
    <x v="0"/>
    <x v="4"/>
    <x v="6"/>
    <x v="57"/>
    <n v="346.82"/>
    <n v="701.95"/>
    <n v="701.95"/>
    <n v="824.95939999999996"/>
    <n v="1594.9132"/>
    <s v="Low"/>
    <s v="OK"/>
    <n v="0.14699999999999999"/>
    <s v="OK"/>
    <n v="8"/>
    <n v="4790.1068000000005"/>
    <n v="2774.56"/>
    <n v="2015.5468000000005"/>
    <n v="0.42077283120284509"/>
    <n v="0"/>
    <e v="#DIV/0!"/>
    <x v="1"/>
  </r>
  <r>
    <s v="ORD-2025-639542"/>
    <x v="56"/>
    <x v="16"/>
    <s v="Q2-2025"/>
    <d v="2025-06-18T00:00:00"/>
    <s v="Valid"/>
    <d v="2025-06-18T00:00:00"/>
    <x v="8"/>
    <s v="Jan-2023"/>
    <n v="29"/>
    <n v="9"/>
    <x v="0"/>
    <x v="3"/>
    <x v="7"/>
    <s v="Marseille"/>
    <s v="Small Business"/>
    <x v="2"/>
    <x v="10"/>
    <x v="6"/>
    <x v="58"/>
    <n v="1225.5"/>
    <n v="-5.27"/>
    <n v="5.27"/>
    <n v="826.07159999999999"/>
    <n v="1595.1648"/>
    <s v="Low"/>
    <s v="FLAG"/>
    <n v="7.4999999999999997E-2"/>
    <s v="OK"/>
    <n v="56"/>
    <n v="272.98599999999999"/>
    <n v="68628"/>
    <n v="-68355.013999999996"/>
    <n v="-250.39750756449047"/>
    <n v="0"/>
    <e v="#DIV/0!"/>
    <x v="1"/>
  </r>
  <r>
    <s v="ORD-2025-762301"/>
    <x v="57"/>
    <x v="8"/>
    <s v="Q2-2025"/>
    <d v="2025-05-13T00:00:00"/>
    <s v="Valid"/>
    <d v="2025-05-13T00:00:00"/>
    <x v="0"/>
    <s v="Jan-2023"/>
    <n v="28"/>
    <n v="11"/>
    <x v="0"/>
    <x v="0"/>
    <x v="0"/>
    <s v="Nakuru"/>
    <s v="Small Business"/>
    <x v="1"/>
    <x v="8"/>
    <x v="6"/>
    <x v="59"/>
    <n v="1057.5999999999999"/>
    <n v="1437.06"/>
    <n v="1437.06"/>
    <n v="829.57460000000003"/>
    <n v="1595.4164000000001"/>
    <s v="Medium"/>
    <s v="OK"/>
    <n v="0.20499999999999999"/>
    <s v="OK"/>
    <n v="4"/>
    <n v="4569.8508000000002"/>
    <n v="4230.3999999999996"/>
    <n v="339.45080000000053"/>
    <n v="7.4280499485891424E-2"/>
    <n v="0"/>
    <e v="#DIV/0!"/>
    <x v="1"/>
  </r>
  <r>
    <s v="ORD-2024-906395"/>
    <x v="58"/>
    <x v="0"/>
    <s v="Q1-2024"/>
    <d v="2024-04-09T00:00:00"/>
    <s v="Valid"/>
    <d v="2024-04-09T00:00:00"/>
    <x v="8"/>
    <s v="Jan-2023"/>
    <n v="15"/>
    <n v="30"/>
    <x v="0"/>
    <x v="3"/>
    <x v="7"/>
    <s v="Lyon"/>
    <s v="Corporate"/>
    <x v="4"/>
    <x v="2"/>
    <x v="0"/>
    <x v="60"/>
    <n v="1176.56"/>
    <n v="1911.89"/>
    <n v="1911.89"/>
    <n v="827.19200000000023"/>
    <n v="1599.986000000001"/>
    <s v="High"/>
    <s v="OK"/>
    <n v="0.11899999999999999"/>
    <s v="OK"/>
    <n v="20"/>
    <n v="33687.501800000005"/>
    <n v="23531.199999999997"/>
    <n v="10156.301800000008"/>
    <n v="0.30148575160892477"/>
    <n v="0"/>
    <e v="#DIV/0!"/>
    <x v="1"/>
  </r>
  <r>
    <s v="ORD-2025-779574"/>
    <x v="59"/>
    <x v="11"/>
    <s v="Q3-2025"/>
    <d v="2025-09-12T00:00:00"/>
    <s v="Valid"/>
    <d v="2025-09-12T00:00:00"/>
    <x v="2"/>
    <s v="Mar-2023"/>
    <n v="31"/>
    <n v="2"/>
    <x v="1"/>
    <x v="1"/>
    <x v="2"/>
    <s v="Tokyo"/>
    <s v="Consumer"/>
    <x v="1"/>
    <x v="7"/>
    <x v="0"/>
    <x v="61"/>
    <n v="1470.15"/>
    <n v="2593.7800000000002"/>
    <n v="2593.7800000000002"/>
    <n v="826.08820000000003"/>
    <n v="1595.1795999999999"/>
    <s v="High"/>
    <s v="OK"/>
    <n v="0.11"/>
    <s v="OK"/>
    <n v="12"/>
    <n v="27701.570400000001"/>
    <n v="17641.800000000003"/>
    <n v="10059.770399999998"/>
    <n v="0.36314801849645306"/>
    <n v="0"/>
    <e v="#DIV/0!"/>
    <x v="1"/>
  </r>
  <r>
    <s v="ORD-2025-526650"/>
    <x v="60"/>
    <x v="19"/>
    <s v="Q2-2025"/>
    <d v="2025-05-25T00:00:00"/>
    <s v="Valid"/>
    <d v="2025-05-25T00:00:00"/>
    <x v="8"/>
    <s v="Jan-2023"/>
    <n v="28"/>
    <n v="28"/>
    <x v="0"/>
    <x v="3"/>
    <x v="7"/>
    <s v="Paris"/>
    <s v="Small Business"/>
    <x v="2"/>
    <x v="2"/>
    <x v="3"/>
    <x v="62"/>
    <n v="603.45000000000005"/>
    <n v="1244.08"/>
    <n v="1244.08"/>
    <n v="825.54039999999998"/>
    <n v="1594.4487999999999"/>
    <s v="Medium"/>
    <s v="OK"/>
    <n v="0.2"/>
    <s v="OK"/>
    <n v="11"/>
    <n v="10947.904"/>
    <n v="6637.9500000000007"/>
    <n v="4309.9539999999997"/>
    <n v="0.39367846119220623"/>
    <n v="0"/>
    <e v="#DIV/0!"/>
    <x v="1"/>
  </r>
  <r>
    <s v="ORD-2024-247979"/>
    <x v="61"/>
    <x v="18"/>
    <s v="Q4-2024"/>
    <d v="2024-11-18T00:00:00"/>
    <s v="Valid"/>
    <d v="2024-11-18T00:00:00"/>
    <x v="4"/>
    <s v="Feb-2023"/>
    <n v="21"/>
    <n v="16"/>
    <x v="0"/>
    <x v="1"/>
    <x v="4"/>
    <s v="Mumbai"/>
    <s v="Small Business"/>
    <x v="3"/>
    <x v="7"/>
    <x v="5"/>
    <x v="63"/>
    <n v="1233.58"/>
    <n v="1912.51"/>
    <n v="1912.51"/>
    <n v="824.99259999999992"/>
    <n v="1594.9428"/>
    <s v="High"/>
    <s v="OK"/>
    <n v="0.255"/>
    <s v="OK"/>
    <n v="51"/>
    <n v="72665.817450000002"/>
    <n v="62912.579999999994"/>
    <n v="9753.2374500000078"/>
    <n v="0.134220432553601"/>
    <n v="0"/>
    <e v="#DIV/0!"/>
    <x v="1"/>
  </r>
  <r>
    <s v="ORD-2023-480975"/>
    <x v="62"/>
    <x v="2"/>
    <s v="Q1-2023"/>
    <d v="2023-02-26T00:00:00"/>
    <s v="Valid"/>
    <d v="2023-02-26T00:00:00"/>
    <x v="13"/>
    <s v="Jan-2023"/>
    <n v="2"/>
    <n v="11"/>
    <x v="0"/>
    <x v="0"/>
    <x v="11"/>
    <s v="Johannesburg"/>
    <s v="Non-Profit"/>
    <x v="0"/>
    <x v="11"/>
    <x v="4"/>
    <x v="64"/>
    <n v="498.5"/>
    <n v="755.87"/>
    <n v="755.87"/>
    <n v="824.68899999999996"/>
    <n v="1593.5655999999999"/>
    <s v="Low"/>
    <s v="OK"/>
    <n v="0.13"/>
    <s v="OK"/>
    <n v="40"/>
    <n v="26304.275999999998"/>
    <n v="19940"/>
    <n v="6364.275999999998"/>
    <n v="0.24194834330357537"/>
    <n v="0"/>
    <e v="#DIV/0!"/>
    <x v="1"/>
  </r>
  <r>
    <s v="ORD-2023-239789"/>
    <x v="63"/>
    <x v="4"/>
    <s v="Q4-2023"/>
    <d v="2023-12-26T00:00:00"/>
    <s v="Valid"/>
    <d v="2023-12-26T00:00:00"/>
    <x v="6"/>
    <s v="Jan-2023"/>
    <n v="11"/>
    <n v="23"/>
    <x v="0"/>
    <x v="2"/>
    <x v="5"/>
    <s v="Rio De Janeiro"/>
    <s v="Education"/>
    <x v="0"/>
    <x v="7"/>
    <x v="3"/>
    <x v="65"/>
    <n v="1303.1099999999999"/>
    <n v="1145.67"/>
    <n v="1145.67"/>
    <n v="825.55700000000002"/>
    <n v="1594.5040000000001"/>
    <s v="Medium"/>
    <s v="OK"/>
    <n v="0.184"/>
    <s v="OK"/>
    <n v="13"/>
    <n v="12153.267360000002"/>
    <n v="16940.43"/>
    <n v="-4787.1626399999986"/>
    <n v="-0.39389922875851208"/>
    <n v="0"/>
    <e v="#DIV/0!"/>
    <x v="1"/>
  </r>
  <r>
    <s v="ORD-2023-548874"/>
    <x v="64"/>
    <x v="22"/>
    <s v="Q1-2023"/>
    <d v="2023-04-09T00:00:00"/>
    <s v="Valid"/>
    <d v="2023-04-09T00:00:00"/>
    <x v="9"/>
    <s v="Jan-2023"/>
    <n v="3"/>
    <n v="21"/>
    <x v="0"/>
    <x v="3"/>
    <x v="8"/>
    <s v="Manchester"/>
    <s v="Consumer"/>
    <x v="0"/>
    <x v="4"/>
    <x v="6"/>
    <x v="66"/>
    <n v="1082.17"/>
    <n v="1234.0999999999999"/>
    <n v="1234.0999999999999"/>
    <n v="825.00919999999996"/>
    <n v="1594.9576"/>
    <s v="Medium"/>
    <s v="OK"/>
    <n v="0.189"/>
    <s v="OK"/>
    <n v="16"/>
    <n v="16013.681599999998"/>
    <n v="17314.72"/>
    <n v="-1301.0384000000031"/>
    <n v="-8.124542703534228E-2"/>
    <n v="0"/>
    <e v="#DIV/0!"/>
    <x v="1"/>
  </r>
  <r>
    <s v="ORD-2024-347736"/>
    <x v="65"/>
    <x v="7"/>
    <s v="Q2-2024"/>
    <d v="2024-06-06T00:00:00"/>
    <s v="Valid"/>
    <d v="2024-06-06T00:00:00"/>
    <x v="2"/>
    <s v="Mar-2023"/>
    <n v="15"/>
    <n v="15"/>
    <x v="0"/>
    <x v="1"/>
    <x v="2"/>
    <s v="Nagoya"/>
    <s v="Corporate"/>
    <x v="3"/>
    <x v="0"/>
    <x v="5"/>
    <x v="67"/>
    <n v="673.88"/>
    <n v="1228.01"/>
    <n v="1228.01"/>
    <n v="824.69449999999995"/>
    <n v="1595.2092"/>
    <s v="Medium"/>
    <s v="OK"/>
    <n v="0.105"/>
    <s v="OK"/>
    <n v="13"/>
    <n v="14287.896349999999"/>
    <n v="8760.44"/>
    <n v="5527.4563499999986"/>
    <n v="0.38686285332689996"/>
    <n v="0"/>
    <e v="#DIV/0!"/>
    <x v="1"/>
  </r>
  <r>
    <s v="ORD-2023-749324"/>
    <x v="66"/>
    <x v="25"/>
    <s v="Q3-2023"/>
    <d v="2023-09-07T00:00:00"/>
    <s v="Valid"/>
    <d v="2023-09-07T00:00:00"/>
    <x v="13"/>
    <s v="Jan-2023"/>
    <n v="8"/>
    <n v="19"/>
    <x v="0"/>
    <x v="0"/>
    <x v="11"/>
    <s v="Johannesburg"/>
    <s v="Enterprise"/>
    <x v="0"/>
    <x v="14"/>
    <x v="5"/>
    <x v="68"/>
    <n v="494.61"/>
    <n v="605.23"/>
    <n v="605.23"/>
    <n v="824.51299999999992"/>
    <n v="1595.4608000000001"/>
    <s v="Low"/>
    <s v="OK"/>
    <n v="0.20399999999999999"/>
    <s v="OK"/>
    <n v="18"/>
    <n v="8671.7354400000004"/>
    <n v="8902.98"/>
    <n v="-231.24455999999918"/>
    <n v="-2.6666468505639647E-2"/>
    <n v="0"/>
    <e v="#DIV/0!"/>
    <x v="1"/>
  </r>
  <r>
    <s v="ORD-2023-809913"/>
    <x v="67"/>
    <x v="12"/>
    <s v="Q2-2023"/>
    <d v="2023-05-10T00:00:00"/>
    <s v="Valid"/>
    <d v="2023-05-10T00:00:00"/>
    <x v="10"/>
    <s v="Jan-2023"/>
    <n v="4"/>
    <n v="19"/>
    <x v="0"/>
    <x v="1"/>
    <x v="9"/>
    <s v="Shanghai"/>
    <s v="Corporate"/>
    <x v="0"/>
    <x v="8"/>
    <x v="0"/>
    <x v="69"/>
    <n v="882.33"/>
    <n v="1880.15"/>
    <n v="1880.15"/>
    <n v="825.0258"/>
    <n v="1601.3257999999998"/>
    <s v="High"/>
    <s v="OK"/>
    <n v="0.05"/>
    <s v="OK"/>
    <n v="5"/>
    <n v="8930.7124999999996"/>
    <n v="4411.6500000000005"/>
    <n v="4519.0624999999991"/>
    <n v="0.50601365792482955"/>
    <n v="0"/>
    <e v="#DIV/0!"/>
    <x v="1"/>
  </r>
  <r>
    <s v="ORD-2024-287210"/>
    <x v="68"/>
    <x v="0"/>
    <s v="Q1-2024"/>
    <d v="2024-03-21T00:00:00"/>
    <s v="Valid"/>
    <d v="2024-03-21T00:00:00"/>
    <x v="7"/>
    <s v="Jan-2023"/>
    <n v="14"/>
    <n v="3"/>
    <x v="1"/>
    <x v="3"/>
    <x v="6"/>
    <s v="Munich"/>
    <s v="Small Business"/>
    <x v="1"/>
    <x v="12"/>
    <x v="6"/>
    <x v="70"/>
    <n v="910.63"/>
    <n v="1269.4000000000001"/>
    <n v="1269.4000000000001"/>
    <n v="824.69999999999993"/>
    <n v="1595.2239999999999"/>
    <s v="Medium"/>
    <s v="OK"/>
    <n v="6.8000000000000005E-2"/>
    <s v="OK"/>
    <n v="9"/>
    <n v="10647.727199999999"/>
    <n v="8195.67"/>
    <n v="2452.0571999999993"/>
    <n v="0.23028925834989455"/>
    <n v="0"/>
    <e v="#DIV/0!"/>
    <x v="1"/>
  </r>
  <r>
    <s v="ORD-2025-640677"/>
    <x v="69"/>
    <x v="19"/>
    <s v="Q2-2025"/>
    <d v="2025-05-06T00:00:00"/>
    <s v="Valid"/>
    <d v="2025-05-06T00:00:00"/>
    <x v="6"/>
    <s v="Jan-2023"/>
    <n v="27"/>
    <n v="27"/>
    <x v="0"/>
    <x v="2"/>
    <x v="5"/>
    <s v="Brasília"/>
    <s v="Enterprise"/>
    <x v="2"/>
    <x v="9"/>
    <x v="4"/>
    <x v="71"/>
    <n v="264.19"/>
    <n v="620.92999999999995"/>
    <n v="620.92999999999995"/>
    <n v="824.51850000000002"/>
    <n v="1595.4756"/>
    <s v="Low"/>
    <s v="OK"/>
    <n v="0.14199999999999999"/>
    <s v="OK"/>
    <n v="12"/>
    <n v="6393.0952799999995"/>
    <n v="3170.2799999999997"/>
    <n v="3222.8152799999998"/>
    <n v="0.50410875152794532"/>
    <n v="0"/>
    <e v="#DIV/0!"/>
    <x v="1"/>
  </r>
  <r>
    <s v="ORD-2024-939873"/>
    <x v="70"/>
    <x v="20"/>
    <s v="Q2-2024"/>
    <d v="2024-05-07T00:00:00"/>
    <s v="Valid"/>
    <d v="2024-05-07T00:00:00"/>
    <x v="13"/>
    <s v="Jan-2023"/>
    <n v="16"/>
    <n v="25"/>
    <x v="0"/>
    <x v="0"/>
    <x v="11"/>
    <s v="Johannesburg"/>
    <s v="Education"/>
    <x v="3"/>
    <x v="8"/>
    <x v="4"/>
    <x v="72"/>
    <n v="1376.51"/>
    <n v="1455.91"/>
    <n v="1455.91"/>
    <n v="825.04239999999993"/>
    <n v="1601.7724000000005"/>
    <s v="Medium"/>
    <s v="OK"/>
    <n v="0.185"/>
    <s v="OK"/>
    <n v="17"/>
    <n v="20171.63305"/>
    <n v="23400.67"/>
    <n v="-3229.0369499999979"/>
    <n v="-0.1600781127634085"/>
    <n v="0"/>
    <e v="#DIV/0!"/>
    <x v="1"/>
  </r>
  <r>
    <s v="ORD-2024-800947"/>
    <x v="71"/>
    <x v="6"/>
    <s v="Q4-2024"/>
    <d v="2024-12-20T00:00:00"/>
    <s v="Valid"/>
    <d v="2024-12-20T00:00:00"/>
    <x v="10"/>
    <s v="Jan-2023"/>
    <n v="24"/>
    <n v="5"/>
    <x v="1"/>
    <x v="1"/>
    <x v="9"/>
    <s v="Shenzhen"/>
    <s v="Small Business"/>
    <x v="4"/>
    <x v="1"/>
    <x v="2"/>
    <x v="73"/>
    <n v="717.55"/>
    <n v="546.42999999999995"/>
    <n v="546.42999999999995"/>
    <n v="824.70549999999992"/>
    <n v="1609.3646000000001"/>
    <s v="Low"/>
    <s v="OK"/>
    <n v="4.7E-2"/>
    <s v="OK"/>
    <n v="18"/>
    <n v="9373.460219999999"/>
    <n v="12915.9"/>
    <n v="-3542.4397800000006"/>
    <n v="-0.37792231437026369"/>
    <n v="0"/>
    <e v="#DIV/0!"/>
    <x v="1"/>
  </r>
  <r>
    <s v="ORD-2023-382272"/>
    <x v="72"/>
    <x v="15"/>
    <s v="Q2-2023"/>
    <d v="2023-05-18T00:00:00"/>
    <s v="Invalid"/>
    <d v="2023-05-20T00:00:00"/>
    <x v="13"/>
    <s v="Jan-2023"/>
    <n v="5"/>
    <n v="0"/>
    <x v="1"/>
    <x v="0"/>
    <x v="11"/>
    <s v="Durban"/>
    <s v="Corporate"/>
    <x v="3"/>
    <x v="8"/>
    <x v="0"/>
    <x v="74"/>
    <n v="917.88"/>
    <n v="1347.92"/>
    <n v="1347.92"/>
    <n v="825.60680000000002"/>
    <n v="1616.9568000000008"/>
    <s v="Medium"/>
    <s v="OK"/>
    <n v="0.34300000000000003"/>
    <s v="FLAG"/>
    <n v="5"/>
    <n v="4427.9172000000008"/>
    <n v="4589.3999999999996"/>
    <n v="-161.48279999999886"/>
    <n v="-3.6469245630880096E-2"/>
    <n v="0"/>
    <e v="#DIV/0!"/>
    <x v="1"/>
  </r>
  <r>
    <s v="ORD-2023-722117"/>
    <x v="73"/>
    <x v="27"/>
    <s v="Q3-2023"/>
    <d v="2023-10-08T00:00:00"/>
    <s v="Valid"/>
    <d v="2023-10-08T00:00:00"/>
    <x v="4"/>
    <s v="Feb-2023"/>
    <n v="7"/>
    <n v="20"/>
    <x v="0"/>
    <x v="1"/>
    <x v="4"/>
    <s v="Delhi"/>
    <s v="Small Business"/>
    <x v="4"/>
    <x v="5"/>
    <x v="0"/>
    <x v="75"/>
    <n v="825.64"/>
    <n v="1108.43"/>
    <n v="1108.43"/>
    <n v="825.05899999999997"/>
    <n v="1618.675"/>
    <s v="Medium"/>
    <s v="OK"/>
    <n v="0.114"/>
    <s v="OK"/>
    <n v="7"/>
    <n v="6874.4828600000001"/>
    <n v="5779.48"/>
    <n v="1095.0028600000005"/>
    <n v="0.15928512475773349"/>
    <n v="0"/>
    <e v="#DIV/0!"/>
    <x v="1"/>
  </r>
  <r>
    <s v="ORD-2024-446699"/>
    <x v="74"/>
    <x v="21"/>
    <s v="Q3-2024"/>
    <d v="2024-09-25T00:00:00"/>
    <s v="Valid"/>
    <d v="2024-09-25T00:00:00"/>
    <x v="6"/>
    <s v="Jan-2023"/>
    <n v="19"/>
    <n v="28"/>
    <x v="0"/>
    <x v="2"/>
    <x v="5"/>
    <s v="Rio De Janeiro"/>
    <s v="Non-Profit"/>
    <x v="1"/>
    <x v="15"/>
    <x v="6"/>
    <x v="76"/>
    <n v="1394.65"/>
    <n v="3144.1"/>
    <n v="3144.1"/>
    <n v="824.71100000000001"/>
    <n v="1619.6100000000001"/>
    <s v="High"/>
    <s v="OK"/>
    <n v="0.13400000000000001"/>
    <s v="OK"/>
    <n v="13"/>
    <n v="35396.277799999996"/>
    <n v="18130.45"/>
    <n v="17265.827799999995"/>
    <n v="0.4877865378263021"/>
    <n v="0"/>
    <e v="#DIV/0!"/>
    <x v="1"/>
  </r>
  <r>
    <s v="ORD-2024-451005"/>
    <x v="24"/>
    <x v="17"/>
    <s v="Q2-2024"/>
    <d v="2024-06-28T00:00:00"/>
    <s v="Invalid"/>
    <d v="2024-06-30T00:00:00"/>
    <x v="6"/>
    <s v="Jan-2023"/>
    <n v="18"/>
    <n v="0"/>
    <x v="1"/>
    <x v="2"/>
    <x v="5"/>
    <s v="Rio De Janeiro"/>
    <s v="Small Business"/>
    <x v="4"/>
    <x v="4"/>
    <x v="6"/>
    <x v="77"/>
    <n v="1112.98"/>
    <n v="2095.73"/>
    <n v="2095.73"/>
    <n v="824.52949999999998"/>
    <n v="1617.4034000000004"/>
    <s v="High"/>
    <s v="OK"/>
    <n v="7.1999999999999995E-2"/>
    <s v="OK"/>
    <n v="17"/>
    <n v="33062.236480000007"/>
    <n v="18920.66"/>
    <n v="14141.576480000007"/>
    <n v="0.42772594916724777"/>
    <n v="0"/>
    <e v="#DIV/0!"/>
    <x v="1"/>
  </r>
  <r>
    <s v="ORD-2023-290279"/>
    <x v="75"/>
    <x v="23"/>
    <s v="Q2-2023"/>
    <d v="2023-06-16T00:00:00"/>
    <s v="Valid"/>
    <d v="2023-06-16T00:00:00"/>
    <x v="9"/>
    <s v="Jan-2023"/>
    <n v="5"/>
    <n v="2"/>
    <x v="1"/>
    <x v="3"/>
    <x v="8"/>
    <s v="Manchester"/>
    <s v="Non-Profit"/>
    <x v="4"/>
    <x v="11"/>
    <x v="0"/>
    <x v="78"/>
    <n v="357.36"/>
    <n v="703.62"/>
    <n v="703.62"/>
    <n v="824.34799999999996"/>
    <n v="1602.6655999999998"/>
    <s v="Low"/>
    <s v="OK"/>
    <n v="0.25700000000000001"/>
    <s v="OK"/>
    <n v="20"/>
    <n v="10455.7932"/>
    <n v="7147.2000000000007"/>
    <n v="3308.5931999999993"/>
    <n v="0.31643636563125593"/>
    <n v="0"/>
    <e v="#DIV/0!"/>
    <x v="1"/>
  </r>
  <r>
    <s v="ORD-2024-192263"/>
    <x v="76"/>
    <x v="18"/>
    <s v="Q4-2024"/>
    <d v="2024-12-21T00:00:00"/>
    <s v="Valid"/>
    <d v="2024-12-21T00:00:00"/>
    <x v="8"/>
    <s v="Jan-2023"/>
    <n v="23"/>
    <n v="30"/>
    <x v="0"/>
    <x v="3"/>
    <x v="7"/>
    <s v="Marseille"/>
    <s v="Small Business"/>
    <x v="4"/>
    <x v="2"/>
    <x v="5"/>
    <x v="79"/>
    <n v="1122.68"/>
    <n v="1997.19"/>
    <n v="1997.19"/>
    <n v="824.7165"/>
    <n v="1610.2578000000005"/>
    <s v="High"/>
    <s v="OK"/>
    <n v="0.186"/>
    <s v="OK"/>
    <n v="3"/>
    <n v="4877.1379800000004"/>
    <n v="3368.04"/>
    <n v="1509.0979800000005"/>
    <n v="0.30942285951073306"/>
    <n v="0"/>
    <e v="#DIV/0!"/>
    <x v="1"/>
  </r>
  <r>
    <s v="ORD-2023-159379"/>
    <x v="77"/>
    <x v="2"/>
    <s v="Q1-2023"/>
    <d v="2023-02-11T00:00:00"/>
    <s v="Valid"/>
    <d v="2023-02-11T00:00:00"/>
    <x v="13"/>
    <s v="Jan-2023"/>
    <n v="2"/>
    <n v="3"/>
    <x v="1"/>
    <x v="0"/>
    <x v="11"/>
    <s v="Cape Town"/>
    <s v="Corporate"/>
    <x v="4"/>
    <x v="12"/>
    <x v="2"/>
    <x v="80"/>
    <n v="1410.05"/>
    <n v="2763.95"/>
    <n v="2763.95"/>
    <n v="824.53499999999997"/>
    <n v="1595.52"/>
    <s v="High"/>
    <s v="OK"/>
    <n v="0.161"/>
    <s v="OK"/>
    <n v="26"/>
    <n v="60292.805299999993"/>
    <n v="36661.299999999996"/>
    <n v="23631.505299999997"/>
    <n v="0.39194569206750779"/>
    <n v="0"/>
    <e v="#DIV/0!"/>
    <x v="1"/>
  </r>
  <r>
    <s v="ORD-2023-343322"/>
    <x v="66"/>
    <x v="25"/>
    <s v="Q3-2023"/>
    <d v="2023-09-12T00:00:00"/>
    <s v="Valid"/>
    <d v="2023-09-12T00:00:00"/>
    <x v="14"/>
    <s v="Mar-2023"/>
    <n v="6"/>
    <n v="24"/>
    <x v="0"/>
    <x v="2"/>
    <x v="3"/>
    <s v="Vancouver"/>
    <s v="Enterprise"/>
    <x v="0"/>
    <x v="2"/>
    <x v="1"/>
    <x v="81"/>
    <n v="1183.95"/>
    <n v="1503.53"/>
    <n v="1503.53"/>
    <n v="824.35349999999994"/>
    <n v="1595.0316"/>
    <s v="Medium"/>
    <s v="OK"/>
    <n v="0.24099999999999999"/>
    <s v="OK"/>
    <n v="16"/>
    <n v="18258.868320000001"/>
    <n v="18943.2"/>
    <n v="-684.33167999999932"/>
    <n v="-3.7479413729623705E-2"/>
    <n v="0"/>
    <e v="#DIV/0!"/>
    <x v="1"/>
  </r>
  <r>
    <s v="ORD-2025-114382"/>
    <x v="78"/>
    <x v="8"/>
    <s v="Q2-2025"/>
    <d v="2025-05-24T00:00:00"/>
    <s v="Valid"/>
    <d v="2025-05-24T00:00:00"/>
    <x v="8"/>
    <s v="Jan-2023"/>
    <n v="29"/>
    <n v="10"/>
    <x v="0"/>
    <x v="3"/>
    <x v="7"/>
    <s v="Paris"/>
    <s v="Small Business"/>
    <x v="2"/>
    <x v="11"/>
    <x v="0"/>
    <x v="82"/>
    <n v="170.39"/>
    <n v="388.04"/>
    <n v="388.04"/>
    <n v="823.428"/>
    <n v="1595.2832000000001"/>
    <s v="Low"/>
    <s v="OK"/>
    <n v="8.4000000000000005E-2"/>
    <s v="OK"/>
    <n v="15"/>
    <n v="5331.6696000000002"/>
    <n v="2555.85"/>
    <n v="2775.8196000000003"/>
    <n v="0.52062858508711796"/>
    <n v="0"/>
    <e v="#DIV/0!"/>
    <x v="1"/>
  </r>
  <r>
    <s v="ORD-2025-488349"/>
    <x v="79"/>
    <x v="19"/>
    <s v="Q2-2025"/>
    <d v="2025-04-22T00:00:00"/>
    <s v="Invalid"/>
    <d v="2025-04-23T00:00:00"/>
    <x v="11"/>
    <s v="Jan-2023"/>
    <n v="28"/>
    <n v="0"/>
    <x v="1"/>
    <x v="2"/>
    <x v="10"/>
    <s v="San Francisco"/>
    <s v="Non-Profit"/>
    <x v="3"/>
    <x v="14"/>
    <x v="5"/>
    <x v="83"/>
    <n v="23.24"/>
    <n v="44.57"/>
    <n v="44.57"/>
    <n v="824.54049999999995"/>
    <n v="1595.9666000000009"/>
    <s v="Low"/>
    <s v="OK"/>
    <n v="0.215"/>
    <s v="OK"/>
    <n v="15"/>
    <n v="524.81174999999996"/>
    <n v="348.59999999999997"/>
    <n v="176.21174999999999"/>
    <n v="0.33576182316802167"/>
    <n v="0"/>
    <e v="#DIV/0!"/>
    <x v="1"/>
  </r>
  <r>
    <s v="ORD-2025-330203"/>
    <x v="80"/>
    <x v="3"/>
    <s v="Q1-2025"/>
    <d v="2025-04-17T00:00:00"/>
    <s v="Valid"/>
    <d v="2025-04-17T00:00:00"/>
    <x v="9"/>
    <s v="Jan-2023"/>
    <n v="27"/>
    <n v="23"/>
    <x v="0"/>
    <x v="3"/>
    <x v="8"/>
    <s v="London"/>
    <s v="Consumer"/>
    <x v="0"/>
    <x v="10"/>
    <x v="2"/>
    <x v="84"/>
    <n v="1421.19"/>
    <n v="1808.26"/>
    <n v="1808.26"/>
    <n v="825.10879999999997"/>
    <n v="1603.5588000000002"/>
    <s v="High"/>
    <s v="OK"/>
    <n v="0.104"/>
    <s v="OK"/>
    <n v="13"/>
    <n v="21062.61248"/>
    <n v="18475.47"/>
    <n v="2587.1424799999986"/>
    <n v="0.12283103449093123"/>
    <n v="0"/>
    <e v="#DIV/0!"/>
    <x v="1"/>
  </r>
  <r>
    <s v="ORD-2023-841426"/>
    <x v="81"/>
    <x v="4"/>
    <s v="Q4-2023"/>
    <d v="2023-12-23T00:00:00"/>
    <s v="Valid"/>
    <d v="2023-12-23T00:00:00"/>
    <x v="13"/>
    <s v="Jan-2023"/>
    <n v="12"/>
    <n v="1"/>
    <x v="1"/>
    <x v="0"/>
    <x v="11"/>
    <s v="Cape Town"/>
    <s v="Non-Profit"/>
    <x v="2"/>
    <x v="14"/>
    <x v="0"/>
    <x v="85"/>
    <n v="1186.18"/>
    <n v="1285.0899999999999"/>
    <n v="1285.0899999999999"/>
    <n v="824.72749999999996"/>
    <n v="1595.298"/>
    <s v="Medium"/>
    <s v="OK"/>
    <n v="7.0000000000000007E-2"/>
    <s v="OK"/>
    <n v="11"/>
    <n v="13146.470699999998"/>
    <n v="13047.980000000001"/>
    <n v="98.49069999999665"/>
    <n v="7.4917977796121861E-3"/>
    <n v="0"/>
    <e v="#DIV/0!"/>
    <x v="1"/>
  </r>
  <r>
    <s v="ORD-2024-594592"/>
    <x v="82"/>
    <x v="20"/>
    <s v="Q2-2024"/>
    <d v="2024-04-25T00:00:00"/>
    <s v="Valid"/>
    <d v="2024-04-25T00:00:00"/>
    <x v="10"/>
    <s v="Jan-2023"/>
    <n v="15"/>
    <n v="19"/>
    <x v="0"/>
    <x v="1"/>
    <x v="9"/>
    <s v="Shanghai"/>
    <s v="Corporate"/>
    <x v="0"/>
    <x v="11"/>
    <x v="0"/>
    <x v="86"/>
    <n v="1366.48"/>
    <n v="1678.14"/>
    <n v="1678.14"/>
    <n v="824.54599999999994"/>
    <n v="1596.4132000000004"/>
    <s v="High"/>
    <s v="OK"/>
    <n v="0.154"/>
    <s v="OK"/>
    <n v="10"/>
    <n v="14197.064400000001"/>
    <n v="13664.8"/>
    <n v="532.26440000000184"/>
    <n v="3.7491159087790132E-2"/>
    <n v="0"/>
    <e v="#DIV/0!"/>
    <x v="1"/>
  </r>
  <r>
    <s v="ORD-2025-863978"/>
    <x v="83"/>
    <x v="28"/>
    <s v="Q3-2025"/>
    <d v="2025-08-19T00:00:00"/>
    <s v="Valid"/>
    <d v="2025-08-19T00:00:00"/>
    <x v="0"/>
    <s v="Jan-2023"/>
    <n v="31"/>
    <n v="12"/>
    <x v="0"/>
    <x v="0"/>
    <x v="0"/>
    <s v="Nakuru"/>
    <s v="Corporate"/>
    <x v="5"/>
    <x v="12"/>
    <x v="0"/>
    <x v="87"/>
    <n v="601.51"/>
    <n v="679.35"/>
    <n v="679.35"/>
    <n v="824.36450000000002"/>
    <n v="1595.0611999999999"/>
    <s v="Low"/>
    <s v="OK"/>
    <n v="0.188"/>
    <s v="OK"/>
    <n v="3"/>
    <n v="1654.8966000000003"/>
    <n v="1804.53"/>
    <n v="-149.63339999999971"/>
    <n v="-9.0418579626062243E-2"/>
    <n v="0"/>
    <e v="#DIV/0!"/>
    <x v="1"/>
  </r>
  <r>
    <s v="ORD-2024-604471"/>
    <x v="84"/>
    <x v="9"/>
    <s v="Q1-2024"/>
    <d v="2024-01-25T00:00:00"/>
    <s v="Valid"/>
    <d v="2024-01-25T00:00:00"/>
    <x v="4"/>
    <s v="Feb-2023"/>
    <n v="12"/>
    <n v="4"/>
    <x v="1"/>
    <x v="1"/>
    <x v="4"/>
    <s v="Delhi"/>
    <s v="Consumer"/>
    <x v="4"/>
    <x v="0"/>
    <x v="5"/>
    <x v="88"/>
    <n v="523.70000000000005"/>
    <n v="1109.92"/>
    <n v="1109.92"/>
    <n v="824.73299999999995"/>
    <n v="1595.3127999999999"/>
    <s v="Medium"/>
    <s v="OK"/>
    <n v="0.03"/>
    <s v="OK"/>
    <n v="11"/>
    <n v="11842.8464"/>
    <n v="5760.7000000000007"/>
    <n v="6082.1463999999996"/>
    <n v="0.51357133197302973"/>
    <n v="0"/>
    <e v="#DIV/0!"/>
    <x v="1"/>
  </r>
  <r>
    <s v="ORD-2023-258768"/>
    <x v="85"/>
    <x v="23"/>
    <s v="Q2-2023"/>
    <d v="2023-07-02T00:00:00"/>
    <s v="Valid"/>
    <d v="2023-07-02T00:00:00"/>
    <x v="2"/>
    <s v="Mar-2023"/>
    <n v="4"/>
    <n v="3"/>
    <x v="1"/>
    <x v="1"/>
    <x v="2"/>
    <s v="Nagoya"/>
    <s v="Education"/>
    <x v="2"/>
    <x v="9"/>
    <x v="5"/>
    <x v="89"/>
    <n v="55.65"/>
    <n v="83.57"/>
    <n v="83.57"/>
    <n v="824.55149999999992"/>
    <n v="1596.8598"/>
    <s v="Low"/>
    <s v="OK"/>
    <n v="6.6000000000000003E-2"/>
    <s v="OK"/>
    <n v="8"/>
    <n v="624.43503999999996"/>
    <n v="445.2"/>
    <n v="179.23503999999997"/>
    <n v="0.2870355257449998"/>
    <n v="0"/>
    <e v="#DIV/0!"/>
    <x v="1"/>
  </r>
  <r>
    <s v="ORD-2025-626047"/>
    <x v="86"/>
    <x v="19"/>
    <s v="Q2-2025"/>
    <d v="2025-05-15T00:00:00"/>
    <s v="Valid"/>
    <d v="2025-05-15T00:00:00"/>
    <x v="2"/>
    <s v="Mar-2023"/>
    <n v="26"/>
    <n v="17"/>
    <x v="0"/>
    <x v="1"/>
    <x v="2"/>
    <s v="Nagoya"/>
    <s v="Education"/>
    <x v="4"/>
    <x v="13"/>
    <x v="2"/>
    <x v="90"/>
    <n v="691.19"/>
    <n v="1284.3"/>
    <n v="1284.3"/>
    <n v="825.14199999999994"/>
    <n v="1604.4520000000007"/>
    <s v="Medium"/>
    <s v="OK"/>
    <n v="7.3999999999999996E-2"/>
    <s v="OK"/>
    <n v="7"/>
    <n v="8324.8326000000015"/>
    <n v="4838.33"/>
    <n v="3486.5026000000016"/>
    <n v="0.41880753253825198"/>
    <n v="0"/>
    <e v="#DIV/0!"/>
    <x v="1"/>
  </r>
  <r>
    <s v="ORD-2025-526752"/>
    <x v="56"/>
    <x v="16"/>
    <s v="Q2-2025"/>
    <d v="2025-06-25T00:00:00"/>
    <s v="Valid"/>
    <d v="2025-06-25T00:00:00"/>
    <x v="4"/>
    <s v="Feb-2023"/>
    <n v="28"/>
    <n v="16"/>
    <x v="0"/>
    <x v="1"/>
    <x v="4"/>
    <s v="Hyderabad"/>
    <s v="Enterprise"/>
    <x v="3"/>
    <x v="12"/>
    <x v="3"/>
    <x v="91"/>
    <n v="527.33000000000004"/>
    <n v="911.72"/>
    <n v="911.72"/>
    <n v="824.73849999999993"/>
    <n v="1612.0442"/>
    <s v="Medium"/>
    <s v="OK"/>
    <n v="0.14399999999999999"/>
    <s v="OK"/>
    <n v="25"/>
    <n v="19510.808000000001"/>
    <n v="13183.250000000002"/>
    <n v="6327.5579999999991"/>
    <n v="0.32431040272652978"/>
    <n v="0"/>
    <e v="#DIV/0!"/>
    <x v="1"/>
  </r>
  <r>
    <s v="ORD-2023-374486"/>
    <x v="87"/>
    <x v="23"/>
    <s v="Q2-2023"/>
    <d v="2023-06-23T00:00:00"/>
    <s v="Invalid"/>
    <d v="2023-06-24T00:00:00"/>
    <x v="6"/>
    <s v="Jan-2023"/>
    <n v="5"/>
    <n v="0"/>
    <x v="1"/>
    <x v="2"/>
    <x v="5"/>
    <s v="Rio De Janeiro"/>
    <s v="Non-Profit"/>
    <x v="0"/>
    <x v="6"/>
    <x v="1"/>
    <x v="92"/>
    <n v="804.01"/>
    <n v="1405.07"/>
    <n v="1405.07"/>
    <n v="824.55700000000002"/>
    <n v="1618.07"/>
    <s v="Medium"/>
    <s v="OK"/>
    <n v="9.6000000000000002E-2"/>
    <s v="OK"/>
    <n v="8"/>
    <n v="10161.46624"/>
    <n v="6432.08"/>
    <n v="3729.3862399999998"/>
    <n v="0.36701260939287439"/>
    <n v="0"/>
    <e v="#DIV/0!"/>
    <x v="1"/>
  </r>
  <r>
    <s v="ORD-2024-997336"/>
    <x v="88"/>
    <x v="1"/>
    <s v="Q4-2024"/>
    <d v="2024-11-02T00:00:00"/>
    <s v="Valid"/>
    <d v="2024-11-02T00:00:00"/>
    <x v="5"/>
    <s v="Feb-2023"/>
    <n v="20"/>
    <n v="29"/>
    <x v="0"/>
    <x v="0"/>
    <x v="1"/>
    <s v="Abuja"/>
    <s v="Corporate"/>
    <x v="3"/>
    <x v="9"/>
    <x v="6"/>
    <x v="93"/>
    <n v="412.09"/>
    <n v="968.94"/>
    <n v="968.94"/>
    <n v="824.37549999999999"/>
    <n v="1619.0049999999999"/>
    <s v="Medium"/>
    <s v="OK"/>
    <n v="9.9000000000000005E-2"/>
    <s v="OK"/>
    <n v="23"/>
    <n v="20079.343620000003"/>
    <n v="9478.07"/>
    <n v="10601.273620000004"/>
    <n v="0.52796913189137418"/>
    <n v="0"/>
    <e v="#DIV/0!"/>
    <x v="1"/>
  </r>
  <r>
    <s v="ORD-2025-725646"/>
    <x v="59"/>
    <x v="11"/>
    <s v="Q3-2025"/>
    <d v="2025-09-30T00:00:00"/>
    <s v="Valid"/>
    <d v="2025-09-30T00:00:00"/>
    <x v="0"/>
    <s v="Jan-2023"/>
    <n v="32"/>
    <n v="20"/>
    <x v="0"/>
    <x v="0"/>
    <x v="0"/>
    <s v="Mombasa"/>
    <s v="Corporate"/>
    <x v="4"/>
    <x v="4"/>
    <x v="3"/>
    <x v="94"/>
    <n v="1009.48"/>
    <n v="1088.81"/>
    <n v="1088.81"/>
    <n v="823.63599999999997"/>
    <n v="1619.9399999999998"/>
    <s v="Medium"/>
    <s v="OK"/>
    <n v="0.16"/>
    <s v="OK"/>
    <n v="6"/>
    <n v="5487.6023999999998"/>
    <n v="6056.88"/>
    <n v="-569.27760000000035"/>
    <n v="-0.10373885688219693"/>
    <n v="0"/>
    <e v="#DIV/0!"/>
    <x v="1"/>
  </r>
  <r>
    <s v="ORD-2023-868734"/>
    <x v="89"/>
    <x v="12"/>
    <s v="Q2-2023"/>
    <d v="2023-04-27T00:00:00"/>
    <s v="Valid"/>
    <d v="2023-04-27T00:00:00"/>
    <x v="9"/>
    <s v="Jan-2023"/>
    <n v="3"/>
    <n v="21"/>
    <x v="0"/>
    <x v="3"/>
    <x v="8"/>
    <s v="Manchester"/>
    <s v="Enterprise"/>
    <x v="3"/>
    <x v="2"/>
    <x v="1"/>
    <x v="95"/>
    <n v="1084.79"/>
    <n v="2484.9899999999998"/>
    <n v="2484.9899999999998"/>
    <n v="821.92000000000007"/>
    <n v="1621.0070000000001"/>
    <s v="High"/>
    <s v="OK"/>
    <n v="3.4000000000000002E-2"/>
    <s v="OK"/>
    <n v="18"/>
    <n v="43209.006119999991"/>
    <n v="19526.22"/>
    <n v="23682.78611999999"/>
    <n v="0.54809837685755114"/>
    <n v="0"/>
    <e v="#DIV/0!"/>
    <x v="1"/>
  </r>
  <r>
    <s v="ORD-2025-262491"/>
    <x v="90"/>
    <x v="28"/>
    <s v="Q3-2025"/>
    <d v="2025-08-16T00:00:00"/>
    <s v="Valid"/>
    <d v="2025-08-16T00:00:00"/>
    <x v="4"/>
    <s v="Feb-2023"/>
    <n v="30"/>
    <n v="15"/>
    <x v="0"/>
    <x v="1"/>
    <x v="4"/>
    <s v="Not Provided"/>
    <s v="Enterprise"/>
    <x v="4"/>
    <x v="7"/>
    <x v="5"/>
    <x v="96"/>
    <n v="24.44"/>
    <n v="28.69"/>
    <n v="28.69"/>
    <n v="820.20399999999995"/>
    <n v="1619.06"/>
    <s v="Low"/>
    <s v="OK"/>
    <n v="0.14599999999999999"/>
    <s v="OK"/>
    <n v="6"/>
    <n v="147.00756000000001"/>
    <n v="146.64000000000001"/>
    <n v="0.36755999999999744"/>
    <n v="2.5002795774584476E-3"/>
    <n v="0"/>
    <e v="#DIV/0!"/>
    <x v="1"/>
  </r>
  <r>
    <s v="ORD-2024-638884"/>
    <x v="91"/>
    <x v="7"/>
    <s v="Q2-2024"/>
    <d v="2024-05-26T00:00:00"/>
    <s v="Invalid"/>
    <d v="2024-05-28T00:00:00"/>
    <x v="5"/>
    <s v="Feb-2023"/>
    <n v="16"/>
    <n v="0"/>
    <x v="1"/>
    <x v="0"/>
    <x v="1"/>
    <s v="Abuja"/>
    <s v="Enterprise"/>
    <x v="1"/>
    <x v="9"/>
    <x v="6"/>
    <x v="97"/>
    <n v="1227.08"/>
    <n v="1896.62"/>
    <n v="1896.62"/>
    <n v="823.6880000000001"/>
    <n v="1619.9949999999999"/>
    <s v="High"/>
    <s v="OK"/>
    <n v="0"/>
    <s v="OK"/>
    <n v="18"/>
    <n v="34139.159999999996"/>
    <n v="22087.439999999999"/>
    <n v="12051.719999999998"/>
    <n v="0.353017473189147"/>
    <n v="0"/>
    <e v="#DIV/0!"/>
    <x v="1"/>
  </r>
  <r>
    <s v="ORD-2025-541501"/>
    <x v="92"/>
    <x v="13"/>
    <s v="Q3-2025"/>
    <d v="2025-08-18T00:00:00"/>
    <s v="Valid"/>
    <d v="2025-08-18T00:00:00"/>
    <x v="10"/>
    <s v="Jan-2023"/>
    <n v="31"/>
    <n v="27"/>
    <x v="0"/>
    <x v="1"/>
    <x v="9"/>
    <s v="Shenzhen"/>
    <s v="Non-Profit"/>
    <x v="2"/>
    <x v="12"/>
    <x v="2"/>
    <x v="98"/>
    <n v="547.32000000000005"/>
    <n v="419.17"/>
    <n v="419.17"/>
    <n v="821.97199999999998"/>
    <n v="1618.1799999999998"/>
    <s v="Low"/>
    <s v="OK"/>
    <n v="9.1999999999999998E-2"/>
    <s v="OK"/>
    <n v="14"/>
    <n v="5328.4890400000004"/>
    <n v="7662.4800000000005"/>
    <n v="-2333.9909600000001"/>
    <n v="-0.43802116181137907"/>
    <n v="0"/>
    <e v="#DIV/0!"/>
    <x v="1"/>
  </r>
  <r>
    <s v="ORD-2023-422918"/>
    <x v="2"/>
    <x v="2"/>
    <s v="Q1-2023"/>
    <d v="2023-03-20T00:00:00"/>
    <s v="Valid"/>
    <d v="2023-03-20T00:00:00"/>
    <x v="7"/>
    <s v="Jan-2023"/>
    <n v="2"/>
    <n v="20"/>
    <x v="0"/>
    <x v="3"/>
    <x v="6"/>
    <s v="Berlin"/>
    <s v="Small Business"/>
    <x v="4"/>
    <x v="10"/>
    <x v="4"/>
    <x v="99"/>
    <n v="1200.78"/>
    <n v="2001.17"/>
    <n v="2001.17"/>
    <n v="824.38649999999996"/>
    <n v="1619.115"/>
    <s v="High"/>
    <s v="OK"/>
    <n v="0.29199999999999998"/>
    <s v="OK"/>
    <n v="18"/>
    <n v="25502.910479999999"/>
    <n v="21614.04"/>
    <n v="3888.8704799999978"/>
    <n v="0.15248732034132906"/>
    <n v="0"/>
    <e v="#DIV/0!"/>
    <x v="1"/>
  </r>
  <r>
    <s v="ORD-2025-328504"/>
    <x v="93"/>
    <x v="10"/>
    <s v="Q1-2025"/>
    <d v="2025-02-15T00:00:00"/>
    <s v="Valid"/>
    <d v="2025-02-15T00:00:00"/>
    <x v="10"/>
    <s v="Jan-2023"/>
    <n v="25"/>
    <n v="19"/>
    <x v="0"/>
    <x v="1"/>
    <x v="9"/>
    <s v="Shenzhen"/>
    <s v="Non-Profit"/>
    <x v="4"/>
    <x v="4"/>
    <x v="3"/>
    <x v="100"/>
    <n v="1253.22"/>
    <n v="3104.71"/>
    <n v="3104.71"/>
    <n v="823.74"/>
    <n v="1613.3840000000002"/>
    <s v="High"/>
    <s v="OK"/>
    <n v="0"/>
    <s v="OK"/>
    <n v="17"/>
    <n v="52780.07"/>
    <n v="21304.74"/>
    <n v="31475.329999999998"/>
    <n v="0.59634877331538205"/>
    <n v="0"/>
    <e v="#DIV/0!"/>
    <x v="1"/>
  </r>
  <r>
    <s v="ORD-2024-851883"/>
    <x v="94"/>
    <x v="9"/>
    <s v="Q1-2024"/>
    <d v="2024-01-22T00:00:00"/>
    <s v="Valid"/>
    <d v="2024-01-22T00:00:00"/>
    <x v="4"/>
    <s v="Feb-2023"/>
    <n v="11"/>
    <n v="9"/>
    <x v="0"/>
    <x v="1"/>
    <x v="4"/>
    <s v="Mumbai"/>
    <s v="Enterprise"/>
    <x v="2"/>
    <x v="1"/>
    <x v="0"/>
    <x v="101"/>
    <n v="313.60000000000002"/>
    <n v="334.28"/>
    <n v="334.28"/>
    <n v="822.02400000000011"/>
    <n v="1598.646200000001"/>
    <s v="Low"/>
    <s v="OK"/>
    <n v="0.14000000000000001"/>
    <s v="OK"/>
    <n v="22"/>
    <n v="6324.5775999999996"/>
    <n v="6899.2000000000007"/>
    <n v="-574.62240000000111"/>
    <n v="-9.0855458868905517E-2"/>
    <n v="0"/>
    <e v="#DIV/0!"/>
    <x v="1"/>
  </r>
  <r>
    <s v="ORD-2025-662997"/>
    <x v="95"/>
    <x v="3"/>
    <s v="Q1-2025"/>
    <d v="2025-04-04T00:00:00"/>
    <s v="Valid"/>
    <d v="2025-04-04T00:00:00"/>
    <x v="0"/>
    <s v="Jan-2023"/>
    <n v="27"/>
    <n v="4"/>
    <x v="1"/>
    <x v="0"/>
    <x v="0"/>
    <s v="Nakuru"/>
    <s v="Corporate"/>
    <x v="4"/>
    <x v="0"/>
    <x v="4"/>
    <x v="102"/>
    <n v="862.08"/>
    <n v="1952.83"/>
    <n v="1952.83"/>
    <n v="824.39199999999994"/>
    <n v="1606.2384000000004"/>
    <s v="High"/>
    <s v="OK"/>
    <n v="0"/>
    <s v="OK"/>
    <n v="7"/>
    <n v="13669.81"/>
    <n v="6034.56"/>
    <n v="7635.2499999999991"/>
    <n v="0.5585483631447693"/>
    <n v="0"/>
    <e v="#DIV/0!"/>
    <x v="1"/>
  </r>
  <r>
    <s v="ORD-2024-478165"/>
    <x v="96"/>
    <x v="6"/>
    <s v="Q4-2024"/>
    <d v="2024-12-28T00:00:00"/>
    <s v="Valid"/>
    <d v="2024-12-28T00:00:00"/>
    <x v="14"/>
    <s v="Mar-2023"/>
    <n v="22"/>
    <n v="23"/>
    <x v="0"/>
    <x v="2"/>
    <x v="3"/>
    <s v="Vancouver"/>
    <s v="Corporate"/>
    <x v="4"/>
    <x v="9"/>
    <x v="6"/>
    <x v="103"/>
    <n v="107.03"/>
    <n v="242.29"/>
    <n v="242.29"/>
    <n v="823.79199999999992"/>
    <n v="1595.3868"/>
    <s v="Low"/>
    <s v="OK"/>
    <n v="0.18"/>
    <s v="OK"/>
    <n v="30"/>
    <n v="5960.3340000000007"/>
    <n v="3210.9"/>
    <n v="2749.4340000000007"/>
    <n v="0.46128857879440988"/>
    <n v="0"/>
    <e v="#DIV/0!"/>
    <x v="1"/>
  </r>
  <r>
    <s v="ORD-2024-771210"/>
    <x v="97"/>
    <x v="29"/>
    <s v="Q3-2024"/>
    <d v="2024-10-05T00:00:00"/>
    <s v="Valid"/>
    <d v="2024-10-05T00:00:00"/>
    <x v="10"/>
    <s v="Jan-2023"/>
    <n v="21"/>
    <n v="21"/>
    <x v="0"/>
    <x v="1"/>
    <x v="9"/>
    <s v="Shanghai"/>
    <s v="Small Business"/>
    <x v="1"/>
    <x v="10"/>
    <x v="4"/>
    <x v="104"/>
    <n v="1405.56"/>
    <n v="2968.87"/>
    <n v="2968.87"/>
    <n v="824.57899999999995"/>
    <n v="1599.0928000000006"/>
    <s v="High"/>
    <s v="OK"/>
    <n v="0.16900000000000001"/>
    <s v="OK"/>
    <n v="5"/>
    <n v="12335.654849999999"/>
    <n v="7027.7999999999993"/>
    <n v="5307.8548499999997"/>
    <n v="0.4302856163327235"/>
    <n v="0"/>
    <e v="#DIV/0!"/>
    <x v="1"/>
  </r>
  <r>
    <s v="ORD-2024-155337"/>
    <x v="98"/>
    <x v="7"/>
    <s v="Q2-2024"/>
    <d v="2024-05-27T00:00:00"/>
    <s v="Valid"/>
    <d v="2024-05-27T00:00:00"/>
    <x v="13"/>
    <s v="Jan-2023"/>
    <n v="17"/>
    <n v="6"/>
    <x v="1"/>
    <x v="0"/>
    <x v="11"/>
    <s v="Johannesburg"/>
    <s v="Non-Profit"/>
    <x v="1"/>
    <x v="12"/>
    <x v="0"/>
    <x v="105"/>
    <n v="1157.51"/>
    <n v="1394.3"/>
    <n v="1394.3"/>
    <n v="824.39750000000004"/>
    <n v="1595.15"/>
    <s v="Medium"/>
    <s v="OK"/>
    <n v="0.27800000000000002"/>
    <s v="OK"/>
    <n v="12"/>
    <n v="12080.215199999999"/>
    <n v="13890.119999999999"/>
    <n v="-1809.9048000000003"/>
    <n v="-0.14982388724333326"/>
    <n v="0"/>
    <e v="#DIV/0!"/>
    <x v="1"/>
  </r>
  <r>
    <s v="ORD-2023-251563"/>
    <x v="20"/>
    <x v="15"/>
    <s v="Q2-2023"/>
    <d v="2023-06-07T00:00:00"/>
    <s v="Valid"/>
    <d v="2023-06-07T00:00:00"/>
    <x v="0"/>
    <s v="Jan-2023"/>
    <n v="4"/>
    <n v="27"/>
    <x v="0"/>
    <x v="0"/>
    <x v="0"/>
    <s v="Mombasa"/>
    <s v="Corporate"/>
    <x v="1"/>
    <x v="1"/>
    <x v="3"/>
    <x v="106"/>
    <n v="12.85"/>
    <n v="15.41"/>
    <n v="15.41"/>
    <n v="823.84400000000005"/>
    <n v="1595.4015999999999"/>
    <s v="Low"/>
    <s v="OK"/>
    <n v="0.13700000000000001"/>
    <s v="OK"/>
    <n v="39"/>
    <n v="518.65436999999997"/>
    <n v="501.15"/>
    <n v="17.504369999999994"/>
    <n v="3.3749585489851353E-2"/>
    <n v="0"/>
    <e v="#DIV/0!"/>
    <x v="1"/>
  </r>
  <r>
    <s v="ORD-2024-286833"/>
    <x v="99"/>
    <x v="21"/>
    <s v="Q3-2024"/>
    <d v="2024-09-04T00:00:00"/>
    <s v="Valid"/>
    <d v="2024-09-04T00:00:00"/>
    <x v="9"/>
    <s v="Jan-2023"/>
    <n v="19"/>
    <n v="21"/>
    <x v="0"/>
    <x v="3"/>
    <x v="8"/>
    <s v="Manchester"/>
    <s v="Non-Profit"/>
    <x v="1"/>
    <x v="1"/>
    <x v="3"/>
    <x v="107"/>
    <n v="1138.8"/>
    <n v="2250.81"/>
    <n v="2250.81"/>
    <n v="824.58449999999993"/>
    <n v="1599.5394000000001"/>
    <s v="High"/>
    <s v="OK"/>
    <n v="0.123"/>
    <s v="OK"/>
    <n v="12"/>
    <n v="23687.524440000001"/>
    <n v="13665.599999999999"/>
    <n v="10021.924440000003"/>
    <n v="0.42308872188756258"/>
    <n v="0"/>
    <e v="#DIV/0!"/>
    <x v="1"/>
  </r>
  <r>
    <s v="ORD-2024-792558"/>
    <x v="100"/>
    <x v="1"/>
    <s v="Q4-2024"/>
    <d v="2024-11-08T00:00:00"/>
    <s v="Valid"/>
    <d v="2024-11-08T00:00:00"/>
    <x v="2"/>
    <s v="Mar-2023"/>
    <n v="20"/>
    <n v="23"/>
    <x v="0"/>
    <x v="1"/>
    <x v="2"/>
    <s v="Osaka"/>
    <s v="Small Business"/>
    <x v="0"/>
    <x v="1"/>
    <x v="2"/>
    <x v="108"/>
    <n v="82.14"/>
    <n v="166.04"/>
    <n v="166.04"/>
    <n v="824.40300000000002"/>
    <n v="1595.1648"/>
    <s v="Low"/>
    <s v="OK"/>
    <n v="0"/>
    <s v="OK"/>
    <n v="10"/>
    <n v="1660.3999999999999"/>
    <n v="821.4"/>
    <n v="838.99999999999989"/>
    <n v="0.50529992772825827"/>
    <n v="0"/>
    <e v="#DIV/0!"/>
    <x v="1"/>
  </r>
  <r>
    <s v="ORD-2024-166150"/>
    <x v="101"/>
    <x v="17"/>
    <s v="Q2-2024"/>
    <d v="2024-06-08T00:00:00"/>
    <s v="Valid"/>
    <d v="2024-06-08T00:00:00"/>
    <x v="0"/>
    <s v="Jan-2023"/>
    <n v="17"/>
    <n v="6"/>
    <x v="1"/>
    <x v="0"/>
    <x v="0"/>
    <s v="Kisumu"/>
    <s v="Consumer"/>
    <x v="2"/>
    <x v="8"/>
    <x v="6"/>
    <x v="109"/>
    <n v="292.94"/>
    <n v="356.55"/>
    <n v="356.55"/>
    <n v="824.77149999999995"/>
    <n v="1595.4164000000001"/>
    <s v="Low"/>
    <s v="OK"/>
    <n v="0.22900000000000001"/>
    <s v="OK"/>
    <n v="2"/>
    <n v="549.80010000000004"/>
    <n v="585.88"/>
    <n v="-36.079899999999952"/>
    <n v="-6.5623669402751925E-2"/>
    <n v="0"/>
    <e v="#DIV/0!"/>
    <x v="1"/>
  </r>
  <r>
    <s v="ORD-2024-909942"/>
    <x v="102"/>
    <x v="17"/>
    <s v="Q2-2024"/>
    <d v="2024-07-07T00:00:00"/>
    <s v="Valid"/>
    <d v="2024-07-07T00:00:00"/>
    <x v="10"/>
    <s v="Jan-2023"/>
    <n v="17"/>
    <n v="28"/>
    <x v="0"/>
    <x v="1"/>
    <x v="9"/>
    <s v="Shenzhen"/>
    <s v="Corporate"/>
    <x v="1"/>
    <x v="1"/>
    <x v="0"/>
    <x v="110"/>
    <n v="550.22"/>
    <n v="1025.05"/>
    <n v="1025.05"/>
    <n v="825.80600000000004"/>
    <n v="1599.9859999999996"/>
    <s v="Medium"/>
    <s v="OK"/>
    <n v="0"/>
    <s v="OK"/>
    <n v="27"/>
    <n v="27676.35"/>
    <n v="14855.94"/>
    <n v="12820.409999999998"/>
    <n v="0.46322618408858102"/>
    <n v="0"/>
    <e v="#DIV/0!"/>
    <x v="1"/>
  </r>
  <r>
    <s v="ORD-2024-223618"/>
    <x v="103"/>
    <x v="17"/>
    <s v="Q2-2024"/>
    <d v="2024-06-11T00:00:00"/>
    <s v="Valid"/>
    <d v="2024-06-11T00:00:00"/>
    <x v="9"/>
    <s v="Jan-2023"/>
    <n v="17"/>
    <n v="1"/>
    <x v="1"/>
    <x v="3"/>
    <x v="8"/>
    <s v="Birmingham"/>
    <s v="Small Business"/>
    <x v="2"/>
    <x v="12"/>
    <x v="4"/>
    <x v="111"/>
    <n v="1187.1300000000001"/>
    <n v="1795.17"/>
    <n v="1795.17"/>
    <n v="825.25819999999999"/>
    <n v="1607.5782000000004"/>
    <s v="High"/>
    <s v="OK"/>
    <n v="1.2E-2"/>
    <s v="OK"/>
    <n v="17"/>
    <n v="30151.675319999998"/>
    <n v="20181.210000000003"/>
    <n v="9970.4653199999957"/>
    <n v="0.33067699271046663"/>
    <n v="0"/>
    <e v="#DIV/0!"/>
    <x v="1"/>
  </r>
  <r>
    <s v="ORD-2024-919471"/>
    <x v="104"/>
    <x v="17"/>
    <s v="Q2-2024"/>
    <d v="2024-07-26T00:00:00"/>
    <s v="Valid"/>
    <d v="2024-07-26T00:00:00"/>
    <x v="13"/>
    <s v="Jan-2023"/>
    <n v="18"/>
    <n v="27"/>
    <x v="0"/>
    <x v="0"/>
    <x v="11"/>
    <s v="Durban"/>
    <s v="Enterprise"/>
    <x v="3"/>
    <x v="5"/>
    <x v="2"/>
    <x v="112"/>
    <n v="5.36"/>
    <n v="4.37"/>
    <n v="4.37"/>
    <n v="824.77699999999993"/>
    <n v="1595.4312"/>
    <s v="Low"/>
    <s v="OK"/>
    <n v="0.11799999999999999"/>
    <s v="OK"/>
    <n v="9"/>
    <n v="34.689059999999998"/>
    <n v="48.24"/>
    <n v="-13.550940000000004"/>
    <n v="-0.39064016148030545"/>
    <n v="0"/>
    <e v="#DIV/0!"/>
    <x v="1"/>
  </r>
  <r>
    <s v="ORD-2025-649239"/>
    <x v="105"/>
    <x v="10"/>
    <s v="Q1-2025"/>
    <d v="2025-01-24T00:00:00"/>
    <s v="Valid"/>
    <d v="2025-01-24T00:00:00"/>
    <x v="11"/>
    <s v="Jan-2023"/>
    <n v="25"/>
    <n v="7"/>
    <x v="0"/>
    <x v="2"/>
    <x v="10"/>
    <s v="Austin"/>
    <s v="Enterprise"/>
    <x v="1"/>
    <x v="3"/>
    <x v="6"/>
    <x v="113"/>
    <n v="142.09"/>
    <n v="218.5"/>
    <n v="218.5"/>
    <n v="825.82259999999997"/>
    <n v="1600.4326000000005"/>
    <s v="Low"/>
    <s v="OK"/>
    <n v="0.11899999999999999"/>
    <s v="OK"/>
    <n v="11"/>
    <n v="2117.4834999999998"/>
    <n v="1562.99"/>
    <n v="554.49349999999981"/>
    <n v="0.26186437816398561"/>
    <n v="0"/>
    <e v="#DIV/0!"/>
    <x v="1"/>
  </r>
  <r>
    <s v="ORD-2023-975863"/>
    <x v="106"/>
    <x v="30"/>
    <s v="Q4-2023"/>
    <d v="2023-12-05T00:00:00"/>
    <s v="Valid"/>
    <d v="2023-12-05T00:00:00"/>
    <x v="2"/>
    <s v="Mar-2023"/>
    <n v="9"/>
    <n v="15"/>
    <x v="0"/>
    <x v="1"/>
    <x v="2"/>
    <s v="Tokyo"/>
    <s v="Enterprise"/>
    <x v="0"/>
    <x v="4"/>
    <x v="2"/>
    <x v="114"/>
    <n v="354.24"/>
    <n v="249.87"/>
    <n v="249.87"/>
    <n v="828.49160000000006"/>
    <n v="1608.0247999999999"/>
    <s v="Low"/>
    <s v="OK"/>
    <n v="0"/>
    <s v="OK"/>
    <n v="6"/>
    <n v="1499.22"/>
    <n v="2125.44"/>
    <n v="-626.22"/>
    <n v="-0.41769720254532355"/>
    <n v="0"/>
    <e v="#DIV/0!"/>
    <x v="1"/>
  </r>
  <r>
    <s v="ORD-2023-869884"/>
    <x v="107"/>
    <x v="22"/>
    <s v="Q1-2023"/>
    <d v="2023-03-05T00:00:00"/>
    <s v="Valid"/>
    <d v="2023-03-05T00:00:00"/>
    <x v="6"/>
    <s v="Jan-2023"/>
    <n v="2"/>
    <n v="3"/>
    <x v="1"/>
    <x v="2"/>
    <x v="5"/>
    <s v="Brasília"/>
    <s v="Enterprise"/>
    <x v="4"/>
    <x v="3"/>
    <x v="5"/>
    <x v="115"/>
    <n v="1473.58"/>
    <n v="3436.52"/>
    <n v="3436.52"/>
    <n v="833.32900000000018"/>
    <n v="1615.6170000000006"/>
    <s v="High"/>
    <s v="OK"/>
    <n v="0.108"/>
    <s v="OK"/>
    <n v="8"/>
    <n v="24523.006720000001"/>
    <n v="11788.64"/>
    <n v="12734.366720000002"/>
    <n v="0.51928243813652564"/>
    <n v="0"/>
    <e v="#DIV/0!"/>
    <x v="1"/>
  </r>
  <r>
    <s v="ORD-2025-698069"/>
    <x v="108"/>
    <x v="16"/>
    <s v="Q2-2025"/>
    <d v="2025-06-10T00:00:00"/>
    <s v="Valid"/>
    <d v="2025-06-10T00:00:00"/>
    <x v="14"/>
    <s v="Mar-2023"/>
    <n v="27"/>
    <n v="7"/>
    <x v="0"/>
    <x v="2"/>
    <x v="3"/>
    <s v="Toronto"/>
    <s v="Consumer"/>
    <x v="3"/>
    <x v="7"/>
    <x v="1"/>
    <x v="116"/>
    <n v="75.180000000000007"/>
    <n v="53.45"/>
    <n v="53.45"/>
    <n v="830.94640000000004"/>
    <n v="1600.8792000000001"/>
    <s v="Low"/>
    <s v="OK"/>
    <n v="0.157"/>
    <s v="OK"/>
    <n v="17"/>
    <n v="765.99195000000009"/>
    <n v="1278.0600000000002"/>
    <n v="-512.06805000000008"/>
    <n v="-0.66850317421743144"/>
    <n v="0"/>
    <e v="#DIV/0!"/>
    <x v="1"/>
  </r>
  <r>
    <s v="ORD-2024-474999"/>
    <x v="6"/>
    <x v="6"/>
    <s v="Q4-2024"/>
    <d v="2025-01-02T00:00:00"/>
    <s v="Valid"/>
    <d v="2025-01-02T00:00:00"/>
    <x v="7"/>
    <s v="Jan-2023"/>
    <n v="24"/>
    <n v="6"/>
    <x v="1"/>
    <x v="3"/>
    <x v="6"/>
    <s v="Frankfurt"/>
    <s v="Education"/>
    <x v="4"/>
    <x v="9"/>
    <x v="4"/>
    <x v="117"/>
    <n v="1391.99"/>
    <n v="3469.7"/>
    <n v="3469.7"/>
    <n v="835.24150000000009"/>
    <n v="1608.4714000000008"/>
    <s v="High"/>
    <s v="OK"/>
    <n v="0.184"/>
    <s v="OK"/>
    <n v="23"/>
    <n v="65119.329599999997"/>
    <n v="32015.77"/>
    <n v="33103.559599999993"/>
    <n v="0.50835227886006973"/>
    <n v="0"/>
    <e v="#DIV/0!"/>
    <x v="1"/>
  </r>
  <r>
    <s v="ORD-2023-427304"/>
    <x v="109"/>
    <x v="23"/>
    <s v="Q2-2023"/>
    <d v="2023-06-19T00:00:00"/>
    <s v="Valid"/>
    <d v="2023-06-19T00:00:00"/>
    <x v="10"/>
    <s v="Jan-2023"/>
    <n v="5"/>
    <n v="10"/>
    <x v="0"/>
    <x v="1"/>
    <x v="9"/>
    <s v="Beijing"/>
    <s v="Enterprise"/>
    <x v="0"/>
    <x v="9"/>
    <x v="5"/>
    <x v="118"/>
    <n v="339.61"/>
    <n v="621.02"/>
    <n v="621.02"/>
    <n v="833.40120000000013"/>
    <n v="1595.4608000000001"/>
    <s v="Low"/>
    <s v="OK"/>
    <n v="7.0999999999999994E-2"/>
    <s v="OK"/>
    <n v="10"/>
    <n v="5769.2758000000003"/>
    <n v="3396.1000000000004"/>
    <n v="2373.1758"/>
    <n v="0.41134726129750981"/>
    <n v="0"/>
    <e v="#DIV/0!"/>
    <x v="1"/>
  </r>
  <r>
    <s v="ORD-2025-956101"/>
    <x v="110"/>
    <x v="13"/>
    <s v="Q3-2025"/>
    <d v="2025-07-18T00:00:00"/>
    <s v="Valid"/>
    <d v="2025-07-18T00:00:00"/>
    <x v="14"/>
    <s v="Mar-2023"/>
    <n v="29"/>
    <n v="9"/>
    <x v="0"/>
    <x v="2"/>
    <x v="3"/>
    <s v="Vancouver"/>
    <s v="Education"/>
    <x v="3"/>
    <x v="2"/>
    <x v="4"/>
    <x v="119"/>
    <n v="57.96"/>
    <n v="88.51"/>
    <n v="88.51"/>
    <n v="837.06049999999993"/>
    <n v="1601.3257999999998"/>
    <s v="Low"/>
    <s v="OK"/>
    <n v="4.2999999999999997E-2"/>
    <s v="OK"/>
    <n v="7"/>
    <n v="592.92849000000001"/>
    <n v="405.72"/>
    <n v="187.20848999999998"/>
    <n v="0.3157353595877978"/>
    <n v="0"/>
    <e v="#DIV/0!"/>
    <x v="1"/>
  </r>
  <r>
    <s v="ORD-2025-184082"/>
    <x v="111"/>
    <x v="16"/>
    <s v="Q2-2025"/>
    <d v="2025-07-12T00:00:00"/>
    <s v="Valid"/>
    <d v="2025-07-12T00:00:00"/>
    <x v="9"/>
    <s v="Jan-2023"/>
    <n v="30"/>
    <n v="23"/>
    <x v="0"/>
    <x v="3"/>
    <x v="8"/>
    <s v="Not Provided"/>
    <s v="Non-Profit"/>
    <x v="4"/>
    <x v="15"/>
    <x v="2"/>
    <x v="120"/>
    <n v="801.24"/>
    <n v="1959.09"/>
    <n v="1959.09"/>
    <n v="839.95500000000004"/>
    <n v="1608.9180000000003"/>
    <s v="High"/>
    <s v="OK"/>
    <n v="0.123"/>
    <s v="OK"/>
    <n v="23"/>
    <n v="39516.804389999998"/>
    <n v="18428.52"/>
    <n v="21088.284389999997"/>
    <n v="0.53365358650651762"/>
    <n v="0"/>
    <e v="#DIV/0!"/>
    <x v="1"/>
  </r>
  <r>
    <s v="ORD-2023-576840"/>
    <x v="112"/>
    <x v="30"/>
    <s v="Q4-2023"/>
    <d v="2023-12-13T00:00:00"/>
    <s v="Valid"/>
    <d v="2023-12-13T00:00:00"/>
    <x v="8"/>
    <s v="Jan-2023"/>
    <n v="11"/>
    <n v="24"/>
    <x v="0"/>
    <x v="3"/>
    <x v="7"/>
    <s v="Lyon"/>
    <s v="Non-Profit"/>
    <x v="4"/>
    <x v="10"/>
    <x v="5"/>
    <x v="121"/>
    <n v="1297.42"/>
    <n v="2742.97"/>
    <n v="2742.97"/>
    <n v="838.87950000000001"/>
    <n v="1595.4756"/>
    <s v="High"/>
    <s v="OK"/>
    <n v="6.9000000000000006E-2"/>
    <s v="OK"/>
    <n v="9"/>
    <n v="22983.34563"/>
    <n v="11676.78"/>
    <n v="11306.565629999999"/>
    <n v="0.49194602961727291"/>
    <n v="0"/>
    <e v="#DIV/0!"/>
    <x v="1"/>
  </r>
  <r>
    <s v="ORD-2023-178249"/>
    <x v="113"/>
    <x v="4"/>
    <s v="Q4-2023"/>
    <d v="2024-01-20T00:00:00"/>
    <s v="Valid"/>
    <d v="2024-01-20T00:00:00"/>
    <x v="0"/>
    <s v="Jan-2023"/>
    <n v="12"/>
    <n v="22"/>
    <x v="0"/>
    <x v="0"/>
    <x v="0"/>
    <s v="Kisumu"/>
    <s v="Corporate"/>
    <x v="4"/>
    <x v="4"/>
    <x v="3"/>
    <x v="122"/>
    <n v="1395.49"/>
    <n v="1679.42"/>
    <n v="1679.42"/>
    <n v="837.11400000000003"/>
    <n v="1594.9872"/>
    <s v="High"/>
    <s v="OK"/>
    <n v="0.20300000000000001"/>
    <s v="OK"/>
    <n v="12"/>
    <n v="16061.972879999999"/>
    <n v="16745.88"/>
    <n v="-683.90712000000167"/>
    <n v="-4.2579272490964493E-2"/>
    <n v="0"/>
    <e v="#DIV/0!"/>
    <x v="1"/>
  </r>
  <r>
    <s v="ORD-2024-588972"/>
    <x v="61"/>
    <x v="18"/>
    <s v="Q4-2024"/>
    <d v="2024-11-29T00:00:00"/>
    <s v="Valid"/>
    <d v="2024-11-29T00:00:00"/>
    <x v="6"/>
    <s v="Jan-2023"/>
    <n v="22"/>
    <n v="27"/>
    <x v="0"/>
    <x v="2"/>
    <x v="5"/>
    <s v="Brasília"/>
    <s v="Small Business"/>
    <x v="4"/>
    <x v="2"/>
    <x v="2"/>
    <x v="123"/>
    <n v="1363.51"/>
    <n v="1433.9"/>
    <n v="1433.9"/>
    <n v="835.34850000000006"/>
    <n v="1593.7311999999999"/>
    <s v="Medium"/>
    <s v="OK"/>
    <n v="5.7000000000000002E-2"/>
    <s v="OK"/>
    <n v="8"/>
    <n v="10817.3416"/>
    <n v="10908.08"/>
    <n v="-90.738400000000183"/>
    <n v="-8.3882346842037592E-3"/>
    <n v="0"/>
    <e v="#DIV/0!"/>
    <x v="1"/>
  </r>
  <r>
    <s v="ORD-2023-603238"/>
    <x v="114"/>
    <x v="25"/>
    <s v="Q3-2023"/>
    <d v="2023-09-04T00:00:00"/>
    <s v="Valid"/>
    <d v="2023-09-04T00:00:00"/>
    <x v="14"/>
    <s v="Mar-2023"/>
    <n v="6"/>
    <n v="14"/>
    <x v="0"/>
    <x v="2"/>
    <x v="3"/>
    <s v="Montreal"/>
    <s v="Education"/>
    <x v="3"/>
    <x v="9"/>
    <x v="0"/>
    <x v="124"/>
    <n v="178.19"/>
    <n v="284.43"/>
    <n v="284.43"/>
    <n v="833.54560000000015"/>
    <n v="1594.6696000000002"/>
    <s v="Low"/>
    <s v="OK"/>
    <n v="8.8999999999999996E-2"/>
    <s v="OK"/>
    <n v="8"/>
    <n v="2072.9258400000003"/>
    <n v="1425.52"/>
    <n v="647.40584000000035"/>
    <n v="0.31231500302972742"/>
    <n v="0"/>
    <e v="#DIV/0!"/>
    <x v="1"/>
  </r>
  <r>
    <s v="ORD-2023-883066"/>
    <x v="115"/>
    <x v="25"/>
    <s v="Q3-2023"/>
    <d v="2023-09-06T00:00:00"/>
    <s v="Valid"/>
    <d v="2023-09-06T00:00:00"/>
    <x v="10"/>
    <s v="Jan-2023"/>
    <n v="8"/>
    <n v="25"/>
    <x v="0"/>
    <x v="1"/>
    <x v="9"/>
    <s v="Shanghai"/>
    <s v="Small Business"/>
    <x v="0"/>
    <x v="5"/>
    <x v="0"/>
    <x v="125"/>
    <n v="950.77"/>
    <n v="694.78"/>
    <n v="694.78"/>
    <n v="837.16750000000002"/>
    <n v="1595.002"/>
    <s v="Low"/>
    <s v="OK"/>
    <n v="8.4000000000000005E-2"/>
    <s v="OK"/>
    <n v="14"/>
    <n v="8909.8587200000002"/>
    <n v="13310.779999999999"/>
    <n v="-4400.9212799999987"/>
    <n v="-0.49393839097821279"/>
    <n v="0"/>
    <e v="#DIV/0!"/>
    <x v="1"/>
  </r>
  <r>
    <s v="ORD-2024-584090"/>
    <x v="116"/>
    <x v="17"/>
    <s v="Q2-2024"/>
    <d v="2024-06-26T00:00:00"/>
    <s v="Valid"/>
    <d v="2024-06-26T00:00:00"/>
    <x v="7"/>
    <s v="Jan-2023"/>
    <n v="17"/>
    <n v="19"/>
    <x v="0"/>
    <x v="3"/>
    <x v="6"/>
    <s v="Berlin"/>
    <s v="Non-Profit"/>
    <x v="2"/>
    <x v="12"/>
    <x v="0"/>
    <x v="126"/>
    <n v="1064.32"/>
    <n v="1848.39"/>
    <n v="1848.39"/>
    <n v="840.01600000000008"/>
    <n v="1595.2536"/>
    <s v="High"/>
    <s v="OK"/>
    <n v="7.2999999999999995E-2"/>
    <s v="OK"/>
    <n v="38"/>
    <n v="65111.38614000001"/>
    <n v="40444.159999999996"/>
    <n v="24667.226140000013"/>
    <n v="0.3788465827921631"/>
    <n v="0"/>
    <e v="#DIV/0!"/>
    <x v="1"/>
  </r>
  <r>
    <s v="ORD-2025-537785"/>
    <x v="117"/>
    <x v="28"/>
    <s v="Q3-2025"/>
    <d v="2025-08-14T00:00:00"/>
    <s v="Valid"/>
    <d v="2025-08-14T00:00:00"/>
    <x v="9"/>
    <s v="Jan-2023"/>
    <n v="31"/>
    <n v="9"/>
    <x v="0"/>
    <x v="3"/>
    <x v="8"/>
    <s v="London"/>
    <s v="Non-Profit"/>
    <x v="4"/>
    <x v="6"/>
    <x v="0"/>
    <x v="127"/>
    <n v="41.76"/>
    <n v="45.19"/>
    <n v="45.19"/>
    <n v="838.98649999999998"/>
    <n v="1594.7248"/>
    <s v="Low"/>
    <s v="OK"/>
    <n v="0.17899999999999999"/>
    <s v="OK"/>
    <n v="23"/>
    <n v="853.32276999999988"/>
    <n v="960.4799999999999"/>
    <n v="-107.15723000000003"/>
    <n v="-0.12557643340514638"/>
    <n v="0"/>
    <e v="#DIV/0!"/>
    <x v="1"/>
  </r>
  <r>
    <s v="ORD-2024-605518"/>
    <x v="118"/>
    <x v="7"/>
    <s v="Q2-2024"/>
    <d v="2024-06-13T00:00:00"/>
    <s v="Valid"/>
    <d v="2024-06-13T00:00:00"/>
    <x v="11"/>
    <s v="Jan-2023"/>
    <n v="17"/>
    <n v="14"/>
    <x v="0"/>
    <x v="2"/>
    <x v="10"/>
    <s v="San Francisco"/>
    <s v="Small Business"/>
    <x v="0"/>
    <x v="9"/>
    <x v="3"/>
    <x v="128"/>
    <n v="157.78"/>
    <n v="361.1"/>
    <n v="361.1"/>
    <n v="841.053"/>
    <n v="1595.0167999999999"/>
    <s v="Low"/>
    <s v="OK"/>
    <n v="0.187"/>
    <s v="OK"/>
    <n v="9"/>
    <n v="2642.1686999999997"/>
    <n v="1420.02"/>
    <n v="1222.1486999999997"/>
    <n v="0.46255513510549112"/>
    <n v="0"/>
    <e v="#DIV/0!"/>
    <x v="1"/>
  </r>
  <r>
    <s v="ORD-2023-521818"/>
    <x v="119"/>
    <x v="5"/>
    <s v="Q1-2023"/>
    <d v="2023-01-30T00:00:00"/>
    <s v="Valid"/>
    <d v="2023-01-30T00:00:00"/>
    <x v="11"/>
    <s v="Jan-2023"/>
    <n v="1"/>
    <n v="8"/>
    <x v="0"/>
    <x v="2"/>
    <x v="10"/>
    <s v="San Francisco"/>
    <s v="Small Business"/>
    <x v="1"/>
    <x v="8"/>
    <x v="2"/>
    <x v="129"/>
    <n v="413.52"/>
    <n v="1004.34"/>
    <n v="1004.34"/>
    <n v="843.23180000000002"/>
    <n v="1595.2683999999999"/>
    <s v="Medium"/>
    <s v="OK"/>
    <n v="0.111"/>
    <s v="OK"/>
    <n v="18"/>
    <n v="16071.44868"/>
    <n v="7443.36"/>
    <n v="8628.0886800000007"/>
    <n v="0.53685817948304593"/>
    <n v="0"/>
    <e v="#DIV/0!"/>
    <x v="1"/>
  </r>
  <r>
    <s v="ORD-2025-650719"/>
    <x v="120"/>
    <x v="26"/>
    <s v="Q1-2025"/>
    <d v="2025-02-28T00:00:00"/>
    <s v="Valid"/>
    <d v="2025-02-28T00:00:00"/>
    <x v="6"/>
    <s v="Jan-2023"/>
    <n v="25"/>
    <n v="16"/>
    <x v="0"/>
    <x v="2"/>
    <x v="5"/>
    <s v="São Paulo"/>
    <s v="Non-Profit"/>
    <x v="4"/>
    <x v="5"/>
    <x v="5"/>
    <x v="130"/>
    <n v="414.95"/>
    <n v="1027.73"/>
    <n v="1027.73"/>
    <n v="842.09"/>
    <n v="1595.52"/>
    <s v="Medium"/>
    <s v="OK"/>
    <n v="6.3E-2"/>
    <s v="OK"/>
    <n v="8"/>
    <n v="7703.8640800000003"/>
    <n v="3319.6"/>
    <n v="4384.2640800000008"/>
    <n v="0.56909935513815568"/>
    <n v="0"/>
    <e v="#DIV/0!"/>
    <x v="1"/>
  </r>
  <r>
    <s v="ORD-2025-501927"/>
    <x v="121"/>
    <x v="3"/>
    <s v="Q1-2025"/>
    <d v="2025-03-24T00:00:00"/>
    <s v="Valid"/>
    <d v="2025-03-24T00:00:00"/>
    <x v="5"/>
    <s v="Feb-2023"/>
    <n v="25"/>
    <n v="21"/>
    <x v="0"/>
    <x v="0"/>
    <x v="1"/>
    <s v="Abuja"/>
    <s v="Enterprise"/>
    <x v="4"/>
    <x v="10"/>
    <x v="6"/>
    <x v="131"/>
    <n v="555.95000000000005"/>
    <n v="468.09"/>
    <n v="468.09"/>
    <n v="841.08350000000007"/>
    <n v="1603.1122000000007"/>
    <s v="Low"/>
    <s v="OK"/>
    <n v="0.14199999999999999"/>
    <s v="OK"/>
    <n v="11"/>
    <n v="4417.8334199999999"/>
    <n v="6115.4500000000007"/>
    <n v="-1697.6165800000008"/>
    <n v="-0.38426450674095375"/>
    <n v="0"/>
    <e v="#DIV/0!"/>
    <x v="1"/>
  </r>
  <r>
    <s v="ORD-2023-430904"/>
    <x v="122"/>
    <x v="5"/>
    <s v="Q1-2023"/>
    <d v="2023-01-31T00:00:00"/>
    <s v="Valid"/>
    <d v="2023-01-31T00:00:00"/>
    <x v="9"/>
    <s v="Jan-2023"/>
    <n v="1"/>
    <n v="4"/>
    <x v="1"/>
    <x v="3"/>
    <x v="8"/>
    <s v="Manchester"/>
    <s v="Enterprise"/>
    <x v="1"/>
    <x v="13"/>
    <x v="4"/>
    <x v="132"/>
    <n v="941.2"/>
    <n v="668.02"/>
    <n v="668.02"/>
    <n v="843.26639999999998"/>
    <n v="1610.7044000000001"/>
    <s v="Low"/>
    <s v="OK"/>
    <n v="0.22"/>
    <s v="OK"/>
    <n v="16"/>
    <n v="8336.8896000000004"/>
    <n v="15059.2"/>
    <n v="-6722.3104000000003"/>
    <n v="-0.80633314371825193"/>
    <n v="0"/>
    <e v="#DIV/0!"/>
    <x v="1"/>
  </r>
  <r>
    <s v="ORD-2025-354346"/>
    <x v="123"/>
    <x v="10"/>
    <s v="Q1-2025"/>
    <d v="2025-01-15T00:00:00"/>
    <s v="Valid"/>
    <d v="2025-01-15T00:00:00"/>
    <x v="10"/>
    <s v="Jan-2023"/>
    <n v="24"/>
    <n v="6"/>
    <x v="1"/>
    <x v="1"/>
    <x v="9"/>
    <s v="Beijing"/>
    <s v="Education"/>
    <x v="1"/>
    <x v="0"/>
    <x v="3"/>
    <x v="133"/>
    <n v="304.77999999999997"/>
    <n v="537.27"/>
    <n v="537.27"/>
    <n v="845.61990000000014"/>
    <n v="1617.905"/>
    <s v="Low"/>
    <s v="OK"/>
    <n v="0.187"/>
    <s v="OK"/>
    <n v="8"/>
    <n v="3494.4040799999998"/>
    <n v="2438.2399999999998"/>
    <n v="1056.16408"/>
    <n v="0.3022444044307549"/>
    <n v="0"/>
    <e v="#DIV/0!"/>
    <x v="1"/>
  </r>
  <r>
    <s v="ORD-2024-164288"/>
    <x v="124"/>
    <x v="6"/>
    <s v="Q4-2024"/>
    <d v="2024-12-26T00:00:00"/>
    <s v="Valid"/>
    <d v="2024-12-26T00:00:00"/>
    <x v="11"/>
    <s v="Jan-2023"/>
    <n v="24"/>
    <n v="5"/>
    <x v="1"/>
    <x v="2"/>
    <x v="10"/>
    <s v="San Francisco"/>
    <s v="Consumer"/>
    <x v="2"/>
    <x v="12"/>
    <x v="1"/>
    <x v="134"/>
    <n v="699.57"/>
    <n v="572.71"/>
    <n v="572.71"/>
    <n v="850.30320000000006"/>
    <n v="1618.84"/>
    <s v="Low"/>
    <s v="OK"/>
    <n v="0.192"/>
    <s v="OK"/>
    <n v="26"/>
    <n v="12031.491680000001"/>
    <n v="18188.82"/>
    <n v="-6157.3283199999987"/>
    <n v="-0.51176765805651114"/>
    <n v="0"/>
    <e v="#DIV/0!"/>
    <x v="1"/>
  </r>
  <r>
    <s v="ORD-2023-867285"/>
    <x v="125"/>
    <x v="12"/>
    <s v="Q2-2023"/>
    <d v="2023-04-17T00:00:00"/>
    <s v="Valid"/>
    <d v="2023-04-17T00:00:00"/>
    <x v="8"/>
    <s v="Jan-2023"/>
    <n v="4"/>
    <n v="5"/>
    <x v="1"/>
    <x v="3"/>
    <x v="7"/>
    <s v="Lyon"/>
    <s v="Enterprise"/>
    <x v="4"/>
    <x v="6"/>
    <x v="5"/>
    <x v="135"/>
    <n v="1087.81"/>
    <n v="2323.87"/>
    <n v="2323.87"/>
    <n v="855.5569999999999"/>
    <n v="1619.7749999999999"/>
    <s v="High"/>
    <s v="OK"/>
    <n v="9.4E-2"/>
    <s v="OK"/>
    <n v="13"/>
    <n v="27370.540859999997"/>
    <n v="14141.529999999999"/>
    <n v="13229.010859999999"/>
    <n v="0.48333026839572651"/>
    <n v="0"/>
    <e v="#DIV/0!"/>
    <x v="1"/>
  </r>
  <r>
    <s v="ORD-2024-836421"/>
    <x v="126"/>
    <x v="6"/>
    <s v="Q4-2024"/>
    <d v="2025-01-12T00:00:00"/>
    <s v="Valid"/>
    <d v="2025-01-12T00:00:00"/>
    <x v="10"/>
    <s v="Jan-2023"/>
    <n v="24"/>
    <n v="29"/>
    <x v="0"/>
    <x v="1"/>
    <x v="9"/>
    <s v="Shenzhen"/>
    <s v="Education"/>
    <x v="1"/>
    <x v="1"/>
    <x v="0"/>
    <x v="136"/>
    <n v="1412.15"/>
    <n v="1631.04"/>
    <n v="1631.04"/>
    <n v="852.7124"/>
    <n v="1617.96"/>
    <s v="High"/>
    <s v="OK"/>
    <n v="8.9999999999999993E-3"/>
    <s v="OK"/>
    <n v="6"/>
    <n v="9698.1638399999993"/>
    <n v="8472.9000000000015"/>
    <n v="1225.2638399999978"/>
    <n v="0.12633977526203535"/>
    <n v="0"/>
    <e v="#DIV/0!"/>
    <x v="1"/>
  </r>
  <r>
    <s v="ORD-2023-613287"/>
    <x v="50"/>
    <x v="22"/>
    <s v="Q1-2023"/>
    <d v="2023-04-12T00:00:00"/>
    <s v="Valid"/>
    <d v="2023-04-12T00:00:00"/>
    <x v="0"/>
    <s v="Jan-2023"/>
    <n v="3"/>
    <n v="12"/>
    <x v="0"/>
    <x v="0"/>
    <x v="0"/>
    <s v="Mombasa"/>
    <s v="Small Business"/>
    <x v="1"/>
    <x v="0"/>
    <x v="3"/>
    <x v="137"/>
    <n v="304.22000000000003"/>
    <n v="393.31"/>
    <n v="393.31"/>
    <n v="850.37309999999991"/>
    <n v="1604.0053999999998"/>
    <s v="Low"/>
    <s v="OK"/>
    <n v="0.26500000000000001"/>
    <s v="OK"/>
    <n v="15"/>
    <n v="4336.2427499999994"/>
    <n v="4563.3"/>
    <n v="-227.05725000000075"/>
    <n v="-5.2362670424759034E-2"/>
    <n v="0"/>
    <e v="#DIV/0!"/>
    <x v="1"/>
  </r>
  <r>
    <s v="ORD-2024-783321"/>
    <x v="127"/>
    <x v="18"/>
    <s v="Q4-2024"/>
    <d v="2024-12-15T00:00:00"/>
    <s v="Valid"/>
    <d v="2024-12-15T00:00:00"/>
    <x v="8"/>
    <s v="Jan-2023"/>
    <n v="23"/>
    <n v="25"/>
    <x v="0"/>
    <x v="3"/>
    <x v="7"/>
    <s v="Paris"/>
    <s v="Corporate"/>
    <x v="1"/>
    <x v="3"/>
    <x v="1"/>
    <x v="138"/>
    <n v="1203.58"/>
    <n v="1856.16"/>
    <n v="1856.16"/>
    <n v="855.64320000000009"/>
    <n v="1611.5976000000005"/>
    <s v="High"/>
    <s v="OK"/>
    <n v="0.129"/>
    <s v="OK"/>
    <n v="22"/>
    <n v="35567.737920000007"/>
    <n v="26478.76"/>
    <n v="9088.9779200000085"/>
    <n v="0.25553994860295032"/>
    <n v="0"/>
    <e v="#DIV/0!"/>
    <x v="1"/>
  </r>
  <r>
    <s v="ORD-2024-232632"/>
    <x v="128"/>
    <x v="31"/>
    <s v="Q1-2024"/>
    <d v="2024-02-14T00:00:00"/>
    <s v="Valid"/>
    <d v="2024-02-14T00:00:00"/>
    <x v="10"/>
    <s v="Jan-2023"/>
    <n v="14"/>
    <n v="0"/>
    <x v="1"/>
    <x v="1"/>
    <x v="9"/>
    <s v="Beijing"/>
    <s v="Corporate"/>
    <x v="3"/>
    <x v="4"/>
    <x v="6"/>
    <x v="139"/>
    <n v="65.930000000000007"/>
    <n v="84.9"/>
    <n v="84.9"/>
    <n v="852.79859999999996"/>
    <n v="1596.8598"/>
    <s v="Low"/>
    <s v="OK"/>
    <n v="0.25900000000000001"/>
    <s v="OK"/>
    <n v="23"/>
    <n v="1446.9507000000001"/>
    <n v="1516.39"/>
    <n v="-69.439300000000003"/>
    <n v="-4.7990093926489688E-2"/>
    <n v="0"/>
    <e v="#DIV/0!"/>
    <x v="1"/>
  </r>
  <r>
    <s v="ORD-2023-906481"/>
    <x v="129"/>
    <x v="15"/>
    <s v="Q2-2023"/>
    <d v="2023-05-18T00:00:00"/>
    <s v="Valid"/>
    <d v="2023-05-18T00:00:00"/>
    <x v="4"/>
    <s v="Feb-2023"/>
    <n v="3"/>
    <n v="16"/>
    <x v="0"/>
    <x v="1"/>
    <x v="4"/>
    <s v="Delhi"/>
    <s v="Small Business"/>
    <x v="2"/>
    <x v="11"/>
    <x v="5"/>
    <x v="140"/>
    <n v="1463.92"/>
    <n v="2252.2399999999998"/>
    <n v="2252.2399999999998"/>
    <n v="858.57400000000007"/>
    <n v="1604.4520000000007"/>
    <s v="High"/>
    <s v="OK"/>
    <n v="0.11799999999999999"/>
    <s v="OK"/>
    <n v="44"/>
    <n v="87404.929919999995"/>
    <n v="64412.480000000003"/>
    <n v="22992.449919999992"/>
    <n v="0.26305667130040061"/>
    <n v="0"/>
    <e v="#DIV/0!"/>
    <x v="1"/>
  </r>
  <r>
    <s v="ORD-2024-902741"/>
    <x v="130"/>
    <x v="6"/>
    <s v="Q4-2024"/>
    <d v="2025-01-11T00:00:00"/>
    <s v="Valid"/>
    <d v="2025-01-11T00:00:00"/>
    <x v="7"/>
    <s v="Jan-2023"/>
    <n v="24"/>
    <n v="19"/>
    <x v="0"/>
    <x v="3"/>
    <x v="6"/>
    <s v="Berlin"/>
    <s v="Education"/>
    <x v="0"/>
    <x v="11"/>
    <x v="3"/>
    <x v="141"/>
    <n v="501.81"/>
    <n v="921.62"/>
    <n v="921.62"/>
    <n v="855.72940000000006"/>
    <n v="1595.3276000000001"/>
    <s v="Medium"/>
    <s v="OK"/>
    <n v="0.01"/>
    <s v="OK"/>
    <n v="9"/>
    <n v="8211.6342000000004"/>
    <n v="4516.29"/>
    <n v="3695.3442000000005"/>
    <n v="0.45001325071202031"/>
    <n v="0"/>
    <e v="#DIV/0!"/>
    <x v="1"/>
  </r>
  <r>
    <s v="ORD-2023-912395"/>
    <x v="131"/>
    <x v="24"/>
    <s v="Q3-2023"/>
    <d v="2023-08-25T00:00:00"/>
    <s v="Valid"/>
    <d v="2023-08-25T00:00:00"/>
    <x v="11"/>
    <s v="Jan-2023"/>
    <n v="7"/>
    <n v="30"/>
    <x v="0"/>
    <x v="2"/>
    <x v="10"/>
    <s v="New York"/>
    <s v="Consumer"/>
    <x v="0"/>
    <x v="12"/>
    <x v="6"/>
    <x v="142"/>
    <n v="1261.48"/>
    <n v="1643.18"/>
    <n v="1643.18"/>
    <n v="852.88480000000015"/>
    <n v="1597.3064000000008"/>
    <s v="High"/>
    <s v="OK"/>
    <n v="0.151"/>
    <s v="OK"/>
    <n v="23"/>
    <n v="32086.37586"/>
    <n v="29014.04"/>
    <n v="3072.3358599999992"/>
    <n v="9.5752037357079045E-2"/>
    <n v="0"/>
    <e v="#DIV/0!"/>
    <x v="1"/>
  </r>
  <r>
    <s v="ORD-2024-389102"/>
    <x v="132"/>
    <x v="17"/>
    <s v="Q2-2024"/>
    <d v="2024-07-06T00:00:00"/>
    <s v="Valid"/>
    <d v="2024-07-06T00:00:00"/>
    <x v="14"/>
    <s v="Mar-2023"/>
    <n v="16"/>
    <n v="21"/>
    <x v="0"/>
    <x v="2"/>
    <x v="3"/>
    <s v="Toronto"/>
    <s v="Enterprise"/>
    <x v="3"/>
    <x v="4"/>
    <x v="1"/>
    <x v="143"/>
    <n v="817.23"/>
    <n v="1467.17"/>
    <n v="1467.17"/>
    <n v="850.51290000000006"/>
    <n v="1595.0907999999999"/>
    <s v="Medium"/>
    <s v="OK"/>
    <n v="0.245"/>
    <s v="OK"/>
    <n v="9"/>
    <n v="9969.4201499999999"/>
    <n v="7355.07"/>
    <n v="2614.3501500000002"/>
    <n v="0.26223693160328893"/>
    <n v="0"/>
    <e v="#DIV/0!"/>
    <x v="1"/>
  </r>
  <r>
    <s v="ORD-2023-309373"/>
    <x v="133"/>
    <x v="24"/>
    <s v="Q3-2023"/>
    <d v="2023-07-14T00:00:00"/>
    <s v="Valid"/>
    <d v="2023-07-14T00:00:00"/>
    <x v="6"/>
    <s v="Jan-2023"/>
    <n v="6"/>
    <n v="9"/>
    <x v="0"/>
    <x v="2"/>
    <x v="5"/>
    <s v="Brasília"/>
    <s v="Enterprise"/>
    <x v="4"/>
    <x v="5"/>
    <x v="2"/>
    <x v="144"/>
    <n v="578.85"/>
    <n v="998.76"/>
    <n v="998.76"/>
    <n v="848.20619999999997"/>
    <n v="1595.3424"/>
    <s v="Medium"/>
    <s v="OK"/>
    <n v="8.2000000000000003E-2"/>
    <s v="OK"/>
    <n v="28"/>
    <n v="25672.127039999999"/>
    <n v="16207.800000000001"/>
    <n v="9464.3270399999983"/>
    <n v="0.36866158480960831"/>
    <n v="0"/>
    <e v="#DIV/0!"/>
    <x v="1"/>
  </r>
  <r>
    <s v="ORD-2023-825495"/>
    <x v="134"/>
    <x v="30"/>
    <s v="Q4-2023"/>
    <d v="2023-11-29T00:00:00"/>
    <s v="Invalid"/>
    <d v="2023-11-30T00:00:00"/>
    <x v="13"/>
    <s v="Jan-2023"/>
    <n v="11"/>
    <n v="0"/>
    <x v="1"/>
    <x v="0"/>
    <x v="11"/>
    <s v="Durban"/>
    <s v="Small Business"/>
    <x v="2"/>
    <x v="6"/>
    <x v="4"/>
    <x v="145"/>
    <n v="275.56"/>
    <n v="630.72"/>
    <n v="630.72"/>
    <n v="845.89949999999999"/>
    <n v="1597.7530000000004"/>
    <s v="Low"/>
    <s v="OK"/>
    <n v="0.107"/>
    <s v="OK"/>
    <n v="23"/>
    <n v="12954.358080000002"/>
    <n v="6337.88"/>
    <n v="6616.4780800000017"/>
    <n v="0.5107530638831933"/>
    <n v="0"/>
    <e v="#DIV/0!"/>
    <x v="1"/>
  </r>
  <r>
    <s v="ORD-2025-244832"/>
    <x v="135"/>
    <x v="11"/>
    <s v="Q3-2025"/>
    <d v="2025-09-28T00:00:00"/>
    <s v="Valid"/>
    <d v="2025-09-28T00:00:00"/>
    <x v="0"/>
    <s v="Jan-2023"/>
    <n v="32"/>
    <n v="17"/>
    <x v="0"/>
    <x v="0"/>
    <x v="0"/>
    <s v="Nairobi"/>
    <s v="Non-Profit"/>
    <x v="3"/>
    <x v="1"/>
    <x v="4"/>
    <x v="146"/>
    <n v="891.46"/>
    <n v="728.61"/>
    <n v="728.61"/>
    <n v="850.58279999999991"/>
    <n v="1605.3452"/>
    <s v="Low"/>
    <s v="OK"/>
    <n v="0.185"/>
    <s v="OK"/>
    <n v="6"/>
    <n v="3562.9028999999996"/>
    <n v="5348.76"/>
    <n v="-1785.8571000000006"/>
    <n v="-0.50123653383874167"/>
    <n v="0"/>
    <e v="#DIV/0!"/>
    <x v="1"/>
  </r>
  <r>
    <s v="ORD-2024-211453"/>
    <x v="136"/>
    <x v="20"/>
    <s v="Q2-2024"/>
    <d v="2024-04-24T00:00:00"/>
    <s v="Valid"/>
    <d v="2024-04-24T00:00:00"/>
    <x v="7"/>
    <s v="Jan-2023"/>
    <n v="15"/>
    <n v="20"/>
    <x v="0"/>
    <x v="3"/>
    <x v="6"/>
    <s v="Frankfurt"/>
    <s v="Non-Profit"/>
    <x v="4"/>
    <x v="7"/>
    <x v="6"/>
    <x v="147"/>
    <n v="683.42"/>
    <n v="951.51"/>
    <n v="951.51"/>
    <n v="855.90180000000009"/>
    <n v="1612.9374000000005"/>
    <s v="Medium"/>
    <s v="OK"/>
    <n v="0"/>
    <s v="OK"/>
    <n v="14"/>
    <n v="13321.14"/>
    <n v="9567.8799999999992"/>
    <n v="3753.26"/>
    <n v="0.28175216235247136"/>
    <n v="0"/>
    <e v="#DIV/0!"/>
    <x v="1"/>
  </r>
  <r>
    <s v="ORD-2023-192324"/>
    <x v="137"/>
    <x v="27"/>
    <s v="Q3-2023"/>
    <d v="2023-09-16T00:00:00"/>
    <s v="Valid"/>
    <d v="2023-09-16T00:00:00"/>
    <x v="8"/>
    <s v="Jan-2023"/>
    <n v="9"/>
    <n v="2"/>
    <x v="1"/>
    <x v="3"/>
    <x v="7"/>
    <s v="Lyon"/>
    <s v="Non-Profit"/>
    <x v="4"/>
    <x v="5"/>
    <x v="1"/>
    <x v="148"/>
    <n v="376.83"/>
    <n v="732.88"/>
    <n v="732.88"/>
    <n v="853.05719999999997"/>
    <n v="1618.1799999999998"/>
    <s v="Low"/>
    <s v="OK"/>
    <n v="0.188"/>
    <s v="OK"/>
    <n v="25"/>
    <n v="14877.464000000002"/>
    <n v="9420.75"/>
    <n v="5456.7140000000018"/>
    <n v="0.36677716040852132"/>
    <n v="0"/>
    <e v="#DIV/0!"/>
    <x v="1"/>
  </r>
  <r>
    <s v="ORD-2024-438404"/>
    <x v="138"/>
    <x v="29"/>
    <s v="Q3-2024"/>
    <d v="2024-10-18T00:00:00"/>
    <s v="Valid"/>
    <d v="2024-10-18T00:00:00"/>
    <x v="14"/>
    <s v="Mar-2023"/>
    <n v="19"/>
    <n v="25"/>
    <x v="0"/>
    <x v="2"/>
    <x v="3"/>
    <s v="Vancouver"/>
    <s v="Small Business"/>
    <x v="1"/>
    <x v="13"/>
    <x v="3"/>
    <x v="149"/>
    <n v="1297"/>
    <n v="2411.52"/>
    <n v="2411.52"/>
    <n v="858.83260000000007"/>
    <n v="1619.115"/>
    <s v="High"/>
    <s v="OK"/>
    <n v="2.1000000000000001E-2"/>
    <s v="OK"/>
    <n v="18"/>
    <n v="42495.805439999996"/>
    <n v="23346"/>
    <n v="19149.805439999996"/>
    <n v="0.45062813239385913"/>
    <n v="0"/>
    <e v="#DIV/0!"/>
    <x v="1"/>
  </r>
  <r>
    <s v="ORD-2025-246470"/>
    <x v="139"/>
    <x v="19"/>
    <s v="Q2-2025"/>
    <d v="2025-05-16T00:00:00"/>
    <s v="Valid"/>
    <d v="2025-05-16T00:00:00"/>
    <x v="14"/>
    <s v="Mar-2023"/>
    <n v="26"/>
    <n v="30"/>
    <x v="0"/>
    <x v="2"/>
    <x v="3"/>
    <s v="Montreal"/>
    <s v="Enterprise"/>
    <x v="3"/>
    <x v="11"/>
    <x v="1"/>
    <x v="150"/>
    <n v="763.32"/>
    <n v="568.29"/>
    <n v="568.29"/>
    <n v="855.98800000000006"/>
    <n v="1613.3840000000002"/>
    <s v="Low"/>
    <s v="OK"/>
    <n v="0.13100000000000001"/>
    <s v="OK"/>
    <n v="16"/>
    <n v="7901.5041599999995"/>
    <n v="12213.12"/>
    <n v="-4311.6158400000013"/>
    <n v="-0.54567026134426555"/>
    <n v="0"/>
    <e v="#DIV/0!"/>
    <x v="1"/>
  </r>
  <r>
    <s v="ORD-2023-497686"/>
    <x v="140"/>
    <x v="24"/>
    <s v="Q3-2023"/>
    <d v="2023-07-23T00:00:00"/>
    <s v="Valid"/>
    <d v="2023-07-23T00:00:00"/>
    <x v="13"/>
    <s v="Jan-2023"/>
    <n v="6"/>
    <n v="20"/>
    <x v="0"/>
    <x v="0"/>
    <x v="11"/>
    <s v="Johannesburg"/>
    <s v="Small Business"/>
    <x v="3"/>
    <x v="9"/>
    <x v="4"/>
    <x v="151"/>
    <n v="1001.96"/>
    <n v="1254.95"/>
    <n v="1254.95"/>
    <n v="861.68220000000008"/>
    <n v="1618.2350000000001"/>
    <s v="Medium"/>
    <s v="OK"/>
    <n v="4.4999999999999998E-2"/>
    <s v="OK"/>
    <n v="18"/>
    <n v="21572.590500000002"/>
    <n v="18035.28"/>
    <n v="3537.3105000000032"/>
    <n v="0.16397244920585699"/>
    <n v="0"/>
    <e v="#DIV/0!"/>
    <x v="1"/>
  </r>
  <r>
    <s v="ORD-2023-596758"/>
    <x v="141"/>
    <x v="4"/>
    <s v="Q4-2023"/>
    <d v="2023-12-05T00:00:00"/>
    <s v="Invalid"/>
    <d v="2023-12-07T00:00:00"/>
    <x v="2"/>
    <s v="Mar-2023"/>
    <n v="10"/>
    <n v="0"/>
    <x v="1"/>
    <x v="1"/>
    <x v="2"/>
    <s v="Tokyo"/>
    <s v="Non-Profit"/>
    <x v="2"/>
    <x v="10"/>
    <x v="1"/>
    <x v="152"/>
    <n v="1097.5899999999999"/>
    <n v="845.55"/>
    <n v="845.55"/>
    <n v="858.91880000000003"/>
    <n v="1619.17"/>
    <s v="Low"/>
    <s v="OK"/>
    <n v="0.184"/>
    <s v="OK"/>
    <n v="6"/>
    <n v="4139.8127999999997"/>
    <n v="6585.5399999999991"/>
    <n v="-2445.7271999999994"/>
    <n v="-0.59078207594314402"/>
    <n v="0"/>
    <e v="#DIV/0!"/>
    <x v="1"/>
  </r>
  <r>
    <s v="ORD-2024-201376"/>
    <x v="142"/>
    <x v="31"/>
    <s v="Q1-2024"/>
    <d v="2024-03-04T00:00:00"/>
    <s v="Valid"/>
    <d v="2024-03-04T00:00:00"/>
    <x v="0"/>
    <s v="Jan-2023"/>
    <n v="13"/>
    <n v="15"/>
    <x v="0"/>
    <x v="0"/>
    <x v="0"/>
    <s v="Kisumu"/>
    <s v="Education"/>
    <x v="4"/>
    <x v="11"/>
    <x v="1"/>
    <x v="153"/>
    <n v="928.68"/>
    <n v="2145.17"/>
    <n v="2145.17"/>
    <n v="864.21859999999992"/>
    <n v="1620.1049999999998"/>
    <s v="High"/>
    <s v="OK"/>
    <n v="0.13600000000000001"/>
    <s v="OK"/>
    <n v="16"/>
    <n v="29654.83008"/>
    <n v="14858.88"/>
    <n v="14795.950080000001"/>
    <n v="0.49893896003062177"/>
    <n v="0"/>
    <e v="#DIV/0!"/>
    <x v="1"/>
  </r>
  <r>
    <s v="ORD-2023-842488"/>
    <x v="143"/>
    <x v="32"/>
    <s v="Q4-2023"/>
    <d v="2023-11-02T00:00:00"/>
    <s v="Valid"/>
    <d v="2023-11-02T00:00:00"/>
    <x v="0"/>
    <s v="Jan-2023"/>
    <n v="10"/>
    <n v="2"/>
    <x v="1"/>
    <x v="0"/>
    <x v="0"/>
    <s v="Kisumu"/>
    <s v="Education"/>
    <x v="0"/>
    <x v="7"/>
    <x v="6"/>
    <x v="154"/>
    <n v="867.89"/>
    <n v="1349.94"/>
    <n v="1349.94"/>
    <n v="861.75680000000011"/>
    <n v="1618.29"/>
    <s v="Medium"/>
    <s v="OK"/>
    <n v="0.184"/>
    <s v="OK"/>
    <n v="10"/>
    <n v="11015.510400000003"/>
    <n v="8678.9"/>
    <n v="2336.6104000000032"/>
    <n v="0.21212003031652557"/>
    <n v="0"/>
    <e v="#DIV/0!"/>
    <x v="1"/>
  </r>
  <r>
    <s v="ORD-2024-136321"/>
    <x v="144"/>
    <x v="21"/>
    <s v="Q3-2024"/>
    <d v="2024-08-17T00:00:00"/>
    <s v="Valid"/>
    <d v="2024-08-17T00:00:00"/>
    <x v="2"/>
    <s v="Mar-2023"/>
    <n v="18"/>
    <n v="10"/>
    <x v="0"/>
    <x v="1"/>
    <x v="2"/>
    <s v="Osaka"/>
    <s v="Consumer"/>
    <x v="1"/>
    <x v="11"/>
    <x v="2"/>
    <x v="155"/>
    <n v="436.58"/>
    <n v="527.48"/>
    <n v="527.48"/>
    <n v="859.005"/>
    <n v="1619.2249999999999"/>
    <s v="Low"/>
    <s v="OK"/>
    <n v="0.111"/>
    <s v="OK"/>
    <n v="19"/>
    <n v="8909.6646800000017"/>
    <n v="8295.02"/>
    <n v="614.64468000000124"/>
    <n v="6.8986286473802644E-2"/>
    <n v="0"/>
    <e v="#DIV/0!"/>
    <x v="1"/>
  </r>
  <r>
    <s v="ORD-2024-764468"/>
    <x v="145"/>
    <x v="31"/>
    <s v="Q1-2024"/>
    <d v="2024-02-21T00:00:00"/>
    <s v="Valid"/>
    <d v="2024-02-21T00:00:00"/>
    <x v="8"/>
    <s v="Jan-2023"/>
    <n v="13"/>
    <n v="20"/>
    <x v="0"/>
    <x v="3"/>
    <x v="7"/>
    <s v="Paris"/>
    <s v="Small Business"/>
    <x v="2"/>
    <x v="8"/>
    <x v="2"/>
    <x v="156"/>
    <n v="656.2"/>
    <n v="1467.17"/>
    <n v="1467.17"/>
    <n v="864.29320000000007"/>
    <n v="1620.16"/>
    <s v="Medium"/>
    <s v="OK"/>
    <n v="1.7999999999999999E-2"/>
    <s v="OK"/>
    <n v="5"/>
    <n v="7203.8047000000006"/>
    <n v="3281"/>
    <n v="3922.8047000000006"/>
    <n v="0.54454623124360946"/>
    <n v="0"/>
    <e v="#DIV/0!"/>
    <x v="1"/>
  </r>
  <r>
    <s v="ORD-2024-553449"/>
    <x v="38"/>
    <x v="21"/>
    <s v="Q3-2024"/>
    <d v="2024-09-18T00:00:00"/>
    <s v="Valid"/>
    <d v="2024-09-18T00:00:00"/>
    <x v="4"/>
    <s v="Feb-2023"/>
    <n v="19"/>
    <n v="22"/>
    <x v="0"/>
    <x v="1"/>
    <x v="4"/>
    <s v="Delhi"/>
    <s v="Consumer"/>
    <x v="4"/>
    <x v="5"/>
    <x v="0"/>
    <x v="157"/>
    <n v="896.75"/>
    <n v="1651.14"/>
    <n v="1651.14"/>
    <n v="861.83140000000003"/>
    <n v="1621.3326"/>
    <s v="High"/>
    <s v="OK"/>
    <n v="2.5000000000000001E-2"/>
    <s v="OK"/>
    <n v="15"/>
    <n v="24147.922500000001"/>
    <n v="13451.25"/>
    <n v="10696.672500000001"/>
    <n v="0.44296450346815552"/>
    <n v="0"/>
    <e v="#DIV/0!"/>
    <x v="1"/>
  </r>
  <r>
    <s v="ORD-2025-766923"/>
    <x v="146"/>
    <x v="26"/>
    <s v="Q1-2025"/>
    <d v="2025-02-15T00:00:00"/>
    <s v="Valid"/>
    <d v="2025-02-15T00:00:00"/>
    <x v="7"/>
    <s v="Jan-2023"/>
    <n v="25"/>
    <n v="0"/>
    <x v="1"/>
    <x v="3"/>
    <x v="6"/>
    <s v="Frankfurt"/>
    <s v="Small Business"/>
    <x v="2"/>
    <x v="4"/>
    <x v="6"/>
    <x v="158"/>
    <n v="815.83"/>
    <n v="1982.18"/>
    <n v="1982.18"/>
    <n v="859.09120000000019"/>
    <n v="1619.28"/>
    <s v="High"/>
    <s v="OK"/>
    <n v="0.127"/>
    <s v="OK"/>
    <n v="6"/>
    <n v="10382.65884"/>
    <n v="4894.9800000000005"/>
    <n v="5487.6788399999996"/>
    <n v="0.52854272923408507"/>
    <n v="0"/>
    <e v="#DIV/0!"/>
    <x v="1"/>
  </r>
  <r>
    <s v="ORD-2025-418232"/>
    <x v="90"/>
    <x v="28"/>
    <s v="Q3-2025"/>
    <d v="2025-08-21T00:00:00"/>
    <s v="Valid"/>
    <d v="2025-08-21T00:00:00"/>
    <x v="10"/>
    <s v="Jan-2023"/>
    <n v="31"/>
    <n v="20"/>
    <x v="0"/>
    <x v="1"/>
    <x v="9"/>
    <s v="Shanghai"/>
    <s v="Corporate"/>
    <x v="4"/>
    <x v="2"/>
    <x v="3"/>
    <x v="159"/>
    <n v="1220.4100000000001"/>
    <n v="2552.2199999999998"/>
    <n v="2552.2199999999998"/>
    <n v="856.24660000000006"/>
    <n v="1614.7238000000002"/>
    <s v="High"/>
    <s v="OK"/>
    <n v="0.18099999999999999"/>
    <s v="OK"/>
    <n v="14"/>
    <n v="29263.754519999995"/>
    <n v="17085.740000000002"/>
    <n v="12178.014519999993"/>
    <n v="0.41614668793360271"/>
    <n v="0"/>
    <e v="#DIV/0!"/>
    <x v="1"/>
  </r>
  <r>
    <s v="ORD-2023-848013"/>
    <x v="147"/>
    <x v="2"/>
    <s v="Q1-2023"/>
    <d v="2023-03-04T00:00:00"/>
    <s v="Valid"/>
    <d v="2023-03-04T00:00:00"/>
    <x v="4"/>
    <s v="Feb-2023"/>
    <n v="1"/>
    <n v="12"/>
    <x v="0"/>
    <x v="1"/>
    <x v="4"/>
    <s v="Delhi"/>
    <s v="Consumer"/>
    <x v="3"/>
    <x v="12"/>
    <x v="5"/>
    <x v="160"/>
    <n v="299.75"/>
    <n v="523.01"/>
    <n v="523.01"/>
    <n v="853.40199999999993"/>
    <n v="1599.9859999999996"/>
    <s v="Low"/>
    <s v="OK"/>
    <n v="0.157"/>
    <s v="OK"/>
    <n v="50"/>
    <n v="22044.871499999997"/>
    <n v="14987.5"/>
    <n v="7057.3714999999975"/>
    <n v="0.32013665854210122"/>
    <n v="0"/>
    <e v="#DIV/0!"/>
    <x v="1"/>
  </r>
  <r>
    <s v="ORD-2024-357368"/>
    <x v="148"/>
    <x v="1"/>
    <s v="Q4-2024"/>
    <d v="2024-11-24T00:00:00"/>
    <s v="Valid"/>
    <d v="2024-11-24T00:00:00"/>
    <x v="10"/>
    <s v="Jan-2023"/>
    <n v="22"/>
    <n v="25"/>
    <x v="0"/>
    <x v="1"/>
    <x v="9"/>
    <s v="Shenzhen"/>
    <s v="Small Business"/>
    <x v="1"/>
    <x v="6"/>
    <x v="0"/>
    <x v="161"/>
    <n v="811.05"/>
    <n v="1217.71"/>
    <n v="1217.71"/>
    <n v="859.17740000000003"/>
    <n v="1607.5782000000004"/>
    <s v="Medium"/>
    <s v="OK"/>
    <n v="7.1999999999999995E-2"/>
    <s v="OK"/>
    <n v="5"/>
    <n v="5650.1744000000008"/>
    <n v="4055.25"/>
    <n v="1594.9244000000008"/>
    <n v="0.28227879125288602"/>
    <n v="0"/>
    <e v="#DIV/0!"/>
    <x v="1"/>
  </r>
  <r>
    <s v="ORD-2024-219735"/>
    <x v="149"/>
    <x v="20"/>
    <s v="Q2-2024"/>
    <d v="2024-04-07T00:00:00"/>
    <s v="Valid"/>
    <d v="2024-04-07T00:00:00"/>
    <x v="6"/>
    <s v="Jan-2023"/>
    <n v="15"/>
    <n v="4"/>
    <x v="1"/>
    <x v="2"/>
    <x v="5"/>
    <s v="Brasília"/>
    <s v="Non-Profit"/>
    <x v="4"/>
    <x v="13"/>
    <x v="3"/>
    <x v="162"/>
    <n v="1023.27"/>
    <n v="1343.64"/>
    <n v="1343.64"/>
    <n v="856.33279999999991"/>
    <n v="1615.1703999999997"/>
    <s v="Medium"/>
    <s v="OK"/>
    <n v="0.13300000000000001"/>
    <s v="OK"/>
    <n v="7"/>
    <n v="8154.5511600000009"/>
    <n v="7162.8899999999994"/>
    <n v="991.66116000000147"/>
    <n v="0.12160830688810116"/>
    <n v="0"/>
    <e v="#DIV/0!"/>
    <x v="1"/>
  </r>
  <r>
    <s v="ORD-2023-240507"/>
    <x v="150"/>
    <x v="22"/>
    <s v="Q1-2023"/>
    <d v="2023-03-26T00:00:00"/>
    <s v="Valid"/>
    <d v="2023-03-26T00:00:00"/>
    <x v="2"/>
    <s v="Mar-2023"/>
    <n v="1"/>
    <n v="1"/>
    <x v="1"/>
    <x v="1"/>
    <x v="2"/>
    <s v="Osaka"/>
    <s v="Small Business"/>
    <x v="3"/>
    <x v="2"/>
    <x v="5"/>
    <x v="163"/>
    <n v="135.12"/>
    <n v="301.7"/>
    <n v="301.7"/>
    <n v="853.48820000000012"/>
    <n v="1618.4549999999999"/>
    <s v="Low"/>
    <s v="OK"/>
    <n v="0.14000000000000001"/>
    <s v="OK"/>
    <n v="47"/>
    <n v="12194.714"/>
    <n v="6350.64"/>
    <n v="5844.0739999999996"/>
    <n v="0.47923009920527859"/>
    <n v="0"/>
    <e v="#DIV/0!"/>
    <x v="1"/>
  </r>
  <r>
    <s v="ORD-2024-134084"/>
    <x v="151"/>
    <x v="17"/>
    <s v="Q2-2024"/>
    <d v="2024-06-16T00:00:00"/>
    <s v="Valid"/>
    <d v="2024-06-16T00:00:00"/>
    <x v="10"/>
    <s v="Jan-2023"/>
    <n v="17"/>
    <n v="12"/>
    <x v="0"/>
    <x v="1"/>
    <x v="9"/>
    <s v="Shanghai"/>
    <s v="Corporate"/>
    <x v="0"/>
    <x v="1"/>
    <x v="1"/>
    <x v="164"/>
    <n v="918.42"/>
    <n v="1511.71"/>
    <n v="1511.71"/>
    <n v="859.2636"/>
    <n v="1619.3899999999999"/>
    <s v="Medium"/>
    <s v="OK"/>
    <n v="0.02"/>
    <s v="OK"/>
    <n v="8"/>
    <n v="11851.806399999999"/>
    <n v="7347.36"/>
    <n v="4504.4463999999998"/>
    <n v="0.38006412254590999"/>
    <n v="0"/>
    <e v="#DIV/0!"/>
    <x v="1"/>
  </r>
  <r>
    <s v="ORD-2023-884625"/>
    <x v="152"/>
    <x v="2"/>
    <s v="Q1-2023"/>
    <d v="2023-03-12T00:00:00"/>
    <s v="Valid"/>
    <d v="2023-03-12T00:00:00"/>
    <x v="7"/>
    <s v="Jan-2023"/>
    <n v="1"/>
    <n v="21"/>
    <x v="0"/>
    <x v="3"/>
    <x v="6"/>
    <s v="Berlin"/>
    <s v="Small Business"/>
    <x v="4"/>
    <x v="4"/>
    <x v="5"/>
    <x v="165"/>
    <n v="1234.81"/>
    <n v="2055.2399999999998"/>
    <n v="2055.2399999999998"/>
    <n v="856.4190000000001"/>
    <n v="1620.325"/>
    <s v="High"/>
    <s v="OK"/>
    <n v="5.2999999999999999E-2"/>
    <s v="OK"/>
    <n v="44"/>
    <n v="85637.740319999997"/>
    <n v="54331.64"/>
    <n v="31306.100319999998"/>
    <n v="0.36556429680441616"/>
    <n v="0"/>
    <e v="#DIV/0!"/>
    <x v="1"/>
  </r>
  <r>
    <s v="ORD-2023-157993"/>
    <x v="153"/>
    <x v="12"/>
    <s v="Q2-2023"/>
    <d v="2023-05-18T00:00:00"/>
    <s v="Valid"/>
    <d v="2023-05-18T00:00:00"/>
    <x v="10"/>
    <s v="Jan-2023"/>
    <n v="4"/>
    <n v="30"/>
    <x v="0"/>
    <x v="1"/>
    <x v="9"/>
    <s v="Shenzhen"/>
    <s v="Non-Profit"/>
    <x v="0"/>
    <x v="10"/>
    <x v="4"/>
    <x v="166"/>
    <n v="329.03"/>
    <n v="391.15"/>
    <n v="391.15"/>
    <n v="853.57439999999997"/>
    <n v="1618.51"/>
    <s v="Low"/>
    <s v="OK"/>
    <n v="0.19700000000000001"/>
    <s v="OK"/>
    <n v="46"/>
    <n v="14448.298699999998"/>
    <n v="15135.38"/>
    <n v="-687.08130000000165"/>
    <n v="-4.7554477815440081E-2"/>
    <n v="0"/>
    <e v="#DIV/0!"/>
    <x v="1"/>
  </r>
  <r>
    <s v="ORD-2024-329104"/>
    <x v="154"/>
    <x v="7"/>
    <s v="Q2-2024"/>
    <d v="2024-06-14T00:00:00"/>
    <s v="Valid"/>
    <d v="2024-06-14T00:00:00"/>
    <x v="8"/>
    <s v="Jan-2023"/>
    <n v="17"/>
    <n v="22"/>
    <x v="0"/>
    <x v="3"/>
    <x v="7"/>
    <s v="Marseille"/>
    <s v="Small Business"/>
    <x v="1"/>
    <x v="13"/>
    <x v="5"/>
    <x v="167"/>
    <n v="1481.74"/>
    <n v="1848.97"/>
    <n v="1848.97"/>
    <n v="859.34980000000019"/>
    <n v="1619.4449999999999"/>
    <s v="High"/>
    <s v="OK"/>
    <n v="0.254"/>
    <s v="OK"/>
    <n v="9"/>
    <n v="12413.98458"/>
    <n v="13335.66"/>
    <n v="-921.67541999999958"/>
    <n v="-7.4244930309072407E-2"/>
    <n v="0"/>
    <e v="#DIV/0!"/>
    <x v="1"/>
  </r>
  <r>
    <s v="ORD-2023-304451"/>
    <x v="155"/>
    <x v="32"/>
    <s v="Q4-2023"/>
    <d v="2023-10-23T00:00:00"/>
    <s v="Valid"/>
    <d v="2023-10-23T00:00:00"/>
    <x v="15"/>
    <s v="May-2023"/>
    <n v="6"/>
    <n v="16"/>
    <x v="0"/>
    <x v="1"/>
    <x v="4"/>
    <s v="Hyderabad"/>
    <s v="Consumer"/>
    <x v="0"/>
    <x v="3"/>
    <x v="5"/>
    <x v="168"/>
    <n v="906.81"/>
    <n v="1395.56"/>
    <n v="1395.56"/>
    <n v="856.50520000000006"/>
    <n v="1616.0636000000002"/>
    <s v="Medium"/>
    <s v="OK"/>
    <n v="0.185"/>
    <s v="OK"/>
    <n v="6"/>
    <n v="6824.2884000000004"/>
    <n v="5440.86"/>
    <n v="1383.4284000000007"/>
    <n v="0.20272126834498974"/>
    <n v="0"/>
    <e v="#DIV/0!"/>
    <x v="1"/>
  </r>
  <r>
    <s v="ORD-2024-942981"/>
    <x v="156"/>
    <x v="1"/>
    <s v="Q4-2024"/>
    <d v="2024-11-08T00:00:00"/>
    <s v="Valid"/>
    <d v="2024-11-08T00:00:00"/>
    <x v="9"/>
    <s v="Jan-2023"/>
    <n v="21"/>
    <n v="30"/>
    <x v="0"/>
    <x v="3"/>
    <x v="8"/>
    <s v="Manchester"/>
    <s v="Small Business"/>
    <x v="3"/>
    <x v="1"/>
    <x v="0"/>
    <x v="169"/>
    <n v="343.85"/>
    <n v="538.04"/>
    <n v="538.04"/>
    <n v="853.66059999999993"/>
    <n v="1618.5649999999998"/>
    <s v="Low"/>
    <s v="OK"/>
    <n v="0.13900000000000001"/>
    <s v="OK"/>
    <n v="5"/>
    <n v="2316.2621999999997"/>
    <n v="1719.25"/>
    <n v="597.01219999999967"/>
    <n v="0.25774810813732563"/>
    <n v="0"/>
    <e v="#DIV/0!"/>
    <x v="1"/>
  </r>
  <r>
    <s v="ORD-2024-605629"/>
    <x v="157"/>
    <x v="14"/>
    <s v="Q3-2024"/>
    <d v="2024-07-15T00:00:00"/>
    <s v="Valid"/>
    <d v="2024-07-15T00:00:00"/>
    <x v="2"/>
    <s v="Mar-2023"/>
    <n v="17"/>
    <n v="0"/>
    <x v="1"/>
    <x v="1"/>
    <x v="2"/>
    <s v="Tokyo"/>
    <s v="Small Business"/>
    <x v="2"/>
    <x v="3"/>
    <x v="6"/>
    <x v="170"/>
    <n v="801.77"/>
    <n v="1218.92"/>
    <n v="1218.92"/>
    <n v="859.43600000000004"/>
    <n v="1619.5"/>
    <s v="Medium"/>
    <s v="OK"/>
    <n v="0.254"/>
    <s v="OK"/>
    <n v="16"/>
    <n v="14549.029120000001"/>
    <n v="12828.32"/>
    <n v="1720.7091200000013"/>
    <n v="0.11826968698788344"/>
    <n v="0"/>
    <e v="#DIV/0!"/>
    <x v="1"/>
  </r>
  <r>
    <s v="ORD-2023-450877"/>
    <x v="158"/>
    <x v="27"/>
    <s v="Q3-2023"/>
    <d v="2023-10-10T00:00:00"/>
    <s v="Valid"/>
    <d v="2023-10-10T00:00:00"/>
    <x v="2"/>
    <s v="Mar-2023"/>
    <n v="7"/>
    <n v="19"/>
    <x v="0"/>
    <x v="1"/>
    <x v="2"/>
    <s v="Tokyo"/>
    <s v="Education"/>
    <x v="1"/>
    <x v="14"/>
    <x v="0"/>
    <x v="171"/>
    <n v="845.63"/>
    <n v="2062.12"/>
    <n v="2062.12"/>
    <n v="856.59139999999991"/>
    <n v="1620.4349999999999"/>
    <s v="High"/>
    <s v="OK"/>
    <n v="0.13400000000000001"/>
    <s v="OK"/>
    <n v="5"/>
    <n v="8928.9795999999988"/>
    <n v="4228.1499999999996"/>
    <n v="4700.8295999999991"/>
    <n v="0.52646884757133949"/>
    <n v="0"/>
    <e v="#DIV/0!"/>
    <x v="1"/>
  </r>
  <r>
    <s v="ORD-2023-286994"/>
    <x v="159"/>
    <x v="2"/>
    <s v="Q1-2023"/>
    <d v="2023-03-09T00:00:00"/>
    <s v="Valid"/>
    <d v="2023-03-09T00:00:00"/>
    <x v="11"/>
    <s v="Jan-2023"/>
    <n v="2"/>
    <n v="13"/>
    <x v="0"/>
    <x v="2"/>
    <x v="10"/>
    <s v="New York"/>
    <s v="Enterprise"/>
    <x v="1"/>
    <x v="12"/>
    <x v="0"/>
    <x v="172"/>
    <n v="6.85"/>
    <n v="10.18"/>
    <n v="10.18"/>
    <n v="853.74680000000012"/>
    <n v="1618.62"/>
    <s v="Low"/>
    <s v="OK"/>
    <n v="4.7E-2"/>
    <s v="OK"/>
    <n v="10"/>
    <n v="97.0154"/>
    <n v="68.5"/>
    <n v="28.5154"/>
    <n v="0.2939265312517394"/>
    <n v="0"/>
    <e v="#DIV/0!"/>
    <x v="1"/>
  </r>
  <r>
    <s v="ORD-2025-700847"/>
    <x v="9"/>
    <x v="8"/>
    <s v="Q2-2025"/>
    <d v="2025-05-19T00:00:00"/>
    <s v="Invalid"/>
    <d v="2025-05-21T00:00:00"/>
    <x v="13"/>
    <s v="Jan-2023"/>
    <n v="29"/>
    <n v="0"/>
    <x v="1"/>
    <x v="0"/>
    <x v="11"/>
    <s v="Johannesburg"/>
    <s v="Non-Profit"/>
    <x v="3"/>
    <x v="7"/>
    <x v="4"/>
    <x v="173"/>
    <n v="1263.8399999999999"/>
    <n v="2281.7199999999998"/>
    <n v="2281.7199999999998"/>
    <n v="859.5222"/>
    <n v="1619.5549999999998"/>
    <s v="High"/>
    <s v="OK"/>
    <n v="7.8E-2"/>
    <s v="OK"/>
    <n v="15"/>
    <n v="31556.187599999997"/>
    <n v="18957.599999999999"/>
    <n v="12598.587599999999"/>
    <n v="0.39924301882398494"/>
    <n v="0"/>
    <e v="#DIV/0!"/>
    <x v="1"/>
  </r>
  <r>
    <s v="ORD-2024-970848"/>
    <x v="154"/>
    <x v="7"/>
    <s v="Q2-2024"/>
    <d v="2024-06-03T00:00:00"/>
    <s v="Valid"/>
    <d v="2024-06-03T00:00:00"/>
    <x v="13"/>
    <s v="Jan-2023"/>
    <n v="17"/>
    <n v="11"/>
    <x v="0"/>
    <x v="0"/>
    <x v="11"/>
    <s v="Johannesburg"/>
    <s v="Small Business"/>
    <x v="3"/>
    <x v="9"/>
    <x v="1"/>
    <x v="174"/>
    <n v="180.89"/>
    <n v="249.57"/>
    <n v="249.57"/>
    <n v="856.6776000000001"/>
    <n v="1616.9568000000008"/>
    <s v="Low"/>
    <s v="OK"/>
    <n v="2.1999999999999999E-2"/>
    <s v="OK"/>
    <n v="8"/>
    <n v="1952.6356799999999"/>
    <n v="1447.12"/>
    <n v="505.51567999999997"/>
    <n v="0.25888888806948362"/>
    <n v="0"/>
    <e v="#DIV/0!"/>
    <x v="1"/>
  </r>
  <r>
    <s v="ORD-2025-845715"/>
    <x v="160"/>
    <x v="19"/>
    <s v="Q2-2025"/>
    <d v="2025-05-04T00:00:00"/>
    <s v="Valid"/>
    <d v="2025-05-04T00:00:00"/>
    <x v="9"/>
    <s v="Jan-2023"/>
    <n v="27"/>
    <n v="20"/>
    <x v="0"/>
    <x v="3"/>
    <x v="8"/>
    <s v="Birmingham"/>
    <s v="Enterprise"/>
    <x v="2"/>
    <x v="11"/>
    <x v="5"/>
    <x v="175"/>
    <n v="1413.87"/>
    <n v="3275"/>
    <n v="3275"/>
    <n v="862.279"/>
    <n v="1618.675"/>
    <s v="High"/>
    <s v="OK"/>
    <n v="0.255"/>
    <s v="OK"/>
    <n v="38"/>
    <n v="92715.25"/>
    <n v="53727.06"/>
    <n v="38988.19"/>
    <n v="0.42051539525590453"/>
    <n v="0"/>
    <e v="#DIV/0!"/>
    <x v="1"/>
  </r>
  <r>
    <s v="ORD-2023-664749"/>
    <x v="161"/>
    <x v="25"/>
    <s v="Q3-2023"/>
    <d v="2023-09-11T00:00:00"/>
    <s v="Valid"/>
    <d v="2023-09-11T00:00:00"/>
    <x v="9"/>
    <s v="Jan-2023"/>
    <n v="8"/>
    <n v="15"/>
    <x v="0"/>
    <x v="3"/>
    <x v="8"/>
    <s v="London"/>
    <s v="Consumer"/>
    <x v="2"/>
    <x v="13"/>
    <x v="1"/>
    <x v="176"/>
    <n v="943.79"/>
    <n v="1913.76"/>
    <n v="1913.76"/>
    <n v="859.60839999999996"/>
    <n v="1609.8111999999996"/>
    <s v="High"/>
    <s v="OK"/>
    <n v="9.0999999999999998E-2"/>
    <s v="OK"/>
    <n v="9"/>
    <n v="15656.47056"/>
    <n v="8494.11"/>
    <n v="7162.3605599999992"/>
    <n v="0.45746967891338081"/>
    <n v="0"/>
    <e v="#DIV/0!"/>
    <x v="1"/>
  </r>
  <r>
    <s v="ORD-2024-960952"/>
    <x v="162"/>
    <x v="31"/>
    <s v="Q1-2024"/>
    <d v="2024-02-21T00:00:00"/>
    <s v="Valid"/>
    <d v="2024-02-21T00:00:00"/>
    <x v="7"/>
    <s v="Jan-2023"/>
    <n v="13"/>
    <n v="18"/>
    <x v="0"/>
    <x v="3"/>
    <x v="6"/>
    <s v="Frankfurt"/>
    <s v="Corporate"/>
    <x v="0"/>
    <x v="10"/>
    <x v="0"/>
    <x v="177"/>
    <n v="39.229999999999997"/>
    <n v="30.09"/>
    <n v="30.09"/>
    <n v="856.76380000000006"/>
    <n v="1595.5052000000001"/>
    <s v="Low"/>
    <s v="OK"/>
    <n v="0.17699999999999999"/>
    <s v="OK"/>
    <n v="13"/>
    <n v="321.93290999999999"/>
    <n v="509.98999999999995"/>
    <n v="-188.05708999999996"/>
    <n v="-0.58414993981199359"/>
    <n v="0"/>
    <e v="#DIV/0!"/>
    <x v="1"/>
  </r>
  <r>
    <s v="ORD-2023-987700"/>
    <x v="163"/>
    <x v="12"/>
    <s v="Q2-2023"/>
    <d v="2023-04-16T00:00:00"/>
    <s v="Valid"/>
    <d v="2023-04-16T00:00:00"/>
    <x v="14"/>
    <s v="Mar-2023"/>
    <n v="2"/>
    <n v="11"/>
    <x v="0"/>
    <x v="2"/>
    <x v="3"/>
    <s v="Vancouver"/>
    <s v="Non-Profit"/>
    <x v="1"/>
    <x v="7"/>
    <x v="5"/>
    <x v="178"/>
    <n v="213.1"/>
    <n v="501.31"/>
    <n v="501.31"/>
    <n v="862.35359999999991"/>
    <n v="1602.6655999999998"/>
    <s v="Low"/>
    <s v="OK"/>
    <n v="5.6000000000000001E-2"/>
    <s v="OK"/>
    <n v="15"/>
    <n v="7098.5495999999994"/>
    <n v="3196.5"/>
    <n v="3902.0495999999994"/>
    <n v="0.54969674368409005"/>
    <n v="0"/>
    <e v="#DIV/0!"/>
    <x v="1"/>
  </r>
  <r>
    <s v="ORD-2025-652467"/>
    <x v="164"/>
    <x v="28"/>
    <s v="Q3-2025"/>
    <d v="2025-09-12T00:00:00"/>
    <s v="Valid"/>
    <d v="2025-09-12T00:00:00"/>
    <x v="10"/>
    <s v="Jan-2023"/>
    <n v="32"/>
    <n v="22"/>
    <x v="0"/>
    <x v="1"/>
    <x v="9"/>
    <s v="Shenzhen"/>
    <s v="Education"/>
    <x v="0"/>
    <x v="5"/>
    <x v="1"/>
    <x v="179"/>
    <n v="352.66"/>
    <n v="411.18"/>
    <n v="411.18"/>
    <n v="867.35180000000014"/>
    <n v="1610.2578000000005"/>
    <s v="Low"/>
    <s v="OK"/>
    <n v="0.17299999999999999"/>
    <s v="OK"/>
    <n v="13"/>
    <n v="4420.5961799999995"/>
    <n v="4584.58"/>
    <n v="-163.98382000000038"/>
    <n v="-3.7095408248758066E-2"/>
    <n v="0"/>
    <e v="#DIV/0!"/>
    <x v="1"/>
  </r>
  <r>
    <s v="ORD-2025-667201"/>
    <x v="165"/>
    <x v="11"/>
    <s v="Q3-2025"/>
    <d v="2025-09-18T00:00:00"/>
    <s v="Valid"/>
    <d v="2025-09-18T00:00:00"/>
    <x v="6"/>
    <s v="Jan-2023"/>
    <n v="32"/>
    <n v="3"/>
    <x v="1"/>
    <x v="2"/>
    <x v="5"/>
    <s v="Rio De Janeiro"/>
    <s v="Non-Profit"/>
    <x v="4"/>
    <x v="4"/>
    <x v="6"/>
    <x v="180"/>
    <n v="5.5"/>
    <n v="5.92"/>
    <n v="5.92"/>
    <n v="871.18499999999995"/>
    <n v="1617.85"/>
    <s v="Low"/>
    <s v="OK"/>
    <n v="0.21199999999999999"/>
    <s v="OK"/>
    <n v="4"/>
    <n v="18.659839999999999"/>
    <n v="22"/>
    <n v="-3.3401600000000009"/>
    <n v="-0.17900260666758133"/>
    <n v="0"/>
    <e v="#DIV/0!"/>
    <x v="1"/>
  </r>
  <r>
    <s v="ORD-2024-237478"/>
    <x v="166"/>
    <x v="1"/>
    <s v="Q4-2024"/>
    <d v="2024-10-11T00:00:00"/>
    <s v="Valid"/>
    <d v="2024-10-11T00:00:00"/>
    <x v="10"/>
    <s v="Jan-2023"/>
    <n v="21"/>
    <n v="8"/>
    <x v="0"/>
    <x v="1"/>
    <x v="9"/>
    <s v="Beijing"/>
    <s v="Enterprise"/>
    <x v="4"/>
    <x v="5"/>
    <x v="3"/>
    <x v="181"/>
    <n v="1132.6099999999999"/>
    <n v="2206.63"/>
    <n v="2206.63"/>
    <n v="874.27020000000005"/>
    <n v="1618.7850000000001"/>
    <s v="High"/>
    <s v="OK"/>
    <n v="6.3E-2"/>
    <s v="OK"/>
    <n v="20"/>
    <n v="41352.246200000009"/>
    <n v="22652.199999999997"/>
    <n v="18700.046200000012"/>
    <n v="0.45221355351671338"/>
    <n v="0"/>
    <e v="#DIV/0!"/>
    <x v="1"/>
  </r>
  <r>
    <s v="ORD-2025-898843"/>
    <x v="167"/>
    <x v="26"/>
    <s v="Q1-2025"/>
    <d v="2025-03-04T00:00:00"/>
    <s v="Valid"/>
    <d v="2025-03-04T00:00:00"/>
    <x v="2"/>
    <s v="Mar-2023"/>
    <n v="23"/>
    <n v="30"/>
    <x v="0"/>
    <x v="1"/>
    <x v="2"/>
    <s v="Osaka"/>
    <s v="Education"/>
    <x v="3"/>
    <x v="4"/>
    <x v="6"/>
    <x v="182"/>
    <n v="766.59"/>
    <n v="1912.8"/>
    <n v="1912.8"/>
    <n v="872.92920000000004"/>
    <n v="1610.7044000000001"/>
    <s v="High"/>
    <s v="OK"/>
    <n v="0.19600000000000001"/>
    <s v="OK"/>
    <n v="5"/>
    <n v="7689.4560000000001"/>
    <n v="3832.9500000000003"/>
    <n v="3856.5059999999999"/>
    <n v="0.50153170783472845"/>
    <n v="0"/>
    <e v="#DIV/0!"/>
    <x v="1"/>
  </r>
  <r>
    <s v="ORD-2023-334213"/>
    <x v="66"/>
    <x v="25"/>
    <s v="Q3-2023"/>
    <d v="2023-08-23T00:00:00"/>
    <s v="Valid"/>
    <d v="2023-08-23T00:00:00"/>
    <x v="5"/>
    <s v="Feb-2023"/>
    <n v="7"/>
    <n v="4"/>
    <x v="1"/>
    <x v="0"/>
    <x v="1"/>
    <s v="Abuja"/>
    <s v="Small Business"/>
    <x v="1"/>
    <x v="1"/>
    <x v="5"/>
    <x v="183"/>
    <n v="790.63"/>
    <n v="1382.31"/>
    <n v="1382.31"/>
    <n v="871.23630000000014"/>
    <n v="1595.9666000000009"/>
    <s v="Medium"/>
    <s v="OK"/>
    <n v="0.10100000000000001"/>
    <s v="OK"/>
    <n v="7"/>
    <n v="8698.8768300000011"/>
    <n v="5534.41"/>
    <n v="3164.4668300000012"/>
    <n v="0.36377878338116448"/>
    <n v="0"/>
    <e v="#DIV/0!"/>
    <x v="1"/>
  </r>
  <r>
    <s v="ORD-2024-640340"/>
    <x v="168"/>
    <x v="1"/>
    <s v="Q4-2024"/>
    <d v="2024-10-29T00:00:00"/>
    <s v="Valid"/>
    <d v="2024-10-29T00:00:00"/>
    <x v="5"/>
    <s v="Feb-2023"/>
    <n v="21"/>
    <n v="7"/>
    <x v="0"/>
    <x v="0"/>
    <x v="1"/>
    <s v="Port Harcourt"/>
    <s v="Enterprise"/>
    <x v="3"/>
    <x v="12"/>
    <x v="5"/>
    <x v="184"/>
    <n v="1023.06"/>
    <n v="1355.61"/>
    <n v="1355.61"/>
    <n v="869.54340000000002"/>
    <n v="1603.5588000000002"/>
    <s v="Medium"/>
    <s v="OK"/>
    <n v="0.153"/>
    <s v="OK"/>
    <n v="23"/>
    <n v="26408.63841"/>
    <n v="23530.379999999997"/>
    <n v="2878.2584100000022"/>
    <n v="0.10898927711888809"/>
    <n v="0"/>
    <e v="#DIV/0!"/>
    <x v="1"/>
  </r>
  <r>
    <s v="ORD-2023-399631"/>
    <x v="169"/>
    <x v="23"/>
    <s v="Q2-2023"/>
    <d v="2023-07-21T00:00:00"/>
    <s v="Valid"/>
    <d v="2023-07-21T00:00:00"/>
    <x v="8"/>
    <s v="Jan-2023"/>
    <n v="6"/>
    <n v="29"/>
    <x v="0"/>
    <x v="3"/>
    <x v="7"/>
    <s v="Lyon"/>
    <s v="Corporate"/>
    <x v="0"/>
    <x v="1"/>
    <x v="6"/>
    <x v="185"/>
    <n v="734.34"/>
    <n v="887.9"/>
    <n v="887.9"/>
    <n v="867.50099999999998"/>
    <n v="1611.1509999999996"/>
    <s v="Medium"/>
    <s v="OK"/>
    <n v="2.5000000000000001E-2"/>
    <s v="OK"/>
    <n v="12"/>
    <n v="10388.429999999998"/>
    <n v="8812.08"/>
    <n v="1576.3499999999985"/>
    <n v="0.15174092716608753"/>
    <n v="0"/>
    <e v="#DIV/0!"/>
    <x v="1"/>
  </r>
  <r>
    <s v="ORD-2025-542939"/>
    <x v="170"/>
    <x v="10"/>
    <s v="Q1-2025"/>
    <d v="2025-02-08T00:00:00"/>
    <s v="Valid"/>
    <d v="2025-02-08T00:00:00"/>
    <x v="8"/>
    <s v="Jan-2023"/>
    <n v="25"/>
    <n v="26"/>
    <x v="0"/>
    <x v="3"/>
    <x v="7"/>
    <s v="Paris"/>
    <s v="Non-Profit"/>
    <x v="5"/>
    <x v="6"/>
    <x v="5"/>
    <x v="186"/>
    <n v="594.74"/>
    <n v="1020.69"/>
    <n v="1020.69"/>
    <n v="865.03920000000005"/>
    <n v="1617.96"/>
    <s v="Medium"/>
    <s v="OK"/>
    <n v="0.21099999999999999"/>
    <s v="OK"/>
    <n v="6"/>
    <n v="4831.9464600000001"/>
    <n v="3568.44"/>
    <n v="1263.5064600000001"/>
    <n v="0.26149016146176424"/>
    <n v="0"/>
    <e v="#DIV/0!"/>
    <x v="1"/>
  </r>
  <r>
    <s v="ORD-2023-825836"/>
    <x v="171"/>
    <x v="24"/>
    <s v="Q3-2023"/>
    <d v="2023-07-31T00:00:00"/>
    <s v="Valid"/>
    <d v="2023-07-31T00:00:00"/>
    <x v="6"/>
    <s v="Jan-2023"/>
    <n v="6"/>
    <n v="12"/>
    <x v="0"/>
    <x v="2"/>
    <x v="5"/>
    <s v="Rio De Janeiro"/>
    <s v="Corporate"/>
    <x v="0"/>
    <x v="0"/>
    <x v="5"/>
    <x v="187"/>
    <n v="1334.64"/>
    <n v="2273.42"/>
    <n v="2273.42"/>
    <n v="862.57740000000001"/>
    <n v="1618.895"/>
    <s v="High"/>
    <s v="OK"/>
    <n v="0.11799999999999999"/>
    <s v="OK"/>
    <n v="14"/>
    <n v="28072.190160000002"/>
    <n v="18684.960000000003"/>
    <n v="9387.2301599999992"/>
    <n v="0.33439607335575267"/>
    <n v="0"/>
    <e v="#DIV/0!"/>
    <x v="1"/>
  </r>
  <r>
    <s v="ORD-2024-503082"/>
    <x v="172"/>
    <x v="7"/>
    <s v="Q2-2024"/>
    <d v="2024-06-08T00:00:00"/>
    <s v="Valid"/>
    <d v="2024-06-08T00:00:00"/>
    <x v="6"/>
    <s v="Jan-2023"/>
    <n v="16"/>
    <n v="20"/>
    <x v="0"/>
    <x v="2"/>
    <x v="5"/>
    <s v="Brasília"/>
    <s v="Small Business"/>
    <x v="0"/>
    <x v="6"/>
    <x v="5"/>
    <x v="188"/>
    <n v="1075.9000000000001"/>
    <n v="1242.1500000000001"/>
    <n v="1242.1500000000001"/>
    <n v="859.95320000000004"/>
    <n v="1611.5976000000005"/>
    <s v="Medium"/>
    <s v="OK"/>
    <n v="1.2E-2"/>
    <s v="OK"/>
    <n v="7"/>
    <n v="8590.7094000000016"/>
    <n v="7531.3000000000011"/>
    <n v="1059.4094000000005"/>
    <n v="0.12332036280961853"/>
    <n v="0"/>
    <e v="#DIV/0!"/>
    <x v="1"/>
  </r>
  <r>
    <s v="ORD-2024-760799"/>
    <x v="162"/>
    <x v="31"/>
    <s v="Q1-2024"/>
    <d v="2024-02-19T00:00:00"/>
    <s v="Valid"/>
    <d v="2024-02-19T00:00:00"/>
    <x v="10"/>
    <s v="Jan-2023"/>
    <n v="13"/>
    <n v="16"/>
    <x v="0"/>
    <x v="1"/>
    <x v="9"/>
    <s v="Shenzhen"/>
    <s v="Small Business"/>
    <x v="1"/>
    <x v="10"/>
    <x v="4"/>
    <x v="189"/>
    <n v="993.75"/>
    <n v="1310.29"/>
    <n v="1310.29"/>
    <n v="857.10860000000002"/>
    <n v="1618.0149999999999"/>
    <s v="Medium"/>
    <s v="OK"/>
    <n v="0.215"/>
    <s v="OK"/>
    <n v="19"/>
    <n v="19542.975350000001"/>
    <n v="18881.25"/>
    <n v="661.72535000000062"/>
    <n v="3.3860010471742245E-2"/>
    <n v="0"/>
    <e v="#DIV/0!"/>
    <x v="1"/>
  </r>
  <r>
    <s v="ORD-2023-197661"/>
    <x v="173"/>
    <x v="25"/>
    <s v="Q3-2023"/>
    <d v="2023-08-22T00:00:00"/>
    <s v="Valid"/>
    <d v="2023-08-22T00:00:00"/>
    <x v="9"/>
    <s v="Jan-2023"/>
    <n v="7"/>
    <n v="14"/>
    <x v="0"/>
    <x v="3"/>
    <x v="8"/>
    <s v="Birmingham"/>
    <s v="Non-Profit"/>
    <x v="4"/>
    <x v="13"/>
    <x v="5"/>
    <x v="190"/>
    <n v="446.69"/>
    <n v="967.25"/>
    <n v="967.25"/>
    <n v="854.26400000000012"/>
    <n v="1618.95"/>
    <s v="Medium"/>
    <s v="OK"/>
    <n v="9.4E-2"/>
    <s v="OK"/>
    <n v="10"/>
    <n v="8763.2849999999999"/>
    <n v="4466.8999999999996"/>
    <n v="4296.3850000000002"/>
    <n v="0.49027105702941309"/>
    <n v="0"/>
    <e v="#DIV/0!"/>
    <x v="1"/>
  </r>
  <r>
    <s v="ORD-2024-212990"/>
    <x v="174"/>
    <x v="21"/>
    <s v="Q3-2024"/>
    <d v="2024-09-03T00:00:00"/>
    <s v="Valid"/>
    <d v="2024-09-03T00:00:00"/>
    <x v="11"/>
    <s v="Jan-2023"/>
    <n v="19"/>
    <n v="22"/>
    <x v="0"/>
    <x v="2"/>
    <x v="10"/>
    <s v="Austin"/>
    <s v="Consumer"/>
    <x v="3"/>
    <x v="2"/>
    <x v="4"/>
    <x v="191"/>
    <n v="797.8"/>
    <n v="886.22"/>
    <n v="886.22"/>
    <n v="851.18150000000003"/>
    <n v="1619.885"/>
    <s v="Medium"/>
    <s v="OK"/>
    <n v="0.23599999999999999"/>
    <s v="OK"/>
    <n v="36"/>
    <n v="24374.594880000001"/>
    <n v="28720.799999999999"/>
    <n v="-4346.2051199999987"/>
    <n v="-0.17830881462428633"/>
    <n v="0"/>
    <e v="#DIV/0!"/>
    <x v="1"/>
  </r>
  <r>
    <s v="ORD-2023-925146"/>
    <x v="175"/>
    <x v="32"/>
    <s v="Q4-2023"/>
    <d v="2023-11-13T00:00:00"/>
    <s v="Valid"/>
    <d v="2023-11-13T00:00:00"/>
    <x v="10"/>
    <s v="Jan-2023"/>
    <n v="10"/>
    <n v="29"/>
    <x v="0"/>
    <x v="1"/>
    <x v="9"/>
    <s v="Shenzhen"/>
    <s v="Non-Profit"/>
    <x v="3"/>
    <x v="1"/>
    <x v="1"/>
    <x v="192"/>
    <n v="986.44"/>
    <n v="790.61"/>
    <n v="790.61"/>
    <n v="847.73300000000017"/>
    <n v="1620.9256"/>
    <s v="Low"/>
    <s v="OK"/>
    <n v="7.1999999999999995E-2"/>
    <s v="OK"/>
    <n v="6"/>
    <n v="4402.1164799999997"/>
    <n v="5918.64"/>
    <n v="-1516.5235200000006"/>
    <n v="-0.34449872621271499"/>
    <n v="0"/>
    <e v="#DIV/0!"/>
    <x v="1"/>
  </r>
  <r>
    <s v="ORD-2023-177794"/>
    <x v="176"/>
    <x v="15"/>
    <s v="Q2-2023"/>
    <d v="2023-05-26T00:00:00"/>
    <s v="Valid"/>
    <d v="2023-05-26T00:00:00"/>
    <x v="11"/>
    <s v="Jan-2023"/>
    <n v="4"/>
    <n v="22"/>
    <x v="0"/>
    <x v="2"/>
    <x v="10"/>
    <s v="San Francisco"/>
    <s v="Enterprise"/>
    <x v="1"/>
    <x v="1"/>
    <x v="2"/>
    <x v="193"/>
    <n v="249.71"/>
    <n v="361.33"/>
    <n v="361.33"/>
    <n v="854.35020000000009"/>
    <n v="1622.3094000000001"/>
    <s v="Low"/>
    <s v="OK"/>
    <n v="9.4E-2"/>
    <s v="OK"/>
    <n v="12"/>
    <n v="3928.3797600000003"/>
    <n v="2996.52"/>
    <n v="931.85976000000028"/>
    <n v="0.23721223937881206"/>
    <n v="0"/>
    <e v="#DIV/0!"/>
    <x v="1"/>
  </r>
  <r>
    <s v="ORD-2024-444710"/>
    <x v="177"/>
    <x v="29"/>
    <s v="Q3-2024"/>
    <d v="2024-10-01T00:00:00"/>
    <s v="Valid"/>
    <d v="2024-10-01T00:00:00"/>
    <x v="6"/>
    <s v="Jan-2023"/>
    <n v="20"/>
    <n v="9"/>
    <x v="0"/>
    <x v="2"/>
    <x v="5"/>
    <s v="São Paulo"/>
    <s v="Non-Profit"/>
    <x v="1"/>
    <x v="11"/>
    <x v="5"/>
    <x v="194"/>
    <n v="1378.8"/>
    <n v="1952.04"/>
    <n v="1952.04"/>
    <n v="860.12559999999996"/>
    <n v="1623.6931999999999"/>
    <s v="High"/>
    <s v="OK"/>
    <n v="0.159"/>
    <s v="OK"/>
    <n v="19"/>
    <n v="31191.64716"/>
    <n v="26197.200000000001"/>
    <n v="4994.4471599999997"/>
    <n v="0.16012130216723058"/>
    <n v="0"/>
    <e v="#DIV/0!"/>
    <x v="1"/>
  </r>
  <r>
    <s v="ORD-2024-668926"/>
    <x v="1"/>
    <x v="1"/>
    <s v="Q4-2024"/>
    <d v="2024-11-14T00:00:00"/>
    <s v="Valid"/>
    <d v="2024-11-14T00:00:00"/>
    <x v="2"/>
    <s v="Mar-2023"/>
    <n v="20"/>
    <n v="22"/>
    <x v="0"/>
    <x v="1"/>
    <x v="2"/>
    <s v="Osaka"/>
    <s v="Non-Profit"/>
    <x v="4"/>
    <x v="5"/>
    <x v="3"/>
    <x v="195"/>
    <n v="1406.4"/>
    <n v="1564.76"/>
    <n v="1564.76"/>
    <n v="857.28100000000006"/>
    <n v="1621.0070000000001"/>
    <s v="Medium"/>
    <s v="OK"/>
    <n v="0.185"/>
    <s v="OK"/>
    <n v="17"/>
    <n v="21679.749799999998"/>
    <n v="23908.800000000003"/>
    <n v="-2229.0502000000051"/>
    <n v="-0.10281715520536151"/>
    <n v="0"/>
    <e v="#DIV/0!"/>
    <x v="1"/>
  </r>
  <r>
    <s v="ORD-2024-968374"/>
    <x v="178"/>
    <x v="31"/>
    <s v="Q1-2024"/>
    <d v="2024-03-03T00:00:00"/>
    <s v="Valid"/>
    <d v="2024-03-03T00:00:00"/>
    <x v="0"/>
    <s v="Jan-2023"/>
    <n v="13"/>
    <n v="21"/>
    <x v="0"/>
    <x v="0"/>
    <x v="0"/>
    <s v="Kisumu"/>
    <s v="Enterprise"/>
    <x v="1"/>
    <x v="5"/>
    <x v="3"/>
    <x v="196"/>
    <n v="516.86"/>
    <n v="852.54"/>
    <n v="852.54"/>
    <n v="854.43639999999994"/>
    <n v="1622.3907999999999"/>
    <s v="Low"/>
    <s v="OK"/>
    <n v="5.0999999999999997E-2"/>
    <s v="OK"/>
    <n v="14"/>
    <n v="11326.846439999999"/>
    <n v="7236.04"/>
    <n v="4090.8064399999994"/>
    <n v="0.36116022775355994"/>
    <n v="0"/>
    <e v="#DIV/0!"/>
    <x v="1"/>
  </r>
  <r>
    <s v="ORD-2023-575584"/>
    <x v="179"/>
    <x v="5"/>
    <s v="Q1-2023"/>
    <d v="2023-02-21T00:00:00"/>
    <s v="Valid"/>
    <d v="2023-02-21T00:00:00"/>
    <x v="7"/>
    <s v="Jan-2023"/>
    <n v="1"/>
    <n v="22"/>
    <x v="0"/>
    <x v="3"/>
    <x v="6"/>
    <s v="Munich"/>
    <s v="Small Business"/>
    <x v="2"/>
    <x v="3"/>
    <x v="2"/>
    <x v="197"/>
    <n v="1142.8800000000001"/>
    <n v="1465.29"/>
    <n v="1465.29"/>
    <n v="859.06230000000028"/>
    <n v="1623.7746000000002"/>
    <s v="Medium"/>
    <s v="OK"/>
    <n v="0.186"/>
    <s v="OK"/>
    <n v="7"/>
    <n v="8349.2224200000001"/>
    <n v="8000.1600000000008"/>
    <n v="349.06241999999929"/>
    <n v="4.1807775915017401E-2"/>
    <n v="0"/>
    <e v="#DIV/0!"/>
    <x v="1"/>
  </r>
  <r>
    <s v="ORD-2023-701153"/>
    <x v="27"/>
    <x v="12"/>
    <s v="Q2-2023"/>
    <d v="2023-05-13T00:00:00"/>
    <s v="Valid"/>
    <d v="2023-05-13T00:00:00"/>
    <x v="7"/>
    <s v="Jan-2023"/>
    <n v="3"/>
    <n v="29"/>
    <x v="0"/>
    <x v="3"/>
    <x v="6"/>
    <s v="Frankfurt"/>
    <s v="Consumer"/>
    <x v="4"/>
    <x v="1"/>
    <x v="1"/>
    <x v="198"/>
    <n v="1320.33"/>
    <n v="2645.23"/>
    <n v="2645.23"/>
    <n v="852.76920000000007"/>
    <n v="1624.76"/>
    <s v="High"/>
    <s v="OK"/>
    <n v="0.155"/>
    <s v="OK"/>
    <n v="25"/>
    <n v="55880.483749999999"/>
    <n v="33008.25"/>
    <n v="22872.233749999999"/>
    <n v="0.40930629470436536"/>
    <n v="0"/>
    <e v="#DIV/0!"/>
    <x v="1"/>
  </r>
  <r>
    <s v="ORD-2023-382017"/>
    <x v="180"/>
    <x v="5"/>
    <s v="Q1-2023"/>
    <d v="2023-01-19T00:00:00"/>
    <s v="Valid"/>
    <d v="2023-01-19T00:00:00"/>
    <x v="11"/>
    <s v="Jan-2023"/>
    <n v="1"/>
    <n v="6"/>
    <x v="1"/>
    <x v="2"/>
    <x v="10"/>
    <s v="Chicago"/>
    <s v="Corporate"/>
    <x v="4"/>
    <x v="10"/>
    <x v="3"/>
    <x v="199"/>
    <n v="833.57"/>
    <n v="881.57"/>
    <n v="881.57"/>
    <n v="846.47610000000032"/>
    <n v="1622.4722000000002"/>
    <s v="Medium"/>
    <s v="OK"/>
    <n v="5.7000000000000002E-2"/>
    <s v="OK"/>
    <n v="18"/>
    <n v="14963.769179999999"/>
    <n v="15004.26"/>
    <n v="-40.490820000000895"/>
    <n v="-2.7059238560107821E-3"/>
    <n v="0"/>
    <e v="#DIV/0!"/>
    <x v="1"/>
  </r>
  <r>
    <s v="ORD-2024-999607"/>
    <x v="181"/>
    <x v="9"/>
    <s v="Q1-2024"/>
    <d v="2024-01-29T00:00:00"/>
    <s v="Valid"/>
    <d v="2024-01-29T00:00:00"/>
    <x v="16"/>
    <s v="Feb-2023"/>
    <n v="12"/>
    <n v="17"/>
    <x v="0"/>
    <x v="2"/>
    <x v="10"/>
    <s v="Chicago"/>
    <s v="Education"/>
    <x v="3"/>
    <x v="8"/>
    <x v="1"/>
    <x v="200"/>
    <n v="493.76"/>
    <n v="625.04"/>
    <n v="625.04"/>
    <n v="841.78500000000008"/>
    <n v="1623.856"/>
    <s v="Low"/>
    <s v="OK"/>
    <n v="0.25800000000000001"/>
    <s v="OK"/>
    <n v="10"/>
    <n v="4637.7968000000001"/>
    <n v="4937.6000000000004"/>
    <n v="-299.80320000000029"/>
    <n v="-6.464345311549663E-2"/>
    <n v="0"/>
    <e v="#DIV/0!"/>
    <x v="1"/>
  </r>
  <r>
    <s v="ORD-2023-133848"/>
    <x v="182"/>
    <x v="25"/>
    <s v="Q3-2023"/>
    <d v="2023-09-07T00:00:00"/>
    <s v="Valid"/>
    <d v="2023-09-07T00:00:00"/>
    <x v="16"/>
    <s v="Feb-2023"/>
    <n v="7"/>
    <n v="23"/>
    <x v="0"/>
    <x v="2"/>
    <x v="10"/>
    <s v="New York"/>
    <s v="Enterprise"/>
    <x v="1"/>
    <x v="11"/>
    <x v="3"/>
    <x v="201"/>
    <n v="590.33000000000004"/>
    <n v="973.04"/>
    <n v="973.04"/>
    <n v="852.95989999999983"/>
    <n v="1624.7750000000001"/>
    <s v="Medium"/>
    <s v="OK"/>
    <n v="0"/>
    <s v="OK"/>
    <n v="26"/>
    <n v="25299.040000000001"/>
    <n v="15348.580000000002"/>
    <n v="9950.4599999999991"/>
    <n v="0.39331373838691108"/>
    <n v="0"/>
    <e v="#DIV/0!"/>
    <x v="1"/>
  </r>
  <r>
    <s v="ORD-2023-586275"/>
    <x v="183"/>
    <x v="5"/>
    <s v="Q1-2023"/>
    <d v="2023-02-03T00:00:00"/>
    <s v="Valid"/>
    <d v="2023-02-03T00:00:00"/>
    <x v="0"/>
    <s v="Jan-2023"/>
    <n v="1"/>
    <n v="14"/>
    <x v="0"/>
    <x v="0"/>
    <x v="0"/>
    <s v="Kisumu"/>
    <s v="Corporate"/>
    <x v="0"/>
    <x v="12"/>
    <x v="2"/>
    <x v="202"/>
    <n v="884.36"/>
    <n v="1545.34"/>
    <n v="1545.34"/>
    <n v="846.66680000000019"/>
    <n v="1625.0300000000002"/>
    <s v="Medium"/>
    <s v="OK"/>
    <n v="0.24299999999999999"/>
    <s v="OK"/>
    <n v="41"/>
    <n v="47962.717579999997"/>
    <n v="36258.76"/>
    <n v="11703.957579999995"/>
    <n v="0.24402198562827965"/>
    <n v="0"/>
    <e v="#DIV/0!"/>
    <x v="1"/>
  </r>
  <r>
    <s v="ORD-2025-964661"/>
    <x v="184"/>
    <x v="26"/>
    <s v="Q1-2025"/>
    <d v="2025-02-25T00:00:00"/>
    <s v="Valid"/>
    <d v="2025-02-25T00:00:00"/>
    <x v="9"/>
    <s v="Jan-2023"/>
    <n v="25"/>
    <n v="21"/>
    <x v="0"/>
    <x v="3"/>
    <x v="8"/>
    <s v="Birmingham"/>
    <s v="Corporate"/>
    <x v="2"/>
    <x v="14"/>
    <x v="5"/>
    <x v="203"/>
    <n v="1016.32"/>
    <n v="2253.42"/>
    <n v="2253.42"/>
    <n v="841.81550000000004"/>
    <n v="1625.2850000000001"/>
    <s v="High"/>
    <s v="OK"/>
    <n v="5.5E-2"/>
    <s v="OK"/>
    <n v="12"/>
    <n v="25553.782800000001"/>
    <n v="12195.84"/>
    <n v="13357.942800000001"/>
    <n v="0.52273837124419797"/>
    <n v="0"/>
    <e v="#DIV/0!"/>
    <x v="1"/>
  </r>
  <r>
    <s v="ORD-2023-390998"/>
    <x v="43"/>
    <x v="12"/>
    <s v="Q2-2023"/>
    <d v="2023-04-28T00:00:00"/>
    <s v="Valid"/>
    <d v="2023-04-28T00:00:00"/>
    <x v="7"/>
    <s v="Jan-2023"/>
    <n v="3"/>
    <n v="9"/>
    <x v="0"/>
    <x v="3"/>
    <x v="6"/>
    <s v="Berlin"/>
    <s v="Education"/>
    <x v="1"/>
    <x v="6"/>
    <x v="5"/>
    <x v="204"/>
    <n v="1178.42"/>
    <n v="2446.56"/>
    <n v="2446.56"/>
    <n v="840.80900000000008"/>
    <n v="1624.7900000000002"/>
    <s v="High"/>
    <s v="OK"/>
    <n v="2.9000000000000001E-2"/>
    <s v="OK"/>
    <n v="11"/>
    <n v="26131.70736"/>
    <n v="12962.62"/>
    <n v="13169.08736"/>
    <n v="0.5039505141618883"/>
    <n v="0"/>
    <e v="#DIV/0!"/>
    <x v="1"/>
  </r>
  <r>
    <s v="ORD-2023-920483"/>
    <x v="185"/>
    <x v="24"/>
    <s v="Q3-2023"/>
    <d v="2023-08-01T00:00:00"/>
    <s v="Valid"/>
    <d v="2023-08-01T00:00:00"/>
    <x v="9"/>
    <s v="Jan-2023"/>
    <n v="6"/>
    <n v="30"/>
    <x v="0"/>
    <x v="3"/>
    <x v="8"/>
    <s v="Birmingham"/>
    <s v="Small Business"/>
    <x v="0"/>
    <x v="5"/>
    <x v="0"/>
    <x v="205"/>
    <n v="137.46"/>
    <n v="188.3"/>
    <n v="188.3"/>
    <n v="839.80250000000001"/>
    <n v="1622.635"/>
    <s v="Low"/>
    <s v="OK"/>
    <n v="3.7999999999999999E-2"/>
    <s v="OK"/>
    <n v="37"/>
    <n v="6702.3501999999999"/>
    <n v="5086.0200000000004"/>
    <n v="1616.3301999999994"/>
    <n v="0.24115872071262398"/>
    <n v="0"/>
    <e v="#DIV/0!"/>
    <x v="1"/>
  </r>
  <r>
    <s v="ORD-2025-146850"/>
    <x v="51"/>
    <x v="10"/>
    <s v="Q1-2025"/>
    <d v="2025-02-14T00:00:00"/>
    <s v="Valid"/>
    <d v="2025-02-14T00:00:00"/>
    <x v="17"/>
    <s v="Feb-2023"/>
    <n v="24"/>
    <n v="24"/>
    <x v="0"/>
    <x v="0"/>
    <x v="0"/>
    <s v="Nairobi"/>
    <s v="Small Business"/>
    <x v="0"/>
    <x v="1"/>
    <x v="6"/>
    <x v="206"/>
    <n v="1030.44"/>
    <n v="2562.84"/>
    <n v="2562.84"/>
    <n v="841.84600000000012"/>
    <n v="1624.0188000000003"/>
    <s v="High"/>
    <s v="OK"/>
    <n v="0.14799999999999999"/>
    <s v="OK"/>
    <n v="13"/>
    <n v="28386.015839999996"/>
    <n v="13395.720000000001"/>
    <n v="14990.295839999995"/>
    <n v="0.52808734852027039"/>
    <n v="0"/>
    <e v="#DIV/0!"/>
    <x v="1"/>
  </r>
  <r>
    <s v="ORD-2024-687100"/>
    <x v="186"/>
    <x v="29"/>
    <s v="Q3-2024"/>
    <d v="2024-10-07T00:00:00"/>
    <s v="Valid"/>
    <d v="2024-10-07T00:00:00"/>
    <x v="17"/>
    <s v="Feb-2023"/>
    <n v="19"/>
    <n v="27"/>
    <x v="0"/>
    <x v="0"/>
    <x v="0"/>
    <s v="Kisumu"/>
    <s v="Consumer"/>
    <x v="0"/>
    <x v="4"/>
    <x v="1"/>
    <x v="207"/>
    <n v="1248.3900000000001"/>
    <n v="1805.11"/>
    <n v="1805.11"/>
    <n v="840.83950000000004"/>
    <n v="1621.3326"/>
    <s v="High"/>
    <s v="OK"/>
    <n v="0.20300000000000001"/>
    <s v="OK"/>
    <n v="11"/>
    <n v="15825.399369999997"/>
    <n v="13732.29"/>
    <n v="2093.1093699999965"/>
    <n v="0.13226265707820786"/>
    <n v="0"/>
    <e v="#DIV/0!"/>
    <x v="1"/>
  </r>
  <r>
    <s v="ORD-2025-629393"/>
    <x v="187"/>
    <x v="13"/>
    <s v="Q3-2025"/>
    <d v="2025-08-07T00:00:00"/>
    <s v="Valid"/>
    <d v="2025-08-07T00:00:00"/>
    <x v="5"/>
    <s v="Feb-2023"/>
    <n v="30"/>
    <n v="17"/>
    <x v="0"/>
    <x v="0"/>
    <x v="1"/>
    <s v="Lagos"/>
    <s v="Enterprise"/>
    <x v="4"/>
    <x v="12"/>
    <x v="6"/>
    <x v="208"/>
    <n v="1204.95"/>
    <n v="2065.73"/>
    <n v="2065.73"/>
    <n v="839.83300000000008"/>
    <n v="1619.28"/>
    <s v="High"/>
    <s v="OK"/>
    <n v="0.13600000000000001"/>
    <s v="OK"/>
    <n v="10"/>
    <n v="17847.907199999998"/>
    <n v="12049.5"/>
    <n v="5798.4071999999978"/>
    <n v="0.32487882949100039"/>
    <n v="0"/>
    <e v="#DIV/0!"/>
    <x v="1"/>
  </r>
  <r>
    <s v="ORD-2024-686712"/>
    <x v="188"/>
    <x v="1"/>
    <s v="Q4-2024"/>
    <d v="2024-10-23T00:00:00"/>
    <s v="Valid"/>
    <d v="2024-10-23T00:00:00"/>
    <x v="13"/>
    <s v="Jan-2023"/>
    <n v="21"/>
    <n v="21"/>
    <x v="0"/>
    <x v="0"/>
    <x v="11"/>
    <s v="Durban"/>
    <s v="Corporate"/>
    <x v="2"/>
    <x v="8"/>
    <x v="0"/>
    <x v="209"/>
    <n v="1095.6099999999999"/>
    <n v="2366.5100000000002"/>
    <n v="2366.5100000000002"/>
    <n v="838.66549999999995"/>
    <n v="1614.7238000000002"/>
    <s v="High"/>
    <s v="OK"/>
    <n v="0.152"/>
    <s v="OK"/>
    <n v="9"/>
    <n v="18061.204320000004"/>
    <n v="9860.49"/>
    <n v="8200.7143200000046"/>
    <n v="0.4540513564158607"/>
    <n v="0"/>
    <e v="#DIV/0!"/>
    <x v="1"/>
  </r>
  <r>
    <s v="ORD-2025-586799"/>
    <x v="189"/>
    <x v="13"/>
    <s v="Q3-2025"/>
    <d v="2025-08-04T00:00:00"/>
    <s v="Valid"/>
    <d v="2025-08-04T00:00:00"/>
    <x v="14"/>
    <s v="Mar-2023"/>
    <n v="29"/>
    <n v="21"/>
    <x v="0"/>
    <x v="2"/>
    <x v="3"/>
    <s v="Montreal"/>
    <s v="Consumer"/>
    <x v="1"/>
    <x v="10"/>
    <x v="5"/>
    <x v="210"/>
    <n v="90.3"/>
    <n v="131.76"/>
    <n v="131.76"/>
    <n v="836.9"/>
    <n v="1599.9859999999996"/>
    <s v="Low"/>
    <s v="OK"/>
    <n v="0.10199999999999999"/>
    <s v="OK"/>
    <n v="15"/>
    <n v="1774.8072"/>
    <n v="1354.5"/>
    <n v="420.30719999999997"/>
    <n v="0.23681851189244668"/>
    <n v="0"/>
    <e v="#DIV/0!"/>
    <x v="1"/>
  </r>
  <r>
    <s v="ORD-2024-988736"/>
    <x v="190"/>
    <x v="29"/>
    <s v="Q3-2024"/>
    <d v="2024-10-01T00:00:00"/>
    <s v="Valid"/>
    <d v="2024-10-01T00:00:00"/>
    <x v="10"/>
    <s v="Jan-2023"/>
    <n v="20"/>
    <n v="22"/>
    <x v="0"/>
    <x v="1"/>
    <x v="9"/>
    <s v="Shenzhen"/>
    <s v="Consumer"/>
    <x v="4"/>
    <x v="4"/>
    <x v="1"/>
    <x v="211"/>
    <n v="1166.18"/>
    <n v="1335.02"/>
    <n v="1335.02"/>
    <n v="839.86350000000004"/>
    <n v="1607.5782000000004"/>
    <s v="Medium"/>
    <s v="OK"/>
    <n v="0.128"/>
    <s v="OK"/>
    <n v="6"/>
    <n v="6984.8246399999998"/>
    <n v="6997.08"/>
    <n v="-12.25536000000011"/>
    <n v="-1.7545694604582242E-3"/>
    <n v="0"/>
    <e v="#DIV/0!"/>
    <x v="1"/>
  </r>
  <r>
    <s v="ORD-2025-564184"/>
    <x v="191"/>
    <x v="10"/>
    <s v="Q1-2025"/>
    <d v="2025-02-06T00:00:00"/>
    <s v="Valid"/>
    <d v="2025-02-06T00:00:00"/>
    <x v="17"/>
    <s v="Feb-2023"/>
    <n v="24"/>
    <n v="8"/>
    <x v="0"/>
    <x v="0"/>
    <x v="0"/>
    <s v="Kisumu"/>
    <s v="Education"/>
    <x v="0"/>
    <x v="5"/>
    <x v="3"/>
    <x v="212"/>
    <n v="1445.27"/>
    <n v="2691.45"/>
    <n v="2691.45"/>
    <n v="838.71899999999994"/>
    <n v="1615.1703999999997"/>
    <s v="High"/>
    <s v="OK"/>
    <n v="0"/>
    <s v="OK"/>
    <n v="9"/>
    <n v="24223.05"/>
    <n v="13007.43"/>
    <n v="11215.619999999999"/>
    <n v="0.46301436028906351"/>
    <n v="0"/>
    <e v="#DIV/0!"/>
    <x v="1"/>
  </r>
  <r>
    <s v="ORD-2023-653343"/>
    <x v="192"/>
    <x v="30"/>
    <s v="Q4-2023"/>
    <d v="2023-11-28T00:00:00"/>
    <s v="Valid"/>
    <d v="2023-11-28T00:00:00"/>
    <x v="6"/>
    <s v="Jan-2023"/>
    <n v="10"/>
    <n v="18"/>
    <x v="0"/>
    <x v="2"/>
    <x v="5"/>
    <s v="Brasília"/>
    <s v="Education"/>
    <x v="2"/>
    <x v="4"/>
    <x v="6"/>
    <x v="213"/>
    <n v="388.51"/>
    <n v="776.46"/>
    <n v="776.46"/>
    <n v="836.95350000000008"/>
    <n v="1600.4326000000005"/>
    <s v="Low"/>
    <s v="OK"/>
    <n v="0.157"/>
    <s v="OK"/>
    <n v="12"/>
    <n v="7854.6693599999999"/>
    <n v="4662.12"/>
    <n v="3192.54936"/>
    <n v="0.40645241876864946"/>
    <n v="0"/>
    <e v="#DIV/0!"/>
    <x v="1"/>
  </r>
  <r>
    <s v="ORD-2024-197852"/>
    <x v="193"/>
    <x v="31"/>
    <s v="Q1-2024"/>
    <d v="2024-03-30T00:00:00"/>
    <s v="Valid"/>
    <d v="2024-03-30T00:00:00"/>
    <x v="2"/>
    <s v="Mar-2023"/>
    <n v="12"/>
    <n v="30"/>
    <x v="0"/>
    <x v="1"/>
    <x v="2"/>
    <s v="Nagoya"/>
    <s v="Small Business"/>
    <x v="4"/>
    <x v="2"/>
    <x v="2"/>
    <x v="214"/>
    <n v="231.11"/>
    <n v="318.17"/>
    <n v="318.17"/>
    <n v="839.89400000000001"/>
    <n v="1608.0247999999999"/>
    <s v="Low"/>
    <s v="OK"/>
    <n v="0.20100000000000001"/>
    <s v="OK"/>
    <n v="60"/>
    <n v="15253.069799999999"/>
    <n v="13866.6"/>
    <n v="1386.4697999999989"/>
    <n v="9.0897754889969692E-2"/>
    <n v="0"/>
    <e v="#DIV/0!"/>
    <x v="1"/>
  </r>
  <r>
    <s v="ORD-2023-431328"/>
    <x v="194"/>
    <x v="4"/>
    <s v="Q4-2023"/>
    <d v="2024-01-14T00:00:00"/>
    <s v="Valid"/>
    <d v="2024-01-14T00:00:00"/>
    <x v="15"/>
    <s v="May-2023"/>
    <n v="8"/>
    <n v="25"/>
    <x v="0"/>
    <x v="1"/>
    <x v="4"/>
    <s v="Mumbai"/>
    <s v="Non-Profit"/>
    <x v="2"/>
    <x v="4"/>
    <x v="5"/>
    <x v="215"/>
    <n v="1085.6099999999999"/>
    <n v="1246.4100000000001"/>
    <n v="1246.4100000000001"/>
    <n v="841.93750000000011"/>
    <n v="1615.6170000000006"/>
    <s v="Medium"/>
    <s v="OK"/>
    <n v="0.113"/>
    <s v="OK"/>
    <n v="7"/>
    <n v="7738.9596900000006"/>
    <n v="7599.2699999999995"/>
    <n v="139.68969000000106"/>
    <n v="1.8050189637310417E-2"/>
    <n v="0"/>
    <e v="#DIV/0!"/>
    <x v="1"/>
  </r>
  <r>
    <s v="ORD-2023-613317"/>
    <x v="119"/>
    <x v="5"/>
    <s v="Q1-2023"/>
    <d v="2023-01-21T00:00:00"/>
    <s v="Invalid"/>
    <d v="2023-01-22T00:00:00"/>
    <x v="7"/>
    <s v="Jan-2023"/>
    <n v="1"/>
    <n v="0"/>
    <x v="1"/>
    <x v="3"/>
    <x v="6"/>
    <s v="Munich"/>
    <s v="Corporate"/>
    <x v="4"/>
    <x v="9"/>
    <x v="5"/>
    <x v="216"/>
    <n v="150.86000000000001"/>
    <n v="346.96"/>
    <n v="346.96"/>
    <n v="840.93100000000004"/>
    <n v="1618.51"/>
    <s v="Low"/>
    <s v="OK"/>
    <n v="0.19600000000000001"/>
    <s v="OK"/>
    <n v="8"/>
    <n v="2231.6467200000002"/>
    <n v="1206.8800000000001"/>
    <n v="1024.7667200000001"/>
    <n v="0.45919755614365343"/>
    <n v="0"/>
    <e v="#DIV/0!"/>
    <x v="1"/>
  </r>
  <r>
    <s v="ORD-2024-720756"/>
    <x v="195"/>
    <x v="1"/>
    <s v="Q4-2024"/>
    <d v="2024-11-09T00:00:00"/>
    <s v="Valid"/>
    <d v="2024-11-09T00:00:00"/>
    <x v="10"/>
    <s v="Jan-2023"/>
    <n v="21"/>
    <n v="29"/>
    <x v="0"/>
    <x v="1"/>
    <x v="9"/>
    <s v="Shanghai"/>
    <s v="Non-Profit"/>
    <x v="1"/>
    <x v="9"/>
    <x v="1"/>
    <x v="217"/>
    <n v="391.64"/>
    <n v="504.76"/>
    <n v="504.76"/>
    <n v="847.62030000000038"/>
    <n v="1619.4449999999999"/>
    <s v="Low"/>
    <s v="OK"/>
    <n v="4.0000000000000001E-3"/>
    <s v="OK"/>
    <n v="13"/>
    <n v="6535.6324800000002"/>
    <n v="5091.32"/>
    <n v="1444.3124800000005"/>
    <n v="0.22099046793402319"/>
    <n v="0"/>
    <e v="#DIV/0!"/>
    <x v="1"/>
  </r>
  <r>
    <s v="ORD-2024-777623"/>
    <x v="196"/>
    <x v="29"/>
    <s v="Q3-2024"/>
    <d v="2024-10-14T00:00:00"/>
    <s v="Valid"/>
    <d v="2024-10-14T00:00:00"/>
    <x v="6"/>
    <s v="Jan-2023"/>
    <n v="20"/>
    <n v="25"/>
    <x v="0"/>
    <x v="2"/>
    <x v="5"/>
    <s v="Rio De Janeiro"/>
    <s v="Small Business"/>
    <x v="0"/>
    <x v="11"/>
    <x v="1"/>
    <x v="218"/>
    <n v="386.96"/>
    <n v="937.46"/>
    <n v="937.46"/>
    <n v="860.39720000000011"/>
    <n v="1620.3799999999999"/>
    <s v="Medium"/>
    <s v="OK"/>
    <n v="0.26600000000000001"/>
    <s v="OK"/>
    <n v="41"/>
    <n v="28211.92124"/>
    <n v="15865.359999999999"/>
    <n v="12346.561240000001"/>
    <n v="0.43763631462626335"/>
    <n v="0"/>
    <e v="#DIV/0!"/>
    <x v="1"/>
  </r>
  <r>
    <s v="ORD-2025-762212"/>
    <x v="197"/>
    <x v="28"/>
    <s v="Q3-2025"/>
    <d v="2025-09-24T00:00:00"/>
    <s v="Valid"/>
    <d v="2025-09-24T00:00:00"/>
    <x v="17"/>
    <s v="Feb-2023"/>
    <n v="31"/>
    <n v="30"/>
    <x v="0"/>
    <x v="0"/>
    <x v="0"/>
    <s v="Nairobi"/>
    <s v="Consumer"/>
    <x v="4"/>
    <x v="5"/>
    <x v="0"/>
    <x v="219"/>
    <n v="589.14"/>
    <n v="1300.58"/>
    <n v="1300.58"/>
    <n v="854.1040999999999"/>
    <n v="1621.6581999999999"/>
    <s v="Medium"/>
    <s v="OK"/>
    <n v="5.5E-2"/>
    <s v="OK"/>
    <n v="11"/>
    <n v="13519.529099999998"/>
    <n v="6480.54"/>
    <n v="7038.989099999998"/>
    <n v="0.52065342275863724"/>
    <n v="0"/>
    <e v="#DIV/0!"/>
    <x v="1"/>
  </r>
  <r>
    <s v="ORD-2023-271918"/>
    <x v="198"/>
    <x v="27"/>
    <s v="Q3-2023"/>
    <d v="2023-10-02T00:00:00"/>
    <s v="Valid"/>
    <d v="2023-10-02T00:00:00"/>
    <x v="16"/>
    <s v="Feb-2023"/>
    <n v="8"/>
    <n v="7"/>
    <x v="0"/>
    <x v="2"/>
    <x v="10"/>
    <s v="New York"/>
    <s v="Education"/>
    <x v="2"/>
    <x v="2"/>
    <x v="6"/>
    <x v="220"/>
    <n v="145.58000000000001"/>
    <n v="228.15"/>
    <n v="228.15"/>
    <n v="847.81100000000026"/>
    <n v="1623.0420000000001"/>
    <s v="Low"/>
    <s v="OK"/>
    <n v="0.20399999999999999"/>
    <s v="OK"/>
    <n v="5"/>
    <n v="908.03700000000003"/>
    <n v="727.90000000000009"/>
    <n v="180.13699999999994"/>
    <n v="0.19838068272548359"/>
    <n v="0"/>
    <e v="#DIV/0!"/>
    <x v="1"/>
  </r>
  <r>
    <s v="ORD-2023-713375"/>
    <x v="199"/>
    <x v="25"/>
    <s v="Q3-2023"/>
    <d v="2023-09-10T00:00:00"/>
    <s v="Valid"/>
    <d v="2023-09-10T00:00:00"/>
    <x v="13"/>
    <s v="Jan-2023"/>
    <n v="8"/>
    <n v="15"/>
    <x v="0"/>
    <x v="0"/>
    <x v="11"/>
    <s v="Cape Town"/>
    <s v="Non-Profit"/>
    <x v="4"/>
    <x v="13"/>
    <x v="0"/>
    <x v="221"/>
    <n v="241.14"/>
    <n v="496.52"/>
    <n v="496.52"/>
    <n v="860.58789999999999"/>
    <n v="1624.4258"/>
    <s v="Low"/>
    <s v="OK"/>
    <n v="9.2999999999999999E-2"/>
    <s v="OK"/>
    <n v="10"/>
    <n v="4503.4363999999996"/>
    <n v="2411.3999999999996"/>
    <n v="2092.0364"/>
    <n v="0.46454223268257994"/>
    <n v="0"/>
    <e v="#DIV/0!"/>
    <x v="1"/>
  </r>
  <r>
    <s v="ORD-2025-678688"/>
    <x v="200"/>
    <x v="13"/>
    <s v="Q3-2025"/>
    <d v="2025-07-17T00:00:00"/>
    <s v="Valid"/>
    <d v="2025-07-17T00:00:00"/>
    <x v="13"/>
    <s v="Jan-2023"/>
    <n v="31"/>
    <n v="1"/>
    <x v="1"/>
    <x v="0"/>
    <x v="11"/>
    <s v="Durban"/>
    <s v="Small Business"/>
    <x v="3"/>
    <x v="5"/>
    <x v="2"/>
    <x v="222"/>
    <n v="1198.9000000000001"/>
    <n v="2941.2"/>
    <n v="2941.2"/>
    <n v="865.9344000000001"/>
    <n v="1624.88"/>
    <s v="High"/>
    <s v="OK"/>
    <n v="5.0999999999999997E-2"/>
    <s v="OK"/>
    <n v="24"/>
    <n v="66988.771199999988"/>
    <n v="28773.600000000002"/>
    <n v="38215.171199999982"/>
    <n v="0.57047129713583977"/>
    <n v="0"/>
    <e v="#DIV/0!"/>
    <x v="1"/>
  </r>
  <r>
    <s v="ORD-2023-501220"/>
    <x v="43"/>
    <x v="12"/>
    <s v="Q2-2023"/>
    <d v="2023-05-07T00:00:00"/>
    <s v="Valid"/>
    <d v="2023-05-07T00:00:00"/>
    <x v="9"/>
    <s v="Jan-2023"/>
    <n v="4"/>
    <n v="18"/>
    <x v="0"/>
    <x v="3"/>
    <x v="8"/>
    <s v="Birmingham"/>
    <s v="Enterprise"/>
    <x v="0"/>
    <x v="13"/>
    <x v="4"/>
    <x v="223"/>
    <n v="1089.1500000000001"/>
    <n v="1088.2"/>
    <n v="1088.2"/>
    <n v="863.47259999999994"/>
    <n v="1623.1233999999999"/>
    <s v="Medium"/>
    <s v="OK"/>
    <n v="5.0999999999999997E-2"/>
    <s v="OK"/>
    <n v="15"/>
    <n v="15490.527"/>
    <n v="16337.250000000002"/>
    <n v="-846.72300000000178"/>
    <n v="-5.4660696824582002E-2"/>
    <n v="0"/>
    <e v="#DIV/0!"/>
    <x v="1"/>
  </r>
  <r>
    <s v="ORD-2023-195665"/>
    <x v="201"/>
    <x v="4"/>
    <s v="Q4-2023"/>
    <d v="2023-12-20T00:00:00"/>
    <s v="Valid"/>
    <d v="2023-12-20T00:00:00"/>
    <x v="6"/>
    <s v="Jan-2023"/>
    <n v="11"/>
    <n v="1"/>
    <x v="1"/>
    <x v="2"/>
    <x v="5"/>
    <s v="Rio De Janeiro"/>
    <s v="Consumer"/>
    <x v="3"/>
    <x v="1"/>
    <x v="3"/>
    <x v="224"/>
    <n v="1080.43"/>
    <n v="2529.15"/>
    <n v="2529.15"/>
    <n v="860.77860000000032"/>
    <n v="1624.5072000000002"/>
    <s v="High"/>
    <s v="OK"/>
    <n v="0.14699999999999999"/>
    <s v="OK"/>
    <n v="10"/>
    <n v="21573.6495"/>
    <n v="10804.300000000001"/>
    <n v="10769.349499999998"/>
    <n v="0.49918997247081437"/>
    <n v="0"/>
    <e v="#DIV/0!"/>
    <x v="1"/>
  </r>
  <r>
    <s v="ORD-2023-290237"/>
    <x v="202"/>
    <x v="24"/>
    <s v="Q3-2023"/>
    <d v="2023-08-07T00:00:00"/>
    <s v="Valid"/>
    <d v="2023-08-07T00:00:00"/>
    <x v="2"/>
    <s v="Mar-2023"/>
    <n v="5"/>
    <n v="8"/>
    <x v="0"/>
    <x v="1"/>
    <x v="2"/>
    <s v="Nagoya"/>
    <s v="Education"/>
    <x v="2"/>
    <x v="8"/>
    <x v="2"/>
    <x v="225"/>
    <n v="1352.44"/>
    <n v="2698.01"/>
    <n v="2698.01"/>
    <n v="854.48550000000012"/>
    <n v="1621.8209999999999"/>
    <s v="High"/>
    <s v="OK"/>
    <n v="0.13100000000000001"/>
    <s v="OK"/>
    <n v="13"/>
    <n v="30479.418970000002"/>
    <n v="17581.72"/>
    <n v="12897.698970000001"/>
    <n v="0.42316091992090887"/>
    <n v="0"/>
    <e v="#DIV/0!"/>
    <x v="1"/>
  </r>
  <r>
    <s v="ORD-2023-302041"/>
    <x v="203"/>
    <x v="32"/>
    <s v="Q4-2023"/>
    <d v="2023-10-29T00:00:00"/>
    <s v="Valid"/>
    <d v="2023-10-29T00:00:00"/>
    <x v="16"/>
    <s v="Feb-2023"/>
    <n v="8"/>
    <n v="25"/>
    <x v="0"/>
    <x v="2"/>
    <x v="10"/>
    <s v="San Francisco"/>
    <s v="Small Business"/>
    <x v="3"/>
    <x v="7"/>
    <x v="6"/>
    <x v="226"/>
    <n v="1239.8399999999999"/>
    <n v="1482.75"/>
    <n v="1482.75"/>
    <n v="848.19239999999991"/>
    <n v="1619.61"/>
    <s v="Medium"/>
    <s v="OK"/>
    <n v="6.7000000000000004E-2"/>
    <s v="OK"/>
    <n v="4"/>
    <n v="5533.6230000000005"/>
    <n v="4959.3599999999997"/>
    <n v="574.26300000000083"/>
    <n v="0.10377703721413634"/>
    <n v="0"/>
    <e v="#DIV/0!"/>
    <x v="1"/>
  </r>
  <r>
    <s v="ORD-2025-289139"/>
    <x v="204"/>
    <x v="28"/>
    <s v="Q3-2025"/>
    <d v="2025-08-30T00:00:00"/>
    <s v="Valid"/>
    <d v="2025-08-30T00:00:00"/>
    <x v="16"/>
    <s v="Feb-2023"/>
    <n v="31"/>
    <n v="20"/>
    <x v="0"/>
    <x v="2"/>
    <x v="10"/>
    <s v="San Francisco"/>
    <s v="Corporate"/>
    <x v="2"/>
    <x v="11"/>
    <x v="1"/>
    <x v="227"/>
    <n v="933.29"/>
    <n v="1456.81"/>
    <n v="1456.81"/>
    <n v="842.05950000000007"/>
    <n v="1620.5450000000001"/>
    <s v="Medium"/>
    <s v="OK"/>
    <n v="0.123"/>
    <s v="OK"/>
    <n v="13"/>
    <n v="16609.090809999998"/>
    <n v="12132.77"/>
    <n v="4476.3208099999974"/>
    <n v="0.26951028573489977"/>
    <n v="0"/>
    <e v="#DIV/0!"/>
    <x v="1"/>
  </r>
  <r>
    <s v="ORD-2023-949710"/>
    <x v="205"/>
    <x v="22"/>
    <s v="Q1-2023"/>
    <d v="2023-04-01T00:00:00"/>
    <s v="Valid"/>
    <d v="2023-04-01T00:00:00"/>
    <x v="17"/>
    <s v="Feb-2023"/>
    <n v="1"/>
    <n v="25"/>
    <x v="0"/>
    <x v="0"/>
    <x v="0"/>
    <s v="Nairobi"/>
    <s v="Consumer"/>
    <x v="2"/>
    <x v="14"/>
    <x v="1"/>
    <x v="228"/>
    <n v="1024.0999999999999"/>
    <n v="918.19"/>
    <n v="918.19"/>
    <n v="841.053"/>
    <n v="1621.9023999999999"/>
    <s v="Medium"/>
    <s v="OK"/>
    <n v="0.189"/>
    <s v="OK"/>
    <n v="10"/>
    <n v="7446.5209000000004"/>
    <n v="10241"/>
    <n v="-2794.4790999999996"/>
    <n v="-0.37527311579827827"/>
    <n v="0"/>
    <e v="#DIV/0!"/>
    <x v="1"/>
  </r>
  <r>
    <s v="ORD-2023-603650"/>
    <x v="206"/>
    <x v="15"/>
    <s v="Q2-2023"/>
    <d v="2023-06-10T00:00:00"/>
    <s v="Valid"/>
    <d v="2023-06-10T00:00:00"/>
    <x v="10"/>
    <s v="Jan-2023"/>
    <n v="5"/>
    <n v="18"/>
    <x v="0"/>
    <x v="1"/>
    <x v="9"/>
    <s v="Shanghai"/>
    <s v="Corporate"/>
    <x v="3"/>
    <x v="6"/>
    <x v="0"/>
    <x v="229"/>
    <n v="54.62"/>
    <n v="48.94"/>
    <n v="48.94"/>
    <n v="840.04650000000004"/>
    <n v="1623.2862"/>
    <s v="Low"/>
    <s v="OK"/>
    <n v="0.14799999999999999"/>
    <s v="OK"/>
    <n v="16"/>
    <n v="667.15008"/>
    <n v="873.92"/>
    <n v="-206.76991999999996"/>
    <n v="-0.3099301434543783"/>
    <n v="0"/>
    <e v="#DIV/0!"/>
    <x v="1"/>
  </r>
  <r>
    <s v="ORD-2025-757957"/>
    <x v="207"/>
    <x v="19"/>
    <s v="Q2-2025"/>
    <d v="2025-05-06T00:00:00"/>
    <s v="Valid"/>
    <d v="2025-05-06T00:00:00"/>
    <x v="6"/>
    <s v="Jan-2023"/>
    <n v="27"/>
    <n v="12"/>
    <x v="0"/>
    <x v="2"/>
    <x v="5"/>
    <s v="Brasília"/>
    <s v="Consumer"/>
    <x v="1"/>
    <x v="0"/>
    <x v="3"/>
    <x v="230"/>
    <n v="394.13"/>
    <n v="932.29"/>
    <n v="932.29"/>
    <n v="842.09"/>
    <n v="1624.67"/>
    <s v="Medium"/>
    <s v="OK"/>
    <n v="0.109"/>
    <s v="OK"/>
    <n v="7"/>
    <n v="5814.6927299999998"/>
    <n v="2758.91"/>
    <n v="3055.7827299999999"/>
    <n v="0.5255278089303268"/>
    <n v="0"/>
    <e v="#DIV/0!"/>
    <x v="1"/>
  </r>
  <r>
    <s v="ORD-2024-423853"/>
    <x v="208"/>
    <x v="29"/>
    <s v="Q3-2024"/>
    <d v="2024-09-08T00:00:00"/>
    <s v="Valid"/>
    <d v="2024-09-08T00:00:00"/>
    <x v="5"/>
    <s v="Feb-2023"/>
    <n v="19"/>
    <n v="5"/>
    <x v="1"/>
    <x v="0"/>
    <x v="1"/>
    <s v="Lagos"/>
    <s v="Small Business"/>
    <x v="4"/>
    <x v="11"/>
    <x v="1"/>
    <x v="231"/>
    <n v="197.63"/>
    <n v="325.79000000000002"/>
    <n v="325.79000000000002"/>
    <n v="841.08350000000007"/>
    <n v="1624.9250000000002"/>
    <s v="Low"/>
    <s v="OK"/>
    <n v="0.11600000000000001"/>
    <s v="OK"/>
    <n v="10"/>
    <n v="2879.9836"/>
    <n v="1976.3"/>
    <n v="903.68360000000007"/>
    <n v="0.31378081458519419"/>
    <n v="0"/>
    <e v="#DIV/0!"/>
    <x v="1"/>
  </r>
  <r>
    <s v="ORD-2024-569164"/>
    <x v="209"/>
    <x v="29"/>
    <s v="Q3-2024"/>
    <d v="2024-09-25T00:00:00"/>
    <s v="Valid"/>
    <d v="2024-09-25T00:00:00"/>
    <x v="2"/>
    <s v="Mar-2023"/>
    <n v="19"/>
    <n v="20"/>
    <x v="0"/>
    <x v="1"/>
    <x v="2"/>
    <s v="Osaka"/>
    <s v="Enterprise"/>
    <x v="3"/>
    <x v="14"/>
    <x v="5"/>
    <x v="232"/>
    <n v="195.54"/>
    <n v="405.97"/>
    <n v="405.97"/>
    <n v="848.57380000000012"/>
    <n v="1625.18"/>
    <s v="Low"/>
    <s v="OK"/>
    <n v="0.187"/>
    <s v="OK"/>
    <n v="16"/>
    <n v="5280.8577599999999"/>
    <n v="3128.64"/>
    <n v="2152.21776"/>
    <n v="0.40755079152141377"/>
    <n v="0"/>
    <e v="#DIV/0!"/>
    <x v="1"/>
  </r>
  <r>
    <s v="ORD-2023-946143"/>
    <x v="210"/>
    <x v="22"/>
    <s v="Q1-2023"/>
    <d v="2023-03-30T00:00:00"/>
    <s v="Valid"/>
    <d v="2023-03-30T00:00:00"/>
    <x v="13"/>
    <s v="Jan-2023"/>
    <n v="3"/>
    <n v="16"/>
    <x v="0"/>
    <x v="0"/>
    <x v="11"/>
    <s v="Cape Town"/>
    <s v="Consumer"/>
    <x v="3"/>
    <x v="11"/>
    <x v="0"/>
    <x v="233"/>
    <n v="1309.77"/>
    <n v="1589.07"/>
    <n v="1589.07"/>
    <n v="861.23460000000011"/>
    <n v="1625.5194000000004"/>
    <s v="Medium"/>
    <s v="OK"/>
    <n v="0.10199999999999999"/>
    <s v="OK"/>
    <n v="10"/>
    <n v="14269.848599999999"/>
    <n v="13097.7"/>
    <n v="1172.1485999999986"/>
    <n v="8.2141628328137886E-2"/>
    <n v="0"/>
    <e v="#DIV/0!"/>
    <x v="1"/>
  </r>
  <r>
    <s v="ORD-2024-281211"/>
    <x v="39"/>
    <x v="9"/>
    <s v="Q1-2024"/>
    <d v="2024-02-02T00:00:00"/>
    <s v="Valid"/>
    <d v="2024-02-02T00:00:00"/>
    <x v="2"/>
    <s v="Mar-2023"/>
    <n v="11"/>
    <n v="22"/>
    <x v="0"/>
    <x v="1"/>
    <x v="2"/>
    <s v="Nagoya"/>
    <s v="Small Business"/>
    <x v="1"/>
    <x v="15"/>
    <x v="1"/>
    <x v="234"/>
    <n v="1237.68"/>
    <n v="1432.8"/>
    <n v="1432.8"/>
    <n v="855.05760000000009"/>
    <n v="1627.2092000000002"/>
    <s v="Medium"/>
    <s v="OK"/>
    <n v="6.8000000000000005E-2"/>
    <s v="OK"/>
    <n v="13"/>
    <n v="17359.804799999998"/>
    <n v="16089.84"/>
    <n v="1269.9647999999979"/>
    <n v="7.315547695559331E-2"/>
    <n v="0"/>
    <e v="#DIV/0!"/>
    <x v="1"/>
  </r>
  <r>
    <s v="ORD-2024-805860"/>
    <x v="211"/>
    <x v="29"/>
    <s v="Q3-2024"/>
    <d v="2024-10-02T00:00:00"/>
    <s v="Valid"/>
    <d v="2024-10-02T00:00:00"/>
    <x v="17"/>
    <s v="Feb-2023"/>
    <n v="19"/>
    <n v="19"/>
    <x v="0"/>
    <x v="0"/>
    <x v="0"/>
    <s v="Mombasa"/>
    <s v="Small Business"/>
    <x v="0"/>
    <x v="12"/>
    <x v="3"/>
    <x v="235"/>
    <n v="1338.99"/>
    <n v="1765.76"/>
    <n v="1765.76"/>
    <n v="848.76449999999988"/>
    <n v="1628.8990000000001"/>
    <s v="High"/>
    <s v="OK"/>
    <n v="0.126"/>
    <s v="OK"/>
    <n v="24"/>
    <n v="37038.581760000001"/>
    <n v="32135.760000000002"/>
    <n v="4902.8217599999989"/>
    <n v="0.1323706666677725"/>
    <n v="0"/>
    <e v="#DIV/0!"/>
    <x v="1"/>
  </r>
  <r>
    <s v="ORD-2025-132174"/>
    <x v="212"/>
    <x v="13"/>
    <s v="Q3-2025"/>
    <d v="2025-07-23T00:00:00"/>
    <s v="Valid"/>
    <d v="2025-07-23T00:00:00"/>
    <x v="14"/>
    <s v="Mar-2023"/>
    <n v="29"/>
    <n v="6"/>
    <x v="1"/>
    <x v="2"/>
    <x v="3"/>
    <s v="Vancouver"/>
    <s v="Consumer"/>
    <x v="1"/>
    <x v="10"/>
    <x v="0"/>
    <x v="236"/>
    <n v="1364.89"/>
    <n v="2757.54"/>
    <n v="2757.54"/>
    <n v="842.47140000000024"/>
    <n v="1625.6188000000002"/>
    <s v="High"/>
    <s v="OK"/>
    <n v="0.17199999999999999"/>
    <s v="OK"/>
    <n v="61"/>
    <n v="139277.83032000001"/>
    <n v="83258.290000000008"/>
    <n v="56019.54032"/>
    <n v="0.4022143379983118"/>
    <n v="0"/>
    <e v="#DIV/0!"/>
    <x v="1"/>
  </r>
  <r>
    <s v="ORD-2023-964434"/>
    <x v="213"/>
    <x v="30"/>
    <s v="Q4-2023"/>
    <d v="2023-12-07T00:00:00"/>
    <s v="Valid"/>
    <d v="2023-12-07T00:00:00"/>
    <x v="15"/>
    <s v="May-2023"/>
    <n v="7"/>
    <n v="9"/>
    <x v="0"/>
    <x v="1"/>
    <x v="4"/>
    <s v="Delhi"/>
    <s v="Enterprise"/>
    <x v="2"/>
    <x v="4"/>
    <x v="3"/>
    <x v="237"/>
    <n v="699.33"/>
    <n v="873.75"/>
    <n v="873.75"/>
    <n v="841.14449999999999"/>
    <n v="1624.9550000000002"/>
    <s v="Medium"/>
    <s v="OK"/>
    <n v="0.23499999999999999"/>
    <s v="OK"/>
    <n v="10"/>
    <n v="6684.1875"/>
    <n v="6993.3"/>
    <n v="-309.11250000000018"/>
    <n v="-4.6245336475076469E-2"/>
    <n v="0"/>
    <e v="#DIV/0!"/>
    <x v="1"/>
  </r>
  <r>
    <s v="ORD-2024-897622"/>
    <x v="214"/>
    <x v="0"/>
    <s v="Q1-2024"/>
    <d v="2024-04-24T00:00:00"/>
    <s v="Valid"/>
    <d v="2024-04-24T00:00:00"/>
    <x v="16"/>
    <s v="Feb-2023"/>
    <n v="14"/>
    <n v="25"/>
    <x v="0"/>
    <x v="2"/>
    <x v="10"/>
    <s v="Austin"/>
    <s v="Non-Profit"/>
    <x v="1"/>
    <x v="3"/>
    <x v="4"/>
    <x v="238"/>
    <n v="160.82"/>
    <n v="258.52"/>
    <n v="258.52"/>
    <n v="840.13800000000003"/>
    <n v="1625.21"/>
    <s v="Low"/>
    <s v="OK"/>
    <n v="0.13"/>
    <s v="OK"/>
    <n v="17"/>
    <n v="3823.5108"/>
    <n v="2733.94"/>
    <n v="1089.5708"/>
    <n v="0.28496605789631874"/>
    <n v="0"/>
    <e v="#DIV/0!"/>
    <x v="1"/>
  </r>
  <r>
    <s v="ORD-2023-517216"/>
    <x v="215"/>
    <x v="27"/>
    <s v="Q3-2023"/>
    <d v="2023-10-08T00:00:00"/>
    <s v="Valid"/>
    <d v="2023-10-08T00:00:00"/>
    <x v="15"/>
    <s v="May-2023"/>
    <n v="5"/>
    <n v="19"/>
    <x v="0"/>
    <x v="1"/>
    <x v="4"/>
    <s v="Bengaluru"/>
    <s v="Education"/>
    <x v="4"/>
    <x v="1"/>
    <x v="1"/>
    <x v="239"/>
    <n v="385.32"/>
    <n v="606.76"/>
    <n v="606.76"/>
    <n v="842.66210000000001"/>
    <n v="1625.7182"/>
    <s v="Low"/>
    <s v="OK"/>
    <n v="8.5999999999999993E-2"/>
    <s v="OK"/>
    <n v="8"/>
    <n v="4436.6291200000005"/>
    <n v="3082.56"/>
    <n v="1354.0691200000006"/>
    <n v="0.30520223425842735"/>
    <n v="0"/>
    <e v="#DIV/0!"/>
    <x v="1"/>
  </r>
  <r>
    <s v="ORD-2025-509940"/>
    <x v="216"/>
    <x v="8"/>
    <s v="Q2-2025"/>
    <d v="2025-05-27T00:00:00"/>
    <s v="Valid"/>
    <d v="2025-05-27T00:00:00"/>
    <x v="10"/>
    <s v="Jan-2023"/>
    <n v="29"/>
    <n v="11"/>
    <x v="0"/>
    <x v="1"/>
    <x v="9"/>
    <s v="Beijing"/>
    <s v="Enterprise"/>
    <x v="1"/>
    <x v="9"/>
    <x v="3"/>
    <x v="240"/>
    <n v="918.12"/>
    <n v="1337.69"/>
    <n v="1337.69"/>
    <n v="855.43900000000031"/>
    <n v="1627.4080000000004"/>
    <s v="Medium"/>
    <s v="OK"/>
    <n v="9.5000000000000001E-2"/>
    <s v="OK"/>
    <n v="8"/>
    <n v="9684.8756000000012"/>
    <n v="7344.96"/>
    <n v="2339.9156000000012"/>
    <n v="0.24160512707050164"/>
    <n v="0"/>
    <e v="#DIV/0!"/>
    <x v="1"/>
  </r>
  <r>
    <s v="ORD-2025-646342"/>
    <x v="217"/>
    <x v="28"/>
    <s v="Q3-2025"/>
    <d v="2025-08-08T00:00:00"/>
    <s v="Valid"/>
    <d v="2025-08-08T00:00:00"/>
    <x v="2"/>
    <s v="Mar-2023"/>
    <n v="29"/>
    <n v="6"/>
    <x v="1"/>
    <x v="1"/>
    <x v="2"/>
    <s v="Osaka"/>
    <s v="Consumer"/>
    <x v="4"/>
    <x v="13"/>
    <x v="4"/>
    <x v="241"/>
    <n v="1225.94"/>
    <n v="1793.08"/>
    <n v="1793.08"/>
    <n v="849.1459000000001"/>
    <n v="1629.0978000000002"/>
    <s v="High"/>
    <s v="OK"/>
    <n v="0.13600000000000001"/>
    <s v="OK"/>
    <n v="22"/>
    <n v="34082.864639999993"/>
    <n v="26970.68"/>
    <n v="7112.1846399999922"/>
    <n v="0.20867332353434462"/>
    <n v="0"/>
    <e v="#DIV/0!"/>
    <x v="1"/>
  </r>
  <r>
    <s v="ORD-2024-866535"/>
    <x v="218"/>
    <x v="6"/>
    <s v="Q4-2024"/>
    <d v="2024-12-12T00:00:00"/>
    <s v="Valid"/>
    <d v="2024-12-12T00:00:00"/>
    <x v="18"/>
    <s v="Jan-2023"/>
    <n v="23"/>
    <n v="8"/>
    <x v="0"/>
    <x v="3"/>
    <x v="6"/>
    <s v="Frankfurt"/>
    <s v="Enterprise"/>
    <x v="2"/>
    <x v="5"/>
    <x v="1"/>
    <x v="242"/>
    <n v="72.06"/>
    <n v="122.74"/>
    <n v="122.74"/>
    <n v="842.85279999999989"/>
    <n v="1625.8176000000001"/>
    <s v="Low"/>
    <s v="OK"/>
    <n v="0.23799999999999999"/>
    <s v="OK"/>
    <n v="8"/>
    <n v="748.22303999999997"/>
    <n v="576.48"/>
    <n v="171.74303999999995"/>
    <n v="0.22953455162246802"/>
    <n v="0"/>
    <e v="#DIV/0!"/>
    <x v="1"/>
  </r>
  <r>
    <s v="ORD-2023-747341"/>
    <x v="43"/>
    <x v="12"/>
    <s v="Q2-2023"/>
    <d v="2023-04-28T00:00:00"/>
    <s v="Valid"/>
    <d v="2023-04-28T00:00:00"/>
    <x v="6"/>
    <s v="Jan-2023"/>
    <n v="3"/>
    <n v="9"/>
    <x v="0"/>
    <x v="2"/>
    <x v="5"/>
    <s v="Rio De Janeiro"/>
    <s v="Corporate"/>
    <x v="3"/>
    <x v="12"/>
    <x v="3"/>
    <x v="243"/>
    <n v="1013.54"/>
    <n v="927.93"/>
    <n v="927.93"/>
    <n v="855.62970000000018"/>
    <n v="1627.5074000000002"/>
    <s v="Medium"/>
    <s v="OK"/>
    <n v="0.17499999999999999"/>
    <s v="OK"/>
    <n v="16"/>
    <n v="12248.675999999999"/>
    <n v="16216.64"/>
    <n v="-3967.9639999999999"/>
    <n v="-0.32395044166406234"/>
    <n v="0"/>
    <e v="#DIV/0!"/>
    <x v="1"/>
  </r>
  <r>
    <s v="ORD-2024-853298"/>
    <x v="219"/>
    <x v="0"/>
    <s v="Q1-2024"/>
    <d v="2024-03-26T00:00:00"/>
    <s v="Valid"/>
    <d v="2024-03-26T00:00:00"/>
    <x v="5"/>
    <s v="Feb-2023"/>
    <n v="13"/>
    <n v="20"/>
    <x v="0"/>
    <x v="0"/>
    <x v="1"/>
    <s v="Port Harcourt"/>
    <s v="Consumer"/>
    <x v="2"/>
    <x v="2"/>
    <x v="3"/>
    <x v="244"/>
    <n v="65.64"/>
    <n v="151.88"/>
    <n v="151.88"/>
    <n v="849.33659999999998"/>
    <n v="1629.1972000000003"/>
    <s v="Low"/>
    <s v="OK"/>
    <n v="0.16700000000000001"/>
    <s v="OK"/>
    <n v="23"/>
    <n v="2909.8689199999999"/>
    <n v="1509.72"/>
    <n v="1400.1489199999999"/>
    <n v="0.48117250587356353"/>
    <n v="0"/>
    <e v="#DIV/0!"/>
    <x v="1"/>
  </r>
  <r>
    <s v="ORD-2024-544865"/>
    <x v="220"/>
    <x v="31"/>
    <s v="Q1-2024"/>
    <d v="2024-03-04T00:00:00"/>
    <s v="Valid"/>
    <d v="2024-03-04T00:00:00"/>
    <x v="14"/>
    <s v="Mar-2023"/>
    <n v="12"/>
    <n v="17"/>
    <x v="0"/>
    <x v="2"/>
    <x v="3"/>
    <s v="Montreal"/>
    <s v="Non-Profit"/>
    <x v="0"/>
    <x v="14"/>
    <x v="4"/>
    <x v="245"/>
    <n v="1350.98"/>
    <n v="2210.4"/>
    <n v="2210.4"/>
    <n v="861.53300000000002"/>
    <n v="1630.8370000000002"/>
    <s v="High"/>
    <s v="OK"/>
    <n v="0.26300000000000001"/>
    <s v="OK"/>
    <n v="6"/>
    <n v="9774.3888000000006"/>
    <n v="8105.88"/>
    <n v="1668.5088000000005"/>
    <n v="0.17070211080615091"/>
    <n v="0"/>
    <e v="#DIV/0!"/>
    <x v="1"/>
  </r>
  <r>
    <s v="ORD-2025-946490"/>
    <x v="221"/>
    <x v="19"/>
    <s v="Q2-2025"/>
    <d v="2025-05-02T00:00:00"/>
    <s v="Valid"/>
    <d v="2025-05-02T00:00:00"/>
    <x v="18"/>
    <s v="Jan-2023"/>
    <n v="27"/>
    <n v="10"/>
    <x v="0"/>
    <x v="3"/>
    <x v="6"/>
    <s v="Berlin"/>
    <s v="Corporate"/>
    <x v="2"/>
    <x v="0"/>
    <x v="5"/>
    <x v="246"/>
    <n v="20.149999999999999"/>
    <n v="39.74"/>
    <n v="39.74"/>
    <n v="855.82039999999995"/>
    <n v="1627.6068"/>
    <s v="Low"/>
    <s v="OK"/>
    <n v="0.151"/>
    <s v="OK"/>
    <n v="18"/>
    <n v="607.30668000000003"/>
    <n v="362.7"/>
    <n v="244.60668000000004"/>
    <n v="0.4027729120318585"/>
    <n v="0"/>
    <e v="#DIV/0!"/>
    <x v="1"/>
  </r>
  <r>
    <s v="ORD-2024-320972"/>
    <x v="222"/>
    <x v="18"/>
    <s v="Q4-2024"/>
    <d v="2024-11-08T00:00:00"/>
    <s v="Valid"/>
    <d v="2024-11-08T00:00:00"/>
    <x v="17"/>
    <s v="Feb-2023"/>
    <n v="21"/>
    <n v="0"/>
    <x v="1"/>
    <x v="0"/>
    <x v="0"/>
    <s v="Nakuru"/>
    <s v="Enterprise"/>
    <x v="2"/>
    <x v="12"/>
    <x v="2"/>
    <x v="247"/>
    <n v="803.28"/>
    <n v="1009"/>
    <n v="1009"/>
    <n v="864.06939999999997"/>
    <n v="1629.2966000000001"/>
    <s v="Medium"/>
    <s v="OK"/>
    <n v="0.11"/>
    <s v="OK"/>
    <n v="4"/>
    <n v="3592.04"/>
    <n v="3213.12"/>
    <n v="378.92000000000007"/>
    <n v="0.10548880302001093"/>
    <n v="0"/>
    <e v="#DIV/0!"/>
    <x v="1"/>
  </r>
  <r>
    <s v="ORD-2025-248586"/>
    <x v="223"/>
    <x v="11"/>
    <s v="Q3-2025"/>
    <d v="2025-09-30T00:00:00"/>
    <s v="Valid"/>
    <d v="2025-09-30T00:00:00"/>
    <x v="2"/>
    <s v="Mar-2023"/>
    <n v="31"/>
    <n v="18"/>
    <x v="0"/>
    <x v="1"/>
    <x v="2"/>
    <s v="Nagoya"/>
    <s v="Non-Profit"/>
    <x v="2"/>
    <x v="9"/>
    <x v="5"/>
    <x v="248"/>
    <n v="1212.99"/>
    <n v="1653.64"/>
    <n v="1653.64"/>
    <n v="861.60759999999993"/>
    <n v="1630.9264000000001"/>
    <s v="High"/>
    <s v="OK"/>
    <n v="0.107"/>
    <s v="OK"/>
    <n v="8"/>
    <n v="11813.604160000001"/>
    <n v="9703.92"/>
    <n v="2109.6841600000007"/>
    <n v="0.17858090819931455"/>
    <n v="0"/>
    <e v="#DIV/0!"/>
    <x v="1"/>
  </r>
  <r>
    <s v="ORD-2024-664046"/>
    <x v="224"/>
    <x v="29"/>
    <s v="Q3-2024"/>
    <d v="2024-09-08T00:00:00"/>
    <s v="Valid"/>
    <d v="2024-09-08T00:00:00"/>
    <x v="16"/>
    <s v="Feb-2023"/>
    <n v="19"/>
    <n v="6"/>
    <x v="1"/>
    <x v="2"/>
    <x v="10"/>
    <s v="Austin"/>
    <s v="Consumer"/>
    <x v="4"/>
    <x v="10"/>
    <x v="0"/>
    <x v="249"/>
    <n v="462.94"/>
    <n v="1015.7"/>
    <n v="1015.7"/>
    <n v="856.01110000000006"/>
    <n v="1627.7062000000001"/>
    <s v="Medium"/>
    <s v="OK"/>
    <n v="0.14299999999999999"/>
    <s v="OK"/>
    <n v="14"/>
    <n v="12186.368600000002"/>
    <n v="6481.16"/>
    <n v="5705.2086000000018"/>
    <n v="0.46816314090483041"/>
    <n v="0"/>
    <e v="#DIV/0!"/>
    <x v="1"/>
  </r>
  <r>
    <s v="ORD-2023-276806"/>
    <x v="225"/>
    <x v="22"/>
    <s v="Q1-2023"/>
    <d v="2023-03-24T00:00:00"/>
    <s v="Valid"/>
    <d v="2023-03-24T00:00:00"/>
    <x v="14"/>
    <s v="Mar-2023"/>
    <n v="1"/>
    <n v="20"/>
    <x v="0"/>
    <x v="2"/>
    <x v="3"/>
    <s v="Montreal"/>
    <s v="Consumer"/>
    <x v="3"/>
    <x v="2"/>
    <x v="4"/>
    <x v="250"/>
    <n v="481.71"/>
    <n v="912.45"/>
    <n v="912.45"/>
    <n v="849.71800000000007"/>
    <n v="1629.3960000000002"/>
    <s v="Medium"/>
    <s v="OK"/>
    <n v="0.20300000000000001"/>
    <s v="OK"/>
    <n v="24"/>
    <n v="17453.3436"/>
    <n v="11561.039999999999"/>
    <n v="5892.3036000000011"/>
    <n v="0.33760313983619739"/>
    <n v="0"/>
    <e v="#DIV/0!"/>
    <x v="1"/>
  </r>
  <r>
    <s v="ORD-2024-220234"/>
    <x v="226"/>
    <x v="0"/>
    <s v="Q1-2024"/>
    <d v="2024-04-09T00:00:00"/>
    <s v="Valid"/>
    <d v="2024-04-09T00:00:00"/>
    <x v="19"/>
    <s v="Apr-2023"/>
    <n v="12"/>
    <n v="25"/>
    <x v="0"/>
    <x v="2"/>
    <x v="3"/>
    <s v="Vancouver"/>
    <s v="Consumer"/>
    <x v="1"/>
    <x v="9"/>
    <x v="5"/>
    <x v="251"/>
    <n v="648.64"/>
    <n v="815.19"/>
    <n v="815.19"/>
    <n v="843.42490000000021"/>
    <n v="1631.0158000000001"/>
    <s v="Low"/>
    <s v="OK"/>
    <n v="0.22500000000000001"/>
    <s v="OK"/>
    <n v="28"/>
    <n v="17689.623"/>
    <n v="18161.919999999998"/>
    <n v="-472.29699999999866"/>
    <n v="-2.6699099240272032E-2"/>
    <n v="0"/>
    <e v="#DIV/0!"/>
    <x v="1"/>
  </r>
  <r>
    <s v="ORD-2024-301260"/>
    <x v="227"/>
    <x v="14"/>
    <s v="Q3-2024"/>
    <d v="2024-07-31T00:00:00"/>
    <s v="Valid"/>
    <d v="2024-07-31T00:00:00"/>
    <x v="16"/>
    <s v="Feb-2023"/>
    <n v="18"/>
    <n v="2"/>
    <x v="1"/>
    <x v="2"/>
    <x v="10"/>
    <s v="New York"/>
    <s v="Education"/>
    <x v="2"/>
    <x v="2"/>
    <x v="1"/>
    <x v="252"/>
    <n v="798.97"/>
    <n v="1814.06"/>
    <n v="1814.06"/>
    <n v="856.20180000000016"/>
    <n v="1632.5356000000002"/>
    <s v="High"/>
    <s v="OK"/>
    <n v="0.122"/>
    <s v="OK"/>
    <n v="16"/>
    <n v="25483.91488"/>
    <n v="12783.52"/>
    <n v="12700.39488"/>
    <n v="0.49836906691159061"/>
    <n v="0"/>
    <e v="#DIV/0!"/>
    <x v="1"/>
  </r>
  <r>
    <s v="ORD-2024-350100"/>
    <x v="228"/>
    <x v="1"/>
    <s v="Q4-2024"/>
    <d v="2024-11-20T00:00:00"/>
    <s v="Valid"/>
    <d v="2024-11-20T00:00:00"/>
    <x v="2"/>
    <s v="Mar-2023"/>
    <n v="20"/>
    <n v="24"/>
    <x v="0"/>
    <x v="1"/>
    <x v="2"/>
    <s v="Nagoya"/>
    <s v="Non-Profit"/>
    <x v="1"/>
    <x v="10"/>
    <x v="5"/>
    <x v="253"/>
    <n v="317.25"/>
    <n v="758.92"/>
    <n v="758.92"/>
    <n v="849.90870000000018"/>
    <n v="1629.4954000000002"/>
    <s v="Low"/>
    <s v="OK"/>
    <n v="5.2999999999999999E-2"/>
    <s v="OK"/>
    <n v="9"/>
    <n v="6468.2751599999992"/>
    <n v="2855.25"/>
    <n v="3613.0251599999992"/>
    <n v="0.5585762928489888"/>
    <n v="0"/>
    <e v="#DIV/0!"/>
    <x v="1"/>
  </r>
  <r>
    <s v="ORD-2024-855600"/>
    <x v="229"/>
    <x v="20"/>
    <s v="Q2-2024"/>
    <d v="2024-05-19T00:00:00"/>
    <s v="Valid"/>
    <d v="2024-05-19T00:00:00"/>
    <x v="18"/>
    <s v="Jan-2023"/>
    <n v="16"/>
    <n v="20"/>
    <x v="0"/>
    <x v="3"/>
    <x v="6"/>
    <s v="Frankfurt"/>
    <s v="Enterprise"/>
    <x v="2"/>
    <x v="0"/>
    <x v="4"/>
    <x v="254"/>
    <n v="668.97"/>
    <n v="1667.44"/>
    <n v="1667.44"/>
    <n v="861.75680000000011"/>
    <n v="1631.1052000000002"/>
    <s v="High"/>
    <s v="OK"/>
    <n v="3.4000000000000002E-2"/>
    <s v="OK"/>
    <n v="15"/>
    <n v="24161.205600000001"/>
    <n v="10034.550000000001"/>
    <n v="14126.6556"/>
    <n v="0.58468339013679016"/>
    <n v="0"/>
    <e v="#DIV/0!"/>
    <x v="1"/>
  </r>
  <r>
    <s v="ORD-2023-474313"/>
    <x v="230"/>
    <x v="32"/>
    <s v="Q4-2023"/>
    <d v="2023-10-06T00:00:00"/>
    <s v="Valid"/>
    <d v="2023-10-06T00:00:00"/>
    <x v="15"/>
    <s v="May-2023"/>
    <n v="6"/>
    <n v="1"/>
    <x v="1"/>
    <x v="1"/>
    <x v="4"/>
    <s v="Bengaluru"/>
    <s v="Non-Profit"/>
    <x v="1"/>
    <x v="2"/>
    <x v="0"/>
    <x v="255"/>
    <n v="1470.26"/>
    <n v="2562.5500000000002"/>
    <n v="2562.5500000000002"/>
    <n v="856.39249999999993"/>
    <n v="1627.9050000000002"/>
    <s v="High"/>
    <s v="OK"/>
    <n v="0.17299999999999999"/>
    <s v="OK"/>
    <n v="9"/>
    <n v="19073.059649999999"/>
    <n v="13232.34"/>
    <n v="5840.7196499999991"/>
    <n v="0.30622877279157462"/>
    <n v="0"/>
    <e v="#DIV/0!"/>
    <x v="1"/>
  </r>
  <r>
    <s v="ORD-2023-256951"/>
    <x v="43"/>
    <x v="12"/>
    <s v="Q2-2023"/>
    <d v="2023-05-07T00:00:00"/>
    <s v="Valid"/>
    <d v="2023-05-07T00:00:00"/>
    <x v="9"/>
    <s v="Jan-2023"/>
    <n v="4"/>
    <n v="18"/>
    <x v="0"/>
    <x v="3"/>
    <x v="8"/>
    <s v="London"/>
    <s v="Non-Profit"/>
    <x v="4"/>
    <x v="10"/>
    <x v="2"/>
    <x v="256"/>
    <n v="516.96"/>
    <n v="745.38"/>
    <n v="745.38"/>
    <n v="850.09940000000006"/>
    <n v="1625.3000000000002"/>
    <s v="Low"/>
    <s v="OK"/>
    <n v="0.19700000000000001"/>
    <s v="OK"/>
    <n v="4"/>
    <n v="2394.1605599999998"/>
    <n v="2067.84"/>
    <n v="326.32055999999966"/>
    <n v="0.13629852794835101"/>
    <n v="0"/>
    <e v="#DIV/0!"/>
    <x v="1"/>
  </r>
  <r>
    <s v="ORD-2025-184754"/>
    <x v="231"/>
    <x v="16"/>
    <s v="Q2-2025"/>
    <d v="2025-07-05T00:00:00"/>
    <s v="Valid"/>
    <d v="2025-07-05T00:00:00"/>
    <x v="18"/>
    <s v="Jan-2023"/>
    <n v="30"/>
    <n v="8"/>
    <x v="0"/>
    <x v="3"/>
    <x v="6"/>
    <s v="Munich"/>
    <s v="Small Business"/>
    <x v="4"/>
    <x v="3"/>
    <x v="5"/>
    <x v="257"/>
    <n v="314.93"/>
    <n v="687.95"/>
    <n v="687.95"/>
    <n v="861.83140000000003"/>
    <n v="1626.3146000000002"/>
    <s v="Low"/>
    <s v="OK"/>
    <n v="0.20499999999999999"/>
    <s v="OK"/>
    <n v="8"/>
    <n v="4375.3620000000001"/>
    <n v="2519.44"/>
    <n v="1855.922"/>
    <n v="0.424175645352316"/>
    <n v="0"/>
    <e v="#DIV/0!"/>
    <x v="1"/>
  </r>
  <r>
    <s v="ORD-2023-888140"/>
    <x v="232"/>
    <x v="32"/>
    <s v="Q4-2023"/>
    <d v="2023-10-13T00:00:00"/>
    <s v="Valid"/>
    <d v="2023-10-13T00:00:00"/>
    <x v="6"/>
    <s v="Jan-2023"/>
    <n v="9"/>
    <n v="2"/>
    <x v="1"/>
    <x v="2"/>
    <x v="5"/>
    <s v="Brasília"/>
    <s v="Consumer"/>
    <x v="3"/>
    <x v="15"/>
    <x v="6"/>
    <x v="258"/>
    <n v="715.94"/>
    <n v="550.07000000000005"/>
    <n v="550.07000000000005"/>
    <n v="866.82960000000003"/>
    <n v="1628.0044"/>
    <s v="Low"/>
    <s v="OK"/>
    <n v="0.14000000000000001"/>
    <s v="OK"/>
    <n v="16"/>
    <n v="7568.9632000000001"/>
    <n v="11455.04"/>
    <n v="-3886.0768000000007"/>
    <n v="-0.51342260456491595"/>
    <n v="0"/>
    <e v="#DIV/0!"/>
    <x v="1"/>
  </r>
  <r>
    <s v="ORD-2023-638181"/>
    <x v="72"/>
    <x v="15"/>
    <s v="Q2-2023"/>
    <d v="2023-06-07T00:00:00"/>
    <s v="Valid"/>
    <d v="2023-06-07T00:00:00"/>
    <x v="5"/>
    <s v="Feb-2023"/>
    <n v="4"/>
    <n v="18"/>
    <x v="0"/>
    <x v="0"/>
    <x v="1"/>
    <s v="Port Harcourt"/>
    <s v="Enterprise"/>
    <x v="3"/>
    <x v="6"/>
    <x v="0"/>
    <x v="259"/>
    <n v="1120.06"/>
    <n v="2068.21"/>
    <n v="2068.21"/>
    <n v="872.14170000000001"/>
    <n v="1629.6942000000001"/>
    <s v="High"/>
    <s v="OK"/>
    <n v="7.8E-2"/>
    <s v="OK"/>
    <n v="12"/>
    <n v="22882.675440000003"/>
    <n v="13440.72"/>
    <n v="9441.9554400000034"/>
    <n v="0.41262462795303284"/>
    <n v="0"/>
    <e v="#DIV/0!"/>
    <x v="1"/>
  </r>
  <r>
    <s v="ORD-2023-521280"/>
    <x v="233"/>
    <x v="15"/>
    <s v="Q2-2023"/>
    <d v="2023-06-19T00:00:00"/>
    <s v="Valid"/>
    <d v="2023-06-19T00:00:00"/>
    <x v="18"/>
    <s v="Jan-2023"/>
    <n v="5"/>
    <n v="23"/>
    <x v="0"/>
    <x v="3"/>
    <x v="6"/>
    <s v="Berlin"/>
    <s v="Education"/>
    <x v="0"/>
    <x v="7"/>
    <x v="6"/>
    <x v="260"/>
    <n v="1471.58"/>
    <n v="2576.65"/>
    <n v="2576.65"/>
    <n v="869.43900000000008"/>
    <n v="1626.4140000000002"/>
    <s v="High"/>
    <s v="OK"/>
    <n v="4.0000000000000001E-3"/>
    <s v="OK"/>
    <n v="7"/>
    <n v="17964.4038"/>
    <n v="10301.06"/>
    <n v="7663.3438000000006"/>
    <n v="0.4265849223451546"/>
    <n v="0"/>
    <e v="#DIV/0!"/>
    <x v="1"/>
  </r>
  <r>
    <s v="ORD-2023-630430"/>
    <x v="234"/>
    <x v="25"/>
    <s v="Q3-2023"/>
    <d v="2023-08-24T00:00:00"/>
    <s v="Valid"/>
    <d v="2023-08-24T00:00:00"/>
    <x v="6"/>
    <s v="Jan-2023"/>
    <n v="7"/>
    <n v="20"/>
    <x v="0"/>
    <x v="2"/>
    <x v="5"/>
    <s v="Brasília"/>
    <s v="Non-Profit"/>
    <x v="4"/>
    <x v="15"/>
    <x v="2"/>
    <x v="261"/>
    <n v="582.88"/>
    <n v="1044.1400000000001"/>
    <n v="1044.1400000000001"/>
    <n v="866.90420000000006"/>
    <n v="1625.075"/>
    <s v="Medium"/>
    <s v="OK"/>
    <n v="0.216"/>
    <s v="OK"/>
    <n v="10"/>
    <n v="8186.057600000001"/>
    <n v="5828.8"/>
    <n v="2357.2576000000008"/>
    <n v="0.28796005539956138"/>
    <n v="0"/>
    <e v="#DIV/0!"/>
    <x v="1"/>
  </r>
  <r>
    <s v="ORD-2025-908258"/>
    <x v="235"/>
    <x v="16"/>
    <s v="Q2-2025"/>
    <d v="2025-06-27T00:00:00"/>
    <s v="Valid"/>
    <d v="2025-06-27T00:00:00"/>
    <x v="13"/>
    <s v="Jan-2023"/>
    <n v="30"/>
    <n v="6"/>
    <x v="1"/>
    <x v="0"/>
    <x v="11"/>
    <s v="Durban"/>
    <s v="Enterprise"/>
    <x v="3"/>
    <x v="13"/>
    <x v="3"/>
    <x v="262"/>
    <n v="93.91"/>
    <n v="99.04"/>
    <n v="99.04"/>
    <n v="864.44240000000002"/>
    <n v="1625.3300000000002"/>
    <s v="Low"/>
    <s v="OK"/>
    <n v="5.7000000000000002E-2"/>
    <s v="OK"/>
    <n v="6"/>
    <n v="560.36831999999993"/>
    <n v="563.46"/>
    <n v="-3.0916800000001103"/>
    <n v="-5.5172283829323376E-3"/>
    <n v="0"/>
    <e v="#DIV/0!"/>
    <x v="1"/>
  </r>
  <r>
    <s v="ORD-2025-440093"/>
    <x v="139"/>
    <x v="19"/>
    <s v="Q2-2025"/>
    <d v="2025-04-26T00:00:00"/>
    <s v="Valid"/>
    <d v="2025-04-26T00:00:00"/>
    <x v="5"/>
    <s v="Feb-2023"/>
    <n v="27"/>
    <n v="10"/>
    <x v="0"/>
    <x v="0"/>
    <x v="1"/>
    <s v="Port Harcourt"/>
    <s v="Enterprise"/>
    <x v="2"/>
    <x v="9"/>
    <x v="4"/>
    <x v="263"/>
    <n v="1457.44"/>
    <n v="1996.81"/>
    <n v="1996.81"/>
    <n v="869.52089999999998"/>
    <n v="1626.5134"/>
    <s v="High"/>
    <s v="OK"/>
    <n v="0.126"/>
    <s v="OK"/>
    <n v="23"/>
    <n v="40139.874619999995"/>
    <n v="33521.120000000003"/>
    <n v="6618.7546199999924"/>
    <n v="0.16489225944672353"/>
    <n v="0"/>
    <e v="#DIV/0!"/>
    <x v="1"/>
  </r>
  <r>
    <s v="ORD-2025-898022"/>
    <x v="236"/>
    <x v="11"/>
    <s v="Q3-2025"/>
    <d v="2025-09-11T00:00:00"/>
    <s v="Valid"/>
    <d v="2025-09-11T00:00:00"/>
    <x v="19"/>
    <s v="Apr-2023"/>
    <n v="29"/>
    <n v="9"/>
    <x v="0"/>
    <x v="2"/>
    <x v="3"/>
    <s v="Toronto"/>
    <s v="Corporate"/>
    <x v="3"/>
    <x v="12"/>
    <x v="1"/>
    <x v="264"/>
    <n v="1207.6300000000001"/>
    <n v="921.68"/>
    <n v="921.68"/>
    <n v="866.97879999999998"/>
    <n v="1625.0900000000001"/>
    <s v="Medium"/>
    <s v="OK"/>
    <n v="0.19600000000000001"/>
    <s v="OK"/>
    <n v="17"/>
    <n v="12597.52224"/>
    <n v="20529.710000000003"/>
    <n v="-7932.1877600000025"/>
    <n v="-0.62966253274897988"/>
    <n v="0"/>
    <e v="#DIV/0!"/>
    <x v="1"/>
  </r>
  <r>
    <s v="ORD-2024-500511"/>
    <x v="237"/>
    <x v="1"/>
    <s v="Q4-2024"/>
    <d v="2024-10-08T00:00:00"/>
    <s v="Valid"/>
    <d v="2024-10-08T00:00:00"/>
    <x v="9"/>
    <s v="Jan-2023"/>
    <n v="21"/>
    <n v="0"/>
    <x v="1"/>
    <x v="3"/>
    <x v="8"/>
    <s v="London"/>
    <s v="Corporate"/>
    <x v="1"/>
    <x v="6"/>
    <x v="5"/>
    <x v="265"/>
    <n v="1108.1099999999999"/>
    <n v="2503.79"/>
    <n v="2503.79"/>
    <n v="864.51700000000005"/>
    <n v="1625.345"/>
    <s v="High"/>
    <s v="OK"/>
    <n v="0.184"/>
    <s v="OK"/>
    <n v="19"/>
    <n v="38818.760160000005"/>
    <n v="21054.089999999997"/>
    <n v="17764.670160000009"/>
    <n v="0.45763105485025896"/>
    <n v="0"/>
    <e v="#DIV/0!"/>
    <x v="1"/>
  </r>
  <r>
    <s v="ORD-2023-632893"/>
    <x v="238"/>
    <x v="15"/>
    <s v="Q2-2023"/>
    <d v="2023-05-05T00:00:00"/>
    <s v="Invalid"/>
    <d v="2023-05-07T00:00:00"/>
    <x v="5"/>
    <s v="Feb-2023"/>
    <n v="3"/>
    <n v="0"/>
    <x v="1"/>
    <x v="0"/>
    <x v="1"/>
    <s v="Port Harcourt"/>
    <s v="Non-Profit"/>
    <x v="2"/>
    <x v="8"/>
    <x v="0"/>
    <x v="266"/>
    <n v="1269.6500000000001"/>
    <n v="2462.77"/>
    <n v="2462.77"/>
    <n v="862.05520000000001"/>
    <n v="1624.8500000000001"/>
    <s v="High"/>
    <s v="OK"/>
    <n v="0.107"/>
    <s v="OK"/>
    <n v="8"/>
    <n v="17594.028880000002"/>
    <n v="10157.200000000001"/>
    <n v="7436.8288800000009"/>
    <n v="0.42269050089225502"/>
    <n v="0"/>
    <e v="#DIV/0!"/>
    <x v="1"/>
  </r>
  <r>
    <s v="ORD-2023-967239"/>
    <x v="239"/>
    <x v="4"/>
    <s v="Q4-2023"/>
    <d v="2024-01-01T00:00:00"/>
    <s v="Valid"/>
    <d v="2024-01-01T00:00:00"/>
    <x v="6"/>
    <s v="Jan-2023"/>
    <n v="11"/>
    <n v="8"/>
    <x v="0"/>
    <x v="2"/>
    <x v="5"/>
    <s v="São Paulo"/>
    <s v="Education"/>
    <x v="4"/>
    <x v="0"/>
    <x v="3"/>
    <x v="267"/>
    <n v="526.49"/>
    <n v="496.2"/>
    <n v="496.2"/>
    <n v="857.15530000000012"/>
    <n v="1622.9606000000001"/>
    <s v="Low"/>
    <s v="OK"/>
    <n v="0"/>
    <s v="OK"/>
    <n v="14"/>
    <n v="6946.8"/>
    <n v="7370.8600000000006"/>
    <n v="-424.0600000000004"/>
    <n v="-6.1043933897621985E-2"/>
    <n v="0"/>
    <e v="#DIV/0!"/>
    <x v="1"/>
  </r>
  <r>
    <s v="ORD-2024-885858"/>
    <x v="240"/>
    <x v="9"/>
    <s v="Q1-2024"/>
    <d v="2024-01-23T00:00:00"/>
    <s v="Valid"/>
    <d v="2024-01-23T00:00:00"/>
    <x v="8"/>
    <s v="Jan-2023"/>
    <n v="13"/>
    <n v="13"/>
    <x v="0"/>
    <x v="3"/>
    <x v="7"/>
    <s v="Marseille"/>
    <s v="Corporate"/>
    <x v="4"/>
    <x v="8"/>
    <x v="1"/>
    <x v="268"/>
    <n v="720"/>
    <n v="907.59"/>
    <n v="907.59"/>
    <n v="864.59160000000008"/>
    <n v="1624.3444000000002"/>
    <s v="Medium"/>
    <s v="OK"/>
    <n v="0.154"/>
    <s v="OK"/>
    <n v="10"/>
    <n v="7678.2113999999992"/>
    <n v="7200"/>
    <n v="478.21139999999923"/>
    <n v="6.2281614179052078E-2"/>
    <n v="0"/>
    <e v="#DIV/0!"/>
    <x v="1"/>
  </r>
  <r>
    <s v="ORD-2023-253245"/>
    <x v="241"/>
    <x v="25"/>
    <s v="Q3-2023"/>
    <d v="2023-08-14T00:00:00"/>
    <s v="Valid"/>
    <d v="2023-08-14T00:00:00"/>
    <x v="6"/>
    <s v="Jan-2023"/>
    <n v="7"/>
    <n v="11"/>
    <x v="0"/>
    <x v="2"/>
    <x v="5"/>
    <s v="Brasília"/>
    <s v="Corporate"/>
    <x v="4"/>
    <x v="1"/>
    <x v="6"/>
    <x v="269"/>
    <n v="232.73"/>
    <n v="334.19"/>
    <n v="334.19"/>
    <n v="862.12980000000005"/>
    <n v="1624.865"/>
    <s v="Low"/>
    <s v="OK"/>
    <n v="0.13400000000000001"/>
    <s v="OK"/>
    <n v="25"/>
    <n v="7235.2134999999998"/>
    <n v="5818.25"/>
    <n v="1416.9634999999998"/>
    <n v="0.1958426658729559"/>
    <n v="0"/>
    <e v="#DIV/0!"/>
    <x v="1"/>
  </r>
  <r>
    <s v="ORD-2025-484073"/>
    <x v="242"/>
    <x v="26"/>
    <s v="Q1-2025"/>
    <d v="2025-03-09T00:00:00"/>
    <s v="Valid"/>
    <d v="2025-03-09T00:00:00"/>
    <x v="15"/>
    <s v="May-2023"/>
    <n v="22"/>
    <n v="18"/>
    <x v="0"/>
    <x v="1"/>
    <x v="4"/>
    <s v="Delhi"/>
    <s v="Small Business"/>
    <x v="4"/>
    <x v="7"/>
    <x v="5"/>
    <x v="270"/>
    <n v="325.87"/>
    <n v="538.79"/>
    <n v="538.79"/>
    <n v="867.12800000000004"/>
    <n v="1625.1200000000001"/>
    <s v="Low"/>
    <s v="OK"/>
    <n v="0.17399999999999999"/>
    <s v="OK"/>
    <n v="16"/>
    <n v="7120.6486400000003"/>
    <n v="5213.92"/>
    <n v="1906.7286400000003"/>
    <n v="0.26777457172778013"/>
    <n v="0"/>
    <e v="#DIV/0!"/>
    <x v="1"/>
  </r>
  <r>
    <s v="ORD-2024-745822"/>
    <x v="243"/>
    <x v="0"/>
    <s v="Q1-2024"/>
    <d v="2024-04-17T00:00:00"/>
    <s v="Valid"/>
    <d v="2024-04-17T00:00:00"/>
    <x v="18"/>
    <s v="Jan-2023"/>
    <n v="15"/>
    <n v="17"/>
    <x v="0"/>
    <x v="3"/>
    <x v="6"/>
    <s v="Frankfurt"/>
    <s v="Education"/>
    <x v="4"/>
    <x v="10"/>
    <x v="5"/>
    <x v="271"/>
    <n v="1025.51"/>
    <n v="1436.54"/>
    <n v="1436.54"/>
    <n v="872.46929999999998"/>
    <n v="1625.375"/>
    <s v="Medium"/>
    <s v="OK"/>
    <n v="0.13900000000000001"/>
    <s v="OK"/>
    <n v="28"/>
    <n v="34632.106319999999"/>
    <n v="28714.28"/>
    <n v="5917.8263200000001"/>
    <n v="0.17087688127656453"/>
    <n v="0"/>
    <e v="#DIV/0!"/>
    <x v="1"/>
  </r>
  <r>
    <s v="ORD-2023-369160"/>
    <x v="244"/>
    <x v="24"/>
    <s v="Q3-2023"/>
    <d v="2023-08-13T00:00:00"/>
    <s v="Valid"/>
    <d v="2023-08-13T00:00:00"/>
    <x v="19"/>
    <s v="Apr-2023"/>
    <n v="4"/>
    <n v="20"/>
    <x v="0"/>
    <x v="2"/>
    <x v="3"/>
    <s v="Montreal"/>
    <s v="Education"/>
    <x v="4"/>
    <x v="0"/>
    <x v="5"/>
    <x v="272"/>
    <n v="1082.3800000000001"/>
    <n v="1766.55"/>
    <n v="1766.55"/>
    <n v="869.76660000000004"/>
    <n v="1626.8116"/>
    <s v="High"/>
    <s v="OK"/>
    <n v="0.16400000000000001"/>
    <s v="OK"/>
    <n v="20"/>
    <n v="29536.716"/>
    <n v="21647.600000000002"/>
    <n v="7889.1159999999982"/>
    <n v="0.26709523157550752"/>
    <n v="0"/>
    <e v="#DIV/0!"/>
    <x v="1"/>
  </r>
  <r>
    <s v="ORD-2024-834983"/>
    <x v="245"/>
    <x v="0"/>
    <s v="Q1-2024"/>
    <d v="2024-04-13T00:00:00"/>
    <s v="Valid"/>
    <d v="2024-04-13T00:00:00"/>
    <x v="8"/>
    <s v="Jan-2023"/>
    <n v="15"/>
    <n v="28"/>
    <x v="0"/>
    <x v="3"/>
    <x v="7"/>
    <s v="Paris"/>
    <s v="Small Business"/>
    <x v="1"/>
    <x v="11"/>
    <x v="1"/>
    <x v="273"/>
    <n v="287.61"/>
    <n v="628.54"/>
    <n v="628.54"/>
    <n v="867.20259999999996"/>
    <n v="1625.135"/>
    <s v="Low"/>
    <s v="OK"/>
    <n v="0.13500000000000001"/>
    <s v="OK"/>
    <n v="21"/>
    <n v="11417.429099999999"/>
    <n v="6039.81"/>
    <n v="5377.619099999999"/>
    <n v="0.47100087531964613"/>
    <n v="0"/>
    <e v="#DIV/0!"/>
    <x v="1"/>
  </r>
  <r>
    <s v="ORD-2024-499009"/>
    <x v="246"/>
    <x v="9"/>
    <s v="Q1-2024"/>
    <d v="2024-01-27T00:00:00"/>
    <s v="Valid"/>
    <d v="2024-01-27T00:00:00"/>
    <x v="6"/>
    <s v="Jan-2023"/>
    <n v="12"/>
    <n v="2"/>
    <x v="1"/>
    <x v="2"/>
    <x v="5"/>
    <s v="São Paulo"/>
    <s v="Non-Profit"/>
    <x v="2"/>
    <x v="13"/>
    <x v="4"/>
    <x v="274"/>
    <n v="1410.97"/>
    <n v="1650.75"/>
    <n v="1650.75"/>
    <n v="872.55119999999999"/>
    <n v="1625.39"/>
    <s v="High"/>
    <s v="OK"/>
    <n v="0.13500000000000001"/>
    <s v="OK"/>
    <n v="6"/>
    <n v="8567.3924999999999"/>
    <n v="8465.82"/>
    <n v="101.57250000000022"/>
    <n v="1.1855707556295596E-2"/>
    <n v="0"/>
    <e v="#DIV/0!"/>
    <x v="1"/>
  </r>
  <r>
    <s v="ORD-2024-948800"/>
    <x v="247"/>
    <x v="0"/>
    <s v="Q1-2024"/>
    <d v="2024-04-11T00:00:00"/>
    <s v="Valid"/>
    <d v="2024-04-11T00:00:00"/>
    <x v="16"/>
    <s v="Feb-2023"/>
    <n v="14"/>
    <n v="15"/>
    <x v="0"/>
    <x v="2"/>
    <x v="10"/>
    <s v="San Francisco"/>
    <s v="Small Business"/>
    <x v="4"/>
    <x v="7"/>
    <x v="2"/>
    <x v="275"/>
    <n v="1338.35"/>
    <n v="2247.14"/>
    <n v="2247.14"/>
    <n v="869.84850000000006"/>
    <n v="1624.895"/>
    <s v="High"/>
    <s v="OK"/>
    <n v="0.115"/>
    <s v="OK"/>
    <n v="40"/>
    <n v="79548.755999999994"/>
    <n v="53534"/>
    <n v="26014.755999999994"/>
    <n v="0.32702907384246205"/>
    <n v="0"/>
    <e v="#DIV/0!"/>
    <x v="1"/>
  </r>
  <r>
    <s v="ORD-2025-678328"/>
    <x v="35"/>
    <x v="16"/>
    <s v="Q2-2025"/>
    <d v="2025-07-14T00:00:00"/>
    <s v="Valid"/>
    <d v="2025-07-14T00:00:00"/>
    <x v="18"/>
    <s v="Jan-2023"/>
    <n v="29"/>
    <n v="20"/>
    <x v="0"/>
    <x v="3"/>
    <x v="6"/>
    <s v="Berlin"/>
    <s v="Corporate"/>
    <x v="4"/>
    <x v="7"/>
    <x v="6"/>
    <x v="276"/>
    <n v="385.08"/>
    <n v="893.19"/>
    <n v="893.19"/>
    <n v="867.27720000000011"/>
    <n v="1623.2048"/>
    <s v="Medium"/>
    <s v="OK"/>
    <n v="0.151"/>
    <s v="OK"/>
    <n v="8"/>
    <n v="6066.54648"/>
    <n v="3080.64"/>
    <n v="2985.9064800000001"/>
    <n v="0.49219213762621666"/>
    <n v="0"/>
    <e v="#DIV/0!"/>
    <x v="1"/>
  </r>
  <r>
    <s v="ORD-2024-580808"/>
    <x v="248"/>
    <x v="17"/>
    <s v="Q2-2024"/>
    <d v="2024-07-03T00:00:00"/>
    <s v="Valid"/>
    <d v="2024-07-03T00:00:00"/>
    <x v="13"/>
    <s v="Jan-2023"/>
    <n v="18"/>
    <n v="17"/>
    <x v="0"/>
    <x v="0"/>
    <x v="11"/>
    <s v="Johannesburg"/>
    <s v="Enterprise"/>
    <x v="2"/>
    <x v="9"/>
    <x v="3"/>
    <x v="277"/>
    <n v="1173.83"/>
    <n v="2328.9"/>
    <n v="2328.9"/>
    <n v="864.81540000000007"/>
    <n v="1624.5886"/>
    <s v="High"/>
    <s v="OK"/>
    <n v="0.12"/>
    <s v="OK"/>
    <n v="17"/>
    <n v="34840.344000000005"/>
    <n v="19955.11"/>
    <n v="14885.234000000004"/>
    <n v="0.42724130393201637"/>
    <n v="0"/>
    <e v="#DIV/0!"/>
    <x v="1"/>
  </r>
  <r>
    <s v="ORD-2023-211715"/>
    <x v="249"/>
    <x v="32"/>
    <s v="Q4-2023"/>
    <d v="2023-11-14T00:00:00"/>
    <s v="Valid"/>
    <d v="2023-11-14T00:00:00"/>
    <x v="15"/>
    <s v="May-2023"/>
    <n v="6"/>
    <n v="15"/>
    <x v="0"/>
    <x v="1"/>
    <x v="4"/>
    <s v="Bengaluru"/>
    <s v="Corporate"/>
    <x v="1"/>
    <x v="9"/>
    <x v="4"/>
    <x v="278"/>
    <n v="953.46"/>
    <n v="2066.75"/>
    <n v="2066.75"/>
    <n v="862.35360000000003"/>
    <n v="1621.9023999999999"/>
    <s v="High"/>
    <s v="OK"/>
    <n v="0.13800000000000001"/>
    <s v="OK"/>
    <n v="5"/>
    <n v="8907.6924999999992"/>
    <n v="4767.3"/>
    <n v="4140.392499999999"/>
    <n v="0.46481089238318446"/>
    <n v="0"/>
    <e v="#DIV/0!"/>
    <x v="1"/>
  </r>
  <r>
    <s v="ORD-2023-715175"/>
    <x v="250"/>
    <x v="23"/>
    <s v="Q2-2023"/>
    <d v="2023-06-23T00:00:00"/>
    <s v="Valid"/>
    <d v="2023-06-23T00:00:00"/>
    <x v="16"/>
    <s v="Feb-2023"/>
    <n v="5"/>
    <n v="8"/>
    <x v="0"/>
    <x v="2"/>
    <x v="10"/>
    <s v="San Francisco"/>
    <s v="Consumer"/>
    <x v="3"/>
    <x v="7"/>
    <x v="5"/>
    <x v="279"/>
    <n v="1097.0899999999999"/>
    <n v="2182.31"/>
    <n v="2182.31"/>
    <n v="857.91810000000021"/>
    <n v="1619.665"/>
    <s v="High"/>
    <s v="OK"/>
    <n v="0.112"/>
    <s v="OK"/>
    <n v="9"/>
    <n v="17441.021520000002"/>
    <n v="9873.81"/>
    <n v="7567.2115200000026"/>
    <n v="0.43387432962699546"/>
    <n v="0"/>
    <e v="#DIV/0!"/>
    <x v="1"/>
  </r>
  <r>
    <s v="ORD-2025-685236"/>
    <x v="251"/>
    <x v="3"/>
    <s v="Q1-2025"/>
    <d v="2025-03-29T00:00:00"/>
    <s v="Valid"/>
    <d v="2025-03-29T00:00:00"/>
    <x v="2"/>
    <s v="Mar-2023"/>
    <n v="25"/>
    <n v="15"/>
    <x v="0"/>
    <x v="1"/>
    <x v="2"/>
    <s v="Tokyo"/>
    <s v="Non-Profit"/>
    <x v="4"/>
    <x v="10"/>
    <x v="2"/>
    <x v="280"/>
    <n v="1106.96"/>
    <n v="2726.62"/>
    <n v="2726.62"/>
    <n v="851.625"/>
    <n v="1617.85"/>
    <s v="High"/>
    <s v="OK"/>
    <n v="0.317"/>
    <s v="FLAG"/>
    <n v="7"/>
    <n v="13035.970220000001"/>
    <n v="7748.72"/>
    <n v="5287.2502200000008"/>
    <n v="0.40558931408789306"/>
    <n v="0"/>
    <e v="#DIV/0!"/>
    <x v="1"/>
  </r>
  <r>
    <s v="ORD-2023-274037"/>
    <x v="182"/>
    <x v="25"/>
    <s v="Q3-2023"/>
    <d v="2023-08-25T00:00:00"/>
    <s v="Valid"/>
    <d v="2023-08-25T00:00:00"/>
    <x v="17"/>
    <s v="Feb-2023"/>
    <n v="6"/>
    <n v="10"/>
    <x v="0"/>
    <x v="0"/>
    <x v="0"/>
    <s v="Nairobi"/>
    <s v="Small Business"/>
    <x v="0"/>
    <x v="13"/>
    <x v="3"/>
    <x v="281"/>
    <n v="91.85"/>
    <n v="111.29"/>
    <n v="111.29"/>
    <n v="845.33190000000002"/>
    <n v="1603.1122"/>
    <s v="Low"/>
    <s v="OK"/>
    <n v="0"/>
    <s v="OK"/>
    <n v="6"/>
    <n v="667.74"/>
    <n v="551.09999999999991"/>
    <n v="116.6400000000001"/>
    <n v="0.17467876718483258"/>
    <n v="0"/>
    <e v="#DIV/0!"/>
    <x v="1"/>
  </r>
  <r>
    <s v="ORD-2025-983096"/>
    <x v="252"/>
    <x v="8"/>
    <s v="Q2-2025"/>
    <d v="2025-05-28T00:00:00"/>
    <s v="Valid"/>
    <d v="2025-05-28T00:00:00"/>
    <x v="15"/>
    <s v="May-2023"/>
    <n v="25"/>
    <n v="11"/>
    <x v="0"/>
    <x v="1"/>
    <x v="4"/>
    <s v="Bengaluru"/>
    <s v="Corporate"/>
    <x v="3"/>
    <x v="5"/>
    <x v="4"/>
    <x v="282"/>
    <n v="623.4"/>
    <n v="1100.0899999999999"/>
    <n v="1100.0899999999999"/>
    <n v="858.10880000000009"/>
    <n v="1610.7044000000001"/>
    <s v="Medium"/>
    <s v="OK"/>
    <n v="0.114"/>
    <s v="OK"/>
    <n v="12"/>
    <n v="11696.156879999999"/>
    <n v="7480.7999999999993"/>
    <n v="4215.3568799999994"/>
    <n v="0.36040529579490388"/>
    <n v="0"/>
    <e v="#DIV/0!"/>
    <x v="1"/>
  </r>
  <r>
    <s v="ORD-2024-366010"/>
    <x v="94"/>
    <x v="9"/>
    <s v="Q1-2024"/>
    <d v="2024-02-05T00:00:00"/>
    <s v="Valid"/>
    <d v="2024-02-05T00:00:00"/>
    <x v="18"/>
    <s v="Jan-2023"/>
    <n v="12"/>
    <n v="23"/>
    <x v="0"/>
    <x v="3"/>
    <x v="6"/>
    <s v="Frankfurt"/>
    <s v="Education"/>
    <x v="4"/>
    <x v="5"/>
    <x v="4"/>
    <x v="283"/>
    <n v="1017.93"/>
    <n v="1529.14"/>
    <n v="1529.14"/>
    <n v="851.81570000000011"/>
    <n v="1617.905"/>
    <s v="Medium"/>
    <s v="OK"/>
    <n v="0.155"/>
    <s v="OK"/>
    <n v="12"/>
    <n v="15505.479600000001"/>
    <n v="12215.16"/>
    <n v="3290.3196000000007"/>
    <n v="0.21220366508366503"/>
    <n v="0"/>
    <e v="#DIV/0!"/>
    <x v="1"/>
  </r>
  <r>
    <s v="ORD-2023-610470"/>
    <x v="87"/>
    <x v="23"/>
    <s v="Q2-2023"/>
    <d v="2023-07-21T00:00:00"/>
    <s v="Valid"/>
    <d v="2023-07-21T00:00:00"/>
    <x v="2"/>
    <s v="Mar-2023"/>
    <n v="4"/>
    <n v="27"/>
    <x v="0"/>
    <x v="1"/>
    <x v="2"/>
    <s v="Nagoya"/>
    <s v="Consumer"/>
    <x v="2"/>
    <x v="1"/>
    <x v="3"/>
    <x v="284"/>
    <n v="554.76"/>
    <n v="728.69"/>
    <n v="728.69"/>
    <n v="845.52260000000012"/>
    <n v="1618.84"/>
    <s v="Low"/>
    <s v="OK"/>
    <n v="0.22"/>
    <s v="OK"/>
    <n v="7"/>
    <n v="3978.6474000000003"/>
    <n v="3883.3199999999997"/>
    <n v="95.32740000000058"/>
    <n v="2.395975074343119E-2"/>
    <n v="0"/>
    <e v="#DIV/0!"/>
    <x v="1"/>
  </r>
  <r>
    <s v="ORD-2025-541048"/>
    <x v="253"/>
    <x v="19"/>
    <s v="Q2-2025"/>
    <d v="2025-04-13T00:00:00"/>
    <s v="Valid"/>
    <d v="2025-04-13T00:00:00"/>
    <x v="18"/>
    <s v="Jan-2023"/>
    <n v="27"/>
    <n v="9"/>
    <x v="0"/>
    <x v="3"/>
    <x v="6"/>
    <s v="Munich"/>
    <s v="Consumer"/>
    <x v="2"/>
    <x v="9"/>
    <x v="3"/>
    <x v="285"/>
    <n v="7.02"/>
    <n v="6.28"/>
    <n v="6.28"/>
    <n v="858.29950000000019"/>
    <n v="1619.7749999999999"/>
    <s v="Low"/>
    <s v="OK"/>
    <n v="0.13400000000000001"/>
    <s v="OK"/>
    <n v="14"/>
    <n v="76.138720000000006"/>
    <n v="98.28"/>
    <n v="-22.141279999999995"/>
    <n v="-0.29080184169106066"/>
    <n v="0"/>
    <e v="#DIV/0!"/>
    <x v="1"/>
  </r>
  <r>
    <s v="ORD-2024-862371"/>
    <x v="254"/>
    <x v="29"/>
    <s v="Q3-2024"/>
    <d v="2024-09-07T00:00:00"/>
    <s v="Valid"/>
    <d v="2024-09-07T00:00:00"/>
    <x v="15"/>
    <s v="May-2023"/>
    <n v="17"/>
    <n v="0"/>
    <x v="1"/>
    <x v="1"/>
    <x v="4"/>
    <s v="Mumbai"/>
    <s v="Education"/>
    <x v="3"/>
    <x v="5"/>
    <x v="2"/>
    <x v="286"/>
    <n v="1066.6500000000001"/>
    <n v="2569.77"/>
    <n v="2569.77"/>
    <n v="865.03920000000005"/>
    <n v="1620.7628"/>
    <s v="High"/>
    <s v="OK"/>
    <n v="0.13400000000000001"/>
    <s v="OK"/>
    <n v="9"/>
    <n v="20028.787380000002"/>
    <n v="9599.85"/>
    <n v="10428.937380000001"/>
    <n v="0.52069739331368348"/>
    <n v="0"/>
    <e v="#DIV/0!"/>
    <x v="1"/>
  </r>
  <r>
    <s v="ORD-2024-277241"/>
    <x v="10"/>
    <x v="9"/>
    <s v="Q1-2024"/>
    <d v="2024-01-30T00:00:00"/>
    <s v="Valid"/>
    <d v="2024-01-30T00:00:00"/>
    <x v="13"/>
    <s v="Jan-2023"/>
    <n v="13"/>
    <n v="2"/>
    <x v="1"/>
    <x v="0"/>
    <x v="11"/>
    <s v="Cape Town"/>
    <s v="Consumer"/>
    <x v="4"/>
    <x v="9"/>
    <x v="6"/>
    <x v="287"/>
    <n v="798.45"/>
    <n v="1592.02"/>
    <n v="1592.02"/>
    <n v="862.57740000000001"/>
    <n v="1618.895"/>
    <s v="Medium"/>
    <s v="OK"/>
    <n v="6.6000000000000003E-2"/>
    <s v="OK"/>
    <n v="18"/>
    <n v="26765.040239999998"/>
    <n v="14372.1"/>
    <n v="12392.940239999998"/>
    <n v="0.46302714768494585"/>
    <n v="0"/>
    <e v="#DIV/0!"/>
    <x v="1"/>
  </r>
  <r>
    <s v="ORD-2023-369150"/>
    <x v="255"/>
    <x v="24"/>
    <s v="Q3-2023"/>
    <d v="2023-08-10T00:00:00"/>
    <s v="Valid"/>
    <d v="2023-08-10T00:00:00"/>
    <x v="13"/>
    <s v="Jan-2023"/>
    <n v="7"/>
    <n v="23"/>
    <x v="0"/>
    <x v="0"/>
    <x v="11"/>
    <s v="Johannesburg"/>
    <s v="Small Business"/>
    <x v="0"/>
    <x v="4"/>
    <x v="0"/>
    <x v="288"/>
    <n v="1271.56"/>
    <n v="995.47"/>
    <n v="995.47"/>
    <n v="858.49019999999996"/>
    <n v="1619.83"/>
    <s v="Medium"/>
    <s v="OK"/>
    <n v="0.192"/>
    <s v="OK"/>
    <n v="13"/>
    <n v="10456.416880000001"/>
    <n v="16530.28"/>
    <n v="-6073.8631199999982"/>
    <n v="-0.58087423155607754"/>
    <n v="0"/>
    <e v="#DIV/0!"/>
    <x v="1"/>
  </r>
  <r>
    <s v="ORD-2025-922513"/>
    <x v="256"/>
    <x v="28"/>
    <s v="Q3-2025"/>
    <d v="2025-08-26T00:00:00"/>
    <s v="Invalid"/>
    <d v="2025-08-28T00:00:00"/>
    <x v="5"/>
    <s v="Feb-2023"/>
    <n v="31"/>
    <n v="0"/>
    <x v="1"/>
    <x v="0"/>
    <x v="1"/>
    <s v="Port Harcourt"/>
    <s v="Small Business"/>
    <x v="0"/>
    <x v="8"/>
    <x v="6"/>
    <x v="289"/>
    <n v="521.05999999999995"/>
    <n v="1240.31"/>
    <n v="1240.31"/>
    <n v="852.19709999999998"/>
    <n v="1620.8442"/>
    <s v="Medium"/>
    <s v="OK"/>
    <n v="0.14599999999999999"/>
    <s v="OK"/>
    <n v="18"/>
    <n v="19066.045319999997"/>
    <n v="9379.0799999999981"/>
    <n v="9686.9653199999993"/>
    <n v="0.50807417885650974"/>
    <n v="0"/>
    <e v="#DIV/0!"/>
    <x v="1"/>
  </r>
  <r>
    <s v="ORD-2025-752845"/>
    <x v="257"/>
    <x v="3"/>
    <s v="Q1-2025"/>
    <d v="2025-04-07T00:00:00"/>
    <s v="Valid"/>
    <d v="2025-04-07T00:00:00"/>
    <x v="6"/>
    <s v="Jan-2023"/>
    <n v="27"/>
    <n v="8"/>
    <x v="0"/>
    <x v="2"/>
    <x v="5"/>
    <s v="São Paulo"/>
    <s v="Non-Profit"/>
    <x v="4"/>
    <x v="4"/>
    <x v="1"/>
    <x v="290"/>
    <n v="71.62"/>
    <n v="118.37"/>
    <n v="118.37"/>
    <n v="845.90400000000011"/>
    <n v="1622.2280000000001"/>
    <s v="Low"/>
    <s v="OK"/>
    <n v="0.156"/>
    <s v="OK"/>
    <n v="11"/>
    <n v="1098.9470800000001"/>
    <n v="787.82"/>
    <n v="311.12708000000009"/>
    <n v="0.28311379652603474"/>
    <n v="0"/>
    <e v="#DIV/0!"/>
    <x v="1"/>
  </r>
  <r>
    <s v="ORD-2023-667815"/>
    <x v="258"/>
    <x v="32"/>
    <s v="Q4-2023"/>
    <d v="2023-11-09T00:00:00"/>
    <s v="Valid"/>
    <d v="2023-11-09T00:00:00"/>
    <x v="9"/>
    <s v="Jan-2023"/>
    <n v="10"/>
    <n v="19"/>
    <x v="0"/>
    <x v="3"/>
    <x v="8"/>
    <s v="London"/>
    <s v="Non-Profit"/>
    <x v="4"/>
    <x v="8"/>
    <x v="6"/>
    <x v="291"/>
    <n v="1142.48"/>
    <n v="2105.5300000000002"/>
    <n v="2105.5300000000002"/>
    <n v="858.68090000000007"/>
    <n v="1623.6118000000001"/>
    <s v="High"/>
    <s v="OK"/>
    <n v="0.20699999999999999"/>
    <s v="OK"/>
    <n v="14"/>
    <n v="23375.594060000003"/>
    <n v="15994.720000000001"/>
    <n v="7380.8740600000019"/>
    <n v="0.31575129346680658"/>
    <n v="0"/>
    <e v="#DIV/0!"/>
    <x v="1"/>
  </r>
  <r>
    <s v="ORD-2023-375011"/>
    <x v="259"/>
    <x v="25"/>
    <s v="Q3-2023"/>
    <d v="2023-09-22T00:00:00"/>
    <s v="Valid"/>
    <d v="2023-09-22T00:00:00"/>
    <x v="9"/>
    <s v="Jan-2023"/>
    <n v="8"/>
    <n v="30"/>
    <x v="0"/>
    <x v="3"/>
    <x v="8"/>
    <s v="London"/>
    <s v="Consumer"/>
    <x v="3"/>
    <x v="7"/>
    <x v="6"/>
    <x v="292"/>
    <n v="209.81"/>
    <n v="523"/>
    <n v="523"/>
    <n v="852.38780000000008"/>
    <n v="1620.9256"/>
    <s v="Low"/>
    <s v="OK"/>
    <n v="5.8999999999999997E-2"/>
    <s v="OK"/>
    <n v="15"/>
    <n v="7382.1450000000004"/>
    <n v="3147.15"/>
    <n v="4234.9950000000008"/>
    <n v="0.57368082041195356"/>
    <n v="0"/>
    <e v="#DIV/0!"/>
    <x v="1"/>
  </r>
  <r>
    <s v="ORD-2025-487025"/>
    <x v="260"/>
    <x v="19"/>
    <s v="Q2-2025"/>
    <d v="2025-05-04T00:00:00"/>
    <s v="Valid"/>
    <d v="2025-05-04T00:00:00"/>
    <x v="2"/>
    <s v="Mar-2023"/>
    <n v="26"/>
    <n v="23"/>
    <x v="0"/>
    <x v="1"/>
    <x v="2"/>
    <s v="Osaka"/>
    <s v="Small Business"/>
    <x v="1"/>
    <x v="12"/>
    <x v="0"/>
    <x v="293"/>
    <n v="786.2"/>
    <n v="1075.3"/>
    <n v="1075.3"/>
    <n v="862.72660000000008"/>
    <n v="1622.3094000000001"/>
    <s v="Medium"/>
    <s v="OK"/>
    <n v="0.08"/>
    <s v="OK"/>
    <n v="9"/>
    <n v="8903.4839999999986"/>
    <n v="7075.8"/>
    <n v="1827.6839999999984"/>
    <n v="0.20527739478163815"/>
    <n v="0"/>
    <e v="#DIV/0!"/>
    <x v="1"/>
  </r>
  <r>
    <s v="ORD-2025-398335"/>
    <x v="261"/>
    <x v="16"/>
    <s v="Q2-2025"/>
    <d v="2025-06-27T00:00:00"/>
    <s v="Valid"/>
    <d v="2025-06-27T00:00:00"/>
    <x v="18"/>
    <s v="Jan-2023"/>
    <n v="29"/>
    <n v="26"/>
    <x v="0"/>
    <x v="3"/>
    <x v="6"/>
    <s v="Munich"/>
    <s v="Consumer"/>
    <x v="3"/>
    <x v="6"/>
    <x v="4"/>
    <x v="294"/>
    <n v="1362.31"/>
    <n v="3294.57"/>
    <n v="3294.57"/>
    <n v="858.87160000000017"/>
    <n v="1623.6932000000002"/>
    <s v="High"/>
    <s v="OK"/>
    <n v="0.113"/>
    <s v="OK"/>
    <n v="7"/>
    <n v="20455.985130000001"/>
    <n v="9536.17"/>
    <n v="10919.815130000001"/>
    <n v="0.5338200561157721"/>
    <n v="0"/>
    <e v="#DIV/0!"/>
    <x v="1"/>
  </r>
  <r>
    <s v="ORD-2024-792137"/>
    <x v="262"/>
    <x v="0"/>
    <s v="Q1-2024"/>
    <d v="2024-03-16T00:00:00"/>
    <s v="Valid"/>
    <d v="2024-03-16T00:00:00"/>
    <x v="19"/>
    <s v="Apr-2023"/>
    <n v="11"/>
    <n v="14"/>
    <x v="0"/>
    <x v="2"/>
    <x v="3"/>
    <s v="Vancouver"/>
    <s v="Non-Profit"/>
    <x v="4"/>
    <x v="7"/>
    <x v="1"/>
    <x v="295"/>
    <n v="248.24"/>
    <n v="464.05"/>
    <n v="464.05"/>
    <n v="852.57850000000019"/>
    <n v="1621.0070000000001"/>
    <s v="Low"/>
    <s v="OK"/>
    <n v="0.16900000000000001"/>
    <s v="OK"/>
    <n v="11"/>
    <n v="4241.88105"/>
    <n v="2730.6400000000003"/>
    <n v="1511.2410499999996"/>
    <n v="0.3562667203975462"/>
    <n v="0"/>
    <e v="#DIV/0!"/>
    <x v="1"/>
  </r>
  <r>
    <s v="ORD-2023-602648"/>
    <x v="263"/>
    <x v="23"/>
    <s v="Q2-2023"/>
    <d v="2023-07-08T00:00:00"/>
    <s v="Valid"/>
    <d v="2023-07-08T00:00:00"/>
    <x v="16"/>
    <s v="Feb-2023"/>
    <n v="5"/>
    <n v="18"/>
    <x v="0"/>
    <x v="2"/>
    <x v="10"/>
    <s v="Austin"/>
    <s v="Non-Profit"/>
    <x v="4"/>
    <x v="9"/>
    <x v="5"/>
    <x v="296"/>
    <n v="337"/>
    <n v="511.03"/>
    <n v="511.03"/>
    <n v="862.80119999999999"/>
    <n v="1622.3907999999999"/>
    <s v="Low"/>
    <s v="OK"/>
    <n v="0.108"/>
    <s v="OK"/>
    <n v="7"/>
    <n v="3190.8713200000002"/>
    <n v="2359"/>
    <n v="831.8713200000002"/>
    <n v="0.26070349963219458"/>
    <n v="0"/>
    <e v="#DIV/0!"/>
    <x v="1"/>
  </r>
  <r>
    <s v="ORD-2024-207096"/>
    <x v="264"/>
    <x v="0"/>
    <s v="Q1-2024"/>
    <d v="2024-04-05T00:00:00"/>
    <s v="Valid"/>
    <d v="2024-04-05T00:00:00"/>
    <x v="16"/>
    <s v="Feb-2023"/>
    <n v="14"/>
    <n v="10"/>
    <x v="0"/>
    <x v="2"/>
    <x v="10"/>
    <s v="Austin"/>
    <s v="Consumer"/>
    <x v="4"/>
    <x v="1"/>
    <x v="5"/>
    <x v="297"/>
    <n v="5.66"/>
    <n v="4.22"/>
    <n v="4.22"/>
    <n v="867.79939999999999"/>
    <n v="1623.7746"/>
    <s v="Low"/>
    <s v="OK"/>
    <n v="0.11899999999999999"/>
    <s v="OK"/>
    <n v="18"/>
    <n v="66.920760000000001"/>
    <n v="101.88"/>
    <n v="-34.959239999999994"/>
    <n v="-0.52239753403876454"/>
    <n v="0"/>
    <e v="#DIV/0!"/>
    <x v="1"/>
  </r>
  <r>
    <s v="ORD-2025-939953"/>
    <x v="265"/>
    <x v="10"/>
    <s v="Q1-2025"/>
    <d v="2025-01-22T00:00:00"/>
    <s v="Valid"/>
    <d v="2025-01-22T00:00:00"/>
    <x v="8"/>
    <s v="Jan-2023"/>
    <n v="25"/>
    <n v="0"/>
    <x v="1"/>
    <x v="3"/>
    <x v="7"/>
    <s v="Lyon"/>
    <s v="Small Business"/>
    <x v="1"/>
    <x v="5"/>
    <x v="6"/>
    <x v="298"/>
    <n v="591.72"/>
    <n v="577.24"/>
    <n v="577.24"/>
    <n v="873.20640000000003"/>
    <n v="1624.76"/>
    <s v="Low"/>
    <s v="OK"/>
    <n v="0"/>
    <s v="OK"/>
    <n v="22"/>
    <n v="12699.28"/>
    <n v="13017.84"/>
    <n v="-318.55999999999949"/>
    <n v="-2.5084886702238195E-2"/>
    <n v="0"/>
    <e v="#DIV/0!"/>
    <x v="1"/>
  </r>
  <r>
    <s v="ORD-2025-191328"/>
    <x v="266"/>
    <x v="8"/>
    <s v="Q2-2025"/>
    <d v="2025-05-27T00:00:00"/>
    <s v="Valid"/>
    <d v="2025-05-27T00:00:00"/>
    <x v="19"/>
    <s v="Apr-2023"/>
    <n v="25"/>
    <n v="17"/>
    <x v="0"/>
    <x v="2"/>
    <x v="3"/>
    <s v="Vancouver"/>
    <s v="Education"/>
    <x v="4"/>
    <x v="0"/>
    <x v="0"/>
    <x v="299"/>
    <n v="862.89"/>
    <n v="1426.03"/>
    <n v="1426.03"/>
    <n v="877.25159999999994"/>
    <n v="1625.0150000000001"/>
    <s v="Medium"/>
    <s v="OK"/>
    <n v="5.6000000000000001E-2"/>
    <s v="OK"/>
    <n v="19"/>
    <n v="25577.274079999999"/>
    <n v="16394.91"/>
    <n v="9182.3640799999994"/>
    <n v="0.35900479665188778"/>
    <n v="0"/>
    <e v="#DIV/0!"/>
    <x v="1"/>
  </r>
  <r>
    <s v="ORD-2023-166668"/>
    <x v="230"/>
    <x v="32"/>
    <s v="Q4-2023"/>
    <d v="2023-10-31T00:00:00"/>
    <s v="Valid"/>
    <d v="2023-10-31T00:00:00"/>
    <x v="10"/>
    <s v="Jan-2023"/>
    <n v="9"/>
    <n v="26"/>
    <x v="0"/>
    <x v="1"/>
    <x v="9"/>
    <s v="Shanghai"/>
    <s v="Consumer"/>
    <x v="5"/>
    <x v="1"/>
    <x v="1"/>
    <x v="300"/>
    <n v="649.91"/>
    <n v="1360.12"/>
    <n v="1360.12"/>
    <n v="875.99099999999999"/>
    <n v="1625.27"/>
    <s v="Medium"/>
    <s v="OK"/>
    <n v="0.19400000000000001"/>
    <s v="OK"/>
    <n v="9"/>
    <n v="9866.3104799999983"/>
    <n v="5849.19"/>
    <n v="4017.1204799999987"/>
    <n v="0.40715528749506769"/>
    <n v="0"/>
    <e v="#DIV/0!"/>
    <x v="1"/>
  </r>
  <r>
    <s v="ORD-2023-594700"/>
    <x v="255"/>
    <x v="24"/>
    <s v="Q3-2023"/>
    <d v="2023-07-22T00:00:00"/>
    <s v="Valid"/>
    <d v="2023-07-22T00:00:00"/>
    <x v="6"/>
    <s v="Jan-2023"/>
    <n v="6"/>
    <n v="4"/>
    <x v="1"/>
    <x v="2"/>
    <x v="5"/>
    <s v="São Paulo"/>
    <s v="Consumer"/>
    <x v="4"/>
    <x v="9"/>
    <x v="2"/>
    <x v="301"/>
    <n v="1269.55"/>
    <n v="2071.1"/>
    <n v="2071.1"/>
    <n v="873.28830000000005"/>
    <n v="1626.1158000000003"/>
    <s v="High"/>
    <s v="OK"/>
    <n v="0.129"/>
    <s v="OK"/>
    <n v="22"/>
    <n v="39686.4182"/>
    <n v="27930.1"/>
    <n v="11756.318200000002"/>
    <n v="0.29623026549672354"/>
    <n v="0"/>
    <e v="#DIV/0!"/>
    <x v="1"/>
  </r>
  <r>
    <s v="ORD-2025-278048"/>
    <x v="267"/>
    <x v="16"/>
    <s v="Q2-2025"/>
    <d v="2025-07-08T00:00:00"/>
    <s v="Valid"/>
    <d v="2025-07-08T00:00:00"/>
    <x v="9"/>
    <s v="Jan-2023"/>
    <n v="30"/>
    <n v="16"/>
    <x v="0"/>
    <x v="3"/>
    <x v="8"/>
    <s v="London"/>
    <s v="Education"/>
    <x v="4"/>
    <x v="8"/>
    <x v="3"/>
    <x v="302"/>
    <n v="892.73"/>
    <n v="979.84"/>
    <n v="979.84"/>
    <n v="870.58560000000011"/>
    <n v="1625.0300000000002"/>
    <s v="Medium"/>
    <s v="OK"/>
    <n v="0.17399999999999999"/>
    <s v="OK"/>
    <n v="10"/>
    <n v="8093.4784"/>
    <n v="8927.2999999999993"/>
    <n v="-833.82159999999931"/>
    <n v="-0.10302388649112838"/>
    <n v="0"/>
    <e v="#DIV/0!"/>
    <x v="1"/>
  </r>
  <r>
    <s v="ORD-2024-878493"/>
    <x v="268"/>
    <x v="17"/>
    <s v="Q2-2024"/>
    <d v="2024-06-20T00:00:00"/>
    <s v="Valid"/>
    <d v="2024-06-20T00:00:00"/>
    <x v="17"/>
    <s v="Feb-2023"/>
    <n v="16"/>
    <n v="1"/>
    <x v="1"/>
    <x v="0"/>
    <x v="0"/>
    <s v="Kisumu"/>
    <s v="Small Business"/>
    <x v="4"/>
    <x v="1"/>
    <x v="4"/>
    <x v="303"/>
    <n v="231.63"/>
    <n v="537.39"/>
    <n v="537.39"/>
    <n v="867.94860000000006"/>
    <n v="1625.2850000000001"/>
    <s v="Low"/>
    <s v="OK"/>
    <n v="0.08"/>
    <s v="OK"/>
    <n v="12"/>
    <n v="5932.7856000000002"/>
    <n v="2779.56"/>
    <n v="3153.2256000000002"/>
    <n v="0.53149158129024587"/>
    <n v="0"/>
    <e v="#DIV/0!"/>
    <x v="1"/>
  </r>
  <r>
    <s v="ORD-2025-138578"/>
    <x v="69"/>
    <x v="19"/>
    <s v="Q2-2025"/>
    <d v="2025-04-12T00:00:00"/>
    <s v="Valid"/>
    <d v="2025-04-12T00:00:00"/>
    <x v="8"/>
    <s v="Jan-2023"/>
    <n v="27"/>
    <n v="3"/>
    <x v="1"/>
    <x v="3"/>
    <x v="7"/>
    <s v="Lyon"/>
    <s v="Small Business"/>
    <x v="3"/>
    <x v="10"/>
    <x v="5"/>
    <x v="304"/>
    <n v="86.68"/>
    <n v="213.32"/>
    <n v="213.32"/>
    <n v="873.37019999999995"/>
    <n v="1626.2152000000001"/>
    <s v="Low"/>
    <s v="OK"/>
    <n v="3.7999999999999999E-2"/>
    <s v="OK"/>
    <n v="8"/>
    <n v="1641.7107199999998"/>
    <n v="693.44"/>
    <n v="948.27071999999976"/>
    <n v="0.57761133459614611"/>
    <n v="0"/>
    <e v="#DIV/0!"/>
    <x v="1"/>
  </r>
  <r>
    <s v="ORD-2025-944081"/>
    <x v="80"/>
    <x v="3"/>
    <s v="Q1-2025"/>
    <d v="2025-03-26T00:00:00"/>
    <s v="Valid"/>
    <d v="2025-03-26T00:00:00"/>
    <x v="5"/>
    <s v="Feb-2023"/>
    <n v="26"/>
    <n v="1"/>
    <x v="1"/>
    <x v="0"/>
    <x v="1"/>
    <s v="Lagos"/>
    <s v="Education"/>
    <x v="3"/>
    <x v="3"/>
    <x v="6"/>
    <x v="305"/>
    <n v="1450.43"/>
    <n v="1994.67"/>
    <n v="1994.67"/>
    <n v="877.29"/>
    <n v="1627.9050000000002"/>
    <s v="High"/>
    <s v="OK"/>
    <n v="0.1"/>
    <s v="OK"/>
    <n v="24"/>
    <n v="43084.872000000003"/>
    <n v="34810.32"/>
    <n v="8274.5520000000033"/>
    <n v="0.19205237513529116"/>
    <n v="0"/>
    <e v="#DIV/0!"/>
    <x v="1"/>
  </r>
  <r>
    <s v="ORD-2025-364852"/>
    <x v="269"/>
    <x v="8"/>
    <s v="Q2-2025"/>
    <d v="2025-06-09T00:00:00"/>
    <s v="Valid"/>
    <d v="2025-06-09T00:00:00"/>
    <x v="16"/>
    <s v="Feb-2023"/>
    <n v="28"/>
    <n v="22"/>
    <x v="0"/>
    <x v="2"/>
    <x v="10"/>
    <s v="New York"/>
    <s v="Consumer"/>
    <x v="0"/>
    <x v="10"/>
    <x v="2"/>
    <x v="306"/>
    <n v="382.96"/>
    <n v="552.84"/>
    <n v="552.84"/>
    <n v="876.15479999999991"/>
    <n v="1625.3000000000002"/>
    <s v="Low"/>
    <s v="OK"/>
    <n v="0.17599999999999999"/>
    <s v="OK"/>
    <n v="8"/>
    <n v="3644.3212800000006"/>
    <n v="3063.68"/>
    <n v="580.64128000000073"/>
    <n v="0.15932768693763483"/>
    <n v="0"/>
    <e v="#DIV/0!"/>
    <x v="1"/>
  </r>
  <r>
    <s v="ORD-2025-415018"/>
    <x v="265"/>
    <x v="10"/>
    <s v="Q1-2025"/>
    <d v="2025-02-04T00:00:00"/>
    <s v="Valid"/>
    <d v="2025-02-04T00:00:00"/>
    <x v="2"/>
    <s v="Mar-2023"/>
    <n v="23"/>
    <n v="13"/>
    <x v="0"/>
    <x v="1"/>
    <x v="2"/>
    <s v="Tokyo"/>
    <s v="Small Business"/>
    <x v="3"/>
    <x v="4"/>
    <x v="1"/>
    <x v="307"/>
    <n v="122.29"/>
    <n v="224.95"/>
    <n v="224.95"/>
    <n v="877.94280000000003"/>
    <n v="1626.3146000000002"/>
    <s v="Low"/>
    <s v="OK"/>
    <n v="0.153"/>
    <s v="OK"/>
    <n v="28"/>
    <n v="5334.9141999999993"/>
    <n v="3424.1200000000003"/>
    <n v="1910.7941999999989"/>
    <n v="0.3581677471026618"/>
    <n v="0"/>
    <e v="#DIV/0!"/>
    <x v="1"/>
  </r>
  <r>
    <s v="ORD-2023-884192"/>
    <x v="270"/>
    <x v="5"/>
    <s v="Q1-2023"/>
    <d v="2023-01-29T00:00:00"/>
    <s v="Valid"/>
    <d v="2023-01-29T00:00:00"/>
    <x v="8"/>
    <s v="Jan-2023"/>
    <n v="1"/>
    <n v="19"/>
    <x v="0"/>
    <x v="3"/>
    <x v="7"/>
    <s v="Lyon"/>
    <s v="Non-Profit"/>
    <x v="4"/>
    <x v="14"/>
    <x v="4"/>
    <x v="308"/>
    <n v="401.66"/>
    <n v="772.09"/>
    <n v="772.09"/>
    <n v="879.31760000000008"/>
    <n v="1628.0044"/>
    <s v="Low"/>
    <s v="OK"/>
    <n v="8.8999999999999996E-2"/>
    <s v="OK"/>
    <n v="14"/>
    <n v="9847.2358600000007"/>
    <n v="5623.2400000000007"/>
    <n v="4223.99586"/>
    <n v="0.42895244107619046"/>
    <n v="0"/>
    <e v="#DIV/0!"/>
    <x v="1"/>
  </r>
  <r>
    <s v="ORD-2024-165942"/>
    <x v="271"/>
    <x v="6"/>
    <s v="Q4-2024"/>
    <d v="2025-01-12T00:00:00"/>
    <s v="Valid"/>
    <d v="2025-01-12T00:00:00"/>
    <x v="9"/>
    <s v="Jan-2023"/>
    <n v="24"/>
    <n v="14"/>
    <x v="0"/>
    <x v="3"/>
    <x v="8"/>
    <s v="Manchester"/>
    <s v="Corporate"/>
    <x v="4"/>
    <x v="5"/>
    <x v="5"/>
    <x v="309"/>
    <n v="1399.72"/>
    <n v="3149.21"/>
    <n v="3149.21"/>
    <n v="880.83180000000004"/>
    <n v="1629.6942000000001"/>
    <s v="High"/>
    <s v="OK"/>
    <n v="0.185"/>
    <s v="OK"/>
    <n v="12"/>
    <n v="30799.273800000003"/>
    <n v="16796.64"/>
    <n v="14002.633800000003"/>
    <n v="0.45464168703873797"/>
    <n v="0"/>
    <e v="#DIV/0!"/>
    <x v="1"/>
  </r>
  <r>
    <s v="ORD-2024-403664"/>
    <x v="154"/>
    <x v="7"/>
    <s v="Q2-2024"/>
    <d v="2024-06-06T00:00:00"/>
    <s v="Valid"/>
    <d v="2024-06-06T00:00:00"/>
    <x v="6"/>
    <s v="Jan-2023"/>
    <n v="16"/>
    <n v="14"/>
    <x v="0"/>
    <x v="2"/>
    <x v="5"/>
    <s v="Rio De Janeiro"/>
    <s v="Non-Profit"/>
    <x v="1"/>
    <x v="2"/>
    <x v="2"/>
    <x v="310"/>
    <n v="51.13"/>
    <n v="57.53"/>
    <n v="57.53"/>
    <n v="880.08600000000001"/>
    <n v="1626.4140000000002"/>
    <s v="Low"/>
    <s v="OK"/>
    <n v="4.4999999999999998E-2"/>
    <s v="OK"/>
    <n v="16"/>
    <n v="879.05840000000001"/>
    <n v="818.08"/>
    <n v="60.978399999999965"/>
    <n v="6.9367859973808302E-2"/>
    <n v="0"/>
    <e v="#DIV/0!"/>
    <x v="1"/>
  </r>
  <r>
    <s v="ORD-2023-890605"/>
    <x v="87"/>
    <x v="23"/>
    <s v="Q2-2023"/>
    <d v="2023-06-22T00:00:00"/>
    <s v="Invalid"/>
    <d v="2023-06-24T00:00:00"/>
    <x v="19"/>
    <s v="Apr-2023"/>
    <n v="3"/>
    <n v="0"/>
    <x v="1"/>
    <x v="2"/>
    <x v="3"/>
    <s v="Toronto"/>
    <s v="Non-Profit"/>
    <x v="0"/>
    <x v="12"/>
    <x v="6"/>
    <x v="311"/>
    <n v="471.42"/>
    <n v="824.81"/>
    <n v="824.81"/>
    <n v="882.3211"/>
    <n v="1628.1038000000001"/>
    <s v="Low"/>
    <s v="OK"/>
    <n v="8.7999999999999995E-2"/>
    <s v="OK"/>
    <n v="15"/>
    <n v="11283.400799999999"/>
    <n v="7071.3"/>
    <n v="4212.1007999999993"/>
    <n v="0.37330064531608231"/>
    <n v="0"/>
    <e v="#DIV/0!"/>
    <x v="1"/>
  </r>
  <r>
    <s v="ORD-2024-925626"/>
    <x v="272"/>
    <x v="18"/>
    <s v="Q4-2024"/>
    <d v="2024-11-05T00:00:00"/>
    <s v="Valid"/>
    <d v="2024-11-05T00:00:00"/>
    <x v="9"/>
    <s v="Jan-2023"/>
    <n v="22"/>
    <n v="1"/>
    <x v="1"/>
    <x v="3"/>
    <x v="8"/>
    <s v="London"/>
    <s v="Corporate"/>
    <x v="0"/>
    <x v="12"/>
    <x v="1"/>
    <x v="312"/>
    <n v="840.68"/>
    <n v="1493.53"/>
    <n v="1493.53"/>
    <n v="885.62419999999997"/>
    <n v="1629.7936000000002"/>
    <s v="Medium"/>
    <s v="OK"/>
    <n v="0"/>
    <s v="OK"/>
    <n v="27"/>
    <n v="40325.31"/>
    <n v="22698.359999999997"/>
    <n v="17626.95"/>
    <n v="0.43711877230454027"/>
    <n v="0"/>
    <e v="#DIV/0!"/>
    <x v="1"/>
  </r>
  <r>
    <s v="ORD-2024-427031"/>
    <x v="273"/>
    <x v="17"/>
    <s v="Q2-2024"/>
    <d v="2024-06-24T00:00:00"/>
    <s v="Valid"/>
    <d v="2024-06-24T00:00:00"/>
    <x v="13"/>
    <s v="Jan-2023"/>
    <n v="18"/>
    <n v="16"/>
    <x v="0"/>
    <x v="0"/>
    <x v="11"/>
    <s v="Durban"/>
    <s v="Education"/>
    <x v="3"/>
    <x v="10"/>
    <x v="5"/>
    <x v="313"/>
    <n v="597.85"/>
    <n v="741.92"/>
    <n v="741.92"/>
    <n v="883.9973"/>
    <n v="1631.3733999999999"/>
    <s v="Low"/>
    <s v="OK"/>
    <n v="3.1E-2"/>
    <s v="OK"/>
    <n v="7"/>
    <n v="5032.4433599999993"/>
    <n v="4184.95"/>
    <n v="847.49335999999948"/>
    <n v="0.16840594108544515"/>
    <n v="0"/>
    <e v="#DIV/0!"/>
    <x v="1"/>
  </r>
  <r>
    <s v="ORD-2025-231184"/>
    <x v="261"/>
    <x v="16"/>
    <s v="Q2-2025"/>
    <d v="2025-06-06T00:00:00"/>
    <s v="Valid"/>
    <d v="2025-06-06T00:00:00"/>
    <x v="20"/>
    <s v="Feb-2023"/>
    <n v="28"/>
    <n v="5"/>
    <x v="1"/>
    <x v="3"/>
    <x v="7"/>
    <s v="Paris"/>
    <s v="Consumer"/>
    <x v="3"/>
    <x v="3"/>
    <x v="0"/>
    <x v="314"/>
    <n v="379.45"/>
    <n v="742.23"/>
    <n v="742.23"/>
    <n v="887.54679999999996"/>
    <n v="1632.8932"/>
    <s v="Low"/>
    <s v="OK"/>
    <n v="0.09"/>
    <s v="OK"/>
    <n v="13"/>
    <n v="8780.5809000000008"/>
    <n v="4932.8499999999995"/>
    <n v="3847.7309000000014"/>
    <n v="0.43820915083192286"/>
    <n v="0"/>
    <e v="#DIV/0!"/>
    <x v="1"/>
  </r>
  <r>
    <s v="ORD-2023-363031"/>
    <x v="274"/>
    <x v="15"/>
    <s v="Q2-2023"/>
    <d v="2023-05-14T00:00:00"/>
    <s v="Valid"/>
    <d v="2023-05-14T00:00:00"/>
    <x v="2"/>
    <s v="Mar-2023"/>
    <n v="3"/>
    <n v="8"/>
    <x v="0"/>
    <x v="1"/>
    <x v="2"/>
    <s v="Osaka"/>
    <s v="Enterprise"/>
    <x v="2"/>
    <x v="5"/>
    <x v="3"/>
    <x v="315"/>
    <n v="291.18"/>
    <n v="479.54"/>
    <n v="479.54"/>
    <n v="891.43950000000007"/>
    <n v="1634.413"/>
    <s v="Low"/>
    <s v="OK"/>
    <n v="0.14099999999999999"/>
    <s v="OK"/>
    <n v="22"/>
    <n v="9062.34692"/>
    <n v="6405.96"/>
    <n v="2656.3869199999999"/>
    <n v="0.29312350801066001"/>
    <n v="0"/>
    <e v="#DIV/0!"/>
    <x v="1"/>
  </r>
  <r>
    <s v="ORD-2023-619570"/>
    <x v="275"/>
    <x v="30"/>
    <s v="Q4-2023"/>
    <d v="2023-11-30T00:00:00"/>
    <s v="Valid"/>
    <d v="2023-11-30T00:00:00"/>
    <x v="6"/>
    <s v="Jan-2023"/>
    <n v="10"/>
    <n v="16"/>
    <x v="0"/>
    <x v="2"/>
    <x v="5"/>
    <s v="São Paulo"/>
    <s v="Enterprise"/>
    <x v="4"/>
    <x v="11"/>
    <x v="2"/>
    <x v="316"/>
    <n v="1017.92"/>
    <n v="1175.25"/>
    <n v="1175.25"/>
    <n v="896.75200000000007"/>
    <n v="1636.48"/>
    <s v="Medium"/>
    <s v="OK"/>
    <n v="7.4999999999999997E-2"/>
    <s v="OK"/>
    <n v="15"/>
    <n v="16306.59375"/>
    <n v="15268.8"/>
    <n v="1037.7937500000007"/>
    <n v="6.3642583234159542E-2"/>
    <n v="0"/>
    <e v="#DIV/0!"/>
    <x v="1"/>
  </r>
  <r>
    <s v="ORD-2025-861401"/>
    <x v="276"/>
    <x v="19"/>
    <s v="Q2-2025"/>
    <d v="2025-04-27T00:00:00"/>
    <s v="Valid"/>
    <d v="2025-04-27T00:00:00"/>
    <x v="16"/>
    <s v="Feb-2023"/>
    <n v="26"/>
    <n v="26"/>
    <x v="0"/>
    <x v="2"/>
    <x v="10"/>
    <s v="San Francisco"/>
    <s v="Corporate"/>
    <x v="4"/>
    <x v="2"/>
    <x v="5"/>
    <x v="317"/>
    <n v="156.55000000000001"/>
    <n v="227.45"/>
    <n v="227.45"/>
    <n v="894.07900000000006"/>
    <n v="1638.7750000000001"/>
    <s v="Low"/>
    <s v="OK"/>
    <n v="1.4E-2"/>
    <s v="OK"/>
    <n v="13"/>
    <n v="2915.4540999999999"/>
    <n v="2035.15"/>
    <n v="880.30409999999983"/>
    <n v="0.3019440779396938"/>
    <n v="0"/>
    <e v="#DIV/0!"/>
    <x v="1"/>
  </r>
  <r>
    <s v="ORD-2023-835010"/>
    <x v="277"/>
    <x v="22"/>
    <s v="Q1-2023"/>
    <d v="2023-04-15T00:00:00"/>
    <s v="Valid"/>
    <d v="2023-04-15T00:00:00"/>
    <x v="17"/>
    <s v="Feb-2023"/>
    <n v="2"/>
    <n v="23"/>
    <x v="0"/>
    <x v="0"/>
    <x v="0"/>
    <s v="Mombasa"/>
    <s v="Small Business"/>
    <x v="0"/>
    <x v="0"/>
    <x v="6"/>
    <x v="318"/>
    <n v="875.36"/>
    <n v="1178.6199999999999"/>
    <n v="1178.6199999999999"/>
    <n v="899.50600000000009"/>
    <n v="1641.07"/>
    <s v="Medium"/>
    <s v="OK"/>
    <n v="0.151"/>
    <s v="OK"/>
    <n v="53"/>
    <n v="53034.364139999991"/>
    <n v="46394.080000000002"/>
    <n v="6640.2841399999888"/>
    <n v="0.12520719815685888"/>
    <n v="0"/>
    <e v="#DIV/0!"/>
    <x v="1"/>
  </r>
  <r>
    <s v="ORD-2024-819979"/>
    <x v="91"/>
    <x v="7"/>
    <s v="Q2-2024"/>
    <d v="2024-06-18T00:00:00"/>
    <s v="Valid"/>
    <d v="2024-06-18T00:00:00"/>
    <x v="18"/>
    <s v="Jan-2023"/>
    <n v="17"/>
    <n v="21"/>
    <x v="0"/>
    <x v="3"/>
    <x v="6"/>
    <s v="Frankfurt"/>
    <s v="Small Business"/>
    <x v="1"/>
    <x v="6"/>
    <x v="3"/>
    <x v="319"/>
    <n v="986.85"/>
    <n v="2422.1"/>
    <n v="2422.1"/>
    <n v="896.83300000000008"/>
    <n v="1642.6161999999999"/>
    <s v="High"/>
    <s v="OK"/>
    <n v="7.5999999999999998E-2"/>
    <s v="OK"/>
    <n v="10"/>
    <n v="22380.204000000002"/>
    <n v="9868.5"/>
    <n v="12511.704000000002"/>
    <n v="0.55905227673527913"/>
    <n v="0"/>
    <e v="#DIV/0!"/>
    <x v="1"/>
  </r>
  <r>
    <s v="ORD-2024-719055"/>
    <x v="278"/>
    <x v="9"/>
    <s v="Q1-2024"/>
    <d v="2024-01-01T00:00:00"/>
    <s v="Invalid"/>
    <d v="2024-01-02T00:00:00"/>
    <x v="16"/>
    <s v="Feb-2023"/>
    <n v="11"/>
    <n v="0"/>
    <x v="1"/>
    <x v="2"/>
    <x v="10"/>
    <s v="Chicago"/>
    <s v="Education"/>
    <x v="2"/>
    <x v="5"/>
    <x v="2"/>
    <x v="320"/>
    <n v="404.77"/>
    <n v="433.88"/>
    <n v="433.88"/>
    <n v="894.16000000000008"/>
    <n v="1638.91"/>
    <s v="Low"/>
    <s v="OK"/>
    <n v="0.215"/>
    <s v="OK"/>
    <n v="22"/>
    <n v="7493.1076000000012"/>
    <n v="8904.9399999999987"/>
    <n v="-1411.8323999999975"/>
    <n v="-0.18841747314558746"/>
    <n v="0"/>
    <e v="#DIV/0!"/>
    <x v="1"/>
  </r>
  <r>
    <s v="ORD-2023-888245"/>
    <x v="2"/>
    <x v="2"/>
    <s v="Q1-2023"/>
    <d v="2023-02-27T00:00:00"/>
    <s v="Invalid"/>
    <d v="2023-02-28T00:00:00"/>
    <x v="20"/>
    <s v="Feb-2023"/>
    <n v="1"/>
    <n v="0"/>
    <x v="1"/>
    <x v="3"/>
    <x v="7"/>
    <s v="Marseille"/>
    <s v="Corporate"/>
    <x v="0"/>
    <x v="11"/>
    <x v="2"/>
    <x v="321"/>
    <n v="1299.81"/>
    <n v="3149.13"/>
    <n v="3149.13"/>
    <n v="899.58699999999999"/>
    <n v="1641.2049999999999"/>
    <s v="High"/>
    <s v="OK"/>
    <n v="0.10299999999999999"/>
    <s v="OK"/>
    <n v="14"/>
    <n v="39546.774539999999"/>
    <n v="18197.34"/>
    <n v="21349.434539999998"/>
    <n v="0.53985273864511729"/>
    <n v="0"/>
    <e v="#DIV/0!"/>
    <x v="1"/>
  </r>
  <r>
    <s v="ORD-2024-206121"/>
    <x v="142"/>
    <x v="31"/>
    <s v="Q1-2024"/>
    <d v="2024-03-11T00:00:00"/>
    <s v="Valid"/>
    <d v="2024-03-11T00:00:00"/>
    <x v="6"/>
    <s v="Jan-2023"/>
    <n v="13"/>
    <n v="22"/>
    <x v="0"/>
    <x v="2"/>
    <x v="5"/>
    <s v="São Paulo"/>
    <s v="Consumer"/>
    <x v="1"/>
    <x v="8"/>
    <x v="0"/>
    <x v="322"/>
    <n v="80.48"/>
    <n v="65.650000000000006"/>
    <n v="65.650000000000006"/>
    <n v="896.91399999999999"/>
    <n v="1636.75"/>
    <s v="Low"/>
    <s v="OK"/>
    <n v="0.17599999999999999"/>
    <s v="OK"/>
    <n v="13"/>
    <n v="703.2428000000001"/>
    <n v="1046.24"/>
    <n v="-342.99719999999991"/>
    <n v="-0.48773652570634191"/>
    <n v="0"/>
    <e v="#DIV/0!"/>
    <x v="1"/>
  </r>
  <r>
    <s v="ORD-2024-500890"/>
    <x v="190"/>
    <x v="29"/>
    <s v="Q3-2024"/>
    <d v="2024-10-08T00:00:00"/>
    <s v="Valid"/>
    <d v="2024-10-08T00:00:00"/>
    <x v="6"/>
    <s v="Jan-2023"/>
    <n v="20"/>
    <n v="29"/>
    <x v="0"/>
    <x v="2"/>
    <x v="5"/>
    <s v="São Paulo"/>
    <s v="Education"/>
    <x v="4"/>
    <x v="1"/>
    <x v="0"/>
    <x v="323"/>
    <n v="1010.33"/>
    <n v="2492.14"/>
    <n v="2492.14"/>
    <n v="900.3415"/>
    <n v="1639.0449999999998"/>
    <s v="High"/>
    <s v="OK"/>
    <n v="5.0999999999999997E-2"/>
    <s v="OK"/>
    <n v="11"/>
    <n v="26015.449459999996"/>
    <n v="11113.630000000001"/>
    <n v="14901.819459999995"/>
    <n v="0.57280653493656752"/>
    <n v="0"/>
    <e v="#DIV/0!"/>
    <x v="1"/>
  </r>
  <r>
    <s v="ORD-2023-144816"/>
    <x v="238"/>
    <x v="15"/>
    <s v="Q2-2023"/>
    <d v="2023-05-29T00:00:00"/>
    <s v="Valid"/>
    <d v="2023-05-29T00:00:00"/>
    <x v="13"/>
    <s v="Jan-2023"/>
    <n v="5"/>
    <n v="22"/>
    <x v="0"/>
    <x v="0"/>
    <x v="11"/>
    <s v="Durban"/>
    <s v="Education"/>
    <x v="3"/>
    <x v="11"/>
    <x v="6"/>
    <x v="324"/>
    <n v="653.86"/>
    <n v="931.84"/>
    <n v="931.84"/>
    <n v="899.66800000000012"/>
    <n v="1634.6812"/>
    <s v="Medium"/>
    <s v="OK"/>
    <n v="0.121"/>
    <s v="OK"/>
    <n v="12"/>
    <n v="9829.0483199999999"/>
    <n v="7846.32"/>
    <n v="1982.7283200000002"/>
    <n v="0.20172129136506273"/>
    <n v="0"/>
    <e v="#DIV/0!"/>
    <x v="1"/>
  </r>
  <r>
    <s v="ORD-2024-153053"/>
    <x v="181"/>
    <x v="9"/>
    <s v="Q1-2024"/>
    <d v="2024-01-29T00:00:00"/>
    <s v="Valid"/>
    <d v="2024-01-29T00:00:00"/>
    <x v="15"/>
    <s v="May-2023"/>
    <n v="9"/>
    <n v="17"/>
    <x v="0"/>
    <x v="1"/>
    <x v="4"/>
    <s v="Hyderabad"/>
    <s v="Small Business"/>
    <x v="4"/>
    <x v="5"/>
    <x v="0"/>
    <x v="325"/>
    <n v="310.02"/>
    <n v="619.51"/>
    <n v="619.51"/>
    <n v="896.99500000000012"/>
    <n v="1636.885"/>
    <s v="Low"/>
    <s v="OK"/>
    <n v="4.2000000000000003E-2"/>
    <s v="OK"/>
    <n v="4"/>
    <n v="2373.9623200000001"/>
    <n v="1240.08"/>
    <n v="1133.8823200000002"/>
    <n v="0.47763282106347843"/>
    <n v="0"/>
    <e v="#DIV/0!"/>
    <x v="1"/>
  </r>
  <r>
    <s v="ORD-2023-536542"/>
    <x v="279"/>
    <x v="23"/>
    <s v="Q2-2023"/>
    <d v="2023-06-18T00:00:00"/>
    <s v="Valid"/>
    <d v="2023-06-18T00:00:00"/>
    <x v="17"/>
    <s v="Feb-2023"/>
    <n v="4"/>
    <n v="8"/>
    <x v="0"/>
    <x v="0"/>
    <x v="0"/>
    <s v="Nakuru"/>
    <s v="Enterprise"/>
    <x v="4"/>
    <x v="10"/>
    <x v="3"/>
    <x v="326"/>
    <n v="894.23"/>
    <n v="1421.55"/>
    <n v="1421.55"/>
    <n v="900.35800000000006"/>
    <n v="1639.18"/>
    <s v="Medium"/>
    <s v="OK"/>
    <n v="0.109"/>
    <s v="OK"/>
    <n v="3"/>
    <n v="3799.8031499999997"/>
    <n v="2682.69"/>
    <n v="1117.1131499999997"/>
    <n v="0.29399237431549574"/>
    <n v="0"/>
    <e v="#DIV/0!"/>
    <x v="1"/>
  </r>
  <r>
    <s v="ORD-2025-779530"/>
    <x v="280"/>
    <x v="8"/>
    <s v="Q2-2025"/>
    <d v="2025-05-17T00:00:00"/>
    <s v="Invalid"/>
    <d v="2025-05-19T00:00:00"/>
    <x v="6"/>
    <s v="Jan-2023"/>
    <n v="28"/>
    <n v="0"/>
    <x v="1"/>
    <x v="2"/>
    <x v="5"/>
    <s v="São Paulo"/>
    <s v="Small Business"/>
    <x v="3"/>
    <x v="4"/>
    <x v="5"/>
    <x v="327"/>
    <n v="383.77"/>
    <n v="952.56"/>
    <n v="952.56"/>
    <n v="899.74900000000014"/>
    <n v="1641.4749999999999"/>
    <s v="Medium"/>
    <s v="OK"/>
    <n v="0.34599999999999997"/>
    <s v="FLAG"/>
    <n v="10"/>
    <n v="6229.7423999999992"/>
    <n v="3837.7"/>
    <n v="2392.0423999999994"/>
    <n v="0.38397131797937578"/>
    <n v="0"/>
    <e v="#DIV/0!"/>
    <x v="1"/>
  </r>
  <r>
    <s v="ORD-2023-163610"/>
    <x v="281"/>
    <x v="32"/>
    <s v="Q4-2023"/>
    <d v="2023-11-16T00:00:00"/>
    <s v="Valid"/>
    <d v="2023-11-16T00:00:00"/>
    <x v="19"/>
    <s v="Apr-2023"/>
    <n v="7"/>
    <n v="25"/>
    <x v="0"/>
    <x v="2"/>
    <x v="3"/>
    <s v="Toronto"/>
    <s v="Small Business"/>
    <x v="2"/>
    <x v="2"/>
    <x v="4"/>
    <x v="328"/>
    <n v="1373.31"/>
    <n v="3154.14"/>
    <n v="3154.14"/>
    <n v="897.07600000000014"/>
    <n v="1642.8484000000001"/>
    <s v="High"/>
    <s v="OK"/>
    <n v="0.2"/>
    <s v="OK"/>
    <n v="11"/>
    <n v="27756.432000000001"/>
    <n v="15106.41"/>
    <n v="12650.022000000001"/>
    <n v="0.45575101295440279"/>
    <n v="0"/>
    <e v="#DIV/0!"/>
    <x v="1"/>
  </r>
  <r>
    <s v="ORD-2025-653781"/>
    <x v="282"/>
    <x v="10"/>
    <s v="Q1-2025"/>
    <d v="2025-01-23T00:00:00"/>
    <s v="Valid"/>
    <d v="2025-01-23T00:00:00"/>
    <x v="16"/>
    <s v="Feb-2023"/>
    <n v="24"/>
    <n v="12"/>
    <x v="0"/>
    <x v="2"/>
    <x v="10"/>
    <s v="Austin"/>
    <s v="Consumer"/>
    <x v="3"/>
    <x v="10"/>
    <x v="3"/>
    <x v="329"/>
    <n v="100.69"/>
    <n v="226.14"/>
    <n v="226.14"/>
    <n v="894.40300000000002"/>
    <n v="1639.3149999999998"/>
    <s v="Low"/>
    <s v="OK"/>
    <n v="6.5000000000000002E-2"/>
    <s v="OK"/>
    <n v="12"/>
    <n v="2537.2908000000002"/>
    <n v="1208.28"/>
    <n v="1329.0108000000002"/>
    <n v="0.52379128162999689"/>
    <n v="0"/>
    <e v="#DIV/0!"/>
    <x v="1"/>
  </r>
  <r>
    <s v="ORD-2025-737787"/>
    <x v="283"/>
    <x v="11"/>
    <s v="Q3-2025"/>
    <d v="2025-09-26T00:00:00"/>
    <s v="Valid"/>
    <d v="2025-09-26T00:00:00"/>
    <x v="9"/>
    <s v="Jan-2023"/>
    <n v="32"/>
    <n v="12"/>
    <x v="0"/>
    <x v="3"/>
    <x v="8"/>
    <s v="London"/>
    <s v="Small Business"/>
    <x v="4"/>
    <x v="13"/>
    <x v="2"/>
    <x v="330"/>
    <n v="425.15"/>
    <n v="885.92"/>
    <n v="885.92"/>
    <n v="899.83"/>
    <n v="1641.61"/>
    <s v="Low"/>
    <s v="OK"/>
    <n v="0.23899999999999999"/>
    <s v="OK"/>
    <n v="13"/>
    <n v="8764.4065599999994"/>
    <n v="5526.95"/>
    <n v="3237.4565599999996"/>
    <n v="0.3693868532725848"/>
    <n v="0"/>
    <e v="#DIV/0!"/>
    <x v="1"/>
  </r>
  <r>
    <s v="ORD-2023-944052"/>
    <x v="52"/>
    <x v="25"/>
    <s v="Q3-2023"/>
    <d v="2023-09-03T00:00:00"/>
    <s v="Valid"/>
    <d v="2023-09-03T00:00:00"/>
    <x v="15"/>
    <s v="May-2023"/>
    <n v="4"/>
    <n v="4"/>
    <x v="1"/>
    <x v="1"/>
    <x v="4"/>
    <s v="Delhi"/>
    <s v="Small Business"/>
    <x v="2"/>
    <x v="4"/>
    <x v="6"/>
    <x v="331"/>
    <n v="1082.25"/>
    <n v="2433.34"/>
    <n v="2433.34"/>
    <n v="900.93550000000005"/>
    <n v="1642.9258"/>
    <s v="High"/>
    <s v="OK"/>
    <n v="0.27"/>
    <s v="OK"/>
    <n v="4"/>
    <n v="7105.3528000000006"/>
    <n v="4329"/>
    <n v="2776.3528000000006"/>
    <n v="0.3907410199251472"/>
    <n v="0"/>
    <e v="#DIV/0!"/>
    <x v="1"/>
  </r>
  <r>
    <s v="ORD-2023-181257"/>
    <x v="284"/>
    <x v="30"/>
    <s v="Q4-2023"/>
    <d v="2023-12-06T00:00:00"/>
    <s v="Valid"/>
    <d v="2023-12-06T00:00:00"/>
    <x v="9"/>
    <s v="Jan-2023"/>
    <n v="10"/>
    <n v="21"/>
    <x v="0"/>
    <x v="3"/>
    <x v="8"/>
    <s v="Manchester"/>
    <s v="Education"/>
    <x v="4"/>
    <x v="10"/>
    <x v="6"/>
    <x v="332"/>
    <n v="1184.99"/>
    <n v="1154.3399999999999"/>
    <n v="1154.3399999999999"/>
    <n v="900.39100000000008"/>
    <n v="1639.45"/>
    <s v="Medium"/>
    <s v="OK"/>
    <n v="2.8000000000000001E-2"/>
    <s v="OK"/>
    <n v="5"/>
    <n v="5610.0923999999995"/>
    <n v="5924.95"/>
    <n v="-314.85760000000028"/>
    <n v="-5.6123424990290764E-2"/>
    <n v="0"/>
    <e v="#DIV/0!"/>
    <x v="1"/>
  </r>
  <r>
    <s v="ORD-2025-323492"/>
    <x v="60"/>
    <x v="19"/>
    <s v="Q2-2025"/>
    <d v="2025-05-27T00:00:00"/>
    <s v="Valid"/>
    <d v="2025-05-27T00:00:00"/>
    <x v="15"/>
    <s v="May-2023"/>
    <n v="24"/>
    <n v="30"/>
    <x v="0"/>
    <x v="1"/>
    <x v="4"/>
    <s v="Not Provided"/>
    <s v="Enterprise"/>
    <x v="2"/>
    <x v="10"/>
    <x v="3"/>
    <x v="333"/>
    <n v="481.32"/>
    <n v="1135.99"/>
    <n v="1135.99"/>
    <n v="899.84650000000011"/>
    <n v="1641.6874"/>
    <s v="Medium"/>
    <s v="OK"/>
    <n v="0.14499999999999999"/>
    <s v="OK"/>
    <n v="5"/>
    <n v="4856.35725"/>
    <n v="2406.6"/>
    <n v="2449.7572500000001"/>
    <n v="0.50444337677175621"/>
    <n v="0"/>
    <e v="#DIV/0!"/>
    <x v="1"/>
  </r>
  <r>
    <s v="ORD-2024-332076"/>
    <x v="285"/>
    <x v="20"/>
    <s v="Q2-2024"/>
    <d v="2024-04-18T00:00:00"/>
    <s v="Valid"/>
    <d v="2024-04-18T00:00:00"/>
    <x v="21"/>
    <s v="Apr-2023"/>
    <n v="13"/>
    <n v="9"/>
    <x v="0"/>
    <x v="3"/>
    <x v="7"/>
    <s v="Lyon"/>
    <s v="Consumer"/>
    <x v="1"/>
    <x v="6"/>
    <x v="1"/>
    <x v="334"/>
    <n v="1288.8499999999999"/>
    <n v="2751.84"/>
    <n v="2751.84"/>
    <n v="897.23800000000006"/>
    <n v="1643.0032000000001"/>
    <s v="High"/>
    <s v="OK"/>
    <n v="0.158"/>
    <s v="OK"/>
    <n v="7"/>
    <n v="16219.34496"/>
    <n v="9021.9499999999989"/>
    <n v="7197.3949600000014"/>
    <n v="0.44375373837538756"/>
    <n v="0"/>
    <e v="#DIV/0!"/>
    <x v="1"/>
  </r>
  <r>
    <s v="ORD-2024-571797"/>
    <x v="286"/>
    <x v="14"/>
    <s v="Q3-2024"/>
    <d v="2024-07-31T00:00:00"/>
    <s v="Valid"/>
    <d v="2024-07-31T00:00:00"/>
    <x v="10"/>
    <s v="Jan-2023"/>
    <n v="18"/>
    <n v="20"/>
    <x v="0"/>
    <x v="1"/>
    <x v="9"/>
    <s v="Shenzhen"/>
    <s v="Consumer"/>
    <x v="1"/>
    <x v="3"/>
    <x v="3"/>
    <x v="335"/>
    <n v="647.26"/>
    <n v="1374.72"/>
    <n v="1374.72"/>
    <n v="894.56500000000005"/>
    <n v="1639.585"/>
    <s v="Medium"/>
    <s v="OK"/>
    <n v="6.6000000000000003E-2"/>
    <s v="OK"/>
    <n v="22"/>
    <n v="28247.74656"/>
    <n v="14239.72"/>
    <n v="14008.02656"/>
    <n v="0.49589890401508901"/>
    <n v="0"/>
    <e v="#DIV/0!"/>
    <x v="1"/>
  </r>
  <r>
    <s v="ORD-2024-129345"/>
    <x v="142"/>
    <x v="31"/>
    <s v="Q1-2024"/>
    <d v="2024-03-03T00:00:00"/>
    <s v="Valid"/>
    <d v="2024-03-03T00:00:00"/>
    <x v="6"/>
    <s v="Jan-2023"/>
    <n v="13"/>
    <n v="14"/>
    <x v="0"/>
    <x v="2"/>
    <x v="5"/>
    <s v="Not Provided"/>
    <s v="Enterprise"/>
    <x v="3"/>
    <x v="8"/>
    <x v="1"/>
    <x v="336"/>
    <n v="624.23"/>
    <n v="1318.37"/>
    <n v="1318.37"/>
    <n v="891.89200000000005"/>
    <n v="1641.7647999999999"/>
    <s v="Medium"/>
    <s v="OK"/>
    <n v="0.21"/>
    <s v="OK"/>
    <n v="37"/>
    <n v="38535.955099999999"/>
    <n v="23096.510000000002"/>
    <n v="15439.445099999997"/>
    <n v="0.40065038118128793"/>
    <n v="0"/>
    <e v="#DIV/0!"/>
    <x v="1"/>
  </r>
  <r>
    <s v="ORD-2023-660608"/>
    <x v="287"/>
    <x v="24"/>
    <s v="Q3-2023"/>
    <d v="2023-08-10T00:00:00"/>
    <s v="Valid"/>
    <d v="2023-08-10T00:00:00"/>
    <x v="5"/>
    <s v="Feb-2023"/>
    <n v="6"/>
    <n v="16"/>
    <x v="0"/>
    <x v="0"/>
    <x v="1"/>
    <s v="Port Harcourt"/>
    <s v="Corporate"/>
    <x v="3"/>
    <x v="2"/>
    <x v="6"/>
    <x v="337"/>
    <n v="506.83"/>
    <n v="441.74"/>
    <n v="441.74"/>
    <n v="888.40059999999994"/>
    <n v="1643.0806"/>
    <s v="Low"/>
    <s v="OK"/>
    <n v="0.24"/>
    <s v="OK"/>
    <n v="9"/>
    <n v="3021.5016000000001"/>
    <n v="4561.47"/>
    <n v="-1539.9684000000002"/>
    <n v="-0.50966989393618067"/>
    <n v="0"/>
    <e v="#DIV/0!"/>
    <x v="1"/>
  </r>
  <r>
    <s v="ORD-2023-825084"/>
    <x v="288"/>
    <x v="24"/>
    <s v="Q3-2023"/>
    <d v="2023-07-21T00:00:00"/>
    <s v="Valid"/>
    <d v="2023-07-21T00:00:00"/>
    <x v="13"/>
    <s v="Jan-2023"/>
    <n v="7"/>
    <n v="7"/>
    <x v="0"/>
    <x v="0"/>
    <x v="11"/>
    <s v="Durban"/>
    <s v="Enterprise"/>
    <x v="2"/>
    <x v="15"/>
    <x v="5"/>
    <x v="338"/>
    <n v="620.74"/>
    <n v="1330.07"/>
    <n v="1330.07"/>
    <n v="894.64600000000007"/>
    <n v="1644.3964000000001"/>
    <s v="Medium"/>
    <s v="OK"/>
    <n v="0.29899999999999999"/>
    <s v="OK"/>
    <n v="28"/>
    <n v="26106.613960000002"/>
    <n v="17380.72"/>
    <n v="8725.8939600000012"/>
    <n v="0.33424073965967516"/>
    <n v="0"/>
    <e v="#DIV/0!"/>
    <x v="1"/>
  </r>
  <r>
    <s v="ORD-2023-261081"/>
    <x v="244"/>
    <x v="24"/>
    <s v="Q3-2023"/>
    <d v="2023-08-19T00:00:00"/>
    <s v="Valid"/>
    <d v="2023-08-19T00:00:00"/>
    <x v="17"/>
    <s v="Feb-2023"/>
    <n v="6"/>
    <n v="26"/>
    <x v="0"/>
    <x v="0"/>
    <x v="0"/>
    <s v="Nairobi"/>
    <s v="Enterprise"/>
    <x v="3"/>
    <x v="12"/>
    <x v="6"/>
    <x v="339"/>
    <n v="661.45"/>
    <n v="1634.86"/>
    <n v="1634.86"/>
    <n v="891.97300000000007"/>
    <n v="1645.537"/>
    <s v="Medium"/>
    <s v="OK"/>
    <n v="0.56499999999999995"/>
    <s v="FLAG"/>
    <n v="24"/>
    <n v="17067.938400000003"/>
    <n v="15874.800000000001"/>
    <n v="1193.1384000000016"/>
    <n v="6.9905244092045793E-2"/>
    <n v="0"/>
    <e v="#DIV/0!"/>
    <x v="1"/>
  </r>
  <r>
    <s v="ORD-2023-766015"/>
    <x v="289"/>
    <x v="12"/>
    <s v="Q2-2023"/>
    <d v="2023-04-11T00:00:00"/>
    <s v="Invalid"/>
    <d v="2023-04-13T00:00:00"/>
    <x v="16"/>
    <s v="Feb-2023"/>
    <n v="3"/>
    <n v="0"/>
    <x v="1"/>
    <x v="2"/>
    <x v="10"/>
    <s v="San Francisco"/>
    <s v="Education"/>
    <x v="2"/>
    <x v="3"/>
    <x v="2"/>
    <x v="340"/>
    <n v="32.1"/>
    <n v="70.599999999999994"/>
    <n v="70.599999999999994"/>
    <n v="888.50800000000004"/>
    <n v="1645.8600000000001"/>
    <s v="Low"/>
    <s v="OK"/>
    <n v="0.28199999999999997"/>
    <s v="OK"/>
    <n v="22"/>
    <n v="1115.1975999999997"/>
    <n v="706.2"/>
    <n v="408.99759999999969"/>
    <n v="0.36674899587301818"/>
    <n v="0"/>
    <e v="#DIV/0!"/>
    <x v="1"/>
  </r>
  <r>
    <s v="ORD-2024-333192"/>
    <x v="290"/>
    <x v="1"/>
    <s v="Q4-2024"/>
    <d v="2024-11-04T00:00:00"/>
    <s v="Valid"/>
    <d v="2024-11-04T00:00:00"/>
    <x v="17"/>
    <s v="Feb-2023"/>
    <n v="21"/>
    <n v="6"/>
    <x v="1"/>
    <x v="0"/>
    <x v="0"/>
    <s v="Nairobi"/>
    <s v="Corporate"/>
    <x v="3"/>
    <x v="12"/>
    <x v="1"/>
    <x v="341"/>
    <n v="805.81"/>
    <n v="1823.04"/>
    <n v="1823.04"/>
    <n v="894.72700000000009"/>
    <n v="1646.183"/>
    <s v="High"/>
    <s v="OK"/>
    <n v="0"/>
    <s v="OK"/>
    <n v="11"/>
    <n v="20053.439999999999"/>
    <n v="8863.91"/>
    <n v="11189.529999999999"/>
    <n v="0.55798556257679477"/>
    <n v="0"/>
    <e v="#DIV/0!"/>
    <x v="1"/>
  </r>
  <r>
    <s v="ORD-2024-647473"/>
    <x v="291"/>
    <x v="31"/>
    <s v="Q1-2024"/>
    <d v="2024-03-04T00:00:00"/>
    <s v="Valid"/>
    <d v="2024-03-04T00:00:00"/>
    <x v="15"/>
    <s v="May-2023"/>
    <n v="10"/>
    <n v="16"/>
    <x v="0"/>
    <x v="1"/>
    <x v="4"/>
    <s v="Delhi"/>
    <s v="Small Business"/>
    <x v="2"/>
    <x v="9"/>
    <x v="3"/>
    <x v="342"/>
    <n v="1231.8"/>
    <n v="2015.99"/>
    <n v="2015.99"/>
    <n v="892.05400000000009"/>
    <n v="1645.556"/>
    <s v="High"/>
    <s v="OK"/>
    <n v="0.26100000000000001"/>
    <s v="OK"/>
    <n v="6"/>
    <n v="8938.8996600000009"/>
    <n v="7390.7999999999993"/>
    <n v="1548.0996600000017"/>
    <n v="0.17318682599464391"/>
    <n v="0"/>
    <e v="#DIV/0!"/>
    <x v="1"/>
  </r>
  <r>
    <s v="ORD-2024-892908"/>
    <x v="292"/>
    <x v="14"/>
    <s v="Q3-2024"/>
    <d v="2024-07-12T00:00:00"/>
    <s v="Invalid"/>
    <d v="2024-07-13T00:00:00"/>
    <x v="2"/>
    <s v="Mar-2023"/>
    <n v="17"/>
    <n v="0"/>
    <x v="1"/>
    <x v="1"/>
    <x v="2"/>
    <s v="Nagoya"/>
    <s v="Small Business"/>
    <x v="2"/>
    <x v="9"/>
    <x v="2"/>
    <x v="343"/>
    <n v="105.13"/>
    <n v="244.13"/>
    <n v="244.13"/>
    <n v="888.61540000000014"/>
    <n v="1643.2354"/>
    <s v="Low"/>
    <s v="OK"/>
    <n v="7.0999999999999994E-2"/>
    <s v="OK"/>
    <n v="14"/>
    <n v="3175.1547799999998"/>
    <n v="1471.82"/>
    <n v="1703.3347799999999"/>
    <n v="0.53645724319618837"/>
    <n v="0"/>
    <e v="#DIV/0!"/>
    <x v="1"/>
  </r>
  <r>
    <s v="ORD-2023-573146"/>
    <x v="293"/>
    <x v="4"/>
    <s v="Q4-2023"/>
    <d v="2023-12-18T00:00:00"/>
    <s v="Valid"/>
    <d v="2023-12-18T00:00:00"/>
    <x v="2"/>
    <s v="Mar-2023"/>
    <n v="9"/>
    <n v="17"/>
    <x v="0"/>
    <x v="1"/>
    <x v="2"/>
    <s v="Nagoya"/>
    <s v="Small Business"/>
    <x v="4"/>
    <x v="13"/>
    <x v="4"/>
    <x v="344"/>
    <n v="1495.79"/>
    <n v="2783.12"/>
    <n v="2783.12"/>
    <n v="894.80800000000011"/>
    <n v="1644.5512000000001"/>
    <s v="High"/>
    <s v="OK"/>
    <n v="0.02"/>
    <s v="OK"/>
    <n v="5"/>
    <n v="13637.287999999999"/>
    <n v="7478.95"/>
    <n v="6158.3379999999988"/>
    <n v="0.45158084217331185"/>
    <n v="0"/>
    <e v="#DIV/0!"/>
    <x v="1"/>
  </r>
  <r>
    <s v="ORD-2024-901115"/>
    <x v="19"/>
    <x v="14"/>
    <s v="Q3-2024"/>
    <d v="2024-08-02T00:00:00"/>
    <s v="Valid"/>
    <d v="2024-08-02T00:00:00"/>
    <x v="19"/>
    <s v="Apr-2023"/>
    <n v="16"/>
    <n v="8"/>
    <x v="0"/>
    <x v="2"/>
    <x v="3"/>
    <s v="Montreal"/>
    <s v="Consumer"/>
    <x v="4"/>
    <x v="1"/>
    <x v="6"/>
    <x v="345"/>
    <n v="986.81"/>
    <n v="2050.31"/>
    <n v="2050.31"/>
    <n v="892.1350000000001"/>
    <n v="1641.9970000000001"/>
    <s v="High"/>
    <s v="OK"/>
    <n v="0.10299999999999999"/>
    <s v="OK"/>
    <n v="43"/>
    <n v="79082.507010000001"/>
    <n v="42432.829999999994"/>
    <n v="36649.677010000007"/>
    <n v="0.46343595310358138"/>
    <n v="0"/>
    <e v="#DIV/0!"/>
    <x v="1"/>
  </r>
  <r>
    <s v="ORD-2023-898009"/>
    <x v="176"/>
    <x v="15"/>
    <s v="Q2-2023"/>
    <d v="2023-05-16T00:00:00"/>
    <s v="Valid"/>
    <d v="2023-05-16T00:00:00"/>
    <x v="5"/>
    <s v="Feb-2023"/>
    <n v="3"/>
    <n v="12"/>
    <x v="0"/>
    <x v="0"/>
    <x v="1"/>
    <s v="Abuja"/>
    <s v="Small Business"/>
    <x v="2"/>
    <x v="1"/>
    <x v="3"/>
    <x v="346"/>
    <n v="77.739999999999995"/>
    <n v="147.12"/>
    <n v="147.12"/>
    <n v="888.72280000000001"/>
    <n v="1635.3268"/>
    <s v="Low"/>
    <s v="OK"/>
    <n v="0"/>
    <s v="OK"/>
    <n v="15"/>
    <n v="2206.8000000000002"/>
    <n v="1166.0999999999999"/>
    <n v="1040.7000000000003"/>
    <n v="0.47158781946710177"/>
    <n v="0"/>
    <e v="#DIV/0!"/>
    <x v="1"/>
  </r>
  <r>
    <s v="ORD-2023-208944"/>
    <x v="294"/>
    <x v="4"/>
    <s v="Q4-2023"/>
    <d v="2024-01-06T00:00:00"/>
    <s v="Valid"/>
    <d v="2024-01-06T00:00:00"/>
    <x v="5"/>
    <s v="Feb-2023"/>
    <n v="11"/>
    <n v="16"/>
    <x v="0"/>
    <x v="0"/>
    <x v="1"/>
    <s v="Not Provided"/>
    <s v="Corporate"/>
    <x v="2"/>
    <x v="11"/>
    <x v="0"/>
    <x v="347"/>
    <n v="932.61"/>
    <n v="1982.98"/>
    <n v="1982.98"/>
    <n v="894.88900000000001"/>
    <n v="1639.1415999999999"/>
    <s v="High"/>
    <s v="OK"/>
    <n v="0.14399999999999999"/>
    <s v="OK"/>
    <n v="16"/>
    <n v="27158.894079999998"/>
    <n v="14921.76"/>
    <n v="12237.134079999998"/>
    <n v="0.45057556629345635"/>
    <n v="0"/>
    <e v="#DIV/0!"/>
    <x v="1"/>
  </r>
  <r>
    <s v="ORD-2025-480172"/>
    <x v="295"/>
    <x v="16"/>
    <s v="Q2-2025"/>
    <d v="2025-07-05T00:00:00"/>
    <s v="Valid"/>
    <d v="2025-07-05T00:00:00"/>
    <x v="15"/>
    <s v="May-2023"/>
    <n v="26"/>
    <n v="18"/>
    <x v="0"/>
    <x v="1"/>
    <x v="4"/>
    <s v="Delhi"/>
    <s v="Consumer"/>
    <x v="2"/>
    <x v="4"/>
    <x v="4"/>
    <x v="348"/>
    <n v="982.93"/>
    <n v="2299.3000000000002"/>
    <n v="2299.3000000000002"/>
    <n v="892.21600000000001"/>
    <n v="1631.7364000000002"/>
    <s v="High"/>
    <s v="OK"/>
    <n v="0.113"/>
    <s v="OK"/>
    <n v="6"/>
    <n v="12236.874600000001"/>
    <n v="5897.58"/>
    <n v="6339.2946000000011"/>
    <n v="0.51804850562087157"/>
    <n v="0"/>
    <e v="#DIV/0!"/>
    <x v="1"/>
  </r>
  <r>
    <s v="ORD-2023-735274"/>
    <x v="29"/>
    <x v="2"/>
    <s v="Q1-2023"/>
    <d v="2023-03-08T00:00:00"/>
    <s v="Valid"/>
    <d v="2023-03-08T00:00:00"/>
    <x v="9"/>
    <s v="Jan-2023"/>
    <n v="2"/>
    <n v="13"/>
    <x v="0"/>
    <x v="3"/>
    <x v="8"/>
    <s v="Manchester"/>
    <s v="Small Business"/>
    <x v="4"/>
    <x v="0"/>
    <x v="1"/>
    <x v="349"/>
    <n v="307.37"/>
    <n v="462.61"/>
    <n v="462.61"/>
    <n v="888.8302000000001"/>
    <n v="1627.7062000000001"/>
    <s v="Low"/>
    <s v="OK"/>
    <n v="0.188"/>
    <s v="OK"/>
    <n v="11"/>
    <n v="4132.0325200000007"/>
    <n v="3381.07"/>
    <n v="750.9625200000005"/>
    <n v="0.18174167709599739"/>
    <n v="0"/>
    <e v="#DIV/0!"/>
    <x v="1"/>
  </r>
  <r>
    <s v="ORD-2023-212701"/>
    <x v="296"/>
    <x v="4"/>
    <s v="Q4-2023"/>
    <d v="2023-12-16T00:00:00"/>
    <s v="Valid"/>
    <d v="2023-12-16T00:00:00"/>
    <x v="18"/>
    <s v="Jan-2023"/>
    <n v="11"/>
    <n v="14"/>
    <x v="0"/>
    <x v="3"/>
    <x v="6"/>
    <s v="Frankfurt"/>
    <s v="Education"/>
    <x v="4"/>
    <x v="13"/>
    <x v="5"/>
    <x v="350"/>
    <n v="879.08"/>
    <n v="1093.3900000000001"/>
    <n v="1093.3900000000001"/>
    <n v="894.97"/>
    <n v="1629.3960000000002"/>
    <s v="Medium"/>
    <s v="OK"/>
    <n v="0.113"/>
    <s v="OK"/>
    <n v="17"/>
    <n v="16487.22781"/>
    <n v="14944.36"/>
    <n v="1542.8678099999997"/>
    <n v="9.3579577341935186E-2"/>
    <n v="0"/>
    <e v="#DIV/0!"/>
    <x v="1"/>
  </r>
  <r>
    <s v="ORD-2023-479747"/>
    <x v="288"/>
    <x v="24"/>
    <s v="Q3-2023"/>
    <d v="2023-07-14T00:00:00"/>
    <s v="Valid"/>
    <d v="2023-07-14T00:00:00"/>
    <x v="5"/>
    <s v="Feb-2023"/>
    <n v="6"/>
    <n v="0"/>
    <x v="1"/>
    <x v="0"/>
    <x v="1"/>
    <s v="Lagos"/>
    <s v="Education"/>
    <x v="0"/>
    <x v="2"/>
    <x v="6"/>
    <x v="351"/>
    <n v="956.38"/>
    <n v="1454.22"/>
    <n v="1454.22"/>
    <n v="892.29700000000003"/>
    <n v="1631.9608000000003"/>
    <s v="Medium"/>
    <s v="OK"/>
    <n v="3.9E-2"/>
    <s v="OK"/>
    <n v="19"/>
    <n v="26552.60298"/>
    <n v="18171.22"/>
    <n v="8381.3829799999985"/>
    <n v="0.31565202802576603"/>
    <n v="0"/>
    <e v="#DIV/0!"/>
    <x v="1"/>
  </r>
  <r>
    <s v="ORD-2024-915495"/>
    <x v="297"/>
    <x v="21"/>
    <s v="Q3-2024"/>
    <d v="2024-08-20T00:00:00"/>
    <s v="Valid"/>
    <d v="2024-08-20T00:00:00"/>
    <x v="2"/>
    <s v="Mar-2023"/>
    <n v="18"/>
    <n v="12"/>
    <x v="0"/>
    <x v="1"/>
    <x v="2"/>
    <s v="Osaka"/>
    <s v="Small Business"/>
    <x v="0"/>
    <x v="10"/>
    <x v="2"/>
    <x v="352"/>
    <n v="1233.3599999999999"/>
    <n v="2120.4"/>
    <n v="2120.4"/>
    <n v="888.93760000000009"/>
    <n v="1635.7756000000002"/>
    <s v="High"/>
    <s v="OK"/>
    <n v="0.17899999999999999"/>
    <s v="OK"/>
    <n v="20"/>
    <n v="34816.968000000001"/>
    <n v="24667.199999999997"/>
    <n v="10149.768000000004"/>
    <n v="0.29151785991244278"/>
    <n v="0"/>
    <e v="#DIV/0!"/>
    <x v="1"/>
  </r>
  <r>
    <s v="ORD-2024-225829"/>
    <x v="298"/>
    <x v="18"/>
    <s v="Q4-2024"/>
    <d v="2024-11-26T00:00:00"/>
    <s v="Valid"/>
    <d v="2024-11-26T00:00:00"/>
    <x v="6"/>
    <s v="Jan-2023"/>
    <n v="22"/>
    <n v="19"/>
    <x v="0"/>
    <x v="2"/>
    <x v="5"/>
    <s v="Rio De Janeiro"/>
    <s v="Non-Profit"/>
    <x v="3"/>
    <x v="1"/>
    <x v="1"/>
    <x v="353"/>
    <n v="55.35"/>
    <n v="128.68"/>
    <n v="128.68"/>
    <n v="885.39340000000016"/>
    <n v="1629.4954000000002"/>
    <s v="Low"/>
    <s v="OK"/>
    <n v="0.128"/>
    <s v="OK"/>
    <n v="10"/>
    <n v="1122.0896000000002"/>
    <n v="553.5"/>
    <n v="568.58960000000025"/>
    <n v="0.50672388372550647"/>
    <n v="0"/>
    <e v="#DIV/0!"/>
    <x v="1"/>
  </r>
  <r>
    <s v="ORD-2024-921935"/>
    <x v="299"/>
    <x v="9"/>
    <s v="Q1-2024"/>
    <d v="2024-01-27T00:00:00"/>
    <s v="Valid"/>
    <d v="2024-01-27T00:00:00"/>
    <x v="9"/>
    <s v="Jan-2023"/>
    <n v="12"/>
    <n v="26"/>
    <x v="0"/>
    <x v="3"/>
    <x v="8"/>
    <s v="Manchester"/>
    <s v="Education"/>
    <x v="3"/>
    <x v="14"/>
    <x v="6"/>
    <x v="354"/>
    <n v="657.45"/>
    <n v="1325.96"/>
    <n v="1325.96"/>
    <n v="892.37800000000004"/>
    <n v="1632.1852000000001"/>
    <s v="Medium"/>
    <s v="OK"/>
    <n v="0.16700000000000001"/>
    <s v="OK"/>
    <n v="21"/>
    <n v="23195.01828"/>
    <n v="13806.45"/>
    <n v="9388.5682799999995"/>
    <n v="0.40476658249048808"/>
    <n v="0"/>
    <e v="#DIV/0!"/>
    <x v="1"/>
  </r>
  <r>
    <s v="ORD-2025-949776"/>
    <x v="300"/>
    <x v="28"/>
    <s v="Q3-2025"/>
    <d v="2025-09-11T00:00:00"/>
    <s v="Valid"/>
    <d v="2025-09-11T00:00:00"/>
    <x v="6"/>
    <s v="Jan-2023"/>
    <n v="31"/>
    <n v="28"/>
    <x v="0"/>
    <x v="2"/>
    <x v="5"/>
    <s v="São Paulo"/>
    <s v="Non-Profit"/>
    <x v="4"/>
    <x v="9"/>
    <x v="1"/>
    <x v="355"/>
    <n v="1203.02"/>
    <n v="2439.33"/>
    <n v="2439.33"/>
    <n v="889.04500000000007"/>
    <n v="1636"/>
    <s v="High"/>
    <s v="OK"/>
    <n v="0"/>
    <s v="OK"/>
    <n v="18"/>
    <n v="43907.94"/>
    <n v="21654.36"/>
    <n v="22253.58"/>
    <n v="0.50682359500354612"/>
    <n v="0"/>
    <e v="#DIV/0!"/>
    <x v="1"/>
  </r>
  <r>
    <s v="ORD-2024-510591"/>
    <x v="149"/>
    <x v="20"/>
    <s v="Q2-2024"/>
    <d v="2024-04-21T00:00:00"/>
    <s v="Valid"/>
    <d v="2024-04-21T00:00:00"/>
    <x v="6"/>
    <s v="Jan-2023"/>
    <n v="15"/>
    <n v="18"/>
    <x v="0"/>
    <x v="2"/>
    <x v="5"/>
    <s v="Brasília"/>
    <s v="Small Business"/>
    <x v="3"/>
    <x v="5"/>
    <x v="2"/>
    <x v="356"/>
    <n v="1176.69"/>
    <n v="2201.54"/>
    <n v="2201.54"/>
    <n v="885.50080000000003"/>
    <n v="1629.5948000000001"/>
    <s v="High"/>
    <s v="OK"/>
    <n v="0.17"/>
    <s v="OK"/>
    <n v="27"/>
    <n v="49336.511399999996"/>
    <n v="31770.63"/>
    <n v="17565.881399999995"/>
    <n v="0.35604222717701106"/>
    <n v="0"/>
    <e v="#DIV/0!"/>
    <x v="1"/>
  </r>
  <r>
    <s v="ORD-2024-961756"/>
    <x v="301"/>
    <x v="18"/>
    <s v="Q4-2024"/>
    <d v="2024-12-07T00:00:00"/>
    <s v="Valid"/>
    <d v="2024-12-07T00:00:00"/>
    <x v="10"/>
    <s v="Jan-2023"/>
    <n v="23"/>
    <n v="12"/>
    <x v="0"/>
    <x v="1"/>
    <x v="9"/>
    <s v="Shanghai"/>
    <s v="Corporate"/>
    <x v="3"/>
    <x v="8"/>
    <x v="6"/>
    <x v="357"/>
    <n v="769.9"/>
    <n v="814.36"/>
    <n v="814.36"/>
    <n v="881.95660000000009"/>
    <n v="1626.3146000000002"/>
    <s v="Low"/>
    <s v="OK"/>
    <n v="0"/>
    <s v="OK"/>
    <n v="5"/>
    <n v="4071.8"/>
    <n v="3849.5"/>
    <n v="222.30000000000018"/>
    <n v="5.4595019401738831E-2"/>
    <n v="0"/>
    <e v="#DIV/0!"/>
    <x v="1"/>
  </r>
  <r>
    <s v="ORD-2024-892173"/>
    <x v="302"/>
    <x v="9"/>
    <s v="Q1-2024"/>
    <d v="2024-02-03T00:00:00"/>
    <s v="Valid"/>
    <d v="2024-02-03T00:00:00"/>
    <x v="13"/>
    <s v="Jan-2023"/>
    <n v="13"/>
    <n v="16"/>
    <x v="0"/>
    <x v="0"/>
    <x v="11"/>
    <s v="Cape Town"/>
    <s v="Non-Profit"/>
    <x v="3"/>
    <x v="4"/>
    <x v="1"/>
    <x v="358"/>
    <n v="666.23"/>
    <n v="1382.91"/>
    <n v="1382.91"/>
    <n v="889.15240000000006"/>
    <n v="1628.0044"/>
    <s v="Medium"/>
    <s v="OK"/>
    <n v="0.17599999999999999"/>
    <s v="OK"/>
    <n v="13"/>
    <n v="14813.731920000002"/>
    <n v="8660.99"/>
    <n v="6152.7419200000022"/>
    <n v="0.41534043907553048"/>
    <n v="0"/>
    <e v="#DIV/0!"/>
    <x v="1"/>
  </r>
  <r>
    <s v="ORD-2024-704056"/>
    <x v="303"/>
    <x v="17"/>
    <s v="Q2-2024"/>
    <d v="2024-06-25T00:00:00"/>
    <s v="Valid"/>
    <d v="2024-06-25T00:00:00"/>
    <x v="9"/>
    <s v="Jan-2023"/>
    <n v="18"/>
    <n v="2"/>
    <x v="1"/>
    <x v="3"/>
    <x v="8"/>
    <s v="Birmingham"/>
    <s v="Small Business"/>
    <x v="2"/>
    <x v="4"/>
    <x v="6"/>
    <x v="359"/>
    <n v="951.44"/>
    <n v="1646.43"/>
    <n v="1646.43"/>
    <n v="885.60820000000012"/>
    <n v="1629.6942000000001"/>
    <s v="High"/>
    <s v="OK"/>
    <n v="0.11"/>
    <s v="OK"/>
    <n v="24"/>
    <n v="35167.7448"/>
    <n v="22834.560000000001"/>
    <n v="12333.184799999999"/>
    <n v="0.35069592520473475"/>
    <n v="0"/>
    <e v="#DIV/0!"/>
    <x v="1"/>
  </r>
  <r>
    <s v="ORD-2025-591006"/>
    <x v="304"/>
    <x v="16"/>
    <s v="Q2-2025"/>
    <d v="2025-07-10T00:00:00"/>
    <s v="Valid"/>
    <d v="2025-07-10T00:00:00"/>
    <x v="9"/>
    <s v="Jan-2023"/>
    <n v="30"/>
    <n v="15"/>
    <x v="0"/>
    <x v="3"/>
    <x v="8"/>
    <s v="Birmingham"/>
    <s v="Non-Profit"/>
    <x v="2"/>
    <x v="14"/>
    <x v="3"/>
    <x v="360"/>
    <n v="546.83000000000004"/>
    <n v="400.84"/>
    <n v="400.84"/>
    <n v="882.06400000000008"/>
    <n v="1626.4140000000002"/>
    <s v="Low"/>
    <s v="OK"/>
    <n v="7.8E-2"/>
    <s v="OK"/>
    <n v="13"/>
    <n v="4804.4682400000002"/>
    <n v="7108.7900000000009"/>
    <n v="-2304.3217600000007"/>
    <n v="-0.47962056254533608"/>
    <n v="0"/>
    <e v="#DIV/0!"/>
    <x v="1"/>
  </r>
  <r>
    <s v="ORD-2023-159821"/>
    <x v="305"/>
    <x v="24"/>
    <s v="Q3-2023"/>
    <d v="2023-07-08T00:00:00"/>
    <s v="Valid"/>
    <d v="2023-07-08T00:00:00"/>
    <x v="5"/>
    <s v="Feb-2023"/>
    <n v="5"/>
    <n v="7"/>
    <x v="0"/>
    <x v="0"/>
    <x v="1"/>
    <s v="Port Harcourt"/>
    <s v="Corporate"/>
    <x v="0"/>
    <x v="8"/>
    <x v="4"/>
    <x v="361"/>
    <n v="834.26"/>
    <n v="1780.56"/>
    <n v="1780.56"/>
    <n v="889.25980000000015"/>
    <n v="1628.1038000000001"/>
    <s v="High"/>
    <s v="OK"/>
    <n v="1.4E-2"/>
    <s v="OK"/>
    <n v="47"/>
    <n v="82514.711519999997"/>
    <n v="39210.22"/>
    <n v="43304.491519999996"/>
    <n v="0.5248093427497933"/>
    <n v="0"/>
    <e v="#DIV/0!"/>
    <x v="1"/>
  </r>
  <r>
    <s v="ORD-2024-343877"/>
    <x v="306"/>
    <x v="0"/>
    <s v="Q1-2024"/>
    <d v="2024-03-26T00:00:00"/>
    <s v="Valid"/>
    <d v="2024-03-26T00:00:00"/>
    <x v="10"/>
    <s v="Jan-2023"/>
    <n v="14"/>
    <n v="17"/>
    <x v="0"/>
    <x v="1"/>
    <x v="9"/>
    <s v="Shenzhen"/>
    <s v="Enterprise"/>
    <x v="1"/>
    <x v="11"/>
    <x v="5"/>
    <x v="362"/>
    <n v="1029.67"/>
    <n v="1118.43"/>
    <n v="1118.43"/>
    <n v="885.71559999999999"/>
    <n v="1625.3300000000002"/>
    <s v="Medium"/>
    <s v="OK"/>
    <n v="0.27200000000000002"/>
    <s v="OK"/>
    <n v="9"/>
    <n v="7327.9533600000004"/>
    <n v="9267.0300000000007"/>
    <n v="-1939.0766400000002"/>
    <n v="-0.26461367106736061"/>
    <n v="0"/>
    <e v="#DIV/0!"/>
    <x v="1"/>
  </r>
  <r>
    <s v="ORD-2023-386663"/>
    <x v="307"/>
    <x v="23"/>
    <s v="Q2-2023"/>
    <d v="2023-06-28T00:00:00"/>
    <s v="Valid"/>
    <d v="2023-06-28T00:00:00"/>
    <x v="9"/>
    <s v="Jan-2023"/>
    <n v="5"/>
    <n v="23"/>
    <x v="0"/>
    <x v="3"/>
    <x v="8"/>
    <s v="Birmingham"/>
    <s v="Corporate"/>
    <x v="4"/>
    <x v="11"/>
    <x v="1"/>
    <x v="363"/>
    <n v="605.82000000000005"/>
    <n v="771.12"/>
    <n v="771.12"/>
    <n v="882.17139999999995"/>
    <n v="1626.5134"/>
    <s v="Low"/>
    <s v="OK"/>
    <n v="0.13200000000000001"/>
    <s v="OK"/>
    <n v="19"/>
    <n v="12717.311040000001"/>
    <n v="11510.580000000002"/>
    <n v="1206.7310399999988"/>
    <n v="9.4888851597986767E-2"/>
    <n v="0"/>
    <e v="#DIV/0!"/>
    <x v="1"/>
  </r>
  <r>
    <s v="ORD-2025-125517"/>
    <x v="308"/>
    <x v="3"/>
    <s v="Q1-2025"/>
    <d v="2025-04-09T00:00:00"/>
    <s v="Valid"/>
    <d v="2025-04-09T00:00:00"/>
    <x v="2"/>
    <s v="Mar-2023"/>
    <n v="25"/>
    <n v="19"/>
    <x v="0"/>
    <x v="1"/>
    <x v="2"/>
    <s v="Tokyo"/>
    <s v="Small Business"/>
    <x v="3"/>
    <x v="6"/>
    <x v="0"/>
    <x v="364"/>
    <n v="1055.45"/>
    <n v="1210.04"/>
    <n v="1210.04"/>
    <n v="889.36720000000003"/>
    <n v="1628.2032000000002"/>
    <s v="Medium"/>
    <s v="OK"/>
    <n v="8.9999999999999993E-3"/>
    <s v="OK"/>
    <n v="18"/>
    <n v="21584.693520000001"/>
    <n v="18998.100000000002"/>
    <n v="2586.5935199999985"/>
    <n v="0.1198346188053727"/>
    <n v="0"/>
    <e v="#DIV/0!"/>
    <x v="1"/>
  </r>
  <r>
    <s v="ORD-2024-819778"/>
    <x v="101"/>
    <x v="17"/>
    <s v="Q2-2024"/>
    <d v="2024-06-15T00:00:00"/>
    <s v="Valid"/>
    <d v="2024-06-15T00:00:00"/>
    <x v="17"/>
    <s v="Feb-2023"/>
    <n v="16"/>
    <n v="13"/>
    <x v="0"/>
    <x v="0"/>
    <x v="0"/>
    <s v="Mombasa"/>
    <s v="Education"/>
    <x v="1"/>
    <x v="7"/>
    <x v="3"/>
    <x v="365"/>
    <n v="1295.18"/>
    <n v="3024.03"/>
    <n v="3024.03"/>
    <n v="885.82300000000009"/>
    <n v="1629.893"/>
    <s v="High"/>
    <s v="OK"/>
    <n v="0.192"/>
    <s v="OK"/>
    <n v="8"/>
    <n v="19547.329920000004"/>
    <n v="10361.44"/>
    <n v="9185.8899200000033"/>
    <n v="0.46993067378483178"/>
    <n v="0"/>
    <e v="#DIV/0!"/>
    <x v="1"/>
  </r>
  <r>
    <s v="ORD-2025-624006"/>
    <x v="309"/>
    <x v="3"/>
    <s v="Q1-2025"/>
    <d v="2025-03-29T00:00:00"/>
    <s v="Valid"/>
    <d v="2025-03-29T00:00:00"/>
    <x v="15"/>
    <s v="May-2023"/>
    <n v="23"/>
    <n v="14"/>
    <x v="0"/>
    <x v="1"/>
    <x v="4"/>
    <s v="Mumbai"/>
    <s v="Enterprise"/>
    <x v="4"/>
    <x v="0"/>
    <x v="0"/>
    <x v="366"/>
    <n v="935.83"/>
    <n v="2303.46"/>
    <n v="2303.46"/>
    <n v="882.27880000000005"/>
    <n v="1626.6128000000001"/>
    <s v="High"/>
    <s v="OK"/>
    <n v="0.105"/>
    <s v="OK"/>
    <n v="9"/>
    <n v="18554.370299999999"/>
    <n v="8422.4700000000012"/>
    <n v="10131.900299999998"/>
    <n v="0.54606543559174292"/>
    <n v="0"/>
    <e v="#DIV/0!"/>
    <x v="1"/>
  </r>
  <r>
    <s v="ORD-2023-132101"/>
    <x v="198"/>
    <x v="27"/>
    <s v="Q3-2023"/>
    <d v="2023-10-09T00:00:00"/>
    <s v="Valid"/>
    <d v="2023-10-09T00:00:00"/>
    <x v="16"/>
    <s v="Feb-2023"/>
    <n v="8"/>
    <n v="14"/>
    <x v="0"/>
    <x v="2"/>
    <x v="10"/>
    <s v="New York"/>
    <s v="Small Business"/>
    <x v="2"/>
    <x v="1"/>
    <x v="4"/>
    <x v="367"/>
    <n v="1279.56"/>
    <n v="3083.8"/>
    <n v="3083.8"/>
    <n v="880.5154"/>
    <n v="1625.105"/>
    <s v="High"/>
    <s v="OK"/>
    <n v="0.106"/>
    <s v="OK"/>
    <n v="5"/>
    <n v="13784.586000000001"/>
    <n v="6397.7999999999993"/>
    <n v="7386.7860000000019"/>
    <n v="0.53587289455047848"/>
    <n v="0"/>
    <e v="#DIV/0!"/>
    <x v="1"/>
  </r>
  <r>
    <s v="ORD-2025-306903"/>
    <x v="35"/>
    <x v="16"/>
    <s v="Q2-2025"/>
    <d v="2025-07-23T00:00:00"/>
    <s v="Valid"/>
    <d v="2025-07-23T00:00:00"/>
    <x v="19"/>
    <s v="Apr-2023"/>
    <n v="27"/>
    <n v="29"/>
    <x v="0"/>
    <x v="2"/>
    <x v="3"/>
    <s v="Vancouver"/>
    <s v="Non-Profit"/>
    <x v="2"/>
    <x v="2"/>
    <x v="1"/>
    <x v="368"/>
    <n v="255.4"/>
    <n v="322.70999999999998"/>
    <n v="322.70999999999998"/>
    <n v="879.76960000000008"/>
    <n v="1624.3444000000002"/>
    <s v="Low"/>
    <s v="OK"/>
    <n v="0.115"/>
    <s v="OK"/>
    <n v="16"/>
    <n v="4569.5735999999997"/>
    <n v="4086.4"/>
    <n v="483.17359999999962"/>
    <n v="0.10573713048412212"/>
    <n v="0"/>
    <e v="#DIV/0!"/>
    <x v="1"/>
  </r>
  <r>
    <s v="ORD-2023-813340"/>
    <x v="310"/>
    <x v="4"/>
    <s v="Q4-2023"/>
    <d v="2024-01-03T00:00:00"/>
    <s v="Valid"/>
    <d v="2024-01-03T00:00:00"/>
    <x v="21"/>
    <s v="Apr-2023"/>
    <n v="9"/>
    <n v="8"/>
    <x v="0"/>
    <x v="3"/>
    <x v="7"/>
    <s v="Lyon"/>
    <s v="Small Business"/>
    <x v="0"/>
    <x v="12"/>
    <x v="4"/>
    <x v="369"/>
    <n v="492.75"/>
    <n v="731.29"/>
    <n v="731.29"/>
    <n v="882.38620000000014"/>
    <n v="1624.865"/>
    <s v="Low"/>
    <s v="OK"/>
    <n v="5.8000000000000003E-2"/>
    <s v="OK"/>
    <n v="6"/>
    <n v="4133.25108"/>
    <n v="2956.5"/>
    <n v="1176.75108"/>
    <n v="0.28470350753528384"/>
    <n v="0"/>
    <e v="#DIV/0!"/>
    <x v="1"/>
  </r>
  <r>
    <s v="ORD-2023-855675"/>
    <x v="311"/>
    <x v="2"/>
    <s v="Q1-2023"/>
    <d v="2023-02-28T00:00:00"/>
    <s v="Valid"/>
    <d v="2023-02-28T00:00:00"/>
    <x v="16"/>
    <s v="Feb-2023"/>
    <n v="1"/>
    <n v="23"/>
    <x v="0"/>
    <x v="2"/>
    <x v="10"/>
    <s v="Austin"/>
    <s v="Non-Profit"/>
    <x v="3"/>
    <x v="4"/>
    <x v="3"/>
    <x v="370"/>
    <n v="1214.49"/>
    <n v="1533.95"/>
    <n v="1533.95"/>
    <n v="889.58199999999999"/>
    <n v="1625.1200000000001"/>
    <s v="Medium"/>
    <s v="OK"/>
    <n v="0"/>
    <s v="OK"/>
    <n v="11"/>
    <n v="16873.45"/>
    <n v="13359.39"/>
    <n v="3514.0600000000013"/>
    <n v="0.20825972163369086"/>
    <n v="0"/>
    <e v="#DIV/0!"/>
    <x v="1"/>
  </r>
  <r>
    <s v="ORD-2023-545150"/>
    <x v="89"/>
    <x v="12"/>
    <s v="Q2-2023"/>
    <d v="2023-04-08T00:00:00"/>
    <s v="Valid"/>
    <d v="2023-04-08T00:00:00"/>
    <x v="5"/>
    <s v="Feb-2023"/>
    <n v="2"/>
    <n v="2"/>
    <x v="1"/>
    <x v="0"/>
    <x v="1"/>
    <s v="Abuja"/>
    <s v="Small Business"/>
    <x v="2"/>
    <x v="11"/>
    <x v="5"/>
    <x v="371"/>
    <n v="720.35"/>
    <n v="1571.66"/>
    <n v="1571.66"/>
    <n v="886.03779999999995"/>
    <n v="1625.375"/>
    <s v="Medium"/>
    <s v="OK"/>
    <n v="0.107"/>
    <s v="OK"/>
    <n v="23"/>
    <n v="32280.32474"/>
    <n v="16568.05"/>
    <n v="15712.274740000001"/>
    <n v="0.4867446305622265"/>
    <n v="0"/>
    <e v="#DIV/0!"/>
    <x v="1"/>
  </r>
  <r>
    <s v="ORD-2025-269934"/>
    <x v="253"/>
    <x v="19"/>
    <s v="Q2-2025"/>
    <d v="2025-04-10T00:00:00"/>
    <s v="Valid"/>
    <d v="2025-04-10T00:00:00"/>
    <x v="9"/>
    <s v="Jan-2023"/>
    <n v="27"/>
    <n v="6"/>
    <x v="1"/>
    <x v="3"/>
    <x v="8"/>
    <s v="Birmingham"/>
    <s v="Non-Profit"/>
    <x v="4"/>
    <x v="13"/>
    <x v="1"/>
    <x v="372"/>
    <n v="290.14"/>
    <n v="250.73"/>
    <n v="250.73"/>
    <n v="882.49360000000001"/>
    <n v="1626.8116"/>
    <s v="Low"/>
    <s v="OK"/>
    <n v="3.4000000000000002E-2"/>
    <s v="OK"/>
    <n v="17"/>
    <n v="4117.4880599999997"/>
    <n v="4932.38"/>
    <n v="-814.89194000000043"/>
    <n v="-0.19790997038131072"/>
    <n v="0"/>
    <e v="#DIV/0!"/>
    <x v="1"/>
  </r>
  <r>
    <s v="ORD-2024-690270"/>
    <x v="312"/>
    <x v="7"/>
    <s v="Q2-2024"/>
    <d v="2024-05-27T00:00:00"/>
    <s v="Valid"/>
    <d v="2024-05-27T00:00:00"/>
    <x v="22"/>
    <s v="Feb-2023"/>
    <n v="15"/>
    <n v="10"/>
    <x v="0"/>
    <x v="2"/>
    <x v="10"/>
    <s v="Austin"/>
    <s v="Non-Profit"/>
    <x v="1"/>
    <x v="0"/>
    <x v="3"/>
    <x v="373"/>
    <n v="1484.23"/>
    <n v="3472.81"/>
    <n v="3472.81"/>
    <n v="889.68940000000009"/>
    <n v="1628.5014000000001"/>
    <s v="High"/>
    <s v="OK"/>
    <n v="0.25600000000000001"/>
    <s v="OK"/>
    <n v="12"/>
    <n v="31005.24768"/>
    <n v="17810.760000000002"/>
    <n v="13194.487679999998"/>
    <n v="0.42555659661803413"/>
    <n v="0"/>
    <e v="#DIV/0!"/>
    <x v="1"/>
  </r>
  <r>
    <s v="ORD-2024-868223"/>
    <x v="313"/>
    <x v="0"/>
    <s v="Q1-2024"/>
    <d v="2024-03-19T00:00:00"/>
    <s v="Valid"/>
    <d v="2024-03-19T00:00:00"/>
    <x v="10"/>
    <s v="Jan-2023"/>
    <n v="14"/>
    <n v="16"/>
    <x v="0"/>
    <x v="1"/>
    <x v="9"/>
    <s v="Beijing"/>
    <s v="Consumer"/>
    <x v="3"/>
    <x v="3"/>
    <x v="3"/>
    <x v="374"/>
    <n v="988.83"/>
    <n v="1206.04"/>
    <n v="1206.04"/>
    <n v="886.14520000000005"/>
    <n v="1625.39"/>
    <s v="Medium"/>
    <s v="OK"/>
    <n v="6.3E-2"/>
    <s v="OK"/>
    <n v="34"/>
    <n v="38422.022320000004"/>
    <n v="33620.22"/>
    <n v="4801.8023200000025"/>
    <n v="0.12497526236406606"/>
    <n v="0"/>
    <e v="#DIV/0!"/>
    <x v="1"/>
  </r>
  <r>
    <s v="ORD-2025-188059"/>
    <x v="231"/>
    <x v="16"/>
    <s v="Q2-2025"/>
    <d v="2025-07-11T00:00:00"/>
    <s v="Valid"/>
    <d v="2025-07-11T00:00:00"/>
    <x v="10"/>
    <s v="Jan-2023"/>
    <n v="30"/>
    <n v="14"/>
    <x v="0"/>
    <x v="1"/>
    <x v="9"/>
    <s v="Shanghai"/>
    <s v="Small Business"/>
    <x v="2"/>
    <x v="4"/>
    <x v="2"/>
    <x v="375"/>
    <n v="1227.7"/>
    <n v="2197.23"/>
    <n v="2197.23"/>
    <n v="882.60100000000011"/>
    <n v="1626.9110000000001"/>
    <s v="High"/>
    <s v="OK"/>
    <n v="9.9000000000000005E-2"/>
    <s v="OK"/>
    <n v="22"/>
    <n v="43553.493060000001"/>
    <n v="27009.4"/>
    <n v="16544.093059999999"/>
    <n v="0.37985685871873898"/>
    <n v="0"/>
    <e v="#DIV/0!"/>
    <x v="1"/>
  </r>
  <r>
    <s v="ORD-2023-281890"/>
    <x v="314"/>
    <x v="22"/>
    <s v="Q1-2023"/>
    <d v="2023-04-04T00:00:00"/>
    <s v="Valid"/>
    <d v="2023-04-04T00:00:00"/>
    <x v="13"/>
    <s v="Jan-2023"/>
    <n v="3"/>
    <n v="22"/>
    <x v="0"/>
    <x v="0"/>
    <x v="11"/>
    <s v="Durban"/>
    <s v="Small Business"/>
    <x v="0"/>
    <x v="8"/>
    <x v="0"/>
    <x v="376"/>
    <n v="1113.7"/>
    <n v="1620.6"/>
    <n v="1620.6"/>
    <n v="880.58320000000003"/>
    <n v="1625.15"/>
    <s v="Medium"/>
    <s v="OK"/>
    <n v="0.13900000000000001"/>
    <s v="OK"/>
    <n v="11"/>
    <n v="15348.702599999999"/>
    <n v="12250.7"/>
    <n v="3098.002599999998"/>
    <n v="0.20184133348182787"/>
    <n v="0"/>
    <e v="#DIV/0!"/>
    <x v="1"/>
  </r>
  <r>
    <s v="ORD-2025-636162"/>
    <x v="315"/>
    <x v="10"/>
    <s v="Q1-2025"/>
    <d v="2025-01-20T00:00:00"/>
    <s v="Valid"/>
    <d v="2025-01-20T00:00:00"/>
    <x v="13"/>
    <s v="Jan-2023"/>
    <n v="25"/>
    <n v="13"/>
    <x v="0"/>
    <x v="0"/>
    <x v="11"/>
    <s v="Cape Town"/>
    <s v="Corporate"/>
    <x v="4"/>
    <x v="11"/>
    <x v="2"/>
    <x v="377"/>
    <n v="432.13"/>
    <n v="1034.6600000000001"/>
    <n v="1034.6600000000001"/>
    <n v="879.8374"/>
    <n v="1625.4050000000002"/>
    <s v="Medium"/>
    <s v="OK"/>
    <n v="9.1999999999999998E-2"/>
    <s v="OK"/>
    <n v="7"/>
    <n v="6576.298960000001"/>
    <n v="3024.91"/>
    <n v="3551.3889600000011"/>
    <n v="0.54002851476204794"/>
    <n v="0"/>
    <e v="#DIV/0!"/>
    <x v="1"/>
  </r>
  <r>
    <s v="ORD-2025-915869"/>
    <x v="316"/>
    <x v="26"/>
    <s v="Q1-2025"/>
    <d v="2025-02-15T00:00:00"/>
    <s v="Valid"/>
    <d v="2025-02-15T00:00:00"/>
    <x v="6"/>
    <s v="Jan-2023"/>
    <n v="25"/>
    <n v="9"/>
    <x v="0"/>
    <x v="2"/>
    <x v="5"/>
    <s v="São Paulo"/>
    <s v="Non-Profit"/>
    <x v="3"/>
    <x v="9"/>
    <x v="2"/>
    <x v="378"/>
    <n v="837.39"/>
    <n v="1905.42"/>
    <n v="1905.42"/>
    <n v="879.09160000000008"/>
    <n v="1627.0104000000001"/>
    <s v="High"/>
    <s v="OK"/>
    <n v="3.2000000000000001E-2"/>
    <s v="OK"/>
    <n v="18"/>
    <n v="33200.038079999998"/>
    <n v="15073.02"/>
    <n v="18127.018079999998"/>
    <n v="0.54599389423350919"/>
    <n v="0"/>
    <e v="#DIV/0!"/>
    <x v="1"/>
  </r>
  <r>
    <s v="ORD-2025-192876"/>
    <x v="317"/>
    <x v="10"/>
    <s v="Q1-2025"/>
    <d v="2025-02-17T00:00:00"/>
    <s v="Valid"/>
    <d v="2025-02-17T00:00:00"/>
    <x v="9"/>
    <s v="Jan-2023"/>
    <n v="25"/>
    <n v="17"/>
    <x v="0"/>
    <x v="3"/>
    <x v="8"/>
    <s v="London"/>
    <s v="Enterprise"/>
    <x v="0"/>
    <x v="10"/>
    <x v="0"/>
    <x v="78"/>
    <n v="378.26"/>
    <n v="541.55999999999995"/>
    <n v="541.55999999999995"/>
    <n v="878.40359999999998"/>
    <n v="1625.165"/>
    <s v="Low"/>
    <s v="OK"/>
    <n v="0.16300000000000001"/>
    <s v="OK"/>
    <n v="25"/>
    <n v="11332.142999999998"/>
    <n v="9456.5"/>
    <n v="1875.6429999999982"/>
    <n v="0.16551529573885526"/>
    <n v="0"/>
    <e v="#DIV/0!"/>
    <x v="1"/>
  </r>
  <r>
    <s v="ORD-2025-822030"/>
    <x v="83"/>
    <x v="28"/>
    <s v="Q3-2025"/>
    <d v="2025-09-06T00:00:00"/>
    <s v="Valid"/>
    <d v="2025-09-06T00:00:00"/>
    <x v="19"/>
    <s v="Apr-2023"/>
    <n v="28"/>
    <n v="30"/>
    <x v="0"/>
    <x v="2"/>
    <x v="3"/>
    <s v="Montreal"/>
    <s v="Education"/>
    <x v="4"/>
    <x v="12"/>
    <x v="2"/>
    <x v="379"/>
    <n v="833.73"/>
    <n v="1116.5999999999999"/>
    <n v="1116.5999999999999"/>
    <n v="879.86"/>
    <n v="1625.42"/>
    <s v="Medium"/>
    <s v="OK"/>
    <n v="0.17599999999999999"/>
    <s v="OK"/>
    <n v="14"/>
    <n v="12881.097599999999"/>
    <n v="11672.220000000001"/>
    <n v="1208.877599999998"/>
    <n v="9.3848958958279924E-2"/>
    <n v="0"/>
    <e v="#DIV/0!"/>
    <x v="1"/>
  </r>
  <r>
    <s v="ORD-2025-789245"/>
    <x v="318"/>
    <x v="13"/>
    <s v="Q3-2025"/>
    <d v="2025-08-17T00:00:00"/>
    <s v="Valid"/>
    <d v="2025-08-17T00:00:00"/>
    <x v="9"/>
    <s v="Jan-2023"/>
    <n v="31"/>
    <n v="25"/>
    <x v="0"/>
    <x v="3"/>
    <x v="8"/>
    <s v="Birmingham"/>
    <s v="Education"/>
    <x v="1"/>
    <x v="2"/>
    <x v="1"/>
    <x v="380"/>
    <n v="1142.06"/>
    <n v="1455"/>
    <n v="1455"/>
    <n v="879.11419999999998"/>
    <n v="1627.1098000000002"/>
    <s v="Medium"/>
    <s v="OK"/>
    <n v="7.8E-2"/>
    <s v="OK"/>
    <n v="28"/>
    <n v="37562.28"/>
    <n v="31977.68"/>
    <n v="5584.5999999999985"/>
    <n v="0.1486757459877302"/>
    <n v="0"/>
    <e v="#DIV/0!"/>
    <x v="1"/>
  </r>
  <r>
    <s v="ORD-2023-594955"/>
    <x v="263"/>
    <x v="23"/>
    <s v="Q2-2023"/>
    <d v="2023-07-08T00:00:00"/>
    <s v="Valid"/>
    <d v="2023-07-08T00:00:00"/>
    <x v="22"/>
    <s v="Feb-2023"/>
    <n v="4"/>
    <n v="18"/>
    <x v="0"/>
    <x v="2"/>
    <x v="10"/>
    <s v="New York"/>
    <s v="Consumer"/>
    <x v="2"/>
    <x v="7"/>
    <x v="2"/>
    <x v="381"/>
    <n v="1145.53"/>
    <n v="1278.3"/>
    <n v="1278.3"/>
    <n v="878.42280000000005"/>
    <n v="1628.7996000000001"/>
    <s v="Medium"/>
    <s v="OK"/>
    <n v="0.09"/>
    <s v="OK"/>
    <n v="41"/>
    <n v="47693.373"/>
    <n v="46966.729999999996"/>
    <n v="726.64300000000367"/>
    <n v="1.5235722581416158E-2"/>
    <n v="0"/>
    <e v="#DIV/0!"/>
    <x v="1"/>
  </r>
  <r>
    <s v="ORD-2024-398783"/>
    <x v="319"/>
    <x v="14"/>
    <s v="Q3-2024"/>
    <d v="2024-08-07T00:00:00"/>
    <s v="Valid"/>
    <d v="2024-08-07T00:00:00"/>
    <x v="21"/>
    <s v="Apr-2023"/>
    <n v="16"/>
    <n v="20"/>
    <x v="0"/>
    <x v="3"/>
    <x v="7"/>
    <s v="Marseille"/>
    <s v="Corporate"/>
    <x v="0"/>
    <x v="9"/>
    <x v="5"/>
    <x v="382"/>
    <n v="941.35"/>
    <n v="899.83"/>
    <n v="899.83"/>
    <n v="877.78919999999994"/>
    <n v="1630.6144000000002"/>
    <s v="Medium"/>
    <s v="OK"/>
    <n v="5.8000000000000003E-2"/>
    <s v="OK"/>
    <n v="18"/>
    <n v="15257.51748"/>
    <n v="16944.3"/>
    <n v="-1686.7825199999988"/>
    <n v="-0.11055419220139073"/>
    <n v="0"/>
    <e v="#DIV/0!"/>
    <x v="1"/>
  </r>
  <r>
    <s v="ORD-2023-676553"/>
    <x v="72"/>
    <x v="15"/>
    <s v="Q2-2023"/>
    <d v="2023-06-19T00:00:00"/>
    <s v="Valid"/>
    <d v="2023-06-19T00:00:00"/>
    <x v="15"/>
    <s v="May-2023"/>
    <n v="1"/>
    <n v="30"/>
    <x v="0"/>
    <x v="1"/>
    <x v="4"/>
    <s v="Delhi"/>
    <s v="Non-Profit"/>
    <x v="2"/>
    <x v="10"/>
    <x v="4"/>
    <x v="383"/>
    <n v="1161.2"/>
    <n v="878.73"/>
    <n v="878.73"/>
    <n v="877.15559999999994"/>
    <n v="1634.4292000000003"/>
    <s v="Medium"/>
    <s v="OK"/>
    <n v="0.19"/>
    <s v="OK"/>
    <n v="31"/>
    <n v="22064.910300000003"/>
    <n v="35997.200000000004"/>
    <n v="-13932.289700000001"/>
    <n v="-0.63142290227212028"/>
    <n v="0"/>
    <e v="#DIV/0!"/>
    <x v="1"/>
  </r>
  <r>
    <s v="ORD-2025-866565"/>
    <x v="320"/>
    <x v="8"/>
    <s v="Q2-2025"/>
    <d v="2025-05-26T00:00:00"/>
    <s v="Valid"/>
    <d v="2025-05-26T00:00:00"/>
    <x v="15"/>
    <s v="May-2023"/>
    <n v="25"/>
    <n v="14"/>
    <x v="0"/>
    <x v="1"/>
    <x v="4"/>
    <s v="Hyderabad"/>
    <s v="Corporate"/>
    <x v="2"/>
    <x v="3"/>
    <x v="1"/>
    <x v="384"/>
    <n v="320.12"/>
    <n v="594.41999999999996"/>
    <n v="594.41999999999996"/>
    <n v="875.58150000000001"/>
    <n v="1638.2440000000001"/>
    <s v="Low"/>
    <s v="OK"/>
    <n v="0.104"/>
    <s v="OK"/>
    <n v="18"/>
    <n v="9586.8057599999993"/>
    <n v="5762.16"/>
    <n v="3824.6457599999994"/>
    <n v="0.39894891538931104"/>
    <n v="0"/>
    <e v="#DIV/0!"/>
    <x v="1"/>
  </r>
  <r>
    <s v="ORD-2024-527858"/>
    <x v="321"/>
    <x v="7"/>
    <s v="Q2-2024"/>
    <d v="2024-05-12T00:00:00"/>
    <s v="Valid"/>
    <d v="2024-05-12T00:00:00"/>
    <x v="5"/>
    <s v="Feb-2023"/>
    <n v="15"/>
    <n v="5"/>
    <x v="1"/>
    <x v="0"/>
    <x v="1"/>
    <s v="Abuja"/>
    <s v="Non-Profit"/>
    <x v="3"/>
    <x v="4"/>
    <x v="4"/>
    <x v="385"/>
    <n v="1163.99"/>
    <n v="1617.85"/>
    <n v="1617.85"/>
    <n v="878.98360000000002"/>
    <n v="1641.7647999999999"/>
    <s v="Medium"/>
    <s v="OK"/>
    <n v="0.127"/>
    <s v="OK"/>
    <n v="14"/>
    <n v="19773.362699999998"/>
    <n v="16295.86"/>
    <n v="3477.5026999999973"/>
    <n v="0.17586804797749436"/>
    <n v="0"/>
    <e v="#DIV/0!"/>
    <x v="1"/>
  </r>
  <r>
    <s v="ORD-2023-619385"/>
    <x v="322"/>
    <x v="27"/>
    <s v="Q3-2023"/>
    <d v="2023-10-03T00:00:00"/>
    <s v="Valid"/>
    <d v="2023-10-03T00:00:00"/>
    <x v="10"/>
    <s v="Jan-2023"/>
    <n v="9"/>
    <n v="3"/>
    <x v="1"/>
    <x v="1"/>
    <x v="9"/>
    <s v="Beijing"/>
    <s v="Non-Profit"/>
    <x v="0"/>
    <x v="1"/>
    <x v="4"/>
    <x v="386"/>
    <n v="1019.36"/>
    <n v="972.91"/>
    <n v="972.91"/>
    <n v="877.60419999999999"/>
    <n v="1643.0806"/>
    <s v="Medium"/>
    <s v="OK"/>
    <n v="0.14699999999999999"/>
    <s v="OK"/>
    <n v="17"/>
    <n v="14108.16791"/>
    <n v="17329.12"/>
    <n v="-3220.9520899999989"/>
    <n v="-0.22830406545678819"/>
    <n v="0"/>
    <e v="#DIV/0!"/>
    <x v="1"/>
  </r>
  <r>
    <s v="ORD-2023-835226"/>
    <x v="323"/>
    <x v="32"/>
    <s v="Q4-2023"/>
    <d v="2023-11-05T00:00:00"/>
    <s v="Valid"/>
    <d v="2023-11-05T00:00:00"/>
    <x v="13"/>
    <s v="Jan-2023"/>
    <n v="10"/>
    <n v="10"/>
    <x v="0"/>
    <x v="0"/>
    <x v="11"/>
    <s v="Cape Town"/>
    <s v="Non-Profit"/>
    <x v="1"/>
    <x v="2"/>
    <x v="4"/>
    <x v="387"/>
    <n v="20.38"/>
    <n v="42.56"/>
    <n v="42.56"/>
    <n v="875.66339999999991"/>
    <n v="1644.3964000000001"/>
    <s v="Low"/>
    <s v="OK"/>
    <n v="7.1999999999999995E-2"/>
    <s v="OK"/>
    <n v="11"/>
    <n v="434.45248000000004"/>
    <n v="224.17999999999998"/>
    <n v="210.27248000000006"/>
    <n v="0.48399419885921713"/>
    <n v="0"/>
    <e v="#DIV/0!"/>
    <x v="1"/>
  </r>
  <r>
    <s v="ORD-2025-485946"/>
    <x v="324"/>
    <x v="16"/>
    <s v="Q2-2025"/>
    <d v="2025-06-30T00:00:00"/>
    <s v="Valid"/>
    <d v="2025-06-30T00:00:00"/>
    <x v="13"/>
    <s v="Jan-2023"/>
    <n v="30"/>
    <n v="15"/>
    <x v="0"/>
    <x v="0"/>
    <x v="11"/>
    <s v="Johannesburg"/>
    <s v="Small Business"/>
    <x v="4"/>
    <x v="0"/>
    <x v="5"/>
    <x v="388"/>
    <n v="1487.59"/>
    <n v="1480.83"/>
    <n v="1480.83"/>
    <n v="879.02539999999999"/>
    <n v="1646.2864"/>
    <s v="Medium"/>
    <s v="OK"/>
    <n v="8.9999999999999993E-3"/>
    <s v="OK"/>
    <n v="11"/>
    <n v="16142.527829999999"/>
    <n v="16363.49"/>
    <n v="-220.9621700000007"/>
    <n v="-1.3688201273492908E-2"/>
    <n v="0"/>
    <e v="#DIV/0!"/>
    <x v="1"/>
  </r>
  <r>
    <s v="ORD-2024-307849"/>
    <x v="325"/>
    <x v="21"/>
    <s v="Q3-2024"/>
    <d v="2024-09-07T00:00:00"/>
    <s v="Valid"/>
    <d v="2024-09-07T00:00:00"/>
    <x v="21"/>
    <s v="Apr-2023"/>
    <n v="17"/>
    <n v="28"/>
    <x v="0"/>
    <x v="3"/>
    <x v="7"/>
    <s v="Marseille"/>
    <s v="Non-Profit"/>
    <x v="4"/>
    <x v="9"/>
    <x v="1"/>
    <x v="389"/>
    <n v="229.96"/>
    <n v="564.26"/>
    <n v="564.26"/>
    <n v="877.64599999999996"/>
    <n v="1650.8560000000002"/>
    <s v="Low"/>
    <s v="OK"/>
    <n v="0.105"/>
    <s v="OK"/>
    <n v="5"/>
    <n v="2525.0635000000002"/>
    <n v="1149.8"/>
    <n v="1375.2635000000002"/>
    <n v="0.54464511486542821"/>
    <n v="0"/>
    <e v="#DIV/0!"/>
    <x v="1"/>
  </r>
  <r>
    <s v="ORD-2023-368449"/>
    <x v="326"/>
    <x v="32"/>
    <s v="Q4-2023"/>
    <d v="2023-10-26T00:00:00"/>
    <s v="Valid"/>
    <d v="2023-10-26T00:00:00"/>
    <x v="10"/>
    <s v="Jan-2023"/>
    <n v="9"/>
    <n v="17"/>
    <x v="0"/>
    <x v="1"/>
    <x v="9"/>
    <s v="Shanghai"/>
    <s v="Consumer"/>
    <x v="2"/>
    <x v="0"/>
    <x v="0"/>
    <x v="390"/>
    <n v="1132.03"/>
    <n v="2137.21"/>
    <n v="2137.21"/>
    <n v="880.44659999999999"/>
    <n v="1655.4256000000003"/>
    <s v="High"/>
    <s v="OK"/>
    <n v="0.35699999999999998"/>
    <s v="FLAG"/>
    <n v="35"/>
    <n v="48097.911050000002"/>
    <n v="39621.049999999996"/>
    <n v="8476.8610500000068"/>
    <n v="0.17624177152284051"/>
    <n v="0"/>
    <e v="#DIV/0!"/>
    <x v="1"/>
  </r>
  <r>
    <s v="ORD-2024-251426"/>
    <x v="306"/>
    <x v="0"/>
    <s v="Q1-2024"/>
    <d v="2024-03-26T00:00:00"/>
    <s v="Valid"/>
    <d v="2024-03-26T00:00:00"/>
    <x v="22"/>
    <s v="Feb-2023"/>
    <n v="13"/>
    <n v="17"/>
    <x v="0"/>
    <x v="2"/>
    <x v="10"/>
    <s v="San Francisco"/>
    <s v="Education"/>
    <x v="4"/>
    <x v="2"/>
    <x v="3"/>
    <x v="391"/>
    <n v="1137.4100000000001"/>
    <n v="1680.93"/>
    <n v="1680.93"/>
    <n v="879.06719999999996"/>
    <n v="1646.5552000000002"/>
    <s v="High"/>
    <s v="OK"/>
    <n v="0.254"/>
    <s v="OK"/>
    <n v="9"/>
    <n v="11285.764020000001"/>
    <n v="10236.69"/>
    <n v="1049.07402"/>
    <n v="9.2955516183121464E-2"/>
    <n v="0"/>
    <e v="#DIV/0!"/>
    <x v="1"/>
  </r>
  <r>
    <s v="ORD-2023-927385"/>
    <x v="327"/>
    <x v="15"/>
    <s v="Q2-2023"/>
    <d v="2023-06-20T00:00:00"/>
    <s v="Valid"/>
    <d v="2023-06-20T00:00:00"/>
    <x v="9"/>
    <s v="Jan-2023"/>
    <n v="5"/>
    <n v="22"/>
    <x v="0"/>
    <x v="3"/>
    <x v="8"/>
    <s v="London"/>
    <s v="Small Business"/>
    <x v="4"/>
    <x v="11"/>
    <x v="0"/>
    <x v="392"/>
    <n v="1295.3900000000001"/>
    <n v="2905.06"/>
    <n v="2905.06"/>
    <n v="877.68780000000004"/>
    <n v="1643.2354"/>
    <s v="High"/>
    <s v="OK"/>
    <n v="0.14799999999999999"/>
    <s v="OK"/>
    <n v="8"/>
    <n v="19800.88896"/>
    <n v="10363.120000000001"/>
    <n v="9437.7689599999994"/>
    <n v="0.47663359857556614"/>
    <n v="0"/>
    <e v="#DIV/0!"/>
    <x v="1"/>
  </r>
  <r>
    <s v="ORD-2025-486350"/>
    <x v="328"/>
    <x v="8"/>
    <s v="Q2-2025"/>
    <d v="2025-06-08T00:00:00"/>
    <s v="Valid"/>
    <d v="2025-06-08T00:00:00"/>
    <x v="2"/>
    <s v="Mar-2023"/>
    <n v="27"/>
    <n v="12"/>
    <x v="0"/>
    <x v="1"/>
    <x v="2"/>
    <s v="Osaka"/>
    <s v="Corporate"/>
    <x v="0"/>
    <x v="10"/>
    <x v="6"/>
    <x v="393"/>
    <n v="653.6"/>
    <n v="842.09"/>
    <n v="842.09"/>
    <n v="875.82720000000006"/>
    <n v="1638.9172000000001"/>
    <s v="Low"/>
    <s v="OK"/>
    <n v="9.8000000000000004E-2"/>
    <s v="OK"/>
    <n v="19"/>
    <n v="14431.738420000001"/>
    <n v="12418.4"/>
    <n v="2013.3384200000019"/>
    <n v="0.13950768517324622"/>
    <n v="0"/>
    <e v="#DIV/0!"/>
    <x v="1"/>
  </r>
  <r>
    <s v="ORD-2025-677880"/>
    <x v="164"/>
    <x v="28"/>
    <s v="Q3-2025"/>
    <d v="2025-09-14T00:00:00"/>
    <s v="Valid"/>
    <d v="2025-09-14T00:00:00"/>
    <x v="18"/>
    <s v="Jan-2023"/>
    <n v="31"/>
    <n v="24"/>
    <x v="0"/>
    <x v="3"/>
    <x v="6"/>
    <s v="Berlin"/>
    <s v="Non-Profit"/>
    <x v="1"/>
    <x v="8"/>
    <x v="5"/>
    <x v="394"/>
    <n v="1397.67"/>
    <n v="3131.37"/>
    <n v="3131.37"/>
    <n v="879.10899999999992"/>
    <n v="1641.9969999999998"/>
    <s v="High"/>
    <s v="OK"/>
    <n v="0.10299999999999999"/>
    <s v="OK"/>
    <n v="20"/>
    <n v="56176.777799999996"/>
    <n v="27953.4"/>
    <n v="28223.377799999995"/>
    <n v="0.50240293062874808"/>
    <n v="0"/>
    <e v="#DIV/0!"/>
    <x v="1"/>
  </r>
  <r>
    <s v="ORD-2024-102866"/>
    <x v="329"/>
    <x v="6"/>
    <s v="Q4-2024"/>
    <d v="2024-12-20T00:00:00"/>
    <s v="Valid"/>
    <d v="2024-12-20T00:00:00"/>
    <x v="2"/>
    <s v="Mar-2023"/>
    <n v="22"/>
    <n v="8"/>
    <x v="0"/>
    <x v="1"/>
    <x v="2"/>
    <s v="Tokyo"/>
    <s v="Corporate"/>
    <x v="0"/>
    <x v="5"/>
    <x v="4"/>
    <x v="395"/>
    <n v="1202.47"/>
    <n v="1444.72"/>
    <n v="1444.72"/>
    <n v="877.7296"/>
    <n v="1635.3268"/>
    <s v="Medium"/>
    <s v="OK"/>
    <n v="0.24099999999999999"/>
    <s v="OK"/>
    <n v="17"/>
    <n v="18641.222160000001"/>
    <n v="20441.990000000002"/>
    <n v="-1800.7678400000004"/>
    <n v="-9.6601382921343834E-2"/>
    <n v="0"/>
    <e v="#DIV/0!"/>
    <x v="1"/>
  </r>
  <r>
    <s v="ORD-2025-588029"/>
    <x v="283"/>
    <x v="11"/>
    <s v="Q3-2025"/>
    <d v="2025-09-23T00:00:00"/>
    <s v="Valid"/>
    <d v="2025-09-23T00:00:00"/>
    <x v="13"/>
    <s v="Jan-2023"/>
    <n v="33"/>
    <n v="9"/>
    <x v="0"/>
    <x v="0"/>
    <x v="11"/>
    <s v="Durban"/>
    <s v="Non-Profit"/>
    <x v="1"/>
    <x v="14"/>
    <x v="0"/>
    <x v="396"/>
    <n v="1310.3"/>
    <n v="2875.8"/>
    <n v="2875.8"/>
    <n v="875.90909999999997"/>
    <n v="1639.1415999999999"/>
    <s v="High"/>
    <s v="OK"/>
    <n v="8.3000000000000004E-2"/>
    <s v="OK"/>
    <n v="5"/>
    <n v="13185.543"/>
    <n v="6551.5"/>
    <n v="6634.0429999999997"/>
    <n v="0.50313005691157353"/>
    <n v="0"/>
    <e v="#DIV/0!"/>
    <x v="1"/>
  </r>
  <r>
    <s v="ORD-2024-972999"/>
    <x v="330"/>
    <x v="29"/>
    <s v="Q3-2024"/>
    <d v="2024-10-04T00:00:00"/>
    <s v="Valid"/>
    <d v="2024-10-04T00:00:00"/>
    <x v="13"/>
    <s v="Jan-2023"/>
    <n v="20"/>
    <n v="28"/>
    <x v="0"/>
    <x v="0"/>
    <x v="11"/>
    <s v="Cape Town"/>
    <s v="Corporate"/>
    <x v="2"/>
    <x v="14"/>
    <x v="5"/>
    <x v="397"/>
    <n v="1174.17"/>
    <n v="1641.61"/>
    <n v="1641.61"/>
    <n v="873.20640000000003"/>
    <n v="1631.7364000000002"/>
    <s v="High"/>
    <s v="OK"/>
    <n v="0.122"/>
    <s v="OK"/>
    <n v="9"/>
    <n v="12972.00222"/>
    <n v="10567.53"/>
    <n v="2404.4722199999997"/>
    <n v="0.18535860380079394"/>
    <n v="0"/>
    <e v="#DIV/0!"/>
    <x v="1"/>
  </r>
  <r>
    <s v="ORD-2025-608069"/>
    <x v="331"/>
    <x v="19"/>
    <s v="Q2-2025"/>
    <d v="2025-04-30T00:00:00"/>
    <s v="Valid"/>
    <d v="2025-04-30T00:00:00"/>
    <x v="17"/>
    <s v="Feb-2023"/>
    <n v="26"/>
    <n v="18"/>
    <x v="0"/>
    <x v="0"/>
    <x v="0"/>
    <s v="Kisumu"/>
    <s v="Corporate"/>
    <x v="2"/>
    <x v="9"/>
    <x v="2"/>
    <x v="398"/>
    <n v="1119.04"/>
    <n v="1299.02"/>
    <n v="1299.02"/>
    <n v="870.50369999999998"/>
    <n v="1627.7062000000001"/>
    <s v="Medium"/>
    <s v="OK"/>
    <n v="2.5000000000000001E-2"/>
    <s v="OK"/>
    <n v="14"/>
    <n v="17731.623"/>
    <n v="15666.56"/>
    <n v="2065.0630000000001"/>
    <n v="0.11646215352085933"/>
    <n v="0"/>
    <e v="#DIV/0!"/>
    <x v="1"/>
  </r>
  <r>
    <s v="ORD-2024-626750"/>
    <x v="174"/>
    <x v="21"/>
    <s v="Q3-2024"/>
    <d v="2024-08-15T00:00:00"/>
    <s v="Valid"/>
    <d v="2024-08-15T00:00:00"/>
    <x v="22"/>
    <s v="Feb-2023"/>
    <n v="18"/>
    <n v="3"/>
    <x v="1"/>
    <x v="2"/>
    <x v="10"/>
    <s v="Chicago"/>
    <s v="Corporate"/>
    <x v="2"/>
    <x v="14"/>
    <x v="1"/>
    <x v="399"/>
    <n v="850.7"/>
    <n v="1118.56"/>
    <n v="1118.56"/>
    <n v="867.87400000000002"/>
    <n v="1629.3960000000002"/>
    <s v="Medium"/>
    <s v="OK"/>
    <n v="0.18"/>
    <s v="OK"/>
    <n v="19"/>
    <n v="17427.164800000002"/>
    <n v="16163.300000000001"/>
    <n v="1263.8648000000012"/>
    <n v="7.2522685962090688E-2"/>
    <n v="0"/>
    <e v="#DIV/0!"/>
    <x v="1"/>
  </r>
  <r>
    <s v="ORD-2024-170021"/>
    <x v="332"/>
    <x v="18"/>
    <s v="Q4-2024"/>
    <d v="2024-11-08T00:00:00"/>
    <s v="Valid"/>
    <d v="2024-11-08T00:00:00"/>
    <x v="19"/>
    <s v="Apr-2023"/>
    <n v="19"/>
    <n v="3"/>
    <x v="1"/>
    <x v="2"/>
    <x v="3"/>
    <s v="Toronto"/>
    <s v="Education"/>
    <x v="2"/>
    <x v="7"/>
    <x v="0"/>
    <x v="400"/>
    <n v="1020.4"/>
    <n v="1184.71"/>
    <n v="1184.71"/>
    <n v="865.4122000000001"/>
    <n v="1632.5026000000003"/>
    <s v="Medium"/>
    <s v="OK"/>
    <n v="0.106"/>
    <s v="OK"/>
    <n v="16"/>
    <n v="16946.091840000001"/>
    <n v="16326.4"/>
    <n v="619.69184000000132"/>
    <n v="3.6568422138328345E-2"/>
    <n v="0"/>
    <e v="#DIV/0!"/>
    <x v="1"/>
  </r>
  <r>
    <s v="ORD-2024-678110"/>
    <x v="333"/>
    <x v="14"/>
    <s v="Q3-2024"/>
    <d v="2024-08-08T00:00:00"/>
    <s v="Valid"/>
    <d v="2024-08-08T00:00:00"/>
    <x v="21"/>
    <s v="Apr-2023"/>
    <n v="16"/>
    <n v="15"/>
    <x v="0"/>
    <x v="3"/>
    <x v="7"/>
    <s v="Marseille"/>
    <s v="Enterprise"/>
    <x v="2"/>
    <x v="10"/>
    <x v="4"/>
    <x v="401"/>
    <n v="501.5"/>
    <n v="1201.47"/>
    <n v="1201.47"/>
    <n v="862.95040000000006"/>
    <n v="1637.6332000000004"/>
    <s v="Medium"/>
    <s v="OK"/>
    <n v="0.126"/>
    <s v="OK"/>
    <n v="5"/>
    <n v="5250.4239000000007"/>
    <n v="2507.5"/>
    <n v="2742.9239000000007"/>
    <n v="0.52241951359394057"/>
    <n v="0"/>
    <e v="#DIV/0!"/>
    <x v="1"/>
  </r>
  <r>
    <s v="ORD-2025-909340"/>
    <x v="334"/>
    <x v="10"/>
    <s v="Q1-2025"/>
    <d v="2025-02-03T00:00:00"/>
    <s v="Valid"/>
    <d v="2025-02-03T00:00:00"/>
    <x v="6"/>
    <s v="Jan-2023"/>
    <n v="24"/>
    <n v="14"/>
    <x v="0"/>
    <x v="2"/>
    <x v="5"/>
    <s v="Brasília"/>
    <s v="Enterprise"/>
    <x v="2"/>
    <x v="9"/>
    <x v="0"/>
    <x v="402"/>
    <n v="974.11"/>
    <n v="880.99"/>
    <n v="880.99"/>
    <n v="859.16919999999993"/>
    <n v="1642.7637999999999"/>
    <s v="Medium"/>
    <s v="OK"/>
    <n v="0.111"/>
    <s v="OK"/>
    <n v="10"/>
    <n v="7832.0010999999995"/>
    <n v="9741.1"/>
    <n v="-1909.0989000000009"/>
    <n v="-0.2437562093805121"/>
    <n v="0"/>
    <e v="#DIV/0!"/>
    <x v="1"/>
  </r>
  <r>
    <s v="ORD-2023-854471"/>
    <x v="335"/>
    <x v="22"/>
    <s v="Q1-2023"/>
    <d v="2023-04-04T00:00:00"/>
    <s v="Valid"/>
    <d v="2023-04-04T00:00:00"/>
    <x v="10"/>
    <s v="Jan-2023"/>
    <n v="2"/>
    <n v="29"/>
    <x v="0"/>
    <x v="1"/>
    <x v="9"/>
    <s v="Beijing"/>
    <s v="Small Business"/>
    <x v="4"/>
    <x v="0"/>
    <x v="5"/>
    <x v="403"/>
    <n v="1126.29"/>
    <n v="2050.87"/>
    <n v="2050.87"/>
    <n v="851.86959999999988"/>
    <n v="1647.6304"/>
    <s v="High"/>
    <s v="OK"/>
    <n v="6.4000000000000001E-2"/>
    <s v="OK"/>
    <n v="7"/>
    <n v="13437.300239999999"/>
    <n v="7884.03"/>
    <n v="5553.2702399999989"/>
    <n v="0.41327276616690373"/>
    <n v="0"/>
    <e v="#DIV/0!"/>
    <x v="1"/>
  </r>
  <r>
    <s v="ORD-2024-390951"/>
    <x v="336"/>
    <x v="6"/>
    <s v="Q4-2024"/>
    <d v="2025-01-14T00:00:00"/>
    <s v="Valid"/>
    <d v="2025-01-14T00:00:00"/>
    <x v="15"/>
    <s v="May-2023"/>
    <n v="20"/>
    <n v="25"/>
    <x v="0"/>
    <x v="1"/>
    <x v="4"/>
    <s v="Delhi"/>
    <s v="Small Business"/>
    <x v="0"/>
    <x v="12"/>
    <x v="1"/>
    <x v="404"/>
    <n v="1361.34"/>
    <n v="1737.9"/>
    <n v="1737.9"/>
    <n v="844.56999999999994"/>
    <n v="1637.9349999999999"/>
    <s v="High"/>
    <s v="OK"/>
    <n v="7.6999999999999999E-2"/>
    <s v="OK"/>
    <n v="14"/>
    <n v="22457.143800000002"/>
    <n v="19058.759999999998"/>
    <n v="3398.3838000000032"/>
    <n v="0.15132751654731813"/>
    <n v="0"/>
    <e v="#DIV/0!"/>
    <x v="1"/>
  </r>
  <r>
    <s v="ORD-2025-881624"/>
    <x v="337"/>
    <x v="26"/>
    <s v="Q1-2025"/>
    <d v="2025-03-21T00:00:00"/>
    <s v="Valid"/>
    <d v="2025-03-21T00:00:00"/>
    <x v="5"/>
    <s v="Feb-2023"/>
    <n v="25"/>
    <n v="28"/>
    <x v="0"/>
    <x v="0"/>
    <x v="1"/>
    <s v="Abuja"/>
    <s v="Enterprise"/>
    <x v="2"/>
    <x v="2"/>
    <x v="3"/>
    <x v="405"/>
    <n v="1437.39"/>
    <n v="1388.31"/>
    <n v="1388.31"/>
    <n v="838.61199999999997"/>
    <n v="1629.5948000000001"/>
    <s v="Medium"/>
    <s v="OK"/>
    <n v="0.13800000000000001"/>
    <s v="OK"/>
    <n v="18"/>
    <n v="21541.017959999997"/>
    <n v="25873.02"/>
    <n v="-4332.002040000003"/>
    <n v="-0.20110479681341872"/>
    <n v="0"/>
    <e v="#DIV/0!"/>
    <x v="1"/>
  </r>
  <r>
    <s v="ORD-2025-512310"/>
    <x v="338"/>
    <x v="3"/>
    <s v="Q1-2025"/>
    <d v="2025-03-15T00:00:00"/>
    <s v="Valid"/>
    <d v="2025-03-15T00:00:00"/>
    <x v="15"/>
    <s v="May-2023"/>
    <n v="23"/>
    <n v="7"/>
    <x v="0"/>
    <x v="1"/>
    <x v="4"/>
    <s v="Bengaluru"/>
    <s v="Corporate"/>
    <x v="3"/>
    <x v="11"/>
    <x v="4"/>
    <x v="406"/>
    <n v="475.66"/>
    <n v="529.14"/>
    <n v="529.14"/>
    <n v="836.84649999999999"/>
    <n v="1633.1062000000002"/>
    <s v="Low"/>
    <s v="OK"/>
    <n v="0.19600000000000001"/>
    <s v="OK"/>
    <n v="11"/>
    <n v="4679.7141600000004"/>
    <n v="5232.26"/>
    <n v="-552.54583999999977"/>
    <n v="-0.11807256193613323"/>
    <n v="0"/>
    <e v="#DIV/0!"/>
    <x v="1"/>
  </r>
  <r>
    <s v="ORD-2023-674887"/>
    <x v="339"/>
    <x v="4"/>
    <s v="Q4-2023"/>
    <d v="2023-12-19T00:00:00"/>
    <s v="Valid"/>
    <d v="2023-12-19T00:00:00"/>
    <x v="10"/>
    <s v="Jan-2023"/>
    <n v="12"/>
    <n v="3"/>
    <x v="1"/>
    <x v="1"/>
    <x v="9"/>
    <s v="Beijing"/>
    <s v="Education"/>
    <x v="0"/>
    <x v="8"/>
    <x v="6"/>
    <x v="407"/>
    <n v="1415.05"/>
    <n v="1972.38"/>
    <n v="1972.38"/>
    <n v="844.79120000000012"/>
    <n v="1638.2368000000001"/>
    <s v="High"/>
    <s v="OK"/>
    <n v="0"/>
    <s v="OK"/>
    <n v="12"/>
    <n v="23668.560000000001"/>
    <n v="16980.599999999999"/>
    <n v="6687.9600000000028"/>
    <n v="0.28256725377462771"/>
    <n v="0"/>
    <e v="#DIV/0!"/>
    <x v="1"/>
  </r>
  <r>
    <s v="ORD-2024-542244"/>
    <x v="340"/>
    <x v="21"/>
    <s v="Q3-2024"/>
    <d v="2024-09-05T00:00:00"/>
    <s v="Valid"/>
    <d v="2024-09-05T00:00:00"/>
    <x v="2"/>
    <s v="Mar-2023"/>
    <n v="18"/>
    <n v="6"/>
    <x v="1"/>
    <x v="1"/>
    <x v="2"/>
    <s v="Nagoya"/>
    <s v="Education"/>
    <x v="1"/>
    <x v="13"/>
    <x v="4"/>
    <x v="408"/>
    <n v="466.16"/>
    <n v="876.81"/>
    <n v="876.81"/>
    <n v="838.66549999999995"/>
    <n v="1629.6942000000001"/>
    <s v="Medium"/>
    <s v="OK"/>
    <n v="0.24099999999999999"/>
    <s v="OK"/>
    <n v="8"/>
    <n v="5323.9903199999999"/>
    <n v="3729.28"/>
    <n v="1594.7103199999997"/>
    <n v="0.29953291124691594"/>
    <n v="0"/>
    <e v="#DIV/0!"/>
    <x v="1"/>
  </r>
  <r>
    <s v="ORD-2024-375848"/>
    <x v="22"/>
    <x v="7"/>
    <s v="Q2-2024"/>
    <d v="2024-05-21T00:00:00"/>
    <s v="Valid"/>
    <d v="2024-05-21T00:00:00"/>
    <x v="21"/>
    <s v="Apr-2023"/>
    <n v="14"/>
    <n v="3"/>
    <x v="1"/>
    <x v="3"/>
    <x v="7"/>
    <s v="Marseille"/>
    <s v="Non-Profit"/>
    <x v="2"/>
    <x v="14"/>
    <x v="1"/>
    <x v="409"/>
    <n v="663.66"/>
    <n v="824.26"/>
    <n v="824.26"/>
    <n v="836.90000000000009"/>
    <n v="1633.4080000000004"/>
    <s v="Low"/>
    <s v="OK"/>
    <n v="0.23899999999999999"/>
    <s v="OK"/>
    <n v="11"/>
    <n v="6899.8804600000003"/>
    <n v="7300.2599999999993"/>
    <n v="-400.379539999999"/>
    <n v="-5.8027025587048933E-2"/>
    <n v="0"/>
    <e v="#DIV/0!"/>
    <x v="1"/>
  </r>
  <r>
    <s v="ORD-2023-933238"/>
    <x v="341"/>
    <x v="22"/>
    <s v="Q1-2023"/>
    <d v="2023-04-06T00:00:00"/>
    <s v="Valid"/>
    <d v="2023-04-06T00:00:00"/>
    <x v="18"/>
    <s v="Jan-2023"/>
    <n v="2"/>
    <n v="20"/>
    <x v="0"/>
    <x v="3"/>
    <x v="6"/>
    <s v="Munich"/>
    <s v="Consumer"/>
    <x v="0"/>
    <x v="7"/>
    <x v="3"/>
    <x v="410"/>
    <n v="692.18"/>
    <n v="1159.3499999999999"/>
    <n v="1159.3499999999999"/>
    <n v="845.01240000000018"/>
    <n v="1638.5386000000003"/>
    <s v="Medium"/>
    <s v="OK"/>
    <n v="0.112"/>
    <s v="OK"/>
    <n v="2"/>
    <n v="2059.0056"/>
    <n v="1384.36"/>
    <n v="674.64560000000006"/>
    <n v="0.32765602968734037"/>
    <n v="0"/>
    <e v="#DIV/0!"/>
    <x v="1"/>
  </r>
  <r>
    <s v="ORD-2023-732585"/>
    <x v="342"/>
    <x v="25"/>
    <s v="Q3-2023"/>
    <d v="2023-09-16T00:00:00"/>
    <s v="Valid"/>
    <d v="2023-09-16T00:00:00"/>
    <x v="5"/>
    <s v="Feb-2023"/>
    <n v="7"/>
    <n v="22"/>
    <x v="0"/>
    <x v="0"/>
    <x v="1"/>
    <s v="Abuja"/>
    <s v="Corporate"/>
    <x v="2"/>
    <x v="4"/>
    <x v="3"/>
    <x v="411"/>
    <n v="1196.83"/>
    <n v="2513.5100000000002"/>
    <n v="2513.5100000000002"/>
    <n v="838.71899999999994"/>
    <n v="1643.6692"/>
    <s v="High"/>
    <s v="OK"/>
    <n v="8.3000000000000004E-2"/>
    <s v="OK"/>
    <n v="7"/>
    <n v="16134.22069"/>
    <n v="8377.81"/>
    <n v="7756.4106900000006"/>
    <n v="0.48074281609445374"/>
    <n v="0"/>
    <e v="#DIV/0!"/>
    <x v="1"/>
  </r>
  <r>
    <s v="ORD-2024-465898"/>
    <x v="343"/>
    <x v="17"/>
    <s v="Q2-2024"/>
    <d v="2024-06-24T00:00:00"/>
    <s v="Valid"/>
    <d v="2024-06-24T00:00:00"/>
    <x v="15"/>
    <s v="May-2023"/>
    <n v="14"/>
    <n v="18"/>
    <x v="0"/>
    <x v="1"/>
    <x v="4"/>
    <s v="Bengaluru"/>
    <s v="Small Business"/>
    <x v="4"/>
    <x v="10"/>
    <x v="2"/>
    <x v="412"/>
    <n v="1253.25"/>
    <n v="3087.13"/>
    <n v="3087.13"/>
    <n v="836.95349999999996"/>
    <n v="1633.7098000000001"/>
    <s v="High"/>
    <s v="OK"/>
    <n v="7.1999999999999995E-2"/>
    <s v="OK"/>
    <n v="11"/>
    <n v="31513.423040000001"/>
    <n v="13785.75"/>
    <n v="17727.673040000001"/>
    <n v="0.562543555408064"/>
    <n v="0"/>
    <e v="#DIV/0!"/>
    <x v="1"/>
  </r>
  <r>
    <s v="ORD-2023-987081"/>
    <x v="344"/>
    <x v="25"/>
    <s v="Q3-2023"/>
    <d v="2023-09-13T00:00:00"/>
    <s v="Valid"/>
    <d v="2023-09-13T00:00:00"/>
    <x v="19"/>
    <s v="Apr-2023"/>
    <n v="5"/>
    <n v="15"/>
    <x v="0"/>
    <x v="2"/>
    <x v="3"/>
    <s v="Vancouver"/>
    <s v="Small Business"/>
    <x v="2"/>
    <x v="7"/>
    <x v="1"/>
    <x v="413"/>
    <n v="1287.6400000000001"/>
    <n v="2717.15"/>
    <n v="2717.15"/>
    <n v="835.18799999999999"/>
    <n v="1628.2032000000002"/>
    <s v="High"/>
    <s v="OK"/>
    <n v="3.2000000000000001E-2"/>
    <s v="OK"/>
    <n v="7"/>
    <n v="18411.4084"/>
    <n v="9013.4800000000014"/>
    <n v="9397.9283999999989"/>
    <n v="0.51044049405802105"/>
    <n v="0"/>
    <e v="#DIV/0!"/>
    <x v="1"/>
  </r>
  <r>
    <s v="ORD-2024-655710"/>
    <x v="25"/>
    <x v="18"/>
    <s v="Q4-2024"/>
    <d v="2024-12-10T00:00:00"/>
    <s v="Valid"/>
    <d v="2024-12-10T00:00:00"/>
    <x v="15"/>
    <s v="May-2023"/>
    <n v="19"/>
    <n v="10"/>
    <x v="0"/>
    <x v="1"/>
    <x v="4"/>
    <s v="Hyderabad"/>
    <s v="Small Business"/>
    <x v="0"/>
    <x v="9"/>
    <x v="6"/>
    <x v="414"/>
    <n v="851.49"/>
    <n v="901.79"/>
    <n v="901.79"/>
    <n v="833.32900000000006"/>
    <n v="1625.345"/>
    <s v="Medium"/>
    <s v="OK"/>
    <n v="0.245"/>
    <s v="OK"/>
    <n v="16"/>
    <n v="10893.6232"/>
    <n v="13623.84"/>
    <n v="-2730.2168000000001"/>
    <n v="-0.25062522816100341"/>
    <n v="0"/>
    <e v="#DIV/0!"/>
    <x v="1"/>
  </r>
  <r>
    <s v="ORD-2025-411385"/>
    <x v="345"/>
    <x v="16"/>
    <s v="Q2-2025"/>
    <d v="2025-06-14T00:00:00"/>
    <s v="Valid"/>
    <d v="2025-06-14T00:00:00"/>
    <x v="15"/>
    <s v="May-2023"/>
    <n v="26"/>
    <n v="9"/>
    <x v="0"/>
    <x v="1"/>
    <x v="4"/>
    <s v="Delhi"/>
    <s v="Non-Profit"/>
    <x v="0"/>
    <x v="8"/>
    <x v="6"/>
    <x v="415"/>
    <n v="618.69000000000005"/>
    <n v="796.15"/>
    <n v="796.15"/>
    <n v="830.94640000000004"/>
    <n v="1626.6128000000001"/>
    <s v="Low"/>
    <s v="OK"/>
    <n v="0.09"/>
    <s v="OK"/>
    <n v="11"/>
    <n v="7969.4615000000003"/>
    <n v="6805.59"/>
    <n v="1163.8715000000002"/>
    <n v="0.14604142325049191"/>
    <n v="0"/>
    <e v="#DIV/0!"/>
    <x v="1"/>
  </r>
  <r>
    <s v="ORD-2025-222035"/>
    <x v="251"/>
    <x v="3"/>
    <s v="Q1-2025"/>
    <d v="2025-04-08T00:00:00"/>
    <s v="Valid"/>
    <d v="2025-04-08T00:00:00"/>
    <x v="10"/>
    <s v="Jan-2023"/>
    <n v="27"/>
    <n v="25"/>
    <x v="0"/>
    <x v="1"/>
    <x v="9"/>
    <s v="Not Provided"/>
    <s v="Corporate"/>
    <x v="3"/>
    <x v="14"/>
    <x v="1"/>
    <x v="416"/>
    <n v="80.59"/>
    <n v="157.82"/>
    <n v="157.82"/>
    <n v="835.24150000000009"/>
    <n v="1628.3026000000002"/>
    <s v="Low"/>
    <s v="OK"/>
    <n v="0.217"/>
    <s v="OK"/>
    <n v="6"/>
    <n v="741.43835999999999"/>
    <n v="483.54"/>
    <n v="257.89835999999997"/>
    <n v="0.34783519967863541"/>
    <n v="0"/>
    <e v="#DIV/0!"/>
    <x v="1"/>
  </r>
  <r>
    <s v="ORD-2024-749242"/>
    <x v="346"/>
    <x v="9"/>
    <s v="Q1-2024"/>
    <d v="2024-02-11T00:00:00"/>
    <s v="Valid"/>
    <d v="2024-02-11T00:00:00"/>
    <x v="18"/>
    <s v="Jan-2023"/>
    <n v="12"/>
    <n v="26"/>
    <x v="0"/>
    <x v="3"/>
    <x v="6"/>
    <s v="Frankfurt"/>
    <s v="Non-Profit"/>
    <x v="3"/>
    <x v="6"/>
    <x v="5"/>
    <x v="417"/>
    <n v="504.93"/>
    <n v="819.06"/>
    <n v="819.06"/>
    <n v="838.82600000000002"/>
    <n v="1629.9924000000001"/>
    <s v="Low"/>
    <s v="OK"/>
    <n v="0.22600000000000001"/>
    <s v="OK"/>
    <n v="15"/>
    <n v="9509.2865999999995"/>
    <n v="7573.95"/>
    <n v="1935.3365999999996"/>
    <n v="0.20352069312959814"/>
    <n v="0"/>
    <e v="#DIV/0!"/>
    <x v="1"/>
  </r>
  <r>
    <s v="ORD-2023-623293"/>
    <x v="347"/>
    <x v="32"/>
    <s v="Q4-2023"/>
    <d v="2023-10-29T00:00:00"/>
    <s v="Valid"/>
    <d v="2023-10-29T00:00:00"/>
    <x v="2"/>
    <s v="Mar-2023"/>
    <n v="8"/>
    <n v="17"/>
    <x v="0"/>
    <x v="1"/>
    <x v="2"/>
    <s v="Nagoya"/>
    <s v="Non-Profit"/>
    <x v="4"/>
    <x v="10"/>
    <x v="3"/>
    <x v="418"/>
    <n v="1102.19"/>
    <n v="1711.16"/>
    <n v="1711.16"/>
    <n v="852.97560000000021"/>
    <n v="1634.3134000000005"/>
    <s v="High"/>
    <s v="OK"/>
    <n v="0.151"/>
    <s v="OK"/>
    <n v="10"/>
    <n v="14527.748400000002"/>
    <n v="11021.900000000001"/>
    <n v="3505.8484000000008"/>
    <n v="0.24132083675127525"/>
    <n v="0"/>
    <e v="#DIV/0!"/>
    <x v="1"/>
  </r>
  <r>
    <s v="ORD-2025-276968"/>
    <x v="348"/>
    <x v="26"/>
    <s v="Q1-2025"/>
    <d v="2025-03-17T00:00:00"/>
    <s v="Valid"/>
    <d v="2025-03-17T00:00:00"/>
    <x v="22"/>
    <s v="Feb-2023"/>
    <n v="24"/>
    <n v="20"/>
    <x v="0"/>
    <x v="2"/>
    <x v="10"/>
    <s v="San Francisco"/>
    <s v="Non-Profit"/>
    <x v="2"/>
    <x v="10"/>
    <x v="3"/>
    <x v="419"/>
    <n v="1205.26"/>
    <n v="1696.35"/>
    <n v="1696.35"/>
    <n v="845.67599999999993"/>
    <n v="1628.402"/>
    <s v="High"/>
    <s v="OK"/>
    <n v="1.9E-2"/>
    <s v="OK"/>
    <n v="6"/>
    <n v="9984.7160999999978"/>
    <n v="7231.5599999999995"/>
    <n v="2753.1560999999983"/>
    <n v="0.27573704374028213"/>
    <n v="0"/>
    <e v="#DIV/0!"/>
    <x v="1"/>
  </r>
  <r>
    <s v="ORD-2025-650841"/>
    <x v="349"/>
    <x v="13"/>
    <s v="Q3-2025"/>
    <d v="2025-07-06T00:00:00"/>
    <s v="Valid"/>
    <d v="2025-07-06T00:00:00"/>
    <x v="5"/>
    <s v="Feb-2023"/>
    <n v="29"/>
    <n v="3"/>
    <x v="1"/>
    <x v="0"/>
    <x v="1"/>
    <s v="Lagos"/>
    <s v="Consumer"/>
    <x v="1"/>
    <x v="15"/>
    <x v="4"/>
    <x v="420"/>
    <n v="1313.3"/>
    <n v="2884.34"/>
    <n v="2884.34"/>
    <n v="838.87950000000001"/>
    <n v="1625.375"/>
    <s v="High"/>
    <s v="OK"/>
    <n v="0.157"/>
    <s v="OK"/>
    <n v="42"/>
    <n v="102122.94203999999"/>
    <n v="55158.6"/>
    <n v="46964.342039999996"/>
    <n v="0.45988042551305253"/>
    <n v="0"/>
    <e v="#DIV/0!"/>
    <x v="1"/>
  </r>
  <r>
    <s v="ORD-2025-831576"/>
    <x v="165"/>
    <x v="11"/>
    <s v="Q3-2025"/>
    <d v="2025-09-25T00:00:00"/>
    <s v="Valid"/>
    <d v="2025-09-25T00:00:00"/>
    <x v="15"/>
    <s v="May-2023"/>
    <n v="29"/>
    <n v="10"/>
    <x v="0"/>
    <x v="1"/>
    <x v="4"/>
    <s v="Delhi"/>
    <s v="Consumer"/>
    <x v="0"/>
    <x v="8"/>
    <x v="3"/>
    <x v="421"/>
    <n v="1488.91"/>
    <n v="1483.74"/>
    <n v="1483.74"/>
    <n v="837.11400000000003"/>
    <n v="1624.88"/>
    <s v="Medium"/>
    <s v="OK"/>
    <n v="0.16800000000000001"/>
    <s v="OK"/>
    <n v="24"/>
    <n v="29627.320319999999"/>
    <n v="35733.840000000004"/>
    <n v="-6106.5196800000049"/>
    <n v="-0.20611110333450519"/>
    <n v="0"/>
    <e v="#DIV/0!"/>
    <x v="1"/>
  </r>
  <r>
    <s v="ORD-2024-468655"/>
    <x v="350"/>
    <x v="31"/>
    <s v="Q1-2024"/>
    <d v="2024-03-06T00:00:00"/>
    <s v="Valid"/>
    <d v="2024-03-06T00:00:00"/>
    <x v="10"/>
    <s v="Jan-2023"/>
    <n v="14"/>
    <n v="16"/>
    <x v="0"/>
    <x v="1"/>
    <x v="9"/>
    <s v="Beijing"/>
    <s v="Education"/>
    <x v="2"/>
    <x v="7"/>
    <x v="1"/>
    <x v="422"/>
    <n v="1477.84"/>
    <n v="3197.47"/>
    <n v="3197.47"/>
    <n v="835.34850000000006"/>
    <n v="1625.135"/>
    <s v="High"/>
    <s v="OK"/>
    <n v="0.24299999999999999"/>
    <s v="OK"/>
    <n v="24"/>
    <n v="58091.634960000003"/>
    <n v="35468.159999999996"/>
    <n v="22623.474960000007"/>
    <n v="0.38944462443823091"/>
    <n v="0"/>
    <e v="#DIV/0!"/>
    <x v="1"/>
  </r>
  <r>
    <s v="ORD-2024-515105"/>
    <x v="351"/>
    <x v="31"/>
    <s v="Q1-2024"/>
    <d v="2024-03-26T00:00:00"/>
    <s v="Valid"/>
    <d v="2024-03-26T00:00:00"/>
    <x v="15"/>
    <s v="May-2023"/>
    <n v="10"/>
    <n v="28"/>
    <x v="0"/>
    <x v="1"/>
    <x v="4"/>
    <s v="Mumbai"/>
    <s v="Education"/>
    <x v="2"/>
    <x v="3"/>
    <x v="4"/>
    <x v="423"/>
    <n v="1035.19"/>
    <n v="2322.6999999999998"/>
    <n v="2322.6999999999998"/>
    <n v="833.54560000000004"/>
    <n v="1623.5040000000004"/>
    <s v="High"/>
    <s v="OK"/>
    <n v="0.17299999999999999"/>
    <s v="OK"/>
    <n v="8"/>
    <n v="15366.983199999999"/>
    <n v="8281.52"/>
    <n v="7085.4631999999983"/>
    <n v="0.46108355217047409"/>
    <n v="0"/>
    <e v="#DIV/0!"/>
    <x v="1"/>
  </r>
  <r>
    <s v="ORD-2025-803803"/>
    <x v="256"/>
    <x v="28"/>
    <s v="Q3-2025"/>
    <d v="2025-09-05T00:00:00"/>
    <s v="Valid"/>
    <d v="2025-09-05T00:00:00"/>
    <x v="5"/>
    <s v="Feb-2023"/>
    <n v="31"/>
    <n v="8"/>
    <x v="0"/>
    <x v="0"/>
    <x v="1"/>
    <s v="Port Harcourt"/>
    <s v="Small Business"/>
    <x v="2"/>
    <x v="6"/>
    <x v="4"/>
    <x v="424"/>
    <n v="1271.0999999999999"/>
    <n v="1932.42"/>
    <n v="1932.42"/>
    <n v="831.16300000000012"/>
    <n v="1604.2650000000003"/>
    <s v="High"/>
    <s v="OK"/>
    <n v="0.25"/>
    <s v="OK"/>
    <n v="21"/>
    <n v="30435.614999999998"/>
    <n v="26693.1"/>
    <n v="3742.5149999999994"/>
    <n v="0.12296498690760807"/>
    <n v="0"/>
    <e v="#DIV/0!"/>
    <x v="1"/>
  </r>
  <r>
    <s v="ORD-2024-993481"/>
    <x v="352"/>
    <x v="21"/>
    <s v="Q3-2024"/>
    <d v="2024-09-12T00:00:00"/>
    <s v="Valid"/>
    <d v="2024-09-12T00:00:00"/>
    <x v="15"/>
    <s v="May-2023"/>
    <n v="16"/>
    <n v="25"/>
    <x v="0"/>
    <x v="1"/>
    <x v="4"/>
    <s v="Mumbai"/>
    <s v="Consumer"/>
    <x v="2"/>
    <x v="0"/>
    <x v="3"/>
    <x v="425"/>
    <n v="1154.03"/>
    <n v="1590.36"/>
    <n v="1590.36"/>
    <n v="828.7804000000001"/>
    <n v="1595.2536"/>
    <s v="Medium"/>
    <s v="OK"/>
    <n v="0.314"/>
    <s v="FLAG"/>
    <n v="18"/>
    <n v="19637.76528"/>
    <n v="20772.54"/>
    <n v="-1134.7747200000013"/>
    <n v="-5.7785328616576745E-2"/>
    <n v="0"/>
    <e v="#DIV/0!"/>
    <x v="1"/>
  </r>
  <r>
    <s v="ORD-2024-811752"/>
    <x v="353"/>
    <x v="31"/>
    <s v="Q1-2024"/>
    <d v="2024-03-09T00:00:00"/>
    <s v="Valid"/>
    <d v="2024-03-09T00:00:00"/>
    <x v="21"/>
    <s v="Apr-2023"/>
    <n v="11"/>
    <n v="13"/>
    <x v="0"/>
    <x v="3"/>
    <x v="7"/>
    <s v="Marseille"/>
    <s v="Small Business"/>
    <x v="3"/>
    <x v="6"/>
    <x v="5"/>
    <x v="426"/>
    <n v="322.44"/>
    <n v="395.61"/>
    <n v="395.61"/>
    <n v="825.78120000000069"/>
    <n v="1595.5052000000001"/>
    <s v="Low"/>
    <s v="OK"/>
    <n v="0"/>
    <s v="OK"/>
    <n v="34"/>
    <n v="13450.74"/>
    <n v="10962.96"/>
    <n v="2487.7800000000007"/>
    <n v="0.18495487980586947"/>
    <n v="0"/>
    <e v="#DIV/0!"/>
    <x v="1"/>
  </r>
  <r>
    <s v="ORD-2025-673091"/>
    <x v="354"/>
    <x v="8"/>
    <s v="Q2-2025"/>
    <d v="2025-05-13T00:00:00"/>
    <s v="Valid"/>
    <d v="2025-05-13T00:00:00"/>
    <x v="15"/>
    <s v="May-2023"/>
    <n v="25"/>
    <n v="6"/>
    <x v="1"/>
    <x v="1"/>
    <x v="4"/>
    <s v="Bengaluru"/>
    <s v="Enterprise"/>
    <x v="4"/>
    <x v="1"/>
    <x v="3"/>
    <x v="427"/>
    <n v="935.98"/>
    <n v="2077.69"/>
    <n v="2077.69"/>
    <n v="831.23520000000008"/>
    <n v="1604.8479999999997"/>
    <s v="High"/>
    <s v="OK"/>
    <n v="0.17499999999999999"/>
    <s v="OK"/>
    <n v="24"/>
    <n v="41138.261999999995"/>
    <n v="22463.52"/>
    <n v="18674.741999999995"/>
    <n v="0.45395067978321491"/>
    <n v="0"/>
    <e v="#DIV/0!"/>
    <x v="1"/>
  </r>
  <r>
    <s v="ORD-2024-381197"/>
    <x v="355"/>
    <x v="18"/>
    <s v="Q4-2024"/>
    <d v="2024-11-12T00:00:00"/>
    <s v="Valid"/>
    <d v="2024-11-12T00:00:00"/>
    <x v="18"/>
    <s v="Jan-2023"/>
    <n v="22"/>
    <n v="11"/>
    <x v="0"/>
    <x v="3"/>
    <x v="6"/>
    <s v="Frankfurt"/>
    <s v="Consumer"/>
    <x v="1"/>
    <x v="5"/>
    <x v="1"/>
    <x v="428"/>
    <n v="599.84"/>
    <n v="1330.85"/>
    <n v="1330.85"/>
    <n v="828.85260000000005"/>
    <n v="1595.2683999999999"/>
    <s v="Medium"/>
    <s v="OK"/>
    <n v="0.115"/>
    <s v="OK"/>
    <n v="11"/>
    <n v="12955.824749999998"/>
    <n v="6598.2400000000007"/>
    <n v="6357.5847499999973"/>
    <n v="0.49071246892252063"/>
    <n v="0"/>
    <e v="#DIV/0!"/>
    <x v="1"/>
  </r>
  <r>
    <s v="ORD-2024-651852"/>
    <x v="356"/>
    <x v="6"/>
    <s v="Q4-2024"/>
    <d v="2025-01-08T00:00:00"/>
    <s v="Valid"/>
    <d v="2025-01-08T00:00:00"/>
    <x v="10"/>
    <s v="Jan-2023"/>
    <n v="24"/>
    <n v="11"/>
    <x v="0"/>
    <x v="1"/>
    <x v="9"/>
    <s v="Shenzhen"/>
    <s v="Enterprise"/>
    <x v="1"/>
    <x v="11"/>
    <x v="4"/>
    <x v="429"/>
    <n v="1201.31"/>
    <n v="2764.65"/>
    <n v="2764.65"/>
    <n v="826.47"/>
    <n v="1595.52"/>
    <s v="High"/>
    <s v="OK"/>
    <n v="0"/>
    <s v="OK"/>
    <n v="21"/>
    <n v="58057.65"/>
    <n v="25227.51"/>
    <n v="32830.14"/>
    <n v="0.56547483406579491"/>
    <n v="0"/>
    <e v="#DIV/0!"/>
    <x v="1"/>
  </r>
  <r>
    <s v="ORD-2023-659070"/>
    <x v="258"/>
    <x v="32"/>
    <s v="Q4-2023"/>
    <d v="2023-10-21T00:00:00"/>
    <s v="Valid"/>
    <d v="2023-10-21T00:00:00"/>
    <x v="9"/>
    <s v="Jan-2023"/>
    <n v="10"/>
    <n v="0"/>
    <x v="1"/>
    <x v="3"/>
    <x v="8"/>
    <s v="Manchester"/>
    <s v="Enterprise"/>
    <x v="3"/>
    <x v="1"/>
    <x v="5"/>
    <x v="430"/>
    <n v="384.19"/>
    <n v="278.35000000000002"/>
    <n v="278.35000000000002"/>
    <n v="803.73960000000011"/>
    <n v="1595.0316"/>
    <s v="Low"/>
    <s v="OK"/>
    <n v="5.6000000000000001E-2"/>
    <s v="OK"/>
    <n v="10"/>
    <n v="2627.6239999999998"/>
    <n v="3841.9"/>
    <n v="-1214.2760000000003"/>
    <n v="-0.46211938998882657"/>
    <n v="0"/>
    <e v="#DIV/0!"/>
    <x v="1"/>
  </r>
  <r>
    <s v="ORD-2024-837651"/>
    <x v="16"/>
    <x v="6"/>
    <s v="Q4-2024"/>
    <d v="2024-12-19T00:00:00"/>
    <s v="Valid"/>
    <d v="2024-12-19T00:00:00"/>
    <x v="5"/>
    <s v="Feb-2023"/>
    <n v="22"/>
    <n v="9"/>
    <x v="0"/>
    <x v="0"/>
    <x v="1"/>
    <s v="Lagos"/>
    <s v="Corporate"/>
    <x v="0"/>
    <x v="7"/>
    <x v="5"/>
    <x v="431"/>
    <n v="488.68"/>
    <n v="984.36"/>
    <n v="984.36"/>
    <n v="828.9248"/>
    <n v="1595.2832000000001"/>
    <s v="Medium"/>
    <s v="OK"/>
    <n v="5.8999999999999997E-2"/>
    <s v="OK"/>
    <n v="14"/>
    <n v="12967.958640000001"/>
    <n v="6841.52"/>
    <n v="6126.4386400000003"/>
    <n v="0.47242891576649876"/>
    <n v="0"/>
    <e v="#DIV/0!"/>
    <x v="1"/>
  </r>
  <r>
    <s v="ORD-2024-581530"/>
    <x v="254"/>
    <x v="29"/>
    <s v="Q3-2024"/>
    <d v="2024-09-18T00:00:00"/>
    <s v="Valid"/>
    <d v="2024-09-18T00:00:00"/>
    <x v="10"/>
    <s v="Jan-2023"/>
    <n v="20"/>
    <n v="11"/>
    <x v="0"/>
    <x v="1"/>
    <x v="9"/>
    <s v="Beijing"/>
    <s v="Consumer"/>
    <x v="3"/>
    <x v="7"/>
    <x v="2"/>
    <x v="432"/>
    <n v="181.74"/>
    <n v="190.84"/>
    <n v="190.84"/>
    <n v="826.54220000000009"/>
    <n v="1596.1030000000003"/>
    <s v="Low"/>
    <s v="OK"/>
    <n v="0.214"/>
    <s v="OK"/>
    <n v="13"/>
    <n v="1950.0031200000001"/>
    <n v="2362.62"/>
    <n v="-412.61687999999981"/>
    <n v="-0.21159806144310159"/>
    <n v="0"/>
    <e v="#DIV/0!"/>
    <x v="1"/>
  </r>
  <r>
    <s v="ORD-2023-378104"/>
    <x v="357"/>
    <x v="32"/>
    <s v="Q4-2023"/>
    <d v="2023-10-20T00:00:00"/>
    <s v="Valid"/>
    <d v="2023-10-20T00:00:00"/>
    <x v="17"/>
    <s v="Feb-2023"/>
    <n v="8"/>
    <n v="2"/>
    <x v="1"/>
    <x v="0"/>
    <x v="0"/>
    <s v="Kisumu"/>
    <s v="Consumer"/>
    <x v="0"/>
    <x v="1"/>
    <x v="3"/>
    <x v="433"/>
    <n v="774.12"/>
    <n v="908.3"/>
    <n v="908.3"/>
    <n v="831.3796000000001"/>
    <n v="1606.0140000000004"/>
    <s v="Medium"/>
    <s v="OK"/>
    <n v="0"/>
    <s v="OK"/>
    <n v="30"/>
    <n v="27249"/>
    <n v="23223.599999999999"/>
    <n v="4025.4000000000015"/>
    <n v="0.14772652207420461"/>
    <n v="0"/>
    <e v="#DIV/0!"/>
    <x v="1"/>
  </r>
  <r>
    <s v="ORD-2024-972318"/>
    <x v="358"/>
    <x v="6"/>
    <s v="Q4-2024"/>
    <d v="2025-01-13T00:00:00"/>
    <s v="Valid"/>
    <d v="2025-01-13T00:00:00"/>
    <x v="15"/>
    <s v="May-2023"/>
    <n v="20"/>
    <n v="20"/>
    <x v="0"/>
    <x v="1"/>
    <x v="4"/>
    <s v="Bengaluru"/>
    <s v="Corporate"/>
    <x v="2"/>
    <x v="14"/>
    <x v="2"/>
    <x v="434"/>
    <n v="126.15"/>
    <n v="284.23"/>
    <n v="284.23"/>
    <n v="828.99700000000007"/>
    <n v="1615.9250000000006"/>
    <s v="Low"/>
    <s v="OK"/>
    <n v="0.113"/>
    <s v="OK"/>
    <n v="22"/>
    <n v="5546.4642200000008"/>
    <n v="2775.3"/>
    <n v="2771.1642200000006"/>
    <n v="0.49962716968541088"/>
    <n v="0"/>
    <e v="#DIV/0!"/>
    <x v="1"/>
  </r>
  <r>
    <s v="ORD-2023-752962"/>
    <x v="67"/>
    <x v="12"/>
    <s v="Q2-2023"/>
    <d v="2023-04-19T00:00:00"/>
    <s v="Invalid"/>
    <d v="2023-04-21T00:00:00"/>
    <x v="2"/>
    <s v="Mar-2023"/>
    <n v="2"/>
    <n v="0"/>
    <x v="1"/>
    <x v="1"/>
    <x v="2"/>
    <s v="Nagoya"/>
    <s v="Small Business"/>
    <x v="4"/>
    <x v="12"/>
    <x v="0"/>
    <x v="435"/>
    <n v="607.04"/>
    <n v="1229.3399999999999"/>
    <n v="1229.3399999999999"/>
    <n v="833.79700000000003"/>
    <n v="1624.7"/>
    <s v="Medium"/>
    <s v="OK"/>
    <n v="0.14699999999999999"/>
    <s v="OK"/>
    <n v="7"/>
    <n v="7340.3891399999993"/>
    <n v="4249.28"/>
    <n v="3091.1091399999996"/>
    <n v="0.42110970972310058"/>
    <n v="0"/>
    <e v="#DIV/0!"/>
    <x v="1"/>
  </r>
  <r>
    <s v="ORD-2023-808024"/>
    <x v="359"/>
    <x v="4"/>
    <s v="Q4-2023"/>
    <d v="2024-01-08T00:00:00"/>
    <s v="Valid"/>
    <d v="2024-01-08T00:00:00"/>
    <x v="21"/>
    <s v="Apr-2023"/>
    <n v="9"/>
    <n v="9"/>
    <x v="0"/>
    <x v="3"/>
    <x v="7"/>
    <s v="Marseille"/>
    <s v="Consumer"/>
    <x v="2"/>
    <x v="4"/>
    <x v="6"/>
    <x v="436"/>
    <n v="861.1"/>
    <n v="1224.72"/>
    <n v="1224.72"/>
    <n v="831.45180000000005"/>
    <n v="1624.9550000000002"/>
    <s v="Medium"/>
    <s v="OK"/>
    <n v="0.17399999999999999"/>
    <s v="OK"/>
    <n v="24"/>
    <n v="24278.849280000002"/>
    <n v="20666.400000000001"/>
    <n v="3612.4492800000007"/>
    <n v="0.14878997098827909"/>
    <n v="0"/>
    <e v="#DIV/0!"/>
    <x v="1"/>
  </r>
  <r>
    <s v="ORD-2023-156396"/>
    <x v="360"/>
    <x v="2"/>
    <s v="Q1-2023"/>
    <d v="2023-03-12T00:00:00"/>
    <s v="Valid"/>
    <d v="2023-03-12T00:00:00"/>
    <x v="17"/>
    <s v="Feb-2023"/>
    <n v="1"/>
    <n v="19"/>
    <x v="0"/>
    <x v="0"/>
    <x v="0"/>
    <s v="Nakuru"/>
    <s v="Corporate"/>
    <x v="1"/>
    <x v="9"/>
    <x v="2"/>
    <x v="437"/>
    <n v="352.65"/>
    <n v="485.86"/>
    <n v="485.86"/>
    <n v="829.06920000000002"/>
    <n v="1625.21"/>
    <s v="Low"/>
    <s v="OK"/>
    <n v="4.1000000000000002E-2"/>
    <s v="OK"/>
    <n v="6"/>
    <n v="2795.6384399999997"/>
    <n v="2115.8999999999996"/>
    <n v="679.73844000000008"/>
    <n v="0.24314247159943908"/>
    <n v="0"/>
    <e v="#DIV/0!"/>
    <x v="1"/>
  </r>
  <r>
    <s v="ORD-2023-184577"/>
    <x v="361"/>
    <x v="15"/>
    <s v="Q2-2023"/>
    <d v="2023-06-03T00:00:00"/>
    <s v="Valid"/>
    <d v="2023-06-03T00:00:00"/>
    <x v="10"/>
    <s v="Jan-2023"/>
    <n v="5"/>
    <n v="17"/>
    <x v="0"/>
    <x v="1"/>
    <x v="9"/>
    <s v="Beijing"/>
    <s v="Non-Profit"/>
    <x v="3"/>
    <x v="12"/>
    <x v="1"/>
    <x v="438"/>
    <n v="979.59"/>
    <n v="2210.94"/>
    <n v="2210.94"/>
    <n v="833.85050000000001"/>
    <n v="1625.7182"/>
    <s v="High"/>
    <s v="OK"/>
    <n v="0.15"/>
    <s v="OK"/>
    <n v="11"/>
    <n v="20672.289000000001"/>
    <n v="10775.49"/>
    <n v="9896.7990000000009"/>
    <n v="0.47874712858358359"/>
    <n v="0"/>
    <e v="#DIV/0!"/>
    <x v="1"/>
  </r>
  <r>
    <s v="ORD-2024-446030"/>
    <x v="362"/>
    <x v="0"/>
    <s v="Q1-2024"/>
    <d v="2024-03-26T00:00:00"/>
    <s v="Valid"/>
    <d v="2024-03-26T00:00:00"/>
    <x v="15"/>
    <s v="May-2023"/>
    <n v="11"/>
    <n v="3"/>
    <x v="1"/>
    <x v="1"/>
    <x v="4"/>
    <s v="Bengaluru"/>
    <s v="Education"/>
    <x v="4"/>
    <x v="3"/>
    <x v="3"/>
    <x v="439"/>
    <n v="382.21"/>
    <n v="571.89"/>
    <n v="571.89"/>
    <n v="831.52400000000011"/>
    <n v="1624.97"/>
    <s v="Low"/>
    <s v="OK"/>
    <n v="0.14799999999999999"/>
    <s v="OK"/>
    <n v="26"/>
    <n v="12668.50728"/>
    <n v="9937.4599999999991"/>
    <n v="2731.0472800000007"/>
    <n v="0.2155776698578809"/>
    <n v="0"/>
    <e v="#DIV/0!"/>
    <x v="1"/>
  </r>
  <r>
    <s v="ORD-2023-842820"/>
    <x v="363"/>
    <x v="27"/>
    <s v="Q3-2023"/>
    <d v="2023-09-28T00:00:00"/>
    <s v="Valid"/>
    <d v="2023-09-28T00:00:00"/>
    <x v="15"/>
    <s v="May-2023"/>
    <n v="5"/>
    <n v="8"/>
    <x v="0"/>
    <x v="1"/>
    <x v="4"/>
    <s v="Not Provided"/>
    <s v="Corporate"/>
    <x v="5"/>
    <x v="5"/>
    <x v="6"/>
    <x v="440"/>
    <n v="1362.06"/>
    <n v="3398.37"/>
    <n v="3398.37"/>
    <n v="835.66950000000008"/>
    <n v="1625.2250000000001"/>
    <s v="High"/>
    <s v="OK"/>
    <n v="0.157"/>
    <s v="OK"/>
    <n v="11"/>
    <n v="31513.085009999999"/>
    <n v="14982.66"/>
    <n v="16530.425009999999"/>
    <n v="0.52455749745714919"/>
    <n v="0"/>
    <e v="#DIV/0!"/>
    <x v="1"/>
  </r>
  <r>
    <s v="ORD-2024-745424"/>
    <x v="364"/>
    <x v="21"/>
    <s v="Q3-2024"/>
    <d v="2024-09-04T00:00:00"/>
    <s v="Valid"/>
    <d v="2024-09-04T00:00:00"/>
    <x v="18"/>
    <s v="Jan-2023"/>
    <n v="19"/>
    <n v="13"/>
    <x v="0"/>
    <x v="3"/>
    <x v="6"/>
    <s v="Frankfurt"/>
    <s v="Non-Profit"/>
    <x v="0"/>
    <x v="4"/>
    <x v="1"/>
    <x v="441"/>
    <n v="90.04"/>
    <n v="194.62"/>
    <n v="194.62"/>
    <n v="833.90400000000011"/>
    <n v="1624.73"/>
    <s v="Low"/>
    <s v="OK"/>
    <n v="4.2999999999999997E-2"/>
    <s v="OK"/>
    <n v="32"/>
    <n v="5960.04288"/>
    <n v="2881.28"/>
    <n v="3078.7628799999998"/>
    <n v="0.51656723650954672"/>
    <n v="0"/>
    <e v="#DIV/0!"/>
    <x v="1"/>
  </r>
  <r>
    <s v="ORD-2024-510520"/>
    <x v="365"/>
    <x v="29"/>
    <s v="Q3-2024"/>
    <d v="2024-10-03T00:00:00"/>
    <s v="Valid"/>
    <d v="2024-10-03T00:00:00"/>
    <x v="19"/>
    <s v="Apr-2023"/>
    <n v="18"/>
    <n v="8"/>
    <x v="0"/>
    <x v="2"/>
    <x v="3"/>
    <s v="Toronto"/>
    <s v="Consumer"/>
    <x v="1"/>
    <x v="6"/>
    <x v="1"/>
    <x v="442"/>
    <n v="558.19000000000005"/>
    <n v="1031.6400000000001"/>
    <n v="1031.6400000000001"/>
    <n v="837.48850000000004"/>
    <n v="1624.9850000000001"/>
    <s v="Medium"/>
    <s v="OK"/>
    <n v="0"/>
    <s v="OK"/>
    <n v="21"/>
    <n v="21664.440000000002"/>
    <n v="11721.990000000002"/>
    <n v="9942.4500000000007"/>
    <n v="0.45892947152107322"/>
    <n v="0"/>
    <e v="#DIV/0!"/>
    <x v="1"/>
  </r>
  <r>
    <s v="ORD-2023-769774"/>
    <x v="366"/>
    <x v="23"/>
    <s v="Q2-2023"/>
    <d v="2023-06-24T00:00:00"/>
    <s v="Valid"/>
    <d v="2023-06-24T00:00:00"/>
    <x v="19"/>
    <s v="Apr-2023"/>
    <n v="3"/>
    <n v="11"/>
    <x v="0"/>
    <x v="2"/>
    <x v="3"/>
    <s v="Toronto"/>
    <s v="Corporate"/>
    <x v="1"/>
    <x v="0"/>
    <x v="1"/>
    <x v="443"/>
    <n v="247.07"/>
    <n v="495.19"/>
    <n v="495.19"/>
    <n v="835.72300000000007"/>
    <n v="1625.24"/>
    <s v="Low"/>
    <s v="OK"/>
    <n v="2.8000000000000001E-2"/>
    <s v="OK"/>
    <n v="4"/>
    <n v="1925.29872"/>
    <n v="988.28"/>
    <n v="937.01872000000003"/>
    <n v="0.48668744764968214"/>
    <n v="0"/>
    <e v="#DIV/0!"/>
    <x v="1"/>
  </r>
  <r>
    <s v="ORD-2023-580751"/>
    <x v="239"/>
    <x v="4"/>
    <s v="Q4-2023"/>
    <d v="2024-01-13T00:00:00"/>
    <s v="Valid"/>
    <d v="2024-01-13T00:00:00"/>
    <x v="2"/>
    <s v="Mar-2023"/>
    <n v="10"/>
    <n v="20"/>
    <x v="0"/>
    <x v="1"/>
    <x v="2"/>
    <s v="Nagoya"/>
    <s v="Education"/>
    <x v="4"/>
    <x v="5"/>
    <x v="4"/>
    <x v="444"/>
    <n v="625.37"/>
    <n v="1319.04"/>
    <n v="1319.04"/>
    <n v="840.14600000000007"/>
    <n v="1625.9170000000001"/>
    <s v="Medium"/>
    <s v="OK"/>
    <n v="7.3999999999999996E-2"/>
    <s v="OK"/>
    <n v="8"/>
    <n v="9771.4483199999995"/>
    <n v="5002.96"/>
    <n v="4768.4883199999995"/>
    <n v="0.48800220436513547"/>
    <n v="0"/>
    <e v="#DIV/0!"/>
    <x v="1"/>
  </r>
  <r>
    <s v="ORD-2025-473192"/>
    <x v="257"/>
    <x v="3"/>
    <s v="Q1-2025"/>
    <d v="2025-04-29T00:00:00"/>
    <s v="Valid"/>
    <d v="2025-04-29T00:00:00"/>
    <x v="13"/>
    <s v="Jan-2023"/>
    <n v="27"/>
    <n v="30"/>
    <x v="0"/>
    <x v="0"/>
    <x v="11"/>
    <s v="Durban"/>
    <s v="Consumer"/>
    <x v="2"/>
    <x v="1"/>
    <x v="5"/>
    <x v="445"/>
    <n v="194.6"/>
    <n v="314.87"/>
    <n v="314.87"/>
    <n v="837.54200000000003"/>
    <n v="1627.6068000000002"/>
    <s v="Low"/>
    <s v="OK"/>
    <n v="0.29299999999999998"/>
    <s v="OK"/>
    <n v="25"/>
    <n v="5565.3272500000003"/>
    <n v="4865"/>
    <n v="700.32725000000028"/>
    <n v="0.1258375686712763"/>
    <n v="0"/>
    <e v="#DIV/0!"/>
    <x v="1"/>
  </r>
  <r>
    <s v="ORD-2024-886939"/>
    <x v="367"/>
    <x v="17"/>
    <s v="Q2-2024"/>
    <d v="2024-06-24T00:00:00"/>
    <s v="Valid"/>
    <d v="2024-06-24T00:00:00"/>
    <x v="19"/>
    <s v="Apr-2023"/>
    <n v="14"/>
    <n v="21"/>
    <x v="0"/>
    <x v="2"/>
    <x v="3"/>
    <s v="Toronto"/>
    <s v="Small Business"/>
    <x v="4"/>
    <x v="3"/>
    <x v="5"/>
    <x v="446"/>
    <n v="1205.5"/>
    <n v="2210.17"/>
    <n v="2210.17"/>
    <n v="847.66679999999997"/>
    <n v="1629.2966000000001"/>
    <s v="High"/>
    <s v="OK"/>
    <n v="0.104"/>
    <s v="OK"/>
    <n v="23"/>
    <n v="45547.183360000003"/>
    <n v="27726.5"/>
    <n v="17820.683360000003"/>
    <n v="0.39125763758314652"/>
    <n v="0"/>
    <e v="#DIV/0!"/>
    <x v="1"/>
  </r>
  <r>
    <s v="ORD-2024-566589"/>
    <x v="368"/>
    <x v="17"/>
    <s v="Q2-2024"/>
    <d v="2024-07-09T00:00:00"/>
    <s v="Valid"/>
    <d v="2024-07-09T00:00:00"/>
    <x v="5"/>
    <s v="Feb-2023"/>
    <n v="17"/>
    <n v="28"/>
    <x v="0"/>
    <x v="0"/>
    <x v="1"/>
    <s v="Port Harcourt"/>
    <s v="Corporate"/>
    <x v="2"/>
    <x v="2"/>
    <x v="3"/>
    <x v="447"/>
    <n v="895.54"/>
    <n v="1045"/>
    <n v="1045"/>
    <n v="840.36720000000003"/>
    <n v="1626.0164000000002"/>
    <s v="Medium"/>
    <s v="OK"/>
    <n v="0.216"/>
    <s v="OK"/>
    <n v="15"/>
    <n v="12289.2"/>
    <n v="13433.099999999999"/>
    <n v="-1143.8999999999978"/>
    <n v="-9.3081730299775234E-2"/>
    <n v="0"/>
    <e v="#DIV/0!"/>
    <x v="1"/>
  </r>
  <r>
    <s v="ORD-2023-109927"/>
    <x v="369"/>
    <x v="24"/>
    <s v="Q3-2023"/>
    <d v="2023-07-21T00:00:00"/>
    <s v="Invalid"/>
    <d v="2023-07-22T00:00:00"/>
    <x v="15"/>
    <s v="May-2023"/>
    <n v="3"/>
    <n v="0"/>
    <x v="1"/>
    <x v="1"/>
    <x v="4"/>
    <s v="Delhi"/>
    <s v="Small Business"/>
    <x v="3"/>
    <x v="6"/>
    <x v="1"/>
    <x v="448"/>
    <n v="946.99"/>
    <n v="2132.19"/>
    <n v="2132.19"/>
    <n v="837.59550000000002"/>
    <n v="1627.7062000000001"/>
    <s v="High"/>
    <s v="OK"/>
    <n v="0.16500000000000001"/>
    <s v="OK"/>
    <n v="7"/>
    <n v="12462.65055"/>
    <n v="6628.93"/>
    <n v="5833.72055"/>
    <n v="0.46809629513362228"/>
    <n v="0"/>
    <e v="#DIV/0!"/>
    <x v="1"/>
  </r>
  <r>
    <s v="ORD-2023-780206"/>
    <x v="370"/>
    <x v="5"/>
    <s v="Q1-2023"/>
    <d v="2023-02-03T00:00:00"/>
    <s v="Valid"/>
    <d v="2023-02-03T00:00:00"/>
    <x v="9"/>
    <s v="Jan-2023"/>
    <n v="1"/>
    <n v="15"/>
    <x v="0"/>
    <x v="3"/>
    <x v="8"/>
    <s v="London"/>
    <s v="Enterprise"/>
    <x v="3"/>
    <x v="3"/>
    <x v="6"/>
    <x v="449"/>
    <n v="873.06"/>
    <n v="2101.5500000000002"/>
    <n v="2101.5500000000002"/>
    <n v="835.83"/>
    <n v="1625.27"/>
    <s v="High"/>
    <s v="OK"/>
    <n v="6.6000000000000003E-2"/>
    <s v="OK"/>
    <n v="10"/>
    <n v="19628.476999999999"/>
    <n v="8730.5999999999985"/>
    <n v="10897.877"/>
    <n v="0.55520746719167269"/>
    <n v="0"/>
    <e v="#DIV/0!"/>
    <x v="1"/>
  </r>
  <r>
    <s v="ORD-2024-851993"/>
    <x v="371"/>
    <x v="7"/>
    <s v="Q2-2024"/>
    <d v="2024-05-16T00:00:00"/>
    <s v="Valid"/>
    <d v="2024-05-16T00:00:00"/>
    <x v="15"/>
    <s v="May-2023"/>
    <n v="12"/>
    <n v="15"/>
    <x v="0"/>
    <x v="1"/>
    <x v="4"/>
    <s v="Bengaluru"/>
    <s v="Small Business"/>
    <x v="0"/>
    <x v="4"/>
    <x v="0"/>
    <x v="450"/>
    <n v="901.19"/>
    <n v="2125.44"/>
    <n v="2125.44"/>
    <n v="834.06450000000007"/>
    <n v="1624.7750000000001"/>
    <s v="High"/>
    <s v="OK"/>
    <n v="7.0999999999999994E-2"/>
    <s v="OK"/>
    <n v="12"/>
    <n v="23694.405119999999"/>
    <n v="10814.28"/>
    <n v="12880.125119999999"/>
    <n v="0.54359352154100415"/>
    <n v="0"/>
    <e v="#DIV/0!"/>
    <x v="1"/>
  </r>
  <r>
    <s v="ORD-2025-417942"/>
    <x v="56"/>
    <x v="16"/>
    <s v="Q2-2025"/>
    <d v="2025-06-24T00:00:00"/>
    <s v="Valid"/>
    <d v="2025-06-24T00:00:00"/>
    <x v="2"/>
    <s v="Mar-2023"/>
    <n v="28"/>
    <n v="15"/>
    <x v="0"/>
    <x v="1"/>
    <x v="2"/>
    <s v="Nagoya"/>
    <s v="Corporate"/>
    <x v="4"/>
    <x v="5"/>
    <x v="3"/>
    <x v="451"/>
    <n v="400.39"/>
    <n v="712.75"/>
    <n v="712.75"/>
    <n v="831.81280000000004"/>
    <n v="1609.5120000000002"/>
    <s v="Low"/>
    <s v="OK"/>
    <n v="0.115"/>
    <s v="OK"/>
    <n v="19"/>
    <n v="11984.891250000001"/>
    <n v="7607.41"/>
    <n v="4377.4812500000007"/>
    <n v="0.36524997671547504"/>
    <n v="0"/>
    <e v="#DIV/0!"/>
    <x v="1"/>
  </r>
  <r>
    <s v="ORD-2023-172095"/>
    <x v="372"/>
    <x v="15"/>
    <s v="Q2-2023"/>
    <d v="2023-06-21T00:00:00"/>
    <s v="Valid"/>
    <d v="2023-06-21T00:00:00"/>
    <x v="22"/>
    <s v="Feb-2023"/>
    <n v="3"/>
    <n v="28"/>
    <x v="0"/>
    <x v="2"/>
    <x v="10"/>
    <s v="Austin"/>
    <s v="Small Business"/>
    <x v="2"/>
    <x v="3"/>
    <x v="5"/>
    <x v="452"/>
    <n v="813.97"/>
    <n v="1568.83"/>
    <n v="1568.83"/>
    <n v="835.88350000000003"/>
    <n v="1619.4230000000002"/>
    <s v="Medium"/>
    <s v="OK"/>
    <n v="1.7000000000000001E-2"/>
    <s v="OK"/>
    <n v="15"/>
    <n v="23132.398349999996"/>
    <n v="12209.550000000001"/>
    <n v="10922.848349999995"/>
    <n v="0.4721883215364911"/>
    <n v="0"/>
    <e v="#DIV/0!"/>
    <x v="1"/>
  </r>
  <r>
    <s v="ORD-2024-257550"/>
    <x v="6"/>
    <x v="6"/>
    <s v="Q4-2024"/>
    <d v="2024-12-29T00:00:00"/>
    <s v="Valid"/>
    <d v="2024-12-29T00:00:00"/>
    <x v="19"/>
    <s v="Apr-2023"/>
    <n v="21"/>
    <n v="2"/>
    <x v="1"/>
    <x v="2"/>
    <x v="3"/>
    <s v="Vancouver"/>
    <s v="Enterprise"/>
    <x v="2"/>
    <x v="0"/>
    <x v="6"/>
    <x v="453"/>
    <n v="1146.72"/>
    <n v="2074.34"/>
    <n v="2074.34"/>
    <n v="834.11800000000005"/>
    <n v="1624.7900000000002"/>
    <s v="High"/>
    <s v="OK"/>
    <n v="0.111"/>
    <s v="OK"/>
    <n v="8"/>
    <n v="14752.706080000002"/>
    <n v="9173.76"/>
    <n v="5578.9460800000015"/>
    <n v="0.37816425337472737"/>
    <n v="0"/>
    <e v="#DIV/0!"/>
    <x v="1"/>
  </r>
  <r>
    <s v="ORD-2023-581799"/>
    <x v="373"/>
    <x v="4"/>
    <s v="Q4-2023"/>
    <d v="2023-12-12T00:00:00"/>
    <s v="Valid"/>
    <d v="2023-12-12T00:00:00"/>
    <x v="6"/>
    <s v="Jan-2023"/>
    <n v="11"/>
    <n v="7"/>
    <x v="0"/>
    <x v="2"/>
    <x v="5"/>
    <s v="Brasília"/>
    <s v="Corporate"/>
    <x v="4"/>
    <x v="9"/>
    <x v="3"/>
    <x v="454"/>
    <n v="307.43"/>
    <n v="495.19"/>
    <n v="495.19"/>
    <n v="831.88499999999999"/>
    <n v="1610.095"/>
    <s v="Low"/>
    <s v="OK"/>
    <n v="0"/>
    <s v="OK"/>
    <n v="42"/>
    <n v="20797.98"/>
    <n v="12912.06"/>
    <n v="7885.92"/>
    <n v="0.37916759223732305"/>
    <n v="0"/>
    <e v="#DIV/0!"/>
    <x v="1"/>
  </r>
  <r>
    <s v="ORD-2023-880296"/>
    <x v="129"/>
    <x v="15"/>
    <s v="Q2-2023"/>
    <d v="2023-05-19T00:00:00"/>
    <s v="Valid"/>
    <d v="2023-05-19T00:00:00"/>
    <x v="10"/>
    <s v="Jan-2023"/>
    <n v="4"/>
    <n v="17"/>
    <x v="0"/>
    <x v="1"/>
    <x v="9"/>
    <s v="Shanghai"/>
    <s v="Non-Profit"/>
    <x v="4"/>
    <x v="1"/>
    <x v="5"/>
    <x v="455"/>
    <n v="714.28"/>
    <n v="757.59"/>
    <n v="757.59"/>
    <n v="835.93700000000001"/>
    <n v="1620.0060000000001"/>
    <s v="Low"/>
    <s v="OK"/>
    <n v="0.13600000000000001"/>
    <s v="OK"/>
    <n v="12"/>
    <n v="7854.6931199999999"/>
    <n v="8571.36"/>
    <n v="-716.66688000000067"/>
    <n v="-9.1240595787910383E-2"/>
    <n v="0"/>
    <e v="#DIV/0!"/>
    <x v="1"/>
  </r>
  <r>
    <s v="ORD-2023-191563"/>
    <x v="134"/>
    <x v="30"/>
    <s v="Q4-2023"/>
    <d v="2023-12-10T00:00:00"/>
    <s v="Valid"/>
    <d v="2023-12-10T00:00:00"/>
    <x v="18"/>
    <s v="Jan-2023"/>
    <n v="11"/>
    <n v="10"/>
    <x v="0"/>
    <x v="3"/>
    <x v="6"/>
    <s v="Munich"/>
    <s v="Small Business"/>
    <x v="4"/>
    <x v="9"/>
    <x v="4"/>
    <x v="456"/>
    <n v="174.74"/>
    <n v="415.96"/>
    <n v="415.96"/>
    <n v="841.0308"/>
    <n v="1624.8050000000001"/>
    <s v="Low"/>
    <s v="OK"/>
    <n v="0.125"/>
    <s v="OK"/>
    <n v="21"/>
    <n v="7643.2649999999994"/>
    <n v="3669.54"/>
    <n v="3973.7249999999995"/>
    <n v="0.51989889137691803"/>
    <n v="0"/>
    <e v="#DIV/0!"/>
    <x v="1"/>
  </r>
  <r>
    <s v="ORD-2024-202166"/>
    <x v="374"/>
    <x v="7"/>
    <s v="Q2-2024"/>
    <d v="2024-05-18T00:00:00"/>
    <s v="Valid"/>
    <d v="2024-05-18T00:00:00"/>
    <x v="21"/>
    <s v="Apr-2023"/>
    <n v="14"/>
    <n v="13"/>
    <x v="0"/>
    <x v="3"/>
    <x v="7"/>
    <s v="Marseille"/>
    <s v="Corporate"/>
    <x v="2"/>
    <x v="8"/>
    <x v="0"/>
    <x v="457"/>
    <n v="1264.04"/>
    <n v="1870.89"/>
    <n v="1870.89"/>
    <n v="855.85120000000006"/>
    <n v="1625.0600000000002"/>
    <s v="High"/>
    <s v="OK"/>
    <n v="0"/>
    <s v="OK"/>
    <n v="13"/>
    <n v="24321.57"/>
    <n v="16432.52"/>
    <n v="7889.0499999999993"/>
    <n v="0.32436433996653996"/>
    <n v="0"/>
    <e v="#DIV/0!"/>
    <x v="1"/>
  </r>
  <r>
    <s v="ORD-2023-539967"/>
    <x v="375"/>
    <x v="24"/>
    <s v="Q3-2023"/>
    <d v="2023-07-19T00:00:00"/>
    <s v="Valid"/>
    <d v="2023-07-19T00:00:00"/>
    <x v="2"/>
    <s v="Mar-2023"/>
    <n v="5"/>
    <n v="10"/>
    <x v="0"/>
    <x v="1"/>
    <x v="2"/>
    <s v="Tokyo"/>
    <s v="Enterprise"/>
    <x v="3"/>
    <x v="13"/>
    <x v="0"/>
    <x v="458"/>
    <n v="141.26"/>
    <n v="206.88"/>
    <n v="206.88"/>
    <n v="848.55160000000001"/>
    <n v="1620.5889999999999"/>
    <s v="Low"/>
    <s v="OK"/>
    <n v="0.107"/>
    <s v="OK"/>
    <n v="9"/>
    <n v="1662.6945600000001"/>
    <n v="1271.3399999999999"/>
    <n v="391.35456000000022"/>
    <n v="0.23537369365062469"/>
    <n v="0"/>
    <e v="#DIV/0!"/>
    <x v="1"/>
  </r>
  <r>
    <s v="ORD-2023-704111"/>
    <x v="361"/>
    <x v="15"/>
    <s v="Q2-2023"/>
    <d v="2023-06-15T00:00:00"/>
    <s v="Valid"/>
    <d v="2023-06-15T00:00:00"/>
    <x v="13"/>
    <s v="Jan-2023"/>
    <n v="5"/>
    <n v="29"/>
    <x v="0"/>
    <x v="0"/>
    <x v="11"/>
    <s v="Durban"/>
    <s v="Enterprise"/>
    <x v="0"/>
    <x v="11"/>
    <x v="6"/>
    <x v="459"/>
    <n v="40.89"/>
    <n v="62.82"/>
    <n v="62.82"/>
    <n v="861.90599999999995"/>
    <n v="1624.8200000000002"/>
    <s v="Low"/>
    <s v="OK"/>
    <n v="0.129"/>
    <s v="OK"/>
    <n v="17"/>
    <n v="930.17574000000002"/>
    <n v="695.13"/>
    <n v="235.04574000000002"/>
    <n v="0.25268960465470752"/>
    <n v="0"/>
    <e v="#DIV/0!"/>
    <x v="1"/>
  </r>
  <r>
    <s v="ORD-2024-356812"/>
    <x v="34"/>
    <x v="0"/>
    <s v="Q1-2024"/>
    <d v="2024-04-03T00:00:00"/>
    <s v="Valid"/>
    <d v="2024-04-03T00:00:00"/>
    <x v="18"/>
    <s v="Jan-2023"/>
    <n v="14"/>
    <n v="27"/>
    <x v="0"/>
    <x v="3"/>
    <x v="6"/>
    <s v="Frankfurt"/>
    <s v="Corporate"/>
    <x v="4"/>
    <x v="12"/>
    <x v="1"/>
    <x v="460"/>
    <n v="738.16"/>
    <n v="956.49"/>
    <n v="956.49"/>
    <n v="866.90420000000006"/>
    <n v="1625.075"/>
    <s v="Medium"/>
    <s v="OK"/>
    <n v="0.152"/>
    <s v="OK"/>
    <n v="5"/>
    <n v="4055.5175999999997"/>
    <n v="3690.7999999999997"/>
    <n v="364.71759999999995"/>
    <n v="8.9931208780847108E-2"/>
    <n v="0"/>
    <e v="#DIV/0!"/>
    <x v="1"/>
  </r>
  <r>
    <s v="ORD-2025-306251"/>
    <x v="376"/>
    <x v="19"/>
    <s v="Q2-2025"/>
    <d v="2025-04-19T00:00:00"/>
    <s v="Valid"/>
    <d v="2025-04-19T00:00:00"/>
    <x v="13"/>
    <s v="Jan-2023"/>
    <n v="28"/>
    <n v="9"/>
    <x v="0"/>
    <x v="0"/>
    <x v="11"/>
    <s v="Durban"/>
    <s v="Enterprise"/>
    <x v="5"/>
    <x v="3"/>
    <x v="2"/>
    <x v="461"/>
    <n v="113.74"/>
    <n v="165.7"/>
    <n v="165.7"/>
    <n v="864.44240000000002"/>
    <n v="1625.3300000000002"/>
    <s v="Low"/>
    <s v="OK"/>
    <n v="0.124"/>
    <s v="OK"/>
    <n v="13"/>
    <n v="1886.9915999999998"/>
    <n v="1478.62"/>
    <n v="408.37159999999994"/>
    <n v="0.21641410592394794"/>
    <n v="0"/>
    <e v="#DIV/0!"/>
    <x v="1"/>
  </r>
  <r>
    <s v="ORD-2025-496178"/>
    <x v="377"/>
    <x v="13"/>
    <s v="Q3-2025"/>
    <d v="2025-08-15T00:00:00"/>
    <s v="Valid"/>
    <d v="2025-08-15T00:00:00"/>
    <x v="2"/>
    <s v="Mar-2023"/>
    <n v="29"/>
    <n v="19"/>
    <x v="0"/>
    <x v="1"/>
    <x v="2"/>
    <s v="Tokyo"/>
    <s v="Small Business"/>
    <x v="2"/>
    <x v="1"/>
    <x v="0"/>
    <x v="462"/>
    <n v="275.43"/>
    <n v="608.36"/>
    <n v="608.36"/>
    <n v="871.16210000000001"/>
    <n v="1626.5134"/>
    <s v="Low"/>
    <s v="OK"/>
    <n v="0.25700000000000001"/>
    <s v="OK"/>
    <n v="4"/>
    <n v="1808.04592"/>
    <n v="1101.72"/>
    <n v="706.32592"/>
    <n v="0.39065706915231446"/>
    <n v="0"/>
    <e v="#DIV/0!"/>
    <x v="1"/>
  </r>
  <r>
    <s v="ORD-2024-508213"/>
    <x v="378"/>
    <x v="18"/>
    <s v="Q4-2024"/>
    <d v="2024-12-15T00:00:00"/>
    <s v="Valid"/>
    <d v="2024-12-15T00:00:00"/>
    <x v="23"/>
    <s v="May-2023"/>
    <n v="19"/>
    <n v="23"/>
    <x v="0"/>
    <x v="0"/>
    <x v="0"/>
    <s v="Mombasa"/>
    <s v="Non-Profit"/>
    <x v="3"/>
    <x v="0"/>
    <x v="0"/>
    <x v="463"/>
    <n v="1335.76"/>
    <n v="2665.91"/>
    <n v="2665.91"/>
    <n v="886.64580000000001"/>
    <n v="1628.2032000000002"/>
    <s v="High"/>
    <s v="OK"/>
    <n v="0.21099999999999999"/>
    <s v="OK"/>
    <n v="40"/>
    <n v="84136.119600000005"/>
    <n v="53430.400000000001"/>
    <n v="30705.719600000004"/>
    <n v="0.36495288522909253"/>
    <n v="0"/>
    <e v="#DIV/0!"/>
    <x v="1"/>
  </r>
  <r>
    <s v="ORD-2024-787018"/>
    <x v="303"/>
    <x v="17"/>
    <s v="Q2-2024"/>
    <d v="2024-06-28T00:00:00"/>
    <s v="Valid"/>
    <d v="2024-06-28T00:00:00"/>
    <x v="5"/>
    <s v="Feb-2023"/>
    <n v="17"/>
    <n v="5"/>
    <x v="1"/>
    <x v="0"/>
    <x v="1"/>
    <s v="Port Harcourt"/>
    <s v="Non-Profit"/>
    <x v="4"/>
    <x v="12"/>
    <x v="6"/>
    <x v="464"/>
    <n v="242.31"/>
    <n v="587.95000000000005"/>
    <n v="587.95000000000005"/>
    <n v="879.01950000000011"/>
    <n v="1625.345"/>
    <s v="Low"/>
    <s v="OK"/>
    <n v="0.22900000000000001"/>
    <s v="OK"/>
    <n v="6"/>
    <n v="2719.8567000000003"/>
    <n v="1453.8600000000001"/>
    <n v="1265.9967000000001"/>
    <n v="0.46546448568411714"/>
    <n v="0"/>
    <e v="#DIV/0!"/>
    <x v="1"/>
  </r>
  <r>
    <s v="ORD-2023-728177"/>
    <x v="379"/>
    <x v="4"/>
    <s v="Q4-2023"/>
    <d v="2024-01-14T00:00:00"/>
    <s v="Valid"/>
    <d v="2024-01-14T00:00:00"/>
    <x v="15"/>
    <s v="May-2023"/>
    <n v="8"/>
    <n v="27"/>
    <x v="0"/>
    <x v="1"/>
    <x v="4"/>
    <s v="Mumbai"/>
    <s v="Consumer"/>
    <x v="3"/>
    <x v="14"/>
    <x v="2"/>
    <x v="465"/>
    <n v="1408.3"/>
    <n v="2193.13"/>
    <n v="2193.13"/>
    <n v="892.90000000000009"/>
    <n v="1626.6128000000001"/>
    <s v="High"/>
    <s v="OK"/>
    <n v="7.0999999999999994E-2"/>
    <s v="OK"/>
    <n v="7"/>
    <n v="14261.92439"/>
    <n v="9858.1"/>
    <n v="4403.8243899999998"/>
    <n v="0.30878191957656281"/>
    <n v="0"/>
    <e v="#DIV/0!"/>
    <x v="1"/>
  </r>
  <r>
    <s v="ORD-2025-795385"/>
    <x v="261"/>
    <x v="16"/>
    <s v="Q2-2025"/>
    <d v="2025-06-05T00:00:00"/>
    <s v="Valid"/>
    <d v="2025-06-05T00:00:00"/>
    <x v="18"/>
    <s v="Jan-2023"/>
    <n v="29"/>
    <n v="4"/>
    <x v="1"/>
    <x v="3"/>
    <x v="6"/>
    <s v="Munich"/>
    <s v="Enterprise"/>
    <x v="4"/>
    <x v="12"/>
    <x v="0"/>
    <x v="466"/>
    <n v="1171.42"/>
    <n v="2187.8000000000002"/>
    <n v="2187.8000000000002"/>
    <n v="886.87689999999998"/>
    <n v="1625.105"/>
    <s v="High"/>
    <s v="OK"/>
    <n v="0.23"/>
    <s v="OK"/>
    <n v="15"/>
    <n v="25269.09"/>
    <n v="17571.300000000003"/>
    <n v="7697.7899999999972"/>
    <n v="0.30463265594447592"/>
    <n v="0"/>
    <e v="#DIV/0!"/>
    <x v="1"/>
  </r>
  <r>
    <s v="ORD-2025-947929"/>
    <x v="380"/>
    <x v="3"/>
    <s v="Q1-2025"/>
    <d v="2025-04-02T00:00:00"/>
    <s v="Valid"/>
    <d v="2025-04-02T00:00:00"/>
    <x v="18"/>
    <s v="Jan-2023"/>
    <n v="26"/>
    <n v="10"/>
    <x v="0"/>
    <x v="3"/>
    <x v="6"/>
    <s v="Berlin"/>
    <s v="Enterprise"/>
    <x v="1"/>
    <x v="6"/>
    <x v="1"/>
    <x v="467"/>
    <n v="663.61"/>
    <n v="1002.11"/>
    <n v="1002.11"/>
    <n v="879.25060000000008"/>
    <n v="1622.3380000000002"/>
    <s v="Medium"/>
    <s v="OK"/>
    <n v="4.5999999999999999E-2"/>
    <s v="OK"/>
    <n v="17"/>
    <n v="16252.219979999998"/>
    <n v="11281.37"/>
    <n v="4970.8499799999972"/>
    <n v="0.30585667595670812"/>
    <n v="0"/>
    <e v="#DIV/0!"/>
    <x v="1"/>
  </r>
  <r>
    <s v="ORD-2023-931633"/>
    <x v="381"/>
    <x v="15"/>
    <s v="Q2-2023"/>
    <d v="2023-05-22T00:00:00"/>
    <s v="Valid"/>
    <d v="2023-05-22T00:00:00"/>
    <x v="23"/>
    <s v="May-2023"/>
    <n v="1"/>
    <n v="8"/>
    <x v="0"/>
    <x v="0"/>
    <x v="0"/>
    <s v="Mombasa"/>
    <s v="Small Business"/>
    <x v="3"/>
    <x v="9"/>
    <x v="1"/>
    <x v="468"/>
    <n v="432.01"/>
    <n v="913.78"/>
    <n v="913.78"/>
    <n v="871.62430000000006"/>
    <n v="1624.865"/>
    <s v="Medium"/>
    <s v="OK"/>
    <n v="4.9000000000000002E-2"/>
    <s v="OK"/>
    <n v="12"/>
    <n v="10428.057360000001"/>
    <n v="5184.12"/>
    <n v="5243.9373600000008"/>
    <n v="0.50286809699711899"/>
    <n v="0"/>
    <e v="#DIV/0!"/>
    <x v="1"/>
  </r>
  <r>
    <s v="ORD-2023-243704"/>
    <x v="344"/>
    <x v="25"/>
    <s v="Q3-2023"/>
    <d v="2023-09-19T00:00:00"/>
    <s v="Valid"/>
    <d v="2023-09-19T00:00:00"/>
    <x v="21"/>
    <s v="Apr-2023"/>
    <n v="5"/>
    <n v="21"/>
    <x v="0"/>
    <x v="3"/>
    <x v="7"/>
    <s v="Lyon"/>
    <s v="Small Business"/>
    <x v="4"/>
    <x v="5"/>
    <x v="1"/>
    <x v="469"/>
    <n v="784.46"/>
    <n v="1843.51"/>
    <n v="1843.51"/>
    <n v="867.12800000000004"/>
    <n v="1625.1200000000001"/>
    <s v="High"/>
    <s v="OK"/>
    <n v="0.13800000000000001"/>
    <s v="OK"/>
    <n v="23"/>
    <n v="36549.429260000004"/>
    <n v="18042.580000000002"/>
    <n v="18506.849260000003"/>
    <n v="0.50635125184441798"/>
    <n v="0"/>
    <e v="#DIV/0!"/>
    <x v="1"/>
  </r>
  <r>
    <s v="ORD-2025-779659"/>
    <x v="349"/>
    <x v="13"/>
    <s v="Q3-2025"/>
    <d v="2025-07-23T00:00:00"/>
    <s v="Valid"/>
    <d v="2025-07-23T00:00:00"/>
    <x v="10"/>
    <s v="Jan-2023"/>
    <n v="30"/>
    <n v="20"/>
    <x v="0"/>
    <x v="1"/>
    <x v="9"/>
    <s v="Beijing"/>
    <s v="Small Business"/>
    <x v="1"/>
    <x v="12"/>
    <x v="0"/>
    <x v="470"/>
    <n v="647.36"/>
    <n v="1383.6"/>
    <n v="1383.6"/>
    <n v="864.6662"/>
    <n v="1622.9210000000005"/>
    <s v="Medium"/>
    <s v="OK"/>
    <n v="7.3999999999999996E-2"/>
    <s v="OK"/>
    <n v="12"/>
    <n v="15374.563199999999"/>
    <n v="7768.32"/>
    <n v="7606.243199999999"/>
    <n v="0.49472906000997802"/>
    <n v="0"/>
    <e v="#DIV/0!"/>
    <x v="1"/>
  </r>
  <r>
    <s v="ORD-2024-647571"/>
    <x v="382"/>
    <x v="31"/>
    <s v="Q1-2024"/>
    <d v="2024-02-28T00:00:00"/>
    <s v="Valid"/>
    <d v="2024-02-28T00:00:00"/>
    <x v="24"/>
    <s v="Jul-2023"/>
    <n v="7"/>
    <n v="22"/>
    <x v="0"/>
    <x v="0"/>
    <x v="0"/>
    <s v="Kisumu"/>
    <s v="Non-Profit"/>
    <x v="1"/>
    <x v="11"/>
    <x v="5"/>
    <x v="471"/>
    <n v="834.93"/>
    <n v="1588.53"/>
    <n v="1588.53"/>
    <n v="862.20439999999996"/>
    <n v="1624.88"/>
    <s v="Medium"/>
    <s v="OK"/>
    <n v="0.126"/>
    <s v="OK"/>
    <n v="6"/>
    <n v="8330.2513199999994"/>
    <n v="5009.58"/>
    <n v="3320.6713199999995"/>
    <n v="0.39862798761274343"/>
    <n v="0"/>
    <e v="#DIV/0!"/>
    <x v="1"/>
  </r>
  <r>
    <s v="ORD-2025-683043"/>
    <x v="383"/>
    <x v="28"/>
    <s v="Q3-2025"/>
    <d v="2025-09-03T00:00:00"/>
    <s v="Valid"/>
    <d v="2025-09-03T00:00:00"/>
    <x v="21"/>
    <s v="Apr-2023"/>
    <n v="29"/>
    <n v="21"/>
    <x v="0"/>
    <x v="3"/>
    <x v="7"/>
    <s v="Paris"/>
    <s v="Education"/>
    <x v="0"/>
    <x v="2"/>
    <x v="3"/>
    <x v="472"/>
    <n v="603.47"/>
    <n v="1344.05"/>
    <n v="1344.05"/>
    <n v="856.95720000000006"/>
    <n v="1625.135"/>
    <s v="Medium"/>
    <s v="OK"/>
    <n v="0.20499999999999999"/>
    <s v="OK"/>
    <n v="18"/>
    <n v="19233.355499999998"/>
    <n v="10862.460000000001"/>
    <n v="8370.8954999999969"/>
    <n v="0.43522803392262976"/>
    <n v="0"/>
    <e v="#DIV/0!"/>
    <x v="1"/>
  </r>
  <r>
    <s v="ORD-2023-588455"/>
    <x v="206"/>
    <x v="15"/>
    <s v="Q2-2023"/>
    <d v="2023-05-25T00:00:00"/>
    <s v="Valid"/>
    <d v="2023-05-25T00:00:00"/>
    <x v="6"/>
    <s v="Jan-2023"/>
    <n v="4"/>
    <n v="2"/>
    <x v="1"/>
    <x v="2"/>
    <x v="5"/>
    <s v="Rio De Janeiro"/>
    <s v="Enterprise"/>
    <x v="0"/>
    <x v="12"/>
    <x v="1"/>
    <x v="473"/>
    <n v="690.49"/>
    <n v="1290.29"/>
    <n v="1290.29"/>
    <n v="849.6576"/>
    <n v="1625.39"/>
    <s v="Medium"/>
    <s v="OK"/>
    <n v="4.2000000000000003E-2"/>
    <s v="OK"/>
    <n v="22"/>
    <n v="27194.152039999997"/>
    <n v="15190.78"/>
    <n v="12003.372039999997"/>
    <n v="0.44139534199647718"/>
    <n v="0"/>
    <e v="#DIV/0!"/>
    <x v="1"/>
  </r>
  <r>
    <s v="ORD-2024-641220"/>
    <x v="384"/>
    <x v="7"/>
    <s v="Q2-2024"/>
    <d v="2024-05-16T00:00:00"/>
    <s v="Valid"/>
    <d v="2024-05-16T00:00:00"/>
    <x v="25"/>
    <s v="Apr-2023"/>
    <n v="14"/>
    <n v="6"/>
    <x v="1"/>
    <x v="3"/>
    <x v="8"/>
    <s v="Birmingham"/>
    <s v="Non-Profit"/>
    <x v="4"/>
    <x v="3"/>
    <x v="4"/>
    <x v="474"/>
    <n v="210.76"/>
    <n v="221.58"/>
    <n v="221.58"/>
    <n v="842.35800000000006"/>
    <n v="1626.9110000000001"/>
    <s v="Low"/>
    <s v="OK"/>
    <n v="8.8999999999999996E-2"/>
    <s v="OK"/>
    <n v="5"/>
    <n v="1009.2969000000002"/>
    <n v="1053.8"/>
    <n v="-44.50309999999979"/>
    <n v="-4.4093170205912434E-2"/>
    <n v="0"/>
    <e v="#DIV/0!"/>
    <x v="1"/>
  </r>
  <r>
    <s v="ORD-2023-799597"/>
    <x v="210"/>
    <x v="22"/>
    <s v="Q1-2023"/>
    <d v="2023-03-18T00:00:00"/>
    <s v="Valid"/>
    <d v="2023-03-18T00:00:00"/>
    <x v="18"/>
    <s v="Jan-2023"/>
    <n v="2"/>
    <n v="4"/>
    <x v="1"/>
    <x v="3"/>
    <x v="6"/>
    <s v="Frankfurt"/>
    <s v="Enterprise"/>
    <x v="4"/>
    <x v="8"/>
    <x v="0"/>
    <x v="475"/>
    <n v="472.33"/>
    <n v="360.34"/>
    <n v="360.34"/>
    <n v="857.17840000000001"/>
    <n v="1628.6008000000002"/>
    <s v="Low"/>
    <s v="OK"/>
    <n v="0.16500000000000001"/>
    <s v="OK"/>
    <n v="14"/>
    <n v="4212.3745999999992"/>
    <n v="6612.62"/>
    <n v="-2400.2454000000007"/>
    <n v="-0.56980815523861561"/>
    <n v="0"/>
    <e v="#DIV/0!"/>
    <x v="1"/>
  </r>
  <r>
    <s v="ORD-2023-569862"/>
    <x v="385"/>
    <x v="24"/>
    <s v="Q3-2023"/>
    <d v="2023-08-13T00:00:00"/>
    <s v="Valid"/>
    <d v="2023-08-13T00:00:00"/>
    <x v="25"/>
    <s v="Apr-2023"/>
    <n v="4"/>
    <n v="28"/>
    <x v="0"/>
    <x v="3"/>
    <x v="8"/>
    <s v="Manchester"/>
    <s v="Non-Profit"/>
    <x v="1"/>
    <x v="1"/>
    <x v="4"/>
    <x v="476"/>
    <n v="1039.03"/>
    <n v="2545.81"/>
    <n v="2545.81"/>
    <n v="864.81539999999995"/>
    <n v="1630.2906"/>
    <s v="High"/>
    <s v="OK"/>
    <n v="0.216"/>
    <s v="OK"/>
    <n v="21"/>
    <n v="41914.215840000004"/>
    <n v="21819.63"/>
    <n v="20094.585840000003"/>
    <n v="0.47942172929364774"/>
    <n v="0"/>
    <e v="#DIV/0!"/>
    <x v="1"/>
  </r>
  <r>
    <s v="ORD-2023-609394"/>
    <x v="386"/>
    <x v="12"/>
    <s v="Q2-2023"/>
    <d v="2023-04-19T00:00:00"/>
    <s v="Valid"/>
    <d v="2023-04-19T00:00:00"/>
    <x v="18"/>
    <s v="Jan-2023"/>
    <n v="3"/>
    <n v="3"/>
    <x v="1"/>
    <x v="3"/>
    <x v="6"/>
    <s v="Munich"/>
    <s v="Corporate"/>
    <x v="4"/>
    <x v="5"/>
    <x v="6"/>
    <x v="477"/>
    <n v="553.61"/>
    <n v="699.47"/>
    <n v="699.47"/>
    <n v="862.35360000000003"/>
    <n v="1627.0104000000001"/>
    <s v="Low"/>
    <s v="OK"/>
    <n v="0.02"/>
    <s v="OK"/>
    <n v="33"/>
    <n v="22620.859800000002"/>
    <n v="18269.13"/>
    <n v="4351.729800000001"/>
    <n v="0.19237685209472014"/>
    <n v="0"/>
    <e v="#DIV/0!"/>
    <x v="1"/>
  </r>
  <r>
    <s v="ORD-2024-105586"/>
    <x v="278"/>
    <x v="9"/>
    <s v="Q1-2024"/>
    <d v="2024-01-15T00:00:00"/>
    <s v="Valid"/>
    <d v="2024-01-15T00:00:00"/>
    <x v="2"/>
    <s v="Mar-2023"/>
    <n v="10"/>
    <n v="13"/>
    <x v="0"/>
    <x v="1"/>
    <x v="2"/>
    <s v="Nagoya"/>
    <s v="Small Business"/>
    <x v="2"/>
    <x v="3"/>
    <x v="2"/>
    <x v="478"/>
    <n v="1219.06"/>
    <n v="2738.69"/>
    <n v="2738.69"/>
    <n v="867.35180000000003"/>
    <n v="1628.7002000000002"/>
    <s v="High"/>
    <s v="OK"/>
    <n v="7.5999999999999998E-2"/>
    <s v="OK"/>
    <n v="16"/>
    <n v="40488.792960000006"/>
    <n v="19504.96"/>
    <n v="20983.832960000007"/>
    <n v="0.51826274447673737"/>
    <n v="0"/>
    <e v="#DIV/0!"/>
    <x v="1"/>
  </r>
  <r>
    <s v="ORD-2024-207792"/>
    <x v="208"/>
    <x v="29"/>
    <s v="Q3-2024"/>
    <d v="2024-09-07T00:00:00"/>
    <s v="Valid"/>
    <d v="2024-09-07T00:00:00"/>
    <x v="2"/>
    <s v="Mar-2023"/>
    <n v="19"/>
    <n v="4"/>
    <x v="1"/>
    <x v="1"/>
    <x v="2"/>
    <s v="Tokyo"/>
    <s v="Small Business"/>
    <x v="3"/>
    <x v="13"/>
    <x v="1"/>
    <x v="479"/>
    <n v="43.23"/>
    <n v="94.78"/>
    <n v="94.78"/>
    <n v="864.89"/>
    <n v="1625.42"/>
    <s v="Low"/>
    <s v="OK"/>
    <n v="9.0999999999999998E-2"/>
    <s v="OK"/>
    <n v="55"/>
    <n v="4738.5261"/>
    <n v="2377.6499999999996"/>
    <n v="2360.8761000000004"/>
    <n v="0.49823005090127082"/>
    <n v="0"/>
    <e v="#DIV/0!"/>
    <x v="1"/>
  </r>
  <r>
    <s v="ORD-2025-417336"/>
    <x v="387"/>
    <x v="28"/>
    <s v="Q3-2025"/>
    <d v="2025-09-03T00:00:00"/>
    <s v="Valid"/>
    <d v="2025-09-03T00:00:00"/>
    <x v="21"/>
    <s v="Apr-2023"/>
    <n v="29"/>
    <n v="4"/>
    <x v="1"/>
    <x v="3"/>
    <x v="7"/>
    <s v="Marseille"/>
    <s v="Small Business"/>
    <x v="2"/>
    <x v="1"/>
    <x v="4"/>
    <x v="480"/>
    <n v="1286.56"/>
    <n v="2777.35"/>
    <n v="2777.35"/>
    <n v="872.54870000000005"/>
    <n v="1627.1098000000002"/>
    <s v="High"/>
    <s v="OK"/>
    <n v="0.13200000000000001"/>
    <s v="OK"/>
    <n v="15"/>
    <n v="36161.097000000002"/>
    <n v="19298.399999999998"/>
    <n v="16862.697000000004"/>
    <n v="0.46632150014696744"/>
    <n v="0"/>
    <e v="#DIV/0!"/>
    <x v="1"/>
  </r>
  <r>
    <s v="ORD-2025-252117"/>
    <x v="86"/>
    <x v="19"/>
    <s v="Q2-2025"/>
    <d v="2025-05-19T00:00:00"/>
    <s v="Valid"/>
    <d v="2025-05-19T00:00:00"/>
    <x v="18"/>
    <s v="Jan-2023"/>
    <n v="28"/>
    <n v="21"/>
    <x v="0"/>
    <x v="3"/>
    <x v="6"/>
    <s v="Berlin"/>
    <s v="Corporate"/>
    <x v="3"/>
    <x v="5"/>
    <x v="3"/>
    <x v="481"/>
    <n v="350.76"/>
    <n v="492.18"/>
    <n v="492.18"/>
    <n v="867.42640000000006"/>
    <n v="1625.18"/>
    <s v="Low"/>
    <s v="OK"/>
    <n v="5.2999999999999999E-2"/>
    <s v="OK"/>
    <n v="11"/>
    <n v="5127.0390600000001"/>
    <n v="3858.3599999999997"/>
    <n v="1268.6790600000004"/>
    <n v="0.24744868239798437"/>
    <n v="0"/>
    <e v="#DIV/0!"/>
    <x v="1"/>
  </r>
  <r>
    <s v="ORD-2023-867175"/>
    <x v="388"/>
    <x v="25"/>
    <s v="Q3-2023"/>
    <d v="2023-08-15T00:00:00"/>
    <s v="Valid"/>
    <d v="2023-08-15T00:00:00"/>
    <x v="6"/>
    <s v="Jan-2023"/>
    <n v="7"/>
    <n v="5"/>
    <x v="1"/>
    <x v="2"/>
    <x v="5"/>
    <s v="São Paulo"/>
    <s v="Education"/>
    <x v="4"/>
    <x v="3"/>
    <x v="2"/>
    <x v="482"/>
    <n v="1307.52"/>
    <n v="1921.65"/>
    <n v="1921.65"/>
    <n v="880.40610000000015"/>
    <n v="1625.5194000000001"/>
    <s v="High"/>
    <s v="OK"/>
    <n v="0.123"/>
    <s v="OK"/>
    <n v="13"/>
    <n v="21908.731650000002"/>
    <n v="16997.759999999998"/>
    <n v="4910.9716500000031"/>
    <n v="0.22415590863289445"/>
    <n v="0"/>
    <e v="#DIV/0!"/>
    <x v="1"/>
  </r>
  <r>
    <s v="ORD-2024-382152"/>
    <x v="389"/>
    <x v="6"/>
    <s v="Q4-2024"/>
    <d v="2024-12-08T00:00:00"/>
    <s v="Valid"/>
    <d v="2024-12-08T00:00:00"/>
    <x v="21"/>
    <s v="Apr-2023"/>
    <n v="21"/>
    <n v="0"/>
    <x v="1"/>
    <x v="3"/>
    <x v="7"/>
    <s v="Lyon"/>
    <s v="Enterprise"/>
    <x v="0"/>
    <x v="10"/>
    <x v="0"/>
    <x v="483"/>
    <n v="257.44"/>
    <n v="290.33"/>
    <n v="290.33"/>
    <n v="872.77980000000002"/>
    <n v="1624.94"/>
    <s v="Low"/>
    <s v="OK"/>
    <n v="9.1999999999999998E-2"/>
    <s v="OK"/>
    <n v="23"/>
    <n v="6063.2517199999993"/>
    <n v="5921.12"/>
    <n v="142.1317199999994"/>
    <n v="2.3441500792581216E-2"/>
    <n v="0"/>
    <e v="#DIV/0!"/>
    <x v="1"/>
  </r>
  <r>
    <s v="ORD-2023-597666"/>
    <x v="390"/>
    <x v="32"/>
    <s v="Q4-2023"/>
    <d v="2023-11-24T00:00:00"/>
    <s v="Valid"/>
    <d v="2023-11-24T00:00:00"/>
    <x v="21"/>
    <s v="Apr-2023"/>
    <n v="7"/>
    <n v="30"/>
    <x v="0"/>
    <x v="3"/>
    <x v="7"/>
    <s v="Paris"/>
    <s v="Enterprise"/>
    <x v="3"/>
    <x v="0"/>
    <x v="3"/>
    <x v="484"/>
    <n v="287.85000000000002"/>
    <n v="602.91999999999996"/>
    <n v="602.91999999999996"/>
    <n v="888.26350000000002"/>
    <n v="1625.1950000000002"/>
    <s v="Low"/>
    <s v="OK"/>
    <n v="0.222"/>
    <s v="OK"/>
    <n v="11"/>
    <n v="5159.7893599999998"/>
    <n v="3166.3500000000004"/>
    <n v="1993.4393599999994"/>
    <n v="0.38634122847216373"/>
    <n v="0"/>
    <e v="#DIV/0!"/>
    <x v="1"/>
  </r>
  <r>
    <s v="ORD-2024-371409"/>
    <x v="391"/>
    <x v="18"/>
    <s v="Q4-2024"/>
    <d v="2024-11-28T00:00:00"/>
    <s v="Valid"/>
    <d v="2024-11-28T00:00:00"/>
    <x v="19"/>
    <s v="Apr-2023"/>
    <n v="20"/>
    <n v="11"/>
    <x v="0"/>
    <x v="2"/>
    <x v="3"/>
    <s v="Not Provided"/>
    <s v="Consumer"/>
    <x v="3"/>
    <x v="8"/>
    <x v="1"/>
    <x v="485"/>
    <n v="1008.16"/>
    <n v="2077.5"/>
    <n v="2077.5"/>
    <n v="896.80000000000007"/>
    <n v="1625.6188000000002"/>
    <s v="High"/>
    <s v="OK"/>
    <n v="7.3999999999999996E-2"/>
    <s v="OK"/>
    <n v="15"/>
    <n v="28856.475000000002"/>
    <n v="15122.4"/>
    <n v="13734.075000000003"/>
    <n v="0.47594430712691005"/>
    <n v="0"/>
    <e v="#DIV/0!"/>
    <x v="1"/>
  </r>
  <r>
    <s v="ORD-2024-973420"/>
    <x v="392"/>
    <x v="7"/>
    <s v="Q2-2024"/>
    <d v="2024-05-24T00:00:00"/>
    <s v="Valid"/>
    <d v="2024-05-24T00:00:00"/>
    <x v="25"/>
    <s v="Apr-2023"/>
    <n v="14"/>
    <n v="12"/>
    <x v="0"/>
    <x v="3"/>
    <x v="8"/>
    <s v="Manchester"/>
    <s v="Education"/>
    <x v="2"/>
    <x v="11"/>
    <x v="1"/>
    <x v="486"/>
    <n v="111.02"/>
    <n v="172.88"/>
    <n v="172.88"/>
    <n v="893.5825000000001"/>
    <n v="1624.9550000000002"/>
    <s v="Low"/>
    <s v="OK"/>
    <n v="0.19700000000000001"/>
    <s v="OK"/>
    <n v="29"/>
    <n v="4025.8565599999993"/>
    <n v="3219.58"/>
    <n v="806.27655999999934"/>
    <n v="0.20027453735212053"/>
    <n v="0"/>
    <e v="#DIV/0!"/>
    <x v="1"/>
  </r>
  <r>
    <s v="ORD-2025-254721"/>
    <x v="393"/>
    <x v="8"/>
    <s v="Q2-2025"/>
    <d v="2025-06-05T00:00:00"/>
    <s v="Valid"/>
    <d v="2025-06-05T00:00:00"/>
    <x v="2"/>
    <s v="Mar-2023"/>
    <n v="27"/>
    <n v="21"/>
    <x v="0"/>
    <x v="1"/>
    <x v="2"/>
    <s v="Osaka"/>
    <s v="Enterprise"/>
    <x v="4"/>
    <x v="10"/>
    <x v="3"/>
    <x v="487"/>
    <n v="1466.5"/>
    <n v="2778.74"/>
    <n v="2778.74"/>
    <n v="900.11500000000001"/>
    <n v="1625.21"/>
    <s v="High"/>
    <s v="OK"/>
    <n v="0.13500000000000001"/>
    <s v="OK"/>
    <n v="4"/>
    <n v="9614.4403999999995"/>
    <n v="5866"/>
    <n v="3748.4403999999995"/>
    <n v="0.38987608680792279"/>
    <n v="0"/>
    <e v="#DIV/0!"/>
    <x v="1"/>
  </r>
  <r>
    <s v="ORD-2024-247032"/>
    <x v="394"/>
    <x v="20"/>
    <s v="Q2-2024"/>
    <d v="2024-05-19T00:00:00"/>
    <s v="Valid"/>
    <d v="2024-05-19T00:00:00"/>
    <x v="5"/>
    <s v="Feb-2023"/>
    <n v="15"/>
    <n v="28"/>
    <x v="0"/>
    <x v="0"/>
    <x v="1"/>
    <s v="Lagos"/>
    <s v="Corporate"/>
    <x v="3"/>
    <x v="8"/>
    <x v="6"/>
    <x v="488"/>
    <n v="187.22"/>
    <n v="309.47000000000003"/>
    <n v="309.47000000000003"/>
    <n v="896.89750000000004"/>
    <n v="1624.7150000000001"/>
    <s v="Low"/>
    <s v="OK"/>
    <n v="0"/>
    <s v="OK"/>
    <n v="5"/>
    <n v="1547.3500000000001"/>
    <n v="936.1"/>
    <n v="611.25000000000011"/>
    <n v="0.39503021294471197"/>
    <n v="0"/>
    <e v="#DIV/0!"/>
    <x v="1"/>
  </r>
  <r>
    <s v="ORD-2024-792353"/>
    <x v="395"/>
    <x v="21"/>
    <s v="Q3-2024"/>
    <d v="2024-09-07T00:00:00"/>
    <s v="Valid"/>
    <d v="2024-09-07T00:00:00"/>
    <x v="21"/>
    <s v="Apr-2023"/>
    <n v="17"/>
    <n v="19"/>
    <x v="0"/>
    <x v="3"/>
    <x v="7"/>
    <s v="Lyon"/>
    <s v="Corporate"/>
    <x v="4"/>
    <x v="1"/>
    <x v="0"/>
    <x v="489"/>
    <n v="297.58999999999997"/>
    <n v="666.41"/>
    <n v="666.41"/>
    <n v="901.678"/>
    <n v="1624.97"/>
    <s v="Low"/>
    <s v="OK"/>
    <n v="0"/>
    <s v="OK"/>
    <n v="10"/>
    <n v="6664.0999999999995"/>
    <n v="2975.8999999999996"/>
    <n v="3688.2"/>
    <n v="0.55344307558409989"/>
    <n v="0"/>
    <e v="#DIV/0!"/>
    <x v="1"/>
  </r>
  <r>
    <s v="ORD-2025-703623"/>
    <x v="318"/>
    <x v="13"/>
    <s v="Q3-2025"/>
    <d v="2025-08-19T00:00:00"/>
    <s v="Valid"/>
    <d v="2025-08-19T00:00:00"/>
    <x v="2"/>
    <s v="Mar-2023"/>
    <n v="29"/>
    <n v="27"/>
    <x v="0"/>
    <x v="1"/>
    <x v="2"/>
    <s v="Nagoya"/>
    <s v="Consumer"/>
    <x v="2"/>
    <x v="5"/>
    <x v="6"/>
    <x v="490"/>
    <n v="896.09"/>
    <n v="744.27"/>
    <n v="744.27"/>
    <n v="902.34130000000005"/>
    <n v="1625.2250000000001"/>
    <s v="Low"/>
    <s v="OK"/>
    <n v="8.3000000000000004E-2"/>
    <s v="OK"/>
    <n v="11"/>
    <n v="7507.4514899999995"/>
    <n v="9856.99"/>
    <n v="-2349.5385100000003"/>
    <n v="-0.31296086469950679"/>
    <n v="0"/>
    <e v="#DIV/0!"/>
    <x v="1"/>
  </r>
  <r>
    <s v="ORD-2024-516704"/>
    <x v="396"/>
    <x v="0"/>
    <s v="Q1-2024"/>
    <d v="2024-02-29T00:00:00"/>
    <s v="Invalid"/>
    <d v="2024-03-01T00:00:00"/>
    <x v="6"/>
    <s v="Jan-2023"/>
    <n v="14"/>
    <n v="0"/>
    <x v="1"/>
    <x v="2"/>
    <x v="5"/>
    <s v="São Paulo"/>
    <s v="Non-Profit"/>
    <x v="4"/>
    <x v="2"/>
    <x v="3"/>
    <x v="491"/>
    <n v="5.34"/>
    <n v="12.69"/>
    <n v="12.69"/>
    <n v="926.93200000000002"/>
    <n v="1625.8176000000001"/>
    <s v="Low"/>
    <s v="OK"/>
    <n v="0.13200000000000001"/>
    <s v="OK"/>
    <n v="10"/>
    <n v="110.14919999999999"/>
    <n v="53.4"/>
    <n v="56.749199999999995"/>
    <n v="0.51520301554618642"/>
    <n v="0"/>
    <e v="#DIV/0!"/>
    <x v="1"/>
  </r>
  <r>
    <s v="ORD-2024-578646"/>
    <x v="397"/>
    <x v="7"/>
    <s v="Q2-2024"/>
    <d v="2024-06-17T00:00:00"/>
    <s v="Valid"/>
    <d v="2024-06-17T00:00:00"/>
    <x v="15"/>
    <s v="May-2023"/>
    <n v="13"/>
    <n v="21"/>
    <x v="0"/>
    <x v="1"/>
    <x v="4"/>
    <s v="Delhi"/>
    <s v="Small Business"/>
    <x v="1"/>
    <x v="10"/>
    <x v="6"/>
    <x v="492"/>
    <n v="465.02"/>
    <n v="651.55999999999995"/>
    <n v="651.55999999999995"/>
    <n v="949.64530000000002"/>
    <n v="1627.5074000000002"/>
    <s v="Low"/>
    <s v="OK"/>
    <n v="4.2000000000000003E-2"/>
    <s v="OK"/>
    <n v="19"/>
    <n v="11859.695119999998"/>
    <n v="8835.3799999999992"/>
    <n v="3024.3151199999993"/>
    <n v="0.25500783025187918"/>
    <n v="0"/>
    <e v="#DIV/0!"/>
    <x v="1"/>
  </r>
  <r>
    <s v="ORD-2024-433936"/>
    <x v="398"/>
    <x v="21"/>
    <s v="Q3-2024"/>
    <d v="2024-08-17T00:00:00"/>
    <s v="Valid"/>
    <d v="2024-08-17T00:00:00"/>
    <x v="22"/>
    <s v="Feb-2023"/>
    <n v="18"/>
    <n v="13"/>
    <x v="0"/>
    <x v="2"/>
    <x v="10"/>
    <s v="Austin"/>
    <s v="Consumer"/>
    <x v="0"/>
    <x v="14"/>
    <x v="5"/>
    <x v="493"/>
    <n v="352.79"/>
    <n v="754.22"/>
    <n v="754.22"/>
    <n v="955.62840000000006"/>
    <n v="1629.1972000000001"/>
    <s v="Low"/>
    <s v="OK"/>
    <n v="0.113"/>
    <s v="OK"/>
    <n v="7"/>
    <n v="4682.9519799999998"/>
    <n v="2469.5300000000002"/>
    <n v="2213.4219799999996"/>
    <n v="0.47265528014233443"/>
    <n v="0"/>
    <e v="#DIV/0!"/>
    <x v="1"/>
  </r>
  <r>
    <s v="ORD-2023-434071"/>
    <x v="263"/>
    <x v="23"/>
    <s v="Q2-2023"/>
    <d v="2023-07-04T00:00:00"/>
    <s v="Valid"/>
    <d v="2023-07-04T00:00:00"/>
    <x v="6"/>
    <s v="Jan-2023"/>
    <n v="5"/>
    <n v="14"/>
    <x v="0"/>
    <x v="2"/>
    <x v="5"/>
    <s v="Brasília"/>
    <s v="Non-Profit"/>
    <x v="4"/>
    <x v="0"/>
    <x v="2"/>
    <x v="494"/>
    <n v="1292.8599999999999"/>
    <n v="2981.01"/>
    <n v="2981.01"/>
    <n v="959.89550000000008"/>
    <n v="1631.8990000000001"/>
    <s v="High"/>
    <s v="OK"/>
    <n v="0.14199999999999999"/>
    <s v="OK"/>
    <n v="12"/>
    <n v="30692.47896"/>
    <n v="15514.32"/>
    <n v="15178.158960000001"/>
    <n v="0.49452372288927687"/>
    <n v="0"/>
    <e v="#DIV/0!"/>
    <x v="1"/>
  </r>
  <r>
    <s v="ORD-2024-728474"/>
    <x v="190"/>
    <x v="29"/>
    <s v="Q3-2024"/>
    <d v="2024-09-13T00:00:00"/>
    <s v="Valid"/>
    <d v="2024-09-13T00:00:00"/>
    <x v="25"/>
    <s v="Apr-2023"/>
    <n v="17"/>
    <n v="4"/>
    <x v="1"/>
    <x v="3"/>
    <x v="8"/>
    <s v="London"/>
    <s v="Consumer"/>
    <x v="2"/>
    <x v="9"/>
    <x v="2"/>
    <x v="495"/>
    <n v="1133.08"/>
    <n v="976.17"/>
    <n v="976.17"/>
    <n v="957.97820000000002"/>
    <n v="1627.6068"/>
    <s v="Medium"/>
    <s v="OK"/>
    <n v="4.2000000000000003E-2"/>
    <s v="OK"/>
    <n v="27"/>
    <n v="25249.613219999999"/>
    <n v="30593.159999999996"/>
    <n v="-5343.5467799999969"/>
    <n v="-0.21162885678452373"/>
    <n v="0"/>
    <e v="#DIV/0!"/>
    <x v="1"/>
  </r>
  <r>
    <s v="ORD-2023-406606"/>
    <x v="390"/>
    <x v="32"/>
    <s v="Q4-2023"/>
    <d v="2023-10-28T00:00:00"/>
    <s v="Valid"/>
    <d v="2023-10-28T00:00:00"/>
    <x v="6"/>
    <s v="Jan-2023"/>
    <n v="9"/>
    <n v="3"/>
    <x v="1"/>
    <x v="2"/>
    <x v="5"/>
    <s v="Brasília"/>
    <s v="Corporate"/>
    <x v="3"/>
    <x v="4"/>
    <x v="6"/>
    <x v="496"/>
    <n v="509.31"/>
    <n v="1145.9000000000001"/>
    <n v="1145.9000000000001"/>
    <n v="955.71770000000004"/>
    <n v="1629.2966000000001"/>
    <s v="Medium"/>
    <s v="OK"/>
    <n v="5.7000000000000002E-2"/>
    <s v="OK"/>
    <n v="8"/>
    <n v="8644.6696000000011"/>
    <n v="4074.48"/>
    <n v="4570.1896000000015"/>
    <n v="0.52867140231709964"/>
    <n v="0"/>
    <e v="#DIV/0!"/>
    <x v="1"/>
  </r>
  <r>
    <s v="ORD-2025-823055"/>
    <x v="17"/>
    <x v="11"/>
    <s v="Q3-2025"/>
    <d v="2025-10-05T00:00:00"/>
    <s v="Valid"/>
    <d v="2025-10-05T00:00:00"/>
    <x v="6"/>
    <s v="Jan-2023"/>
    <n v="32"/>
    <n v="27"/>
    <x v="0"/>
    <x v="2"/>
    <x v="5"/>
    <s v="Rio De Janeiro"/>
    <s v="Education"/>
    <x v="1"/>
    <x v="0"/>
    <x v="5"/>
    <x v="497"/>
    <n v="660.78"/>
    <n v="1630.39"/>
    <n v="1630.39"/>
    <n v="952.77080000000001"/>
    <n v="1632.2008000000001"/>
    <s v="Medium"/>
    <s v="OK"/>
    <n v="0.218"/>
    <s v="OK"/>
    <n v="13"/>
    <n v="16574.544740000001"/>
    <n v="8590.14"/>
    <n v="7984.4047400000018"/>
    <n v="0.48172694123724097"/>
    <n v="0"/>
    <e v="#DIV/0!"/>
    <x v="1"/>
  </r>
  <r>
    <s v="ORD-2023-573656"/>
    <x v="129"/>
    <x v="15"/>
    <s v="Q2-2023"/>
    <d v="2023-05-16T00:00:00"/>
    <s v="Valid"/>
    <d v="2023-05-16T00:00:00"/>
    <x v="15"/>
    <s v="May-2023"/>
    <n v="1"/>
    <n v="14"/>
    <x v="0"/>
    <x v="1"/>
    <x v="4"/>
    <s v="Bengaluru"/>
    <s v="Non-Profit"/>
    <x v="0"/>
    <x v="4"/>
    <x v="5"/>
    <x v="498"/>
    <n v="475.37"/>
    <n v="963.73"/>
    <n v="963.73"/>
    <n v="949.82389999999998"/>
    <n v="1634.6476000000002"/>
    <s v="Medium"/>
    <s v="OK"/>
    <n v="4.1000000000000002E-2"/>
    <s v="OK"/>
    <n v="22"/>
    <n v="20332.775539999999"/>
    <n v="10458.14"/>
    <n v="9874.6355399999993"/>
    <n v="0.48565113604750881"/>
    <n v="0"/>
    <e v="#DIV/0!"/>
    <x v="1"/>
  </r>
  <r>
    <s v="ORD-2024-567435"/>
    <x v="399"/>
    <x v="20"/>
    <s v="Q2-2024"/>
    <d v="2024-04-24T00:00:00"/>
    <s v="Invalid"/>
    <d v="2024-04-26T00:00:00"/>
    <x v="25"/>
    <s v="Apr-2023"/>
    <n v="13"/>
    <n v="0"/>
    <x v="1"/>
    <x v="3"/>
    <x v="8"/>
    <s v="London"/>
    <s v="Non-Profit"/>
    <x v="3"/>
    <x v="13"/>
    <x v="3"/>
    <x v="499"/>
    <n v="1232.77"/>
    <n v="891.73"/>
    <n v="891.73"/>
    <n v="943.2399999999999"/>
    <n v="1641.4680000000001"/>
    <s v="Low"/>
    <s v="OK"/>
    <n v="0.16700000000000001"/>
    <s v="OK"/>
    <n v="10"/>
    <n v="7428.1108999999988"/>
    <n v="12327.7"/>
    <n v="-4899.589100000002"/>
    <n v="-0.65960096260813805"/>
    <n v="0"/>
    <e v="#DIV/0!"/>
    <x v="1"/>
  </r>
  <r>
    <s v="ORD-2023-744942"/>
    <x v="29"/>
    <x v="2"/>
    <s v="Q1-2023"/>
    <d v="2023-03-18T00:00:00"/>
    <s v="Valid"/>
    <d v="2023-03-18T00:00:00"/>
    <x v="10"/>
    <s v="Jan-2023"/>
    <n v="2"/>
    <n v="23"/>
    <x v="0"/>
    <x v="1"/>
    <x v="9"/>
    <s v="Beijing"/>
    <s v="Education"/>
    <x v="3"/>
    <x v="11"/>
    <x v="1"/>
    <x v="500"/>
    <n v="770.11"/>
    <n v="1667.82"/>
    <n v="1667.82"/>
    <n v="952.86009999999999"/>
    <n v="1647.3616"/>
    <s v="High"/>
    <s v="OK"/>
    <n v="6.9000000000000006E-2"/>
    <s v="OK"/>
    <n v="7"/>
    <n v="10869.182940000001"/>
    <n v="5390.77"/>
    <n v="5478.4129400000002"/>
    <n v="0.50403171703355287"/>
    <n v="0"/>
    <e v="#DIV/0!"/>
    <x v="1"/>
  </r>
  <r>
    <s v="ORD-2025-331237"/>
    <x v="400"/>
    <x v="3"/>
    <s v="Q1-2025"/>
    <d v="2025-03-25T00:00:00"/>
    <s v="Valid"/>
    <d v="2025-03-25T00:00:00"/>
    <x v="10"/>
    <s v="Jan-2023"/>
    <n v="27"/>
    <n v="1"/>
    <x v="1"/>
    <x v="1"/>
    <x v="9"/>
    <s v="Beijing"/>
    <s v="Non-Profit"/>
    <x v="1"/>
    <x v="3"/>
    <x v="2"/>
    <x v="501"/>
    <n v="1133.03"/>
    <n v="1921.51"/>
    <n v="1921.51"/>
    <n v="949.91319999999996"/>
    <n v="1635.0488"/>
    <s v="High"/>
    <s v="OK"/>
    <n v="0.10100000000000001"/>
    <s v="OK"/>
    <n v="5"/>
    <n v="8637.1874499999994"/>
    <n v="5665.15"/>
    <n v="2972.0374499999998"/>
    <n v="0.3440978289755654"/>
    <n v="0"/>
    <e v="#DIV/0!"/>
    <x v="1"/>
  </r>
  <r>
    <s v="ORD-2025-680118"/>
    <x v="401"/>
    <x v="3"/>
    <s v="Q1-2025"/>
    <d v="2025-03-27T00:00:00"/>
    <s v="Valid"/>
    <d v="2025-03-27T00:00:00"/>
    <x v="6"/>
    <s v="Jan-2023"/>
    <n v="26"/>
    <n v="17"/>
    <x v="0"/>
    <x v="2"/>
    <x v="5"/>
    <s v="Rio De Janeiro"/>
    <s v="Enterprise"/>
    <x v="4"/>
    <x v="9"/>
    <x v="2"/>
    <x v="502"/>
    <n v="996.73"/>
    <n v="1217.43"/>
    <n v="1217.43"/>
    <n v="943.69300000000021"/>
    <n v="1625.2850000000001"/>
    <s v="Medium"/>
    <s v="OK"/>
    <n v="7.0000000000000007E-2"/>
    <s v="OK"/>
    <n v="9"/>
    <n v="10189.8891"/>
    <n v="8970.57"/>
    <n v="1219.3191000000006"/>
    <n v="0.11965970267527255"/>
    <n v="0"/>
    <e v="#DIV/0!"/>
    <x v="1"/>
  </r>
  <r>
    <s v="ORD-2024-310809"/>
    <x v="402"/>
    <x v="20"/>
    <s v="Q2-2024"/>
    <d v="2024-04-09T00:00:00"/>
    <s v="Valid"/>
    <d v="2024-04-09T00:00:00"/>
    <x v="5"/>
    <s v="Feb-2023"/>
    <n v="14"/>
    <n v="4"/>
    <x v="1"/>
    <x v="0"/>
    <x v="1"/>
    <s v="Lagos"/>
    <s v="Non-Profit"/>
    <x v="4"/>
    <x v="11"/>
    <x v="0"/>
    <x v="503"/>
    <n v="395.07"/>
    <n v="970.27"/>
    <n v="970.27"/>
    <n v="928.74400000000026"/>
    <n v="1628.6296000000002"/>
    <s v="Medium"/>
    <s v="OK"/>
    <n v="0.123"/>
    <s v="OK"/>
    <n v="38"/>
    <n v="32335.21802"/>
    <n v="15012.66"/>
    <n v="17322.55802"/>
    <n v="0.53571799049833657"/>
    <n v="0"/>
    <e v="#DIV/0!"/>
    <x v="1"/>
  </r>
  <r>
    <s v="ORD-2025-474368"/>
    <x v="60"/>
    <x v="19"/>
    <s v="Q2-2025"/>
    <d v="2025-05-17T00:00:00"/>
    <s v="Valid"/>
    <d v="2025-05-17T00:00:00"/>
    <x v="22"/>
    <s v="Feb-2023"/>
    <n v="27"/>
    <n v="20"/>
    <x v="0"/>
    <x v="2"/>
    <x v="10"/>
    <s v="Austin"/>
    <s v="Corporate"/>
    <x v="4"/>
    <x v="13"/>
    <x v="3"/>
    <x v="504"/>
    <n v="932.26"/>
    <n v="1624.67"/>
    <n v="1624.67"/>
    <n v="913.79500000000007"/>
    <n v="1635.45"/>
    <s v="Medium"/>
    <s v="OK"/>
    <n v="0.23499999999999999"/>
    <s v="OK"/>
    <n v="28"/>
    <n v="34800.431400000001"/>
    <n v="26103.279999999999"/>
    <n v="8697.1514000000025"/>
    <n v="0.24991504559337163"/>
    <n v="0"/>
    <e v="#DIV/0!"/>
    <x v="1"/>
  </r>
  <r>
    <s v="ORD-2024-732543"/>
    <x v="403"/>
    <x v="1"/>
    <s v="Q4-2024"/>
    <d v="2024-10-28T00:00:00"/>
    <s v="Valid"/>
    <d v="2024-10-28T00:00:00"/>
    <x v="10"/>
    <s v="Jan-2023"/>
    <n v="22"/>
    <n v="4"/>
    <x v="1"/>
    <x v="1"/>
    <x v="9"/>
    <s v="Shanghai"/>
    <s v="Small Business"/>
    <x v="3"/>
    <x v="2"/>
    <x v="2"/>
    <x v="505"/>
    <n v="1331.77"/>
    <n v="2606.11"/>
    <n v="2606.11"/>
    <n v="902.39080000000001"/>
    <n v="1642.2704000000001"/>
    <s v="High"/>
    <s v="OK"/>
    <n v="0.02"/>
    <s v="OK"/>
    <n v="6"/>
    <n v="15323.926799999999"/>
    <n v="7990.62"/>
    <n v="7333.3067999999994"/>
    <n v="0.47855271665745619"/>
    <n v="0"/>
    <e v="#DIV/0!"/>
    <x v="1"/>
  </r>
  <r>
    <s v="ORD-2023-867166"/>
    <x v="289"/>
    <x v="12"/>
    <s v="Q2-2023"/>
    <d v="2023-04-20T00:00:00"/>
    <s v="Valid"/>
    <d v="2023-04-20T00:00:00"/>
    <x v="21"/>
    <s v="Apr-2023"/>
    <n v="1"/>
    <n v="7"/>
    <x v="0"/>
    <x v="3"/>
    <x v="7"/>
    <s v="Lyon"/>
    <s v="Small Business"/>
    <x v="1"/>
    <x v="8"/>
    <x v="4"/>
    <x v="506"/>
    <n v="227.02"/>
    <n v="434.72"/>
    <n v="434.72"/>
    <n v="902.06410000000005"/>
    <n v="1629.0308000000002"/>
    <s v="Low"/>
    <s v="OK"/>
    <n v="9.8000000000000004E-2"/>
    <s v="OK"/>
    <n v="10"/>
    <n v="3921.1744000000008"/>
    <n v="2270.2000000000003"/>
    <n v="1650.9744000000005"/>
    <n v="0.42104079838938052"/>
    <n v="0"/>
    <e v="#DIV/0!"/>
    <x v="1"/>
  </r>
  <r>
    <s v="ORD-2024-776337"/>
    <x v="404"/>
    <x v="18"/>
    <s v="Q4-2024"/>
    <d v="2024-11-21T00:00:00"/>
    <s v="Valid"/>
    <d v="2024-11-21T00:00:00"/>
    <x v="26"/>
    <s v="May-2023"/>
    <n v="19"/>
    <n v="9"/>
    <x v="0"/>
    <x v="1"/>
    <x v="4"/>
    <s v="Mumbai"/>
    <s v="Corporate"/>
    <x v="4"/>
    <x v="10"/>
    <x v="4"/>
    <x v="507"/>
    <n v="903.41"/>
    <n v="1860.41"/>
    <n v="1860.41"/>
    <n v="914.24800000000027"/>
    <n v="1635.8512000000003"/>
    <s v="High"/>
    <s v="OK"/>
    <n v="0.108"/>
    <s v="OK"/>
    <n v="5"/>
    <n v="8297.4286000000011"/>
    <n v="4517.05"/>
    <n v="3780.3786000000009"/>
    <n v="0.455608451996803"/>
    <n v="0"/>
    <e v="#DIV/0!"/>
    <x v="1"/>
  </r>
  <r>
    <s v="ORD-2023-913592"/>
    <x v="405"/>
    <x v="15"/>
    <s v="Q2-2023"/>
    <d v="2023-05-14T00:00:00"/>
    <s v="Valid"/>
    <d v="2023-05-14T00:00:00"/>
    <x v="26"/>
    <s v="May-2023"/>
    <n v="1"/>
    <n v="4"/>
    <x v="1"/>
    <x v="1"/>
    <x v="4"/>
    <s v="Delhi"/>
    <s v="Non-Profit"/>
    <x v="3"/>
    <x v="0"/>
    <x v="5"/>
    <x v="508"/>
    <n v="622.6"/>
    <n v="833.69"/>
    <n v="833.69"/>
    <n v="902.40070000000003"/>
    <n v="1621.2340000000002"/>
    <s v="Low"/>
    <s v="OK"/>
    <n v="0.20899999999999999"/>
    <s v="OK"/>
    <n v="14"/>
    <n v="9232.2830599999998"/>
    <n v="8716.4"/>
    <n v="515.88306000000011"/>
    <n v="5.5878167582959715E-2"/>
    <n v="0"/>
    <e v="#DIV/0!"/>
    <x v="1"/>
  </r>
  <r>
    <s v="ORD-2024-961501"/>
    <x v="262"/>
    <x v="0"/>
    <s v="Q1-2024"/>
    <d v="2024-03-23T00:00:00"/>
    <s v="Valid"/>
    <d v="2024-03-23T00:00:00"/>
    <x v="22"/>
    <s v="Feb-2023"/>
    <n v="13"/>
    <n v="21"/>
    <x v="0"/>
    <x v="2"/>
    <x v="10"/>
    <s v="Chicago"/>
    <s v="Small Business"/>
    <x v="1"/>
    <x v="9"/>
    <x v="0"/>
    <x v="509"/>
    <n v="225.01"/>
    <n v="333.48"/>
    <n v="333.48"/>
    <n v="929.65000000000009"/>
    <n v="1629.432"/>
    <s v="Low"/>
    <s v="OK"/>
    <n v="0.11899999999999999"/>
    <s v="OK"/>
    <n v="12"/>
    <n v="3525.5505600000001"/>
    <n v="2700.12"/>
    <n v="825.43056000000024"/>
    <n v="0.23412813004729685"/>
    <n v="0"/>
    <e v="#DIV/0!"/>
    <x v="1"/>
  </r>
  <r>
    <s v="ORD-2024-964950"/>
    <x v="406"/>
    <x v="1"/>
    <s v="Q4-2024"/>
    <d v="2024-10-11T00:00:00"/>
    <s v="Valid"/>
    <d v="2024-10-11T00:00:00"/>
    <x v="25"/>
    <s v="Apr-2023"/>
    <n v="19"/>
    <n v="1"/>
    <x v="1"/>
    <x v="3"/>
    <x v="8"/>
    <s v="Manchester"/>
    <s v="Non-Profit"/>
    <x v="3"/>
    <x v="4"/>
    <x v="0"/>
    <x v="510"/>
    <n v="1389.46"/>
    <n v="1784.7"/>
    <n v="1784.7"/>
    <n v="950.18110000000001"/>
    <n v="1636.2524000000001"/>
    <s v="High"/>
    <s v="OK"/>
    <n v="0.14599999999999999"/>
    <s v="OK"/>
    <n v="33"/>
    <n v="50296.415399999998"/>
    <n v="45852.18"/>
    <n v="4444.2353999999978"/>
    <n v="8.8360877503011831E-2"/>
    <n v="0"/>
    <e v="#DIV/0!"/>
    <x v="1"/>
  </r>
  <r>
    <s v="ORD-2023-349264"/>
    <x v="407"/>
    <x v="23"/>
    <s v="Q2-2023"/>
    <d v="2023-06-08T00:00:00"/>
    <s v="Valid"/>
    <d v="2023-06-08T00:00:00"/>
    <x v="18"/>
    <s v="Jan-2023"/>
    <n v="5"/>
    <n v="7"/>
    <x v="0"/>
    <x v="3"/>
    <x v="6"/>
    <s v="Frankfurt"/>
    <s v="Consumer"/>
    <x v="1"/>
    <x v="8"/>
    <x v="3"/>
    <x v="511"/>
    <n v="804.17"/>
    <n v="1072.29"/>
    <n v="1072.29"/>
    <n v="945.05200000000025"/>
    <n v="1621.8320000000003"/>
    <s v="Medium"/>
    <s v="OK"/>
    <n v="3.2000000000000001E-2"/>
    <s v="OK"/>
    <n v="5"/>
    <n v="5189.8836000000001"/>
    <n v="4020.85"/>
    <n v="1169.0336000000002"/>
    <n v="0.2252523736755869"/>
    <n v="0"/>
    <e v="#DIV/0!"/>
    <x v="1"/>
  </r>
  <r>
    <s v="ORD-2025-137394"/>
    <x v="408"/>
    <x v="10"/>
    <s v="Q1-2025"/>
    <d v="2025-01-05T00:00:00"/>
    <s v="Valid"/>
    <d v="2025-01-05T00:00:00"/>
    <x v="26"/>
    <s v="May-2023"/>
    <n v="20"/>
    <n v="1"/>
    <x v="1"/>
    <x v="1"/>
    <x v="4"/>
    <s v="Delhi"/>
    <s v="Education"/>
    <x v="0"/>
    <x v="2"/>
    <x v="0"/>
    <x v="512"/>
    <n v="1428.33"/>
    <n v="3028.05"/>
    <n v="3028.05"/>
    <n v="930.10299999999995"/>
    <n v="1629.8332"/>
    <s v="High"/>
    <s v="OK"/>
    <n v="0"/>
    <s v="OK"/>
    <n v="11"/>
    <n v="33308.550000000003"/>
    <n v="15711.63"/>
    <n v="17596.920000000006"/>
    <n v="0.52830039134096207"/>
    <n v="0"/>
    <e v="#DIV/0!"/>
    <x v="1"/>
  </r>
  <r>
    <s v="ORD-2025-635337"/>
    <x v="117"/>
    <x v="28"/>
    <s v="Q3-2025"/>
    <d v="2025-08-28T00:00:00"/>
    <s v="Valid"/>
    <d v="2025-08-28T00:00:00"/>
    <x v="26"/>
    <s v="May-2023"/>
    <n v="27"/>
    <n v="23"/>
    <x v="0"/>
    <x v="1"/>
    <x v="4"/>
    <s v="Mumbai"/>
    <s v="Non-Profit"/>
    <x v="3"/>
    <x v="13"/>
    <x v="4"/>
    <x v="513"/>
    <n v="638.54"/>
    <n v="987.24"/>
    <n v="987.24"/>
    <n v="915.15400000000011"/>
    <n v="1612.2640000000001"/>
    <s v="Medium"/>
    <s v="OK"/>
    <n v="0"/>
    <s v="OK"/>
    <n v="11"/>
    <n v="10859.64"/>
    <n v="7023.94"/>
    <n v="3835.7"/>
    <n v="0.35320692030306716"/>
    <n v="0"/>
    <e v="#DIV/0!"/>
    <x v="1"/>
  </r>
  <r>
    <s v="ORD-2023-568013"/>
    <x v="322"/>
    <x v="27"/>
    <s v="Q3-2023"/>
    <d v="2023-10-30T00:00:00"/>
    <s v="Valid"/>
    <d v="2023-10-30T00:00:00"/>
    <x v="2"/>
    <s v="Mar-2023"/>
    <n v="7"/>
    <n v="30"/>
    <x v="0"/>
    <x v="1"/>
    <x v="2"/>
    <s v="Tokyo"/>
    <s v="Enterprise"/>
    <x v="1"/>
    <x v="14"/>
    <x v="1"/>
    <x v="514"/>
    <n v="649.13"/>
    <n v="975.43"/>
    <n v="975.43"/>
    <n v="902.42050000000006"/>
    <n v="1622.4300000000003"/>
    <s v="Medium"/>
    <s v="OK"/>
    <n v="0.157"/>
    <s v="OK"/>
    <n v="27"/>
    <n v="22201.762229999997"/>
    <n v="17526.509999999998"/>
    <n v="4675.2522299999982"/>
    <n v="0.21058023149543473"/>
    <n v="0"/>
    <e v="#DIV/0!"/>
    <x v="1"/>
  </r>
  <r>
    <s v="ORD-2025-828263"/>
    <x v="252"/>
    <x v="8"/>
    <s v="Q2-2025"/>
    <d v="2025-05-30T00:00:00"/>
    <s v="Valid"/>
    <d v="2025-05-30T00:00:00"/>
    <x v="5"/>
    <s v="Feb-2023"/>
    <n v="28"/>
    <n v="13"/>
    <x v="0"/>
    <x v="0"/>
    <x v="1"/>
    <s v="Lagos"/>
    <s v="Consumer"/>
    <x v="3"/>
    <x v="9"/>
    <x v="6"/>
    <x v="515"/>
    <n v="66.400000000000006"/>
    <n v="141.43"/>
    <n v="141.43"/>
    <n v="902.09379999999999"/>
    <n v="1630.2344000000003"/>
    <s v="Low"/>
    <s v="OK"/>
    <n v="0.107"/>
    <s v="OK"/>
    <n v="8"/>
    <n v="1010.3759200000001"/>
    <n v="531.20000000000005"/>
    <n v="479.17592000000002"/>
    <n v="0.47425508715607551"/>
    <n v="0"/>
    <e v="#DIV/0!"/>
    <x v="1"/>
  </r>
  <r>
    <s v="ORD-2024-402240"/>
    <x v="371"/>
    <x v="7"/>
    <s v="Q2-2024"/>
    <d v="2024-05-26T00:00:00"/>
    <s v="Valid"/>
    <d v="2024-05-26T00:00:00"/>
    <x v="18"/>
    <s v="Jan-2023"/>
    <n v="16"/>
    <n v="25"/>
    <x v="0"/>
    <x v="3"/>
    <x v="6"/>
    <s v="Berlin"/>
    <s v="Non-Profit"/>
    <x v="0"/>
    <x v="5"/>
    <x v="2"/>
    <x v="516"/>
    <n v="930.71"/>
    <n v="1625.42"/>
    <n v="1625.42"/>
    <n v="915.60699999999997"/>
    <n v="1637.0548000000001"/>
    <s v="Medium"/>
    <s v="OK"/>
    <n v="0.13800000000000001"/>
    <s v="OK"/>
    <n v="7"/>
    <n v="9807.7842799999999"/>
    <n v="6514.97"/>
    <n v="3292.8142799999996"/>
    <n v="0.33573477821231196"/>
    <n v="0"/>
    <e v="#DIV/0!"/>
    <x v="1"/>
  </r>
  <r>
    <s v="ORD-2023-125739"/>
    <x v="409"/>
    <x v="15"/>
    <s v="Q2-2023"/>
    <d v="2023-05-18T00:00:00"/>
    <s v="Valid"/>
    <d v="2023-05-18T00:00:00"/>
    <x v="5"/>
    <s v="Feb-2023"/>
    <n v="3"/>
    <n v="17"/>
    <x v="0"/>
    <x v="0"/>
    <x v="1"/>
    <s v="Port Harcourt"/>
    <s v="Corporate"/>
    <x v="4"/>
    <x v="9"/>
    <x v="0"/>
    <x v="517"/>
    <n v="327.97"/>
    <n v="299.94"/>
    <n v="299.94"/>
    <n v="902.43040000000008"/>
    <n v="1641.4832000000001"/>
    <s v="Low"/>
    <s v="OK"/>
    <n v="4.9000000000000002E-2"/>
    <s v="OK"/>
    <n v="3"/>
    <n v="855.72881999999993"/>
    <n v="983.91000000000008"/>
    <n v="-128.18118000000015"/>
    <n v="-0.14979182306843442"/>
    <n v="0"/>
    <e v="#DIV/0!"/>
    <x v="1"/>
  </r>
  <r>
    <s v="ORD-2024-892879"/>
    <x v="410"/>
    <x v="14"/>
    <s v="Q3-2024"/>
    <d v="2024-08-08T00:00:00"/>
    <s v="Valid"/>
    <d v="2024-08-08T00:00:00"/>
    <x v="21"/>
    <s v="Apr-2023"/>
    <n v="16"/>
    <n v="30"/>
    <x v="0"/>
    <x v="3"/>
    <x v="7"/>
    <s v="Marseille"/>
    <s v="Corporate"/>
    <x v="4"/>
    <x v="1"/>
    <x v="0"/>
    <x v="518"/>
    <n v="1062.3800000000001"/>
    <n v="1503.96"/>
    <n v="1503.96"/>
    <n v="931.00900000000013"/>
    <n v="1648.9744000000001"/>
    <s v="Medium"/>
    <s v="OK"/>
    <n v="0.18"/>
    <s v="OK"/>
    <n v="6"/>
    <n v="7399.4832000000006"/>
    <n v="6374.2800000000007"/>
    <n v="1025.2031999999999"/>
    <n v="0.13855064905073369"/>
    <n v="0"/>
    <e v="#DIV/0!"/>
    <x v="1"/>
  </r>
  <r>
    <s v="ORD-2023-472050"/>
    <x v="405"/>
    <x v="15"/>
    <s v="Q2-2023"/>
    <d v="2023-05-27T00:00:00"/>
    <s v="Valid"/>
    <d v="2023-05-27T00:00:00"/>
    <x v="26"/>
    <s v="May-2023"/>
    <n v="1"/>
    <n v="17"/>
    <x v="0"/>
    <x v="1"/>
    <x v="4"/>
    <s v="Mumbai"/>
    <s v="Consumer"/>
    <x v="0"/>
    <x v="12"/>
    <x v="4"/>
    <x v="519"/>
    <n v="1286.1600000000001"/>
    <n v="3101.11"/>
    <n v="3101.11"/>
    <n v="916.06000000000017"/>
    <n v="1653.5440000000001"/>
    <s v="High"/>
    <s v="OK"/>
    <n v="0.1"/>
    <s v="OK"/>
    <n v="23"/>
    <n v="64192.976999999999"/>
    <n v="29581.68"/>
    <n v="34611.296999999999"/>
    <n v="0.53917575749758417"/>
    <n v="0"/>
    <e v="#DIV/0!"/>
    <x v="1"/>
  </r>
  <r>
    <s v="ORD-2024-468615"/>
    <x v="410"/>
    <x v="14"/>
    <s v="Q3-2024"/>
    <d v="2024-07-12T00:00:00"/>
    <s v="Valid"/>
    <d v="2024-07-12T00:00:00"/>
    <x v="10"/>
    <s v="Jan-2023"/>
    <n v="18"/>
    <n v="3"/>
    <x v="1"/>
    <x v="1"/>
    <x v="9"/>
    <s v="Shanghai"/>
    <s v="Small Business"/>
    <x v="0"/>
    <x v="14"/>
    <x v="6"/>
    <x v="520"/>
    <n v="748.39"/>
    <n v="979.42"/>
    <n v="979.42"/>
    <n v="902.44029999999998"/>
    <n v="1642.4823999999999"/>
    <s v="Medium"/>
    <s v="OK"/>
    <n v="0"/>
    <s v="OK"/>
    <n v="23"/>
    <n v="22526.66"/>
    <n v="17212.97"/>
    <n v="5313.6899999999987"/>
    <n v="0.23588450307324738"/>
    <n v="0"/>
    <e v="#DIV/0!"/>
    <x v="1"/>
  </r>
  <r>
    <s v="ORD-2024-833375"/>
    <x v="411"/>
    <x v="20"/>
    <s v="Q2-2024"/>
    <d v="2024-05-10T00:00:00"/>
    <s v="Valid"/>
    <d v="2024-05-10T00:00:00"/>
    <x v="24"/>
    <s v="Jul-2023"/>
    <n v="10"/>
    <n v="16"/>
    <x v="0"/>
    <x v="0"/>
    <x v="0"/>
    <s v="Kisumu"/>
    <s v="Non-Profit"/>
    <x v="1"/>
    <x v="13"/>
    <x v="5"/>
    <x v="521"/>
    <n v="513.30999999999995"/>
    <n v="1186.26"/>
    <n v="1186.26"/>
    <n v="902.11360000000002"/>
    <n v="1649.2432000000001"/>
    <s v="Medium"/>
    <s v="OK"/>
    <n v="9.4E-2"/>
    <s v="OK"/>
    <n v="15"/>
    <n v="16121.273400000002"/>
    <n v="7699.65"/>
    <n v="8421.6234000000022"/>
    <n v="0.52239194702820446"/>
    <n v="0"/>
    <e v="#DIV/0!"/>
    <x v="1"/>
  </r>
  <r>
    <s v="ORD-2024-206311"/>
    <x v="94"/>
    <x v="9"/>
    <s v="Q1-2024"/>
    <d v="2024-01-15T00:00:00"/>
    <s v="Valid"/>
    <d v="2024-01-15T00:00:00"/>
    <x v="22"/>
    <s v="Feb-2023"/>
    <n v="11"/>
    <n v="2"/>
    <x v="1"/>
    <x v="2"/>
    <x v="10"/>
    <s v="San Francisco"/>
    <s v="Non-Profit"/>
    <x v="4"/>
    <x v="6"/>
    <x v="0"/>
    <x v="522"/>
    <n v="1061.3699999999999"/>
    <n v="1938.33"/>
    <n v="1938.33"/>
    <n v="901.78690000000006"/>
    <n v="1653.8128000000002"/>
    <s v="High"/>
    <s v="OK"/>
    <n v="0.17"/>
    <s v="OK"/>
    <n v="4"/>
    <n v="6435.2555999999995"/>
    <n v="4245.4799999999996"/>
    <n v="2189.7755999999999"/>
    <n v="0.34027795259600879"/>
    <n v="0"/>
    <e v="#DIV/0!"/>
    <x v="1"/>
  </r>
  <r>
    <s v="ORD-2024-364080"/>
    <x v="412"/>
    <x v="20"/>
    <s v="Q2-2024"/>
    <d v="2024-04-27T00:00:00"/>
    <s v="Valid"/>
    <d v="2024-04-27T00:00:00"/>
    <x v="24"/>
    <s v="Jul-2023"/>
    <n v="10"/>
    <n v="11"/>
    <x v="0"/>
    <x v="0"/>
    <x v="0"/>
    <s v="Nakuru"/>
    <s v="Enterprise"/>
    <x v="1"/>
    <x v="14"/>
    <x v="1"/>
    <x v="523"/>
    <n v="401.3"/>
    <n v="826.47"/>
    <n v="826.47"/>
    <n v="900.82280000000014"/>
    <n v="1643.4816000000005"/>
    <s v="Low"/>
    <s v="OK"/>
    <n v="0.22500000000000001"/>
    <s v="OK"/>
    <n v="13"/>
    <n v="8326.6852500000005"/>
    <n v="5216.9000000000005"/>
    <n v="3109.7852499999999"/>
    <n v="0.37347217489696755"/>
    <n v="0"/>
    <e v="#DIV/0!"/>
    <x v="1"/>
  </r>
  <r>
    <s v="ORD-2025-460466"/>
    <x v="413"/>
    <x v="26"/>
    <s v="Q1-2025"/>
    <d v="2025-02-16T00:00:00"/>
    <s v="Valid"/>
    <d v="2025-02-16T00:00:00"/>
    <x v="5"/>
    <s v="Feb-2023"/>
    <n v="24"/>
    <n v="9"/>
    <x v="0"/>
    <x v="0"/>
    <x v="1"/>
    <s v="Lagos"/>
    <s v="Small Business"/>
    <x v="3"/>
    <x v="0"/>
    <x v="1"/>
    <x v="524"/>
    <n v="90.68"/>
    <n v="118.17"/>
    <n v="118.17"/>
    <n v="902.12350000000004"/>
    <n v="1649.5119999999999"/>
    <s v="Low"/>
    <s v="OK"/>
    <n v="0.13500000000000001"/>
    <s v="OK"/>
    <n v="21"/>
    <n v="2146.5580500000001"/>
    <n v="1904.2800000000002"/>
    <n v="242.27804999999989"/>
    <n v="0.11286815653552899"/>
    <n v="0"/>
    <e v="#DIV/0!"/>
    <x v="1"/>
  </r>
  <r>
    <s v="ORD-2023-700699"/>
    <x v="414"/>
    <x v="5"/>
    <s v="Q1-2023"/>
    <d v="2023-01-26T00:00:00"/>
    <s v="Valid"/>
    <d v="2023-01-26T00:00:00"/>
    <x v="10"/>
    <s v="Jan-2023"/>
    <n v="1"/>
    <n v="14"/>
    <x v="0"/>
    <x v="1"/>
    <x v="9"/>
    <s v="Shenzhen"/>
    <s v="Non-Profit"/>
    <x v="0"/>
    <x v="12"/>
    <x v="1"/>
    <x v="525"/>
    <n v="1083.0899999999999"/>
    <n v="1425.87"/>
    <n v="1425.87"/>
    <n v="916.96600000000001"/>
    <n v="1654.0816"/>
    <s v="Medium"/>
    <s v="OK"/>
    <n v="0"/>
    <s v="OK"/>
    <n v="8"/>
    <n v="11406.96"/>
    <n v="8664.7199999999993"/>
    <n v="2742.24"/>
    <n v="0.24040059752992909"/>
    <n v="0"/>
    <e v="#DIV/0!"/>
    <x v="1"/>
  </r>
  <r>
    <s v="ORD-2024-713332"/>
    <x v="415"/>
    <x v="17"/>
    <s v="Q2-2024"/>
    <d v="2024-06-23T00:00:00"/>
    <s v="Valid"/>
    <d v="2024-06-23T00:00:00"/>
    <x v="24"/>
    <s v="Jul-2023"/>
    <n v="11"/>
    <n v="18"/>
    <x v="0"/>
    <x v="0"/>
    <x v="0"/>
    <s v="Nairobi"/>
    <s v="Consumer"/>
    <x v="3"/>
    <x v="14"/>
    <x v="4"/>
    <x v="526"/>
    <n v="1208.74"/>
    <n v="1594.78"/>
    <n v="1594.78"/>
    <n v="902.46010000000001"/>
    <n v="1658.6512"/>
    <s v="Medium"/>
    <s v="OK"/>
    <n v="5.8999999999999997E-2"/>
    <s v="OK"/>
    <n v="39"/>
    <n v="58526.83122"/>
    <n v="47140.86"/>
    <n v="11385.971219999999"/>
    <n v="0.1945427589817838"/>
    <n v="0"/>
    <e v="#DIV/0!"/>
    <x v="1"/>
  </r>
  <r>
    <s v="ORD-2023-640022"/>
    <x v="416"/>
    <x v="25"/>
    <s v="Q3-2023"/>
    <d v="2023-09-20T00:00:00"/>
    <s v="Valid"/>
    <d v="2023-09-20T00:00:00"/>
    <x v="13"/>
    <s v="Jan-2023"/>
    <n v="8"/>
    <n v="27"/>
    <x v="0"/>
    <x v="0"/>
    <x v="11"/>
    <s v="Durban"/>
    <s v="Small Business"/>
    <x v="2"/>
    <x v="12"/>
    <x v="1"/>
    <x v="527"/>
    <n v="1399.64"/>
    <n v="3342.11"/>
    <n v="3342.11"/>
    <n v="902.13340000000005"/>
    <n v="1671.6656000000003"/>
    <s v="High"/>
    <s v="OK"/>
    <n v="0"/>
    <s v="OK"/>
    <n v="10"/>
    <n v="33421.1"/>
    <n v="13996.400000000001"/>
    <n v="19424.699999999997"/>
    <n v="0.58121067229983447"/>
    <n v="0"/>
    <e v="#DIV/0!"/>
    <x v="1"/>
  </r>
  <r>
    <s v="ORD-2024-532184"/>
    <x v="246"/>
    <x v="9"/>
    <s v="Q1-2024"/>
    <d v="2024-02-08T00:00:00"/>
    <s v="Valid"/>
    <d v="2024-02-08T00:00:00"/>
    <x v="2"/>
    <s v="Mar-2023"/>
    <n v="11"/>
    <n v="14"/>
    <x v="0"/>
    <x v="1"/>
    <x v="2"/>
    <s v="Osaka"/>
    <s v="Consumer"/>
    <x v="2"/>
    <x v="2"/>
    <x v="2"/>
    <x v="528"/>
    <n v="937.16"/>
    <n v="1069.77"/>
    <n v="1069.77"/>
    <n v="901.80669999999998"/>
    <n v="1654.3504"/>
    <s v="Medium"/>
    <s v="OK"/>
    <n v="3.7999999999999999E-2"/>
    <s v="OK"/>
    <n v="9"/>
    <n v="9262.0686600000008"/>
    <n v="8434.44"/>
    <n v="827.62866000000031"/>
    <n v="8.9356783066645962E-2"/>
    <n v="0"/>
    <e v="#DIV/0!"/>
    <x v="1"/>
  </r>
  <r>
    <s v="ORD-2025-926547"/>
    <x v="417"/>
    <x v="3"/>
    <s v="Q1-2025"/>
    <d v="2025-03-26T00:00:00"/>
    <s v="Valid"/>
    <d v="2025-03-26T00:00:00"/>
    <x v="18"/>
    <s v="Jan-2023"/>
    <n v="26"/>
    <n v="15"/>
    <x v="0"/>
    <x v="3"/>
    <x v="6"/>
    <s v="Berlin"/>
    <s v="Small Business"/>
    <x v="1"/>
    <x v="2"/>
    <x v="3"/>
    <x v="529"/>
    <n v="116.97"/>
    <n v="140.82"/>
    <n v="140.82"/>
    <n v="901.48"/>
    <n v="1658.92"/>
    <s v="Low"/>
    <s v="OK"/>
    <n v="0.122"/>
    <s v="OK"/>
    <n v="5"/>
    <n v="618.19979999999987"/>
    <n v="584.85"/>
    <n v="33.349799999999846"/>
    <n v="5.3946636669891926E-2"/>
    <n v="0"/>
    <e v="#DIV/0!"/>
    <x v="1"/>
  </r>
  <r>
    <s v="ORD-2025-778145"/>
    <x v="221"/>
    <x v="19"/>
    <s v="Q2-2025"/>
    <d v="2025-05-12T00:00:00"/>
    <s v="Valid"/>
    <d v="2025-05-12T00:00:00"/>
    <x v="21"/>
    <s v="Apr-2023"/>
    <n v="25"/>
    <n v="20"/>
    <x v="0"/>
    <x v="3"/>
    <x v="7"/>
    <s v="Lyon"/>
    <s v="Enterprise"/>
    <x v="2"/>
    <x v="11"/>
    <x v="5"/>
    <x v="530"/>
    <n v="59.51"/>
    <n v="67.040000000000006"/>
    <n v="67.040000000000006"/>
    <n v="902.14330000000007"/>
    <n v="1672.4622000000002"/>
    <s v="Low"/>
    <s v="OK"/>
    <n v="0.114"/>
    <s v="OK"/>
    <n v="9"/>
    <n v="534.57695999999999"/>
    <n v="535.59"/>
    <n v="-1.0130400000000463"/>
    <n v="-1.8950311663264469E-3"/>
    <n v="0"/>
    <e v="#DIV/0!"/>
    <x v="1"/>
  </r>
  <r>
    <s v="ORD-2023-525643"/>
    <x v="418"/>
    <x v="25"/>
    <s v="Q3-2023"/>
    <d v="2023-09-03T00:00:00"/>
    <s v="Valid"/>
    <d v="2023-09-03T00:00:00"/>
    <x v="13"/>
    <s v="Jan-2023"/>
    <n v="8"/>
    <n v="17"/>
    <x v="0"/>
    <x v="0"/>
    <x v="11"/>
    <s v="Durban"/>
    <s v="Enterprise"/>
    <x v="0"/>
    <x v="8"/>
    <x v="3"/>
    <x v="531"/>
    <n v="676.37"/>
    <n v="1276.67"/>
    <n v="1276.67"/>
    <n v="917.87200000000018"/>
    <n v="1686.0044000000003"/>
    <s v="Medium"/>
    <s v="OK"/>
    <n v="6.6000000000000003E-2"/>
    <s v="OK"/>
    <n v="10"/>
    <n v="11924.0978"/>
    <n v="6763.7"/>
    <n v="5160.3977999999997"/>
    <n v="0.4327705027712872"/>
    <n v="0"/>
    <e v="#DIV/0!"/>
    <x v="1"/>
  </r>
  <r>
    <s v="ORD-2025-312803"/>
    <x v="35"/>
    <x v="16"/>
    <s v="Q2-2025"/>
    <d v="2025-07-14T00:00:00"/>
    <s v="Valid"/>
    <d v="2025-07-14T00:00:00"/>
    <x v="13"/>
    <s v="Jan-2023"/>
    <n v="30"/>
    <n v="20"/>
    <x v="0"/>
    <x v="0"/>
    <x v="11"/>
    <s v="Johannesburg"/>
    <s v="Enterprise"/>
    <x v="2"/>
    <x v="1"/>
    <x v="4"/>
    <x v="532"/>
    <n v="1151.06"/>
    <n v="2821.36"/>
    <n v="2821.36"/>
    <n v="902.92299999999989"/>
    <n v="1699.0155999999999"/>
    <s v="High"/>
    <s v="OK"/>
    <n v="0.248"/>
    <s v="OK"/>
    <n v="20"/>
    <n v="42433.254400000005"/>
    <n v="23021.199999999997"/>
    <n v="19412.054400000008"/>
    <n v="0.45747267501594235"/>
    <n v="0"/>
    <e v="#DIV/0!"/>
    <x v="1"/>
  </r>
  <r>
    <s v="ORD-2025-149156"/>
    <x v="419"/>
    <x v="10"/>
    <s v="Q1-2025"/>
    <d v="2025-02-06T00:00:00"/>
    <s v="Valid"/>
    <d v="2025-02-06T00:00:00"/>
    <x v="6"/>
    <s v="Jan-2023"/>
    <n v="24"/>
    <n v="27"/>
    <x v="0"/>
    <x v="2"/>
    <x v="5"/>
    <s v="Brasília"/>
    <s v="Non-Profit"/>
    <x v="0"/>
    <x v="5"/>
    <x v="4"/>
    <x v="533"/>
    <n v="725.62"/>
    <n v="1559.19"/>
    <n v="1559.19"/>
    <n v="902.15319999999997"/>
    <n v="1673.2588000000001"/>
    <s v="Medium"/>
    <s v="OK"/>
    <n v="0.19"/>
    <s v="OK"/>
    <n v="12"/>
    <n v="15155.326800000001"/>
    <n v="8707.44"/>
    <n v="6447.8868000000002"/>
    <n v="0.42545349797405885"/>
    <n v="0"/>
    <e v="#DIV/0!"/>
    <x v="1"/>
  </r>
  <r>
    <s v="ORD-2023-215819"/>
    <x v="305"/>
    <x v="24"/>
    <s v="Q3-2023"/>
    <d v="2023-07-11T00:00:00"/>
    <s v="Valid"/>
    <d v="2023-07-11T00:00:00"/>
    <x v="21"/>
    <s v="Apr-2023"/>
    <n v="3"/>
    <n v="10"/>
    <x v="0"/>
    <x v="3"/>
    <x v="7"/>
    <s v="Paris"/>
    <s v="Corporate"/>
    <x v="4"/>
    <x v="9"/>
    <x v="2"/>
    <x v="534"/>
    <n v="479.5"/>
    <n v="656.66"/>
    <n v="656.66"/>
    <n v="901.82650000000001"/>
    <n v="1686.8010000000002"/>
    <s v="Low"/>
    <s v="OK"/>
    <n v="0.14899999999999999"/>
    <s v="OK"/>
    <n v="14"/>
    <n v="7823.4472399999995"/>
    <n v="6713"/>
    <n v="1110.4472399999995"/>
    <n v="0.14193835606412289"/>
    <n v="0"/>
    <e v="#DIV/0!"/>
    <x v="1"/>
  </r>
  <r>
    <s v="ORD-2024-353078"/>
    <x v="420"/>
    <x v="21"/>
    <s v="Q3-2024"/>
    <d v="2024-08-26T00:00:00"/>
    <s v="Valid"/>
    <d v="2024-08-26T00:00:00"/>
    <x v="22"/>
    <s v="Feb-2023"/>
    <n v="18"/>
    <n v="10"/>
    <x v="0"/>
    <x v="2"/>
    <x v="10"/>
    <s v="Chicago"/>
    <s v="Corporate"/>
    <x v="3"/>
    <x v="4"/>
    <x v="4"/>
    <x v="386"/>
    <n v="1291.7"/>
    <n v="2657.84"/>
    <n v="2657.84"/>
    <n v="903.3760000000002"/>
    <n v="1699.2812000000001"/>
    <s v="High"/>
    <s v="OK"/>
    <n v="8.6999999999999994E-2"/>
    <s v="OK"/>
    <n v="21"/>
    <n v="50958.766320000002"/>
    <n v="27125.7"/>
    <n v="23833.066320000002"/>
    <n v="0.46769315745083367"/>
    <n v="0"/>
    <e v="#DIV/0!"/>
    <x v="1"/>
  </r>
  <r>
    <s v="ORD-2023-621393"/>
    <x v="421"/>
    <x v="24"/>
    <s v="Q3-2023"/>
    <d v="2023-07-13T00:00:00"/>
    <s v="Valid"/>
    <d v="2023-07-13T00:00:00"/>
    <x v="13"/>
    <s v="Jan-2023"/>
    <n v="7"/>
    <n v="6"/>
    <x v="1"/>
    <x v="0"/>
    <x v="11"/>
    <s v="Cape Town"/>
    <s v="Small Business"/>
    <x v="2"/>
    <x v="5"/>
    <x v="6"/>
    <x v="535"/>
    <n v="612.59"/>
    <n v="1424.74"/>
    <n v="1424.74"/>
    <n v="902.16309999999999"/>
    <n v="1674.0554000000002"/>
    <s v="Medium"/>
    <s v="OK"/>
    <n v="4.3999999999999997E-2"/>
    <s v="OK"/>
    <n v="15"/>
    <n v="20430.771599999996"/>
    <n v="9188.85"/>
    <n v="11241.921599999996"/>
    <n v="0.55024459281802152"/>
    <n v="0"/>
    <e v="#DIV/0!"/>
    <x v="1"/>
  </r>
  <r>
    <s v="ORD-2023-974506"/>
    <x v="422"/>
    <x v="4"/>
    <s v="Q4-2023"/>
    <d v="2024-01-01T00:00:00"/>
    <s v="Valid"/>
    <d v="2024-01-01T00:00:00"/>
    <x v="13"/>
    <s v="Jan-2023"/>
    <n v="12"/>
    <n v="4"/>
    <x v="1"/>
    <x v="0"/>
    <x v="11"/>
    <s v="Cape Town"/>
    <s v="Education"/>
    <x v="3"/>
    <x v="8"/>
    <x v="1"/>
    <x v="536"/>
    <n v="1141.8"/>
    <n v="2318.7399999999998"/>
    <n v="2318.7399999999998"/>
    <n v="901.83640000000003"/>
    <n v="1687.5976000000003"/>
    <s v="High"/>
    <s v="OK"/>
    <n v="0.107"/>
    <s v="OK"/>
    <n v="32"/>
    <n v="66260.314239999992"/>
    <n v="36537.599999999999"/>
    <n v="29722.714239999994"/>
    <n v="0.44857490612468304"/>
    <n v="0"/>
    <e v="#DIV/0!"/>
    <x v="1"/>
  </r>
  <r>
    <s v="ORD-2023-811823"/>
    <x v="423"/>
    <x v="5"/>
    <s v="Q1-2023"/>
    <d v="2023-02-15T00:00:00"/>
    <s v="Valid"/>
    <d v="2023-02-15T00:00:00"/>
    <x v="18"/>
    <s v="Jan-2023"/>
    <n v="1"/>
    <n v="20"/>
    <x v="0"/>
    <x v="3"/>
    <x v="6"/>
    <s v="Berlin"/>
    <s v="Small Business"/>
    <x v="1"/>
    <x v="7"/>
    <x v="2"/>
    <x v="537"/>
    <n v="492.62"/>
    <n v="366.7"/>
    <n v="366.7"/>
    <n v="901.50970000000007"/>
    <n v="1661.3098000000002"/>
    <s v="Low"/>
    <s v="OK"/>
    <n v="8.8999999999999996E-2"/>
    <s v="OK"/>
    <n v="10"/>
    <n v="3340.6370000000002"/>
    <n v="4926.2"/>
    <n v="-1585.5629999999996"/>
    <n v="-0.47462894052840809"/>
    <n v="0"/>
    <e v="#DIV/0!"/>
    <x v="1"/>
  </r>
  <r>
    <s v="ORD-2023-286720"/>
    <x v="424"/>
    <x v="24"/>
    <s v="Q3-2023"/>
    <d v="2023-07-09T00:00:00"/>
    <s v="Valid"/>
    <d v="2023-07-09T00:00:00"/>
    <x v="24"/>
    <s v="Jul-2023"/>
    <n v="1"/>
    <n v="1"/>
    <x v="1"/>
    <x v="0"/>
    <x v="0"/>
    <s v="Nairobi"/>
    <s v="Consumer"/>
    <x v="1"/>
    <x v="14"/>
    <x v="4"/>
    <x v="538"/>
    <n v="1258.72"/>
    <n v="2797.41"/>
    <n v="2797.41"/>
    <n v="902.173"/>
    <n v="1674.8520000000003"/>
    <s v="High"/>
    <s v="OK"/>
    <n v="0"/>
    <s v="OK"/>
    <n v="7"/>
    <n v="19581.87"/>
    <n v="8811.0400000000009"/>
    <n v="10770.829999999998"/>
    <n v="0.55004093071805704"/>
    <n v="0"/>
    <e v="#DIV/0!"/>
    <x v="1"/>
  </r>
  <r>
    <s v="ORD-2024-626925"/>
    <x v="116"/>
    <x v="17"/>
    <s v="Q2-2024"/>
    <d v="2024-06-09T00:00:00"/>
    <s v="Valid"/>
    <d v="2024-06-09T00:00:00"/>
    <x v="27"/>
    <s v="Aug-2023"/>
    <n v="11"/>
    <n v="2"/>
    <x v="1"/>
    <x v="1"/>
    <x v="9"/>
    <s v="Shanghai"/>
    <s v="Corporate"/>
    <x v="0"/>
    <x v="7"/>
    <x v="5"/>
    <x v="539"/>
    <n v="1370.28"/>
    <n v="2209.66"/>
    <n v="2209.66"/>
    <n v="901.84630000000004"/>
    <n v="1655.4256"/>
    <s v="High"/>
    <s v="OK"/>
    <n v="0.13300000000000001"/>
    <s v="OK"/>
    <n v="16"/>
    <n v="30652.403519999996"/>
    <n v="21924.48"/>
    <n v="8727.9235199999966"/>
    <n v="0.28473863442079589"/>
    <n v="0"/>
    <e v="#DIV/0!"/>
    <x v="1"/>
  </r>
  <r>
    <s v="ORD-2023-960380"/>
    <x v="425"/>
    <x v="2"/>
    <s v="Q1-2023"/>
    <d v="2023-02-12T00:00:00"/>
    <s v="Valid"/>
    <d v="2023-02-12T00:00:00"/>
    <x v="5"/>
    <s v="Feb-2023"/>
    <n v="1"/>
    <n v="1"/>
    <x v="1"/>
    <x v="0"/>
    <x v="1"/>
    <s v="Port Harcourt"/>
    <s v="Non-Profit"/>
    <x v="4"/>
    <x v="14"/>
    <x v="6"/>
    <x v="540"/>
    <n v="944.61"/>
    <n v="839.04"/>
    <n v="839.04"/>
    <n v="901.51959999999997"/>
    <n v="1646.5552"/>
    <s v="Low"/>
    <s v="OK"/>
    <n v="5.8999999999999997E-2"/>
    <s v="OK"/>
    <n v="6"/>
    <n v="4737.2198399999997"/>
    <n v="5667.66"/>
    <n v="-930.44016000000011"/>
    <n v="-0.19641059343363726"/>
    <n v="0"/>
    <e v="#DIV/0!"/>
    <x v="1"/>
  </r>
  <r>
    <s v="ORD-2023-453699"/>
    <x v="305"/>
    <x v="24"/>
    <s v="Q3-2023"/>
    <d v="2023-07-08T00:00:00"/>
    <s v="Valid"/>
    <d v="2023-07-08T00:00:00"/>
    <x v="20"/>
    <s v="Feb-2023"/>
    <n v="5"/>
    <n v="7"/>
    <x v="0"/>
    <x v="3"/>
    <x v="6"/>
    <s v="Frankfurt"/>
    <s v="Small Business"/>
    <x v="3"/>
    <x v="13"/>
    <x v="4"/>
    <x v="541"/>
    <n v="460.21"/>
    <n v="1139.1500000000001"/>
    <n v="1139.1500000000001"/>
    <n v="902.18290000000002"/>
    <n v="1651.1248000000001"/>
    <s v="Medium"/>
    <s v="OK"/>
    <n v="0.115"/>
    <s v="OK"/>
    <n v="14"/>
    <n v="14114.068500000001"/>
    <n v="6442.94"/>
    <n v="7671.1285000000016"/>
    <n v="0.54350937151821255"/>
    <n v="0"/>
    <e v="#DIV/0!"/>
    <x v="1"/>
  </r>
  <r>
    <s v="ORD-2025-960931"/>
    <x v="426"/>
    <x v="28"/>
    <s v="Q3-2025"/>
    <d v="2025-08-26T00:00:00"/>
    <s v="Valid"/>
    <d v="2025-08-26T00:00:00"/>
    <x v="22"/>
    <s v="Feb-2023"/>
    <n v="30"/>
    <n v="6"/>
    <x v="1"/>
    <x v="2"/>
    <x v="10"/>
    <s v="New York"/>
    <s v="Corporate"/>
    <x v="0"/>
    <x v="12"/>
    <x v="2"/>
    <x v="542"/>
    <n v="1304.95"/>
    <n v="1712.03"/>
    <n v="1712.03"/>
    <n v="901.85620000000006"/>
    <n v="1655.6944000000001"/>
    <s v="High"/>
    <s v="OK"/>
    <n v="0.21199999999999999"/>
    <s v="OK"/>
    <n v="8"/>
    <n v="10792.637119999999"/>
    <n v="10439.6"/>
    <n v="353.03711999999905"/>
    <n v="3.2710922833287949E-2"/>
    <n v="0"/>
    <e v="#DIV/0!"/>
    <x v="1"/>
  </r>
  <r>
    <s v="ORD-2024-419248"/>
    <x v="427"/>
    <x v="0"/>
    <s v="Q1-2024"/>
    <d v="2024-03-16T00:00:00"/>
    <s v="Valid"/>
    <d v="2024-03-16T00:00:00"/>
    <x v="13"/>
    <s v="Jan-2023"/>
    <n v="14"/>
    <n v="12"/>
    <x v="0"/>
    <x v="0"/>
    <x v="11"/>
    <s v="Johannesburg"/>
    <s v="Enterprise"/>
    <x v="3"/>
    <x v="12"/>
    <x v="5"/>
    <x v="543"/>
    <n v="441.08"/>
    <n v="1054.29"/>
    <n v="1054.29"/>
    <n v="901.52949999999998"/>
    <n v="1646.8240000000001"/>
    <s v="Medium"/>
    <s v="OK"/>
    <n v="0.23699999999999999"/>
    <s v="OK"/>
    <n v="6"/>
    <n v="4826.5396199999996"/>
    <n v="2646.48"/>
    <n v="2180.0596199999995"/>
    <n v="0.45168169985932899"/>
    <n v="0"/>
    <e v="#DIV/0!"/>
    <x v="1"/>
  </r>
  <r>
    <s v="ORD-2023-488227"/>
    <x v="428"/>
    <x v="27"/>
    <s v="Q3-2023"/>
    <d v="2023-10-02T00:00:00"/>
    <s v="Valid"/>
    <d v="2023-10-02T00:00:00"/>
    <x v="19"/>
    <s v="Apr-2023"/>
    <n v="5"/>
    <n v="24"/>
    <x v="0"/>
    <x v="2"/>
    <x v="3"/>
    <s v="Toronto"/>
    <s v="Education"/>
    <x v="4"/>
    <x v="8"/>
    <x v="6"/>
    <x v="544"/>
    <n v="1299.03"/>
    <n v="2451.2199999999998"/>
    <n v="2451.2199999999998"/>
    <n v="892.27920000000006"/>
    <n v="1651.3936000000001"/>
    <s v="High"/>
    <s v="OK"/>
    <n v="0.20799999999999999"/>
    <s v="OK"/>
    <n v="8"/>
    <n v="15530.929919999999"/>
    <n v="10392.24"/>
    <n v="5138.6899199999989"/>
    <n v="0.3308681416032041"/>
    <n v="0"/>
    <e v="#DIV/0!"/>
    <x v="1"/>
  </r>
  <r>
    <s v="ORD-2023-472078"/>
    <x v="2"/>
    <x v="2"/>
    <s v="Q1-2023"/>
    <d v="2023-03-06T00:00:00"/>
    <s v="Valid"/>
    <d v="2023-03-06T00:00:00"/>
    <x v="20"/>
    <s v="Feb-2023"/>
    <n v="1"/>
    <n v="6"/>
    <x v="1"/>
    <x v="3"/>
    <x v="6"/>
    <s v="Frankfurt"/>
    <s v="Small Business"/>
    <x v="2"/>
    <x v="14"/>
    <x v="1"/>
    <x v="545"/>
    <n v="880.02"/>
    <n v="1251.21"/>
    <n v="1251.21"/>
    <n v="881.43540000000007"/>
    <n v="1634.4888000000001"/>
    <s v="Medium"/>
    <s v="OK"/>
    <n v="0.123"/>
    <s v="OK"/>
    <n v="29"/>
    <n v="31822.023930000003"/>
    <n v="25520.579999999998"/>
    <n v="6301.4439300000049"/>
    <n v="0.19802146915172672"/>
    <n v="0"/>
    <e v="#DIV/0!"/>
    <x v="1"/>
  </r>
  <r>
    <s v="ORD-2024-202877"/>
    <x v="292"/>
    <x v="14"/>
    <s v="Q3-2024"/>
    <d v="2024-08-03T00:00:00"/>
    <s v="Valid"/>
    <d v="2024-08-03T00:00:00"/>
    <x v="6"/>
    <s v="Jan-2023"/>
    <n v="18"/>
    <n v="21"/>
    <x v="0"/>
    <x v="2"/>
    <x v="5"/>
    <s v="Rio De Janeiro"/>
    <s v="Corporate"/>
    <x v="2"/>
    <x v="12"/>
    <x v="5"/>
    <x v="546"/>
    <n v="702.98"/>
    <n v="1104.8"/>
    <n v="1104.8"/>
    <n v="870.59160000000008"/>
    <n v="1647.0928000000001"/>
    <s v="Medium"/>
    <s v="OK"/>
    <n v="0.17499999999999999"/>
    <s v="OK"/>
    <n v="12"/>
    <n v="10937.519999999999"/>
    <n v="8435.76"/>
    <n v="2501.7599999999984"/>
    <n v="0.22873192460448061"/>
    <n v="0"/>
    <e v="#DIV/0!"/>
    <x v="1"/>
  </r>
  <r>
    <s v="ORD-2024-140633"/>
    <x v="429"/>
    <x v="6"/>
    <s v="Q4-2024"/>
    <d v="2024-12-26T00:00:00"/>
    <s v="Valid"/>
    <d v="2024-12-26T00:00:00"/>
    <x v="25"/>
    <s v="Apr-2023"/>
    <n v="20"/>
    <n v="19"/>
    <x v="0"/>
    <x v="3"/>
    <x v="8"/>
    <s v="London"/>
    <s v="Enterprise"/>
    <x v="1"/>
    <x v="14"/>
    <x v="2"/>
    <x v="547"/>
    <n v="1035.24"/>
    <n v="2383.41"/>
    <n v="2383.41"/>
    <n v="866.60580000000004"/>
    <n v="1651.6624000000002"/>
    <s v="High"/>
    <s v="OK"/>
    <n v="0.17"/>
    <s v="OK"/>
    <n v="15"/>
    <n v="29673.454499999993"/>
    <n v="15528.6"/>
    <n v="14144.854499999992"/>
    <n v="0.47668378145860962"/>
    <n v="0"/>
    <e v="#DIV/0!"/>
    <x v="1"/>
  </r>
  <r>
    <s v="ORD-2025-419532"/>
    <x v="430"/>
    <x v="28"/>
    <s v="Q3-2025"/>
    <d v="2025-08-23T00:00:00"/>
    <s v="Valid"/>
    <d v="2025-08-23T00:00:00"/>
    <x v="6"/>
    <s v="Jan-2023"/>
    <n v="31"/>
    <n v="17"/>
    <x v="0"/>
    <x v="2"/>
    <x v="5"/>
    <s v="Brasília"/>
    <s v="Consumer"/>
    <x v="3"/>
    <x v="8"/>
    <x v="5"/>
    <x v="548"/>
    <n v="86.64"/>
    <n v="213.06"/>
    <n v="213.06"/>
    <n v="864.14400000000001"/>
    <n v="1635.4880000000003"/>
    <s v="Low"/>
    <s v="OK"/>
    <n v="0.21199999999999999"/>
    <s v="OK"/>
    <n v="11"/>
    <n v="1846.8040799999999"/>
    <n v="953.04"/>
    <n v="893.76407999999992"/>
    <n v="0.48395175735154322"/>
    <n v="0"/>
    <e v="#DIV/0!"/>
    <x v="1"/>
  </r>
  <r>
    <s v="ORD-2023-139236"/>
    <x v="431"/>
    <x v="22"/>
    <s v="Q1-2023"/>
    <d v="2023-03-20T00:00:00"/>
    <s v="Valid"/>
    <d v="2023-03-20T00:00:00"/>
    <x v="2"/>
    <s v="Mar-2023"/>
    <n v="1"/>
    <n v="17"/>
    <x v="0"/>
    <x v="1"/>
    <x v="2"/>
    <s v="Nagoya"/>
    <s v="Small Business"/>
    <x v="1"/>
    <x v="14"/>
    <x v="2"/>
    <x v="549"/>
    <n v="1171.17"/>
    <n v="2030.64"/>
    <n v="2030.64"/>
    <n v="870.92020000000002"/>
    <n v="1647.3616"/>
    <s v="High"/>
    <s v="OK"/>
    <n v="0.157"/>
    <s v="OK"/>
    <n v="11"/>
    <n v="18830.12472"/>
    <n v="12882.87"/>
    <n v="5947.254719999999"/>
    <n v="0.31583724528830415"/>
    <n v="0"/>
    <e v="#DIV/0!"/>
    <x v="1"/>
  </r>
  <r>
    <s v="ORD-2025-337268"/>
    <x v="432"/>
    <x v="26"/>
    <s v="Q1-2025"/>
    <d v="2025-03-17T00:00:00"/>
    <s v="Valid"/>
    <d v="2025-03-17T00:00:00"/>
    <x v="28"/>
    <s v="Dec-2023"/>
    <n v="15"/>
    <n v="29"/>
    <x v="0"/>
    <x v="3"/>
    <x v="6"/>
    <s v="Munich"/>
    <s v="Consumer"/>
    <x v="0"/>
    <x v="4"/>
    <x v="6"/>
    <x v="550"/>
    <n v="730.42"/>
    <n v="956.7"/>
    <n v="956.7"/>
    <n v="866.68039999999996"/>
    <n v="1619.5008000000003"/>
    <s v="Medium"/>
    <s v="OK"/>
    <n v="4.2000000000000003E-2"/>
    <s v="OK"/>
    <n v="22"/>
    <n v="20163.409200000002"/>
    <n v="16069.24"/>
    <n v="4094.1692000000021"/>
    <n v="0.20304945256975698"/>
    <n v="0"/>
    <e v="#DIV/0!"/>
    <x v="1"/>
  </r>
  <r>
    <s v="ORD-2025-332931"/>
    <x v="146"/>
    <x v="26"/>
    <s v="Q1-2025"/>
    <d v="2025-03-01T00:00:00"/>
    <s v="Valid"/>
    <d v="2025-03-01T00:00:00"/>
    <x v="29"/>
    <s v="Sep-2023"/>
    <n v="18"/>
    <n v="14"/>
    <x v="0"/>
    <x v="0"/>
    <x v="0"/>
    <s v="Mombasa"/>
    <s v="Education"/>
    <x v="4"/>
    <x v="4"/>
    <x v="6"/>
    <x v="551"/>
    <n v="1162.8599999999999"/>
    <n v="1447.68"/>
    <n v="1447.68"/>
    <n v="864.21860000000004"/>
    <n v="1636.4872"/>
    <s v="Medium"/>
    <s v="OK"/>
    <n v="8.6999999999999994E-2"/>
    <s v="OK"/>
    <n v="12"/>
    <n v="15860.782080000001"/>
    <n v="13954.32"/>
    <n v="1906.4620800000012"/>
    <n v="0.12019975247021369"/>
    <n v="0"/>
    <e v="#DIV/0!"/>
    <x v="1"/>
  </r>
  <r>
    <s v="ORD-2024-536442"/>
    <x v="433"/>
    <x v="21"/>
    <s v="Q3-2024"/>
    <d v="2024-09-26T00:00:00"/>
    <s v="Valid"/>
    <d v="2024-09-26T00:00:00"/>
    <x v="30"/>
    <s v="Apr-2023"/>
    <n v="17"/>
    <n v="26"/>
    <x v="0"/>
    <x v="1"/>
    <x v="2"/>
    <s v="Tokyo"/>
    <s v="Education"/>
    <x v="1"/>
    <x v="2"/>
    <x v="3"/>
    <x v="552"/>
    <n v="1189.03"/>
    <n v="2949.62"/>
    <n v="2949.62"/>
    <n v="861.7568"/>
    <n v="1647.6304"/>
    <s v="High"/>
    <s v="OK"/>
    <n v="0.125"/>
    <s v="OK"/>
    <n v="13"/>
    <n v="33551.927499999998"/>
    <n v="15457.39"/>
    <n v="18094.537499999999"/>
    <n v="0.53929949330034765"/>
    <n v="0"/>
    <e v="#DIV/0!"/>
    <x v="1"/>
  </r>
  <r>
    <s v="ORD-2023-957692"/>
    <x v="238"/>
    <x v="15"/>
    <s v="Q2-2023"/>
    <d v="2023-05-20T00:00:00"/>
    <s v="Valid"/>
    <d v="2023-05-20T00:00:00"/>
    <x v="26"/>
    <s v="May-2023"/>
    <n v="1"/>
    <n v="13"/>
    <x v="0"/>
    <x v="1"/>
    <x v="4"/>
    <s v="Mumbai"/>
    <s v="Enterprise"/>
    <x v="0"/>
    <x v="14"/>
    <x v="6"/>
    <x v="553"/>
    <n v="1443.28"/>
    <n v="2580.5700000000002"/>
    <n v="2580.5700000000002"/>
    <n v="834.43"/>
    <n v="1620.5"/>
    <s v="High"/>
    <s v="OK"/>
    <n v="0"/>
    <s v="OK"/>
    <n v="18"/>
    <n v="46450.26"/>
    <n v="25979.040000000001"/>
    <n v="20471.22"/>
    <n v="0.4407127107577008"/>
    <n v="0"/>
    <e v="#DIV/0!"/>
    <x v="1"/>
  </r>
  <r>
    <s v="ORD-2025-874124"/>
    <x v="78"/>
    <x v="8"/>
    <s v="Q2-2025"/>
    <d v="2025-05-12T00:00:00"/>
    <s v="Invalid"/>
    <d v="2025-05-14T00:00:00"/>
    <x v="19"/>
    <s v="Apr-2023"/>
    <n v="26"/>
    <n v="0"/>
    <x v="1"/>
    <x v="2"/>
    <x v="3"/>
    <s v="Vancouver"/>
    <s v="Non-Profit"/>
    <x v="3"/>
    <x v="9"/>
    <x v="1"/>
    <x v="554"/>
    <n v="883.5"/>
    <n v="1978.91"/>
    <n v="1978.91"/>
    <n v="799.1464000000002"/>
    <n v="1589.6592000000001"/>
    <s v="High"/>
    <s v="OK"/>
    <n v="5.3999999999999999E-2"/>
    <s v="OK"/>
    <n v="27"/>
    <n v="50545.319219999998"/>
    <n v="23854.5"/>
    <n v="26690.819219999998"/>
    <n v="0.52805718970390547"/>
    <n v="0"/>
    <e v="#DIV/0!"/>
    <x v="1"/>
  </r>
  <r>
    <s v="ORD-2024-687073"/>
    <x v="0"/>
    <x v="0"/>
    <s v="Q1-2024"/>
    <d v="2024-03-29T00:00:00"/>
    <s v="Valid"/>
    <d v="2024-03-29T00:00:00"/>
    <x v="22"/>
    <s v="Feb-2023"/>
    <n v="13"/>
    <n v="18"/>
    <x v="0"/>
    <x v="2"/>
    <x v="10"/>
    <s v="New York"/>
    <s v="Corporate"/>
    <x v="0"/>
    <x v="12"/>
    <x v="5"/>
    <x v="555"/>
    <n v="710.98"/>
    <n v="1481.45"/>
    <n v="1481.45"/>
    <n v="763.86279999999999"/>
    <n v="1565.4834000000001"/>
    <s v="Medium"/>
    <s v="OK"/>
    <n v="0.21099999999999999"/>
    <s v="OK"/>
    <n v="9"/>
    <n v="10519.776450000001"/>
    <n v="6398.82"/>
    <n v="4120.9564500000015"/>
    <n v="0.39173422264120461"/>
    <n v="0"/>
    <e v="#DIV/0!"/>
    <x v="1"/>
  </r>
  <r>
    <s v="ORD-2024-555229"/>
    <x v="22"/>
    <x v="7"/>
    <s v="Q2-2024"/>
    <d v="2024-05-22T00:00:00"/>
    <s v="Valid"/>
    <d v="2024-05-22T00:00:00"/>
    <x v="29"/>
    <s v="Sep-2023"/>
    <n v="9"/>
    <n v="4"/>
    <x v="1"/>
    <x v="0"/>
    <x v="0"/>
    <s v="Nairobi"/>
    <s v="Corporate"/>
    <x v="4"/>
    <x v="10"/>
    <x v="6"/>
    <x v="556"/>
    <n v="857.42"/>
    <n v="1658.92"/>
    <n v="1658.92"/>
    <n v="747.75520000000006"/>
    <n v="1577.9376000000002"/>
    <s v="High"/>
    <s v="OK"/>
    <n v="0.122"/>
    <s v="OK"/>
    <n v="9"/>
    <n v="13108.78584"/>
    <n v="7716.78"/>
    <n v="5392.0058400000007"/>
    <n v="0.41132763215544305"/>
    <n v="0"/>
    <e v="#DIV/0!"/>
    <x v="1"/>
  </r>
  <r>
    <s v="ORD-2024-872291"/>
    <x v="434"/>
    <x v="9"/>
    <s v="Q1-2024"/>
    <d v="2024-01-12T00:00:00"/>
    <s v="Valid"/>
    <d v="2024-01-12T00:00:00"/>
    <x v="31"/>
    <s v="Jun-2023"/>
    <n v="8"/>
    <n v="4"/>
    <x v="1"/>
    <x v="1"/>
    <x v="4"/>
    <s v="Bengaluru"/>
    <s v="Corporate"/>
    <x v="4"/>
    <x v="6"/>
    <x v="1"/>
    <x v="557"/>
    <n v="802.32"/>
    <n v="602.34"/>
    <n v="602.34"/>
    <n v="738.83860000000004"/>
    <n v="1556.7718"/>
    <s v="Low"/>
    <s v="OK"/>
    <n v="0.12"/>
    <s v="OK"/>
    <n v="25"/>
    <n v="13251.48"/>
    <n v="20058"/>
    <n v="-6806.52"/>
    <n v="-0.51364224977134632"/>
    <n v="0"/>
    <e v="#DIV/0!"/>
    <x v="1"/>
  </r>
  <r>
    <s v="ORD-2024-250862"/>
    <x v="40"/>
    <x v="1"/>
    <s v="Q4-2024"/>
    <d v="2024-11-05T00:00:00"/>
    <s v="Valid"/>
    <d v="2024-11-05T00:00:00"/>
    <x v="22"/>
    <s v="Feb-2023"/>
    <n v="20"/>
    <n v="11"/>
    <x v="0"/>
    <x v="2"/>
    <x v="10"/>
    <s v="New York"/>
    <s v="Corporate"/>
    <x v="3"/>
    <x v="13"/>
    <x v="0"/>
    <x v="558"/>
    <n v="446.66"/>
    <n v="527.64"/>
    <n v="527.64"/>
    <n v="764.93200000000013"/>
    <n v="1566.2160000000001"/>
    <s v="Low"/>
    <s v="OK"/>
    <n v="0.14499999999999999"/>
    <s v="OK"/>
    <n v="15"/>
    <n v="6766.9829999999993"/>
    <n v="6699.9000000000005"/>
    <n v="67.082999999998719"/>
    <n v="9.9132804087137105E-3"/>
    <n v="0"/>
    <e v="#DIV/0!"/>
    <x v="1"/>
  </r>
  <r>
    <s v="ORD-2024-331226"/>
    <x v="25"/>
    <x v="18"/>
    <s v="Q4-2024"/>
    <d v="2024-12-19T00:00:00"/>
    <s v="Valid"/>
    <d v="2024-12-19T00:00:00"/>
    <x v="29"/>
    <s v="Sep-2023"/>
    <n v="15"/>
    <n v="19"/>
    <x v="0"/>
    <x v="0"/>
    <x v="0"/>
    <s v="Kisumu"/>
    <s v="Corporate"/>
    <x v="1"/>
    <x v="4"/>
    <x v="3"/>
    <x v="559"/>
    <n v="1195.98"/>
    <n v="1841.9"/>
    <n v="1841.9"/>
    <n v="836.56839999999988"/>
    <n v="1578.6702"/>
    <s v="High"/>
    <s v="OK"/>
    <n v="5.5E-2"/>
    <s v="OK"/>
    <n v="19"/>
    <n v="33071.3145"/>
    <n v="22723.62"/>
    <n v="10347.694500000001"/>
    <n v="0.31289032977506842"/>
    <n v="0"/>
    <e v="#DIV/0!"/>
    <x v="1"/>
  </r>
  <r>
    <s v="ORD-2023-356427"/>
    <x v="289"/>
    <x v="12"/>
    <s v="Q2-2023"/>
    <d v="2023-05-02T00:00:00"/>
    <s v="Valid"/>
    <d v="2023-05-02T00:00:00"/>
    <x v="19"/>
    <s v="Apr-2023"/>
    <n v="1"/>
    <n v="19"/>
    <x v="0"/>
    <x v="2"/>
    <x v="3"/>
    <s v="Montreal"/>
    <s v="Consumer"/>
    <x v="3"/>
    <x v="6"/>
    <x v="5"/>
    <x v="560"/>
    <n v="671.05"/>
    <n v="1645.48"/>
    <n v="1645.48"/>
    <n v="801.28480000000013"/>
    <n v="1557.0744000000002"/>
    <s v="High"/>
    <s v="OK"/>
    <n v="0.13700000000000001"/>
    <s v="OK"/>
    <n v="6"/>
    <n v="8520.2954399999999"/>
    <n v="4026.2999999999997"/>
    <n v="4493.9954400000006"/>
    <n v="0.52744596377517172"/>
    <n v="0"/>
    <e v="#DIV/0!"/>
    <x v="1"/>
  </r>
  <r>
    <s v="ORD-2025-659650"/>
    <x v="184"/>
    <x v="26"/>
    <s v="Q1-2025"/>
    <d v="2025-02-08T00:00:00"/>
    <s v="Valid"/>
    <d v="2025-02-08T00:00:00"/>
    <x v="25"/>
    <s v="Apr-2023"/>
    <n v="22"/>
    <n v="4"/>
    <x v="1"/>
    <x v="3"/>
    <x v="8"/>
    <s v="Manchester"/>
    <s v="Enterprise"/>
    <x v="2"/>
    <x v="4"/>
    <x v="2"/>
    <x v="561"/>
    <n v="586.21"/>
    <n v="727.22"/>
    <n v="727.22"/>
    <n v="766.00119999999993"/>
    <n v="1547.0886"/>
    <s v="Low"/>
    <s v="OK"/>
    <n v="6.8000000000000005E-2"/>
    <s v="OK"/>
    <n v="15"/>
    <n v="10166.535600000001"/>
    <n v="8793.1500000000015"/>
    <n v="1373.3855999999996"/>
    <n v="0.13508884973559721"/>
    <n v="0"/>
    <e v="#DIV/0!"/>
    <x v="1"/>
  </r>
  <r>
    <s v="ORD-2024-207669"/>
    <x v="435"/>
    <x v="9"/>
    <s v="Q1-2024"/>
    <d v="2024-02-04T00:00:00"/>
    <s v="Valid"/>
    <d v="2024-02-04T00:00:00"/>
    <x v="25"/>
    <s v="Apr-2023"/>
    <n v="10"/>
    <n v="11"/>
    <x v="0"/>
    <x v="3"/>
    <x v="8"/>
    <s v="Manchester"/>
    <s v="Consumer"/>
    <x v="0"/>
    <x v="5"/>
    <x v="4"/>
    <x v="562"/>
    <n v="525.34"/>
    <n v="1233.79"/>
    <n v="1233.79"/>
    <n v="837.63760000000013"/>
    <n v="1552.2328"/>
    <s v="Medium"/>
    <s v="OK"/>
    <n v="0.14299999999999999"/>
    <s v="OK"/>
    <n v="4"/>
    <n v="4229.4321199999995"/>
    <n v="2101.36"/>
    <n v="2128.0721199999994"/>
    <n v="0.50315788494082736"/>
    <n v="0"/>
    <e v="#DIV/0!"/>
    <x v="1"/>
  </r>
  <r>
    <s v="ORD-2024-979401"/>
    <x v="436"/>
    <x v="31"/>
    <s v="Q1-2024"/>
    <d v="2024-02-09T00:00:00"/>
    <s v="Valid"/>
    <d v="2024-02-09T00:00:00"/>
    <x v="29"/>
    <s v="Sep-2023"/>
    <n v="6"/>
    <n v="1"/>
    <x v="1"/>
    <x v="0"/>
    <x v="0"/>
    <s v="Mombasa"/>
    <s v="Corporate"/>
    <x v="4"/>
    <x v="9"/>
    <x v="0"/>
    <x v="563"/>
    <n v="1233.52"/>
    <n v="1543.76"/>
    <n v="1543.76"/>
    <n v="802.35399999999993"/>
    <n v="1557.3770000000002"/>
    <s v="Medium"/>
    <s v="OK"/>
    <n v="0.126"/>
    <s v="OK"/>
    <n v="13"/>
    <n v="17540.201120000002"/>
    <n v="16035.76"/>
    <n v="1504.4411200000013"/>
    <n v="8.5771030201277493E-2"/>
    <n v="0"/>
    <e v="#DIV/0!"/>
    <x v="1"/>
  </r>
  <r>
    <s v="ORD-2025-929414"/>
    <x v="437"/>
    <x v="16"/>
    <s v="Q2-2025"/>
    <d v="2025-07-11T00:00:00"/>
    <s v="Valid"/>
    <d v="2025-07-11T00:00:00"/>
    <x v="32"/>
    <s v="Oct-2023"/>
    <n v="21"/>
    <n v="15"/>
    <x v="0"/>
    <x v="0"/>
    <x v="1"/>
    <s v="Port Harcourt"/>
    <s v="Small Business"/>
    <x v="1"/>
    <x v="8"/>
    <x v="4"/>
    <x v="564"/>
    <n v="1170.1500000000001"/>
    <n v="2115.19"/>
    <n v="2115.19"/>
    <n v="767.07040000000006"/>
    <n v="1567.6812000000002"/>
    <s v="High"/>
    <s v="OK"/>
    <n v="9.1999999999999998E-2"/>
    <s v="OK"/>
    <n v="23"/>
    <n v="44173.627960000005"/>
    <n v="26913.45"/>
    <n v="17260.177960000005"/>
    <n v="0.39073489674946776"/>
    <n v="0"/>
    <e v="#DIV/0!"/>
    <x v="1"/>
  </r>
  <r>
    <s v="ORD-2024-766980"/>
    <x v="272"/>
    <x v="18"/>
    <s v="Q4-2024"/>
    <d v="2024-11-07T00:00:00"/>
    <s v="Valid"/>
    <d v="2024-11-07T00:00:00"/>
    <x v="21"/>
    <s v="Apr-2023"/>
    <n v="20"/>
    <n v="3"/>
    <x v="1"/>
    <x v="3"/>
    <x v="7"/>
    <s v="Lyon"/>
    <s v="Corporate"/>
    <x v="1"/>
    <x v="7"/>
    <x v="5"/>
    <x v="565"/>
    <n v="740.68"/>
    <n v="1837.19"/>
    <n v="1837.19"/>
    <n v="748.03660000000013"/>
    <n v="1507.0830000000008"/>
    <s v="High"/>
    <s v="OK"/>
    <n v="0.19700000000000001"/>
    <s v="OK"/>
    <n v="17"/>
    <n v="25079.480689999997"/>
    <n v="12591.56"/>
    <n v="12487.920689999997"/>
    <n v="0.4979337827748298"/>
    <n v="0"/>
    <e v="#DIV/0!"/>
    <x v="1"/>
  </r>
  <r>
    <s v="ORD-2024-437164"/>
    <x v="438"/>
    <x v="31"/>
    <s v="Q1-2024"/>
    <d v="2024-02-20T00:00:00"/>
    <s v="Valid"/>
    <d v="2024-02-20T00:00:00"/>
    <x v="22"/>
    <s v="Feb-2023"/>
    <n v="12"/>
    <n v="0"/>
    <x v="1"/>
    <x v="2"/>
    <x v="10"/>
    <s v="New York"/>
    <s v="Enterprise"/>
    <x v="1"/>
    <x v="0"/>
    <x v="2"/>
    <x v="566"/>
    <n v="1407.05"/>
    <n v="2858.93"/>
    <n v="2858.93"/>
    <n v="738.28840000000002"/>
    <n v="1435.2064"/>
    <s v="High"/>
    <s v="OK"/>
    <n v="0"/>
    <s v="OK"/>
    <n v="12"/>
    <n v="34307.159999999996"/>
    <n v="16884.599999999999"/>
    <n v="17422.559999999998"/>
    <n v="0.50784034586366222"/>
    <n v="0"/>
    <e v="#DIV/0!"/>
    <x v="1"/>
  </r>
  <r>
    <s v="ORD-2025-169093"/>
    <x v="439"/>
    <x v="19"/>
    <s v="Q2-2025"/>
    <d v="2025-04-14T00:00:00"/>
    <s v="Valid"/>
    <d v="2025-04-14T00:00:00"/>
    <x v="30"/>
    <s v="Apr-2023"/>
    <n v="24"/>
    <n v="1"/>
    <x v="1"/>
    <x v="1"/>
    <x v="2"/>
    <s v="Osaka"/>
    <s v="Enterprise"/>
    <x v="1"/>
    <x v="3"/>
    <x v="0"/>
    <x v="567"/>
    <n v="138.9"/>
    <n v="289.92"/>
    <n v="289.92"/>
    <n v="728.54020000000014"/>
    <n v="1432.4541999999999"/>
    <s v="Low"/>
    <s v="OK"/>
    <n v="2.9000000000000001E-2"/>
    <s v="OK"/>
    <n v="12"/>
    <n v="3378.1478400000001"/>
    <n v="1666.8000000000002"/>
    <n v="1711.3478399999999"/>
    <n v="0.50659353025828491"/>
    <n v="0"/>
    <e v="#DIV/0!"/>
    <x v="1"/>
  </r>
  <r>
    <s v="ORD-2023-868460"/>
    <x v="407"/>
    <x v="23"/>
    <s v="Q2-2023"/>
    <d v="2023-06-01T00:00:00"/>
    <s v="Valid"/>
    <d v="2023-06-01T00:00:00"/>
    <x v="31"/>
    <s v="Jun-2023"/>
    <n v="1"/>
    <n v="0"/>
    <x v="1"/>
    <x v="1"/>
    <x v="4"/>
    <s v="Bengaluru"/>
    <s v="Corporate"/>
    <x v="0"/>
    <x v="6"/>
    <x v="6"/>
    <x v="568"/>
    <n v="669.37"/>
    <n v="997.2"/>
    <n v="997.2"/>
    <n v="748.33199999999999"/>
    <n v="1433.8719999999998"/>
    <s v="Medium"/>
    <s v="OK"/>
    <n v="8.2000000000000003E-2"/>
    <s v="OK"/>
    <n v="5"/>
    <n v="4577.1480000000001"/>
    <n v="3346.85"/>
    <n v="1230.2980000000002"/>
    <n v="0.26879139586484863"/>
    <n v="0"/>
    <e v="#DIV/0!"/>
    <x v="1"/>
  </r>
  <r>
    <s v="ORD-2025-177994"/>
    <x v="400"/>
    <x v="3"/>
    <s v="Q1-2025"/>
    <d v="2025-04-04T00:00:00"/>
    <s v="Valid"/>
    <d v="2025-04-04T00:00:00"/>
    <x v="33"/>
    <s v="Nov-2023"/>
    <n v="17"/>
    <n v="11"/>
    <x v="0"/>
    <x v="1"/>
    <x v="4"/>
    <s v="Mumbai"/>
    <s v="Education"/>
    <x v="2"/>
    <x v="1"/>
    <x v="3"/>
    <x v="569"/>
    <n v="23.83"/>
    <n v="47.29"/>
    <n v="47.29"/>
    <n v="738.58380000000011"/>
    <n v="1435.2898"/>
    <s v="Low"/>
    <s v="OK"/>
    <n v="6.4000000000000001E-2"/>
    <s v="OK"/>
    <n v="19"/>
    <n v="841.00536"/>
    <n v="452.77"/>
    <n v="388.23536000000001"/>
    <n v="0.46163244429262618"/>
    <n v="0"/>
    <e v="#DIV/0!"/>
    <x v="1"/>
  </r>
  <r>
    <s v="ORD-2024-355095"/>
    <x v="278"/>
    <x v="9"/>
    <s v="Q1-2024"/>
    <d v="2024-01-02T00:00:00"/>
    <s v="Valid"/>
    <d v="2024-01-02T00:00:00"/>
    <x v="34"/>
    <s v="Jun-2023"/>
    <n v="7"/>
    <n v="0"/>
    <x v="1"/>
    <x v="2"/>
    <x v="3"/>
    <s v="Vancouver"/>
    <s v="Education"/>
    <x v="4"/>
    <x v="8"/>
    <x v="4"/>
    <x v="570"/>
    <n v="444.41"/>
    <n v="754.24"/>
    <n v="754.24"/>
    <n v="769.20880000000011"/>
    <n v="1470.0780000000002"/>
    <s v="Low"/>
    <s v="OK"/>
    <n v="0.20699999999999999"/>
    <s v="OK"/>
    <n v="32"/>
    <n v="19139.594240000002"/>
    <n v="14221.12"/>
    <n v="4918.4742400000014"/>
    <n v="0.25697902360546598"/>
    <n v="0"/>
    <e v="#DIV/0!"/>
    <x v="1"/>
  </r>
  <r>
    <s v="ORD-2023-126505"/>
    <x v="201"/>
    <x v="4"/>
    <s v="Q4-2023"/>
    <d v="2024-01-01T00:00:00"/>
    <s v="Valid"/>
    <d v="2024-01-01T00:00:00"/>
    <x v="34"/>
    <s v="Jun-2023"/>
    <n v="6"/>
    <n v="13"/>
    <x v="0"/>
    <x v="2"/>
    <x v="3"/>
    <s v="Toronto"/>
    <s v="Enterprise"/>
    <x v="0"/>
    <x v="11"/>
    <x v="5"/>
    <x v="571"/>
    <n v="856.1"/>
    <n v="901.48"/>
    <n v="901.48"/>
    <n v="835.23260000000028"/>
    <n v="1512.0170000000005"/>
    <s v="Medium"/>
    <s v="OK"/>
    <n v="5.6000000000000001E-2"/>
    <s v="OK"/>
    <n v="17"/>
    <n v="14466.95104"/>
    <n v="14553.7"/>
    <n v="-86.748960000000807"/>
    <n v="-5.9963540182134192E-3"/>
    <n v="0"/>
    <e v="#DIV/0!"/>
    <x v="1"/>
  </r>
  <r>
    <s v="ORD-2023-340056"/>
    <x v="440"/>
    <x v="12"/>
    <s v="Q2-2023"/>
    <d v="2023-04-26T00:00:00"/>
    <s v="Valid"/>
    <d v="2023-04-26T00:00:00"/>
    <x v="21"/>
    <s v="Apr-2023"/>
    <n v="1"/>
    <n v="0"/>
    <x v="1"/>
    <x v="3"/>
    <x v="7"/>
    <s v="Marseille"/>
    <s v="Consumer"/>
    <x v="4"/>
    <x v="12"/>
    <x v="0"/>
    <x v="572"/>
    <n v="81.489999999999995"/>
    <n v="113.08"/>
    <n v="113.08"/>
    <n v="790.20080000000007"/>
    <n v="1553.9560000000001"/>
    <s v="Low"/>
    <s v="OK"/>
    <n v="0.121"/>
    <s v="OK"/>
    <n v="5"/>
    <n v="496.98660000000001"/>
    <n v="407.45"/>
    <n v="89.536600000000021"/>
    <n v="0.18015898215364362"/>
    <n v="0"/>
    <e v="#DIV/0!"/>
    <x v="1"/>
  </r>
  <r>
    <s v="ORD-2025-281413"/>
    <x v="441"/>
    <x v="28"/>
    <s v="Q3-2025"/>
    <d v="2025-08-16T00:00:00"/>
    <s v="Valid"/>
    <d v="2025-08-16T00:00:00"/>
    <x v="34"/>
    <s v="Jun-2023"/>
    <n v="26"/>
    <n v="13"/>
    <x v="0"/>
    <x v="2"/>
    <x v="3"/>
    <s v="Montreal"/>
    <s v="Enterprise"/>
    <x v="3"/>
    <x v="7"/>
    <x v="2"/>
    <x v="573"/>
    <n v="698.66"/>
    <n v="868.62"/>
    <n v="868.62"/>
    <n v="862.279"/>
    <n v="1569.8790000000001"/>
    <s v="Medium"/>
    <s v="OK"/>
    <n v="7.1999999999999995E-2"/>
    <s v="OK"/>
    <n v="15"/>
    <n v="12091.190399999999"/>
    <n v="10479.9"/>
    <n v="1611.2903999999999"/>
    <n v="0.13326151906432637"/>
    <n v="0"/>
    <e v="#DIV/0!"/>
    <x v="1"/>
  </r>
  <r>
    <s v="ORD-2023-713614"/>
    <x v="442"/>
    <x v="25"/>
    <s v="Q3-2023"/>
    <d v="2023-08-19T00:00:00"/>
    <s v="Valid"/>
    <d v="2023-08-19T00:00:00"/>
    <x v="34"/>
    <s v="Jun-2023"/>
    <n v="2"/>
    <n v="17"/>
    <x v="0"/>
    <x v="2"/>
    <x v="3"/>
    <s v="Vancouver"/>
    <s v="Corporate"/>
    <x v="1"/>
    <x v="9"/>
    <x v="2"/>
    <x v="574"/>
    <n v="175.38"/>
    <n v="347.9"/>
    <n v="347.9"/>
    <n v="836.59720000000004"/>
    <n v="1582.3332"/>
    <s v="Low"/>
    <s v="OK"/>
    <n v="7.1999999999999995E-2"/>
    <s v="OK"/>
    <n v="43"/>
    <n v="13882.6016"/>
    <n v="7541.34"/>
    <n v="6341.2615999999998"/>
    <n v="0.45677761148169804"/>
    <n v="0"/>
    <e v="#DIV/0!"/>
    <x v="1"/>
  </r>
  <r>
    <s v="ORD-2023-173313"/>
    <x v="250"/>
    <x v="23"/>
    <s v="Q2-2023"/>
    <d v="2023-07-12T00:00:00"/>
    <s v="Valid"/>
    <d v="2023-07-12T00:00:00"/>
    <x v="25"/>
    <s v="Apr-2023"/>
    <n v="3"/>
    <n v="27"/>
    <x v="0"/>
    <x v="3"/>
    <x v="8"/>
    <s v="Manchester"/>
    <s v="Consumer"/>
    <x v="4"/>
    <x v="2"/>
    <x v="6"/>
    <x v="575"/>
    <n v="751.28"/>
    <n v="1111.8800000000001"/>
    <n v="1111.8800000000001"/>
    <n v="881.40190000000007"/>
    <n v="1594.7874000000002"/>
    <s v="Medium"/>
    <s v="OK"/>
    <n v="0.13500000000000001"/>
    <s v="OK"/>
    <n v="7"/>
    <n v="6732.4334000000008"/>
    <n v="5258.96"/>
    <n v="1473.4734000000008"/>
    <n v="0.21886193482433863"/>
    <n v="0"/>
    <e v="#DIV/0!"/>
    <x v="1"/>
  </r>
  <r>
    <s v="ORD-2024-496601"/>
    <x v="443"/>
    <x v="18"/>
    <s v="Q4-2024"/>
    <d v="2024-11-24T00:00:00"/>
    <s v="Valid"/>
    <d v="2024-11-24T00:00:00"/>
    <x v="25"/>
    <s v="Apr-2023"/>
    <n v="20"/>
    <n v="13"/>
    <x v="0"/>
    <x v="3"/>
    <x v="8"/>
    <s v="London"/>
    <s v="Corporate"/>
    <x v="0"/>
    <x v="6"/>
    <x v="2"/>
    <x v="576"/>
    <n v="164.53"/>
    <n v="327.72"/>
    <n v="327.72"/>
    <n v="867.76959999999997"/>
    <n v="1628.5536"/>
    <s v="Low"/>
    <s v="OK"/>
    <n v="6.7000000000000004E-2"/>
    <s v="OK"/>
    <n v="14"/>
    <n v="4280.6786400000001"/>
    <n v="2303.42"/>
    <n v="1977.25864"/>
    <n v="0.46190307805960412"/>
    <n v="0"/>
    <e v="#DIV/0!"/>
    <x v="1"/>
  </r>
  <r>
    <s v="ORD-2025-155182"/>
    <x v="444"/>
    <x v="13"/>
    <s v="Q3-2025"/>
    <d v="2025-08-03T00:00:00"/>
    <s v="Valid"/>
    <d v="2025-08-03T00:00:00"/>
    <x v="29"/>
    <s v="Sep-2023"/>
    <n v="23"/>
    <n v="23"/>
    <x v="0"/>
    <x v="0"/>
    <x v="0"/>
    <s v="Nakuru"/>
    <s v="Small Business"/>
    <x v="0"/>
    <x v="0"/>
    <x v="3"/>
    <x v="577"/>
    <n v="389.93"/>
    <n v="486.13"/>
    <n v="486.13"/>
    <n v="895.44730000000004"/>
    <n v="1663.6518000000003"/>
    <s v="Low"/>
    <s v="OK"/>
    <n v="0.13200000000000001"/>
    <s v="OK"/>
    <n v="17"/>
    <n v="7173.3342799999991"/>
    <n v="6628.81"/>
    <n v="544.52427999999873"/>
    <n v="7.5909508569562828E-2"/>
    <n v="0"/>
    <e v="#DIV/0!"/>
    <x v="1"/>
  </r>
  <r>
    <s v="ORD-2023-244375"/>
    <x v="445"/>
    <x v="23"/>
    <s v="Q2-2023"/>
    <d v="2023-07-01T00:00:00"/>
    <s v="Valid"/>
    <d v="2023-07-01T00:00:00"/>
    <x v="6"/>
    <s v="Jan-2023"/>
    <n v="5"/>
    <n v="28"/>
    <x v="0"/>
    <x v="2"/>
    <x v="5"/>
    <s v="Brasília"/>
    <s v="Small Business"/>
    <x v="2"/>
    <x v="8"/>
    <x v="0"/>
    <x v="578"/>
    <n v="860.4"/>
    <n v="2066.6"/>
    <n v="2066.6"/>
    <n v="925.12"/>
    <n v="1698.75"/>
    <s v="High"/>
    <s v="OK"/>
    <n v="0.01"/>
    <s v="OK"/>
    <n v="3"/>
    <n v="6137.8019999999988"/>
    <n v="2581.1999999999998"/>
    <n v="3556.601999999999"/>
    <n v="0.57945857491004105"/>
    <n v="0"/>
    <e v="#DIV/0!"/>
    <x v="1"/>
  </r>
  <r>
    <s v="ORD-2023-856322"/>
    <x v="446"/>
    <x v="5"/>
    <s v="Q1-2023"/>
    <d v="2023-02-06T00:00:00"/>
    <s v="Valid"/>
    <d v="2023-02-06T00:00:00"/>
    <x v="6"/>
    <s v="Jan-2023"/>
    <n v="1"/>
    <n v="8"/>
    <x v="0"/>
    <x v="2"/>
    <x v="5"/>
    <s v="Brasília"/>
    <s v="Corporate"/>
    <x v="2"/>
    <x v="14"/>
    <x v="5"/>
    <x v="579"/>
    <n v="41.84"/>
    <n v="86.2"/>
    <n v="86.2"/>
    <n v="910.17100000000005"/>
    <n v="1630.6182000000003"/>
    <s v="Low"/>
    <s v="OK"/>
    <n v="0.22600000000000001"/>
    <s v="OK"/>
    <n v="27"/>
    <n v="1801.4076000000002"/>
    <n v="1129.68"/>
    <n v="671.72760000000017"/>
    <n v="0.37289039970742882"/>
    <n v="0"/>
    <e v="#DIV/0!"/>
    <x v="1"/>
  </r>
  <r>
    <s v="ORD-2024-594527"/>
    <x v="330"/>
    <x v="29"/>
    <s v="Q3-2024"/>
    <d v="2024-09-04T00:00:00"/>
    <s v="Invalid"/>
    <d v="2024-09-06T00:00:00"/>
    <x v="30"/>
    <s v="Apr-2023"/>
    <n v="17"/>
    <n v="0"/>
    <x v="1"/>
    <x v="1"/>
    <x v="2"/>
    <s v="Osaka"/>
    <s v="Corporate"/>
    <x v="4"/>
    <x v="8"/>
    <x v="4"/>
    <x v="580"/>
    <n v="1368.17"/>
    <n v="2307.75"/>
    <n v="2307.75"/>
    <n v="940.52199999999993"/>
    <n v="1665.7164"/>
    <s v="High"/>
    <s v="OK"/>
    <n v="0.16300000000000001"/>
    <s v="OK"/>
    <n v="21"/>
    <n v="40563.321749999996"/>
    <n v="28731.57"/>
    <n v="11831.751749999996"/>
    <n v="0.29168596750831921"/>
    <n v="0"/>
    <e v="#DIV/0!"/>
    <x v="1"/>
  </r>
  <r>
    <s v="ORD-2024-689872"/>
    <x v="447"/>
    <x v="21"/>
    <s v="Q3-2024"/>
    <d v="2024-08-09T00:00:00"/>
    <s v="Valid"/>
    <d v="2024-08-09T00:00:00"/>
    <x v="29"/>
    <s v="Sep-2023"/>
    <n v="11"/>
    <n v="6"/>
    <x v="1"/>
    <x v="0"/>
    <x v="0"/>
    <s v="Mombasa"/>
    <s v="Consumer"/>
    <x v="2"/>
    <x v="10"/>
    <x v="4"/>
    <x v="581"/>
    <n v="643.21"/>
    <n v="1112.81"/>
    <n v="1112.81"/>
    <n v="925.57300000000009"/>
    <n v="1597.5846000000004"/>
    <s v="Medium"/>
    <s v="OK"/>
    <n v="0.14099999999999999"/>
    <s v="OK"/>
    <n v="4"/>
    <n v="3823.6151599999998"/>
    <n v="2572.84"/>
    <n v="1250.7751599999997"/>
    <n v="0.32711847496702562"/>
    <n v="0"/>
    <e v="#DIV/0!"/>
    <x v="1"/>
  </r>
  <r>
    <s v="ORD-2025-246692"/>
    <x v="448"/>
    <x v="19"/>
    <s v="Q2-2025"/>
    <d v="2025-04-17T00:00:00"/>
    <s v="Valid"/>
    <d v="2025-04-17T00:00:00"/>
    <x v="35"/>
    <s v="Sep-2023"/>
    <n v="20"/>
    <n v="0"/>
    <x v="1"/>
    <x v="2"/>
    <x v="5"/>
    <s v="São Paulo"/>
    <s v="Corporate"/>
    <x v="3"/>
    <x v="4"/>
    <x v="3"/>
    <x v="582"/>
    <n v="719.41"/>
    <n v="1125.99"/>
    <n v="1125.99"/>
    <n v="910.62400000000002"/>
    <n v="1632.6828000000003"/>
    <s v="Medium"/>
    <s v="OK"/>
    <n v="4.1000000000000002E-2"/>
    <s v="OK"/>
    <n v="21"/>
    <n v="22676.312610000001"/>
    <n v="15107.609999999999"/>
    <n v="7568.7026100000021"/>
    <n v="0.33377131194876403"/>
    <n v="0"/>
    <e v="#DIV/0!"/>
    <x v="1"/>
  </r>
  <r>
    <s v="ORD-2023-378676"/>
    <x v="449"/>
    <x v="15"/>
    <s v="Q2-2023"/>
    <d v="2023-05-16T00:00:00"/>
    <s v="Valid"/>
    <d v="2023-05-16T00:00:00"/>
    <x v="22"/>
    <s v="Feb-2023"/>
    <n v="3"/>
    <n v="13"/>
    <x v="0"/>
    <x v="2"/>
    <x v="10"/>
    <s v="New York"/>
    <s v="Corporate"/>
    <x v="2"/>
    <x v="4"/>
    <x v="3"/>
    <x v="583"/>
    <n v="64.5"/>
    <n v="123.62"/>
    <n v="123.62"/>
    <n v="896.27350000000013"/>
    <n v="1667.7810000000004"/>
    <s v="Low"/>
    <s v="OK"/>
    <n v="0"/>
    <s v="OK"/>
    <n v="3"/>
    <n v="370.86"/>
    <n v="193.5"/>
    <n v="177.36"/>
    <n v="0.47823976702798904"/>
    <n v="0"/>
    <e v="#DIV/0!"/>
    <x v="1"/>
  </r>
  <r>
    <s v="ORD-2024-243988"/>
    <x v="450"/>
    <x v="0"/>
    <s v="Q1-2024"/>
    <d v="2024-04-06T00:00:00"/>
    <s v="Valid"/>
    <d v="2024-04-06T00:00:00"/>
    <x v="32"/>
    <s v="Oct-2023"/>
    <n v="6"/>
    <n v="24"/>
    <x v="0"/>
    <x v="0"/>
    <x v="1"/>
    <s v="Abuja"/>
    <s v="Consumer"/>
    <x v="3"/>
    <x v="4"/>
    <x v="0"/>
    <x v="584"/>
    <n v="1232.78"/>
    <n v="1731.75"/>
    <n v="1731.75"/>
    <n v="926.02600000000007"/>
    <n v="1700.0700000000002"/>
    <s v="High"/>
    <s v="OK"/>
    <n v="9.2999999999999999E-2"/>
    <s v="OK"/>
    <n v="16"/>
    <n v="25131.155999999999"/>
    <n v="19724.48"/>
    <n v="5406.6759999999995"/>
    <n v="0.21513837246484005"/>
    <n v="0"/>
    <e v="#DIV/0!"/>
    <x v="1"/>
  </r>
  <r>
    <s v="ORD-2024-572312"/>
    <x v="248"/>
    <x v="17"/>
    <s v="Q2-2024"/>
    <d v="2024-06-21T00:00:00"/>
    <s v="Valid"/>
    <d v="2024-06-21T00:00:00"/>
    <x v="30"/>
    <s v="Apr-2023"/>
    <n v="14"/>
    <n v="5"/>
    <x v="1"/>
    <x v="1"/>
    <x v="2"/>
    <s v="Tokyo"/>
    <s v="Small Business"/>
    <x v="3"/>
    <x v="9"/>
    <x v="3"/>
    <x v="585"/>
    <n v="1367.13"/>
    <n v="3062.01"/>
    <n v="3062.01"/>
    <n v="911.07700000000011"/>
    <n v="1634.7474000000002"/>
    <s v="High"/>
    <s v="OK"/>
    <n v="0.10299999999999999"/>
    <s v="OK"/>
    <n v="25"/>
    <n v="68665.574250000005"/>
    <n v="34178.25"/>
    <n v="34487.324250000005"/>
    <n v="0.50225057645971705"/>
    <n v="0"/>
    <e v="#DIV/0!"/>
    <x v="1"/>
  </r>
  <r>
    <s v="ORD-2025-281062"/>
    <x v="146"/>
    <x v="26"/>
    <s v="Q1-2025"/>
    <d v="2025-02-27T00:00:00"/>
    <s v="Valid"/>
    <d v="2025-02-27T00:00:00"/>
    <x v="21"/>
    <s v="Apr-2023"/>
    <n v="23"/>
    <n v="12"/>
    <x v="0"/>
    <x v="3"/>
    <x v="7"/>
    <s v="Lyon"/>
    <s v="Non-Profit"/>
    <x v="4"/>
    <x v="11"/>
    <x v="6"/>
    <x v="586"/>
    <n v="1027.26"/>
    <n v="2200.41"/>
    <n v="2200.41"/>
    <n v="896.68660000000011"/>
    <n v="1585.2636"/>
    <s v="High"/>
    <s v="OK"/>
    <n v="8.7999999999999995E-2"/>
    <s v="OK"/>
    <n v="6"/>
    <n v="12040.64352"/>
    <n v="6163.5599999999995"/>
    <n v="5877.0835200000001"/>
    <n v="0.48810377204822358"/>
    <n v="0"/>
    <e v="#DIV/0!"/>
    <x v="1"/>
  </r>
  <r>
    <s v="ORD-2023-727290"/>
    <x v="451"/>
    <x v="12"/>
    <s v="Q2-2023"/>
    <d v="2023-04-16T00:00:00"/>
    <s v="Valid"/>
    <d v="2023-04-16T00:00:00"/>
    <x v="21"/>
    <s v="Apr-2023"/>
    <n v="1"/>
    <n v="13"/>
    <x v="0"/>
    <x v="3"/>
    <x v="7"/>
    <s v="Marseille"/>
    <s v="Non-Profit"/>
    <x v="2"/>
    <x v="12"/>
    <x v="6"/>
    <x v="587"/>
    <n v="790.54"/>
    <n v="601.49"/>
    <n v="601.49"/>
    <n v="883.05430000000001"/>
    <n v="1561.0878000000002"/>
    <s v="Low"/>
    <s v="OK"/>
    <n v="0"/>
    <s v="OK"/>
    <n v="15"/>
    <n v="9022.35"/>
    <n v="11858.099999999999"/>
    <n v="-2835.7499999999982"/>
    <n v="-0.31430281467688553"/>
    <n v="0"/>
    <e v="#DIV/0!"/>
    <x v="1"/>
  </r>
  <r>
    <s v="ORD-2025-993993"/>
    <x v="387"/>
    <x v="28"/>
    <s v="Q3-2025"/>
    <d v="2025-09-22T00:00:00"/>
    <s v="Valid"/>
    <d v="2025-09-22T00:00:00"/>
    <x v="36"/>
    <s v="Jul-2023"/>
    <n v="26"/>
    <n v="23"/>
    <x v="0"/>
    <x v="3"/>
    <x v="7"/>
    <s v="Marseille"/>
    <s v="Corporate"/>
    <x v="4"/>
    <x v="6"/>
    <x v="0"/>
    <x v="588"/>
    <n v="663.9"/>
    <n v="947.77"/>
    <n v="947.77"/>
    <n v="911.53000000000009"/>
    <n v="1573.5420000000001"/>
    <s v="Medium"/>
    <s v="OK"/>
    <n v="0.17399999999999999"/>
    <s v="OK"/>
    <n v="15"/>
    <n v="11742.8703"/>
    <n v="9958.5"/>
    <n v="1784.3703000000005"/>
    <n v="0.1519535049280073"/>
    <n v="0"/>
    <e v="#DIV/0!"/>
    <x v="1"/>
  </r>
  <r>
    <s v="ORD-2023-619493"/>
    <x v="452"/>
    <x v="2"/>
    <s v="Q1-2023"/>
    <d v="2023-02-26T00:00:00"/>
    <s v="Invalid"/>
    <d v="2023-02-27T00:00:00"/>
    <x v="22"/>
    <s v="Feb-2023"/>
    <n v="1"/>
    <n v="0"/>
    <x v="1"/>
    <x v="2"/>
    <x v="10"/>
    <s v="San Francisco"/>
    <s v="Non-Profit"/>
    <x v="1"/>
    <x v="4"/>
    <x v="2"/>
    <x v="589"/>
    <n v="1015.91"/>
    <n v="2331.48"/>
    <n v="2331.48"/>
    <n v="897.0997000000001"/>
    <n v="1585.9962"/>
    <s v="High"/>
    <s v="OK"/>
    <n v="0.14599999999999999"/>
    <s v="OK"/>
    <n v="26"/>
    <n v="51768.181920000003"/>
    <n v="26413.66"/>
    <n v="25354.521920000003"/>
    <n v="0.48977037592669626"/>
    <n v="0"/>
    <e v="#DIV/0!"/>
    <x v="1"/>
  </r>
  <r>
    <s v="ORD-2024-947056"/>
    <x v="453"/>
    <x v="14"/>
    <s v="Q3-2024"/>
    <d v="2024-08-15T00:00:00"/>
    <s v="Valid"/>
    <d v="2024-08-15T00:00:00"/>
    <x v="30"/>
    <s v="Apr-2023"/>
    <n v="16"/>
    <n v="15"/>
    <x v="0"/>
    <x v="1"/>
    <x v="2"/>
    <s v="Tokyo"/>
    <s v="Corporate"/>
    <x v="2"/>
    <x v="9"/>
    <x v="5"/>
    <x v="590"/>
    <n v="1252.52"/>
    <n v="1417.24"/>
    <n v="1417.24"/>
    <n v="883.4674"/>
    <n v="1561.8204000000001"/>
    <s v="Medium"/>
    <s v="OK"/>
    <n v="0.192"/>
    <s v="OK"/>
    <n v="5"/>
    <n v="5725.6496000000006"/>
    <n v="6262.6"/>
    <n v="-536.95039999999972"/>
    <n v="-9.3779821943696953E-2"/>
    <n v="0"/>
    <e v="#DIV/0!"/>
    <x v="1"/>
  </r>
  <r>
    <s v="ORD-2025-856556"/>
    <x v="324"/>
    <x v="16"/>
    <s v="Q2-2025"/>
    <d v="2025-07-12T00:00:00"/>
    <s v="Valid"/>
    <d v="2025-07-12T00:00:00"/>
    <x v="36"/>
    <s v="Jul-2023"/>
    <n v="23"/>
    <n v="27"/>
    <x v="0"/>
    <x v="3"/>
    <x v="7"/>
    <s v="Marseille"/>
    <s v="Consumer"/>
    <x v="4"/>
    <x v="0"/>
    <x v="6"/>
    <x v="591"/>
    <n v="318.83"/>
    <n v="699.5"/>
    <n v="699.5"/>
    <n v="869.83510000000001"/>
    <n v="1574.2746000000002"/>
    <s v="Low"/>
    <s v="OK"/>
    <n v="0.08"/>
    <s v="OK"/>
    <n v="13"/>
    <n v="8366.02"/>
    <n v="4144.79"/>
    <n v="4221.2300000000005"/>
    <n v="0.50456848059172699"/>
    <n v="0"/>
    <e v="#DIV/0!"/>
    <x v="1"/>
  </r>
  <r>
    <s v="ORD-2024-442776"/>
    <x v="24"/>
    <x v="17"/>
    <s v="Q2-2024"/>
    <d v="2024-07-21T00:00:00"/>
    <s v="Valid"/>
    <d v="2024-07-21T00:00:00"/>
    <x v="29"/>
    <s v="Sep-2023"/>
    <n v="10"/>
    <n v="21"/>
    <x v="0"/>
    <x v="0"/>
    <x v="0"/>
    <s v="Kisumu"/>
    <s v="Small Business"/>
    <x v="0"/>
    <x v="11"/>
    <x v="4"/>
    <x v="592"/>
    <n v="753.43"/>
    <n v="1787.2"/>
    <n v="1787.2"/>
    <n v="897.51280000000008"/>
    <n v="1586.7288000000001"/>
    <s v="High"/>
    <s v="OK"/>
    <n v="7.2999999999999995E-2"/>
    <s v="OK"/>
    <n v="9"/>
    <n v="14910.609600000002"/>
    <n v="6780.87"/>
    <n v="8129.7396000000017"/>
    <n v="0.54523187301476939"/>
    <n v="0"/>
    <e v="#DIV/0!"/>
    <x v="1"/>
  </r>
  <r>
    <s v="ORD-2025-705398"/>
    <x v="454"/>
    <x v="26"/>
    <s v="Q1-2025"/>
    <d v="2025-02-15T00:00:00"/>
    <s v="Invalid"/>
    <d v="2025-02-17T00:00:00"/>
    <x v="34"/>
    <s v="Jun-2023"/>
    <n v="20"/>
    <n v="0"/>
    <x v="1"/>
    <x v="2"/>
    <x v="3"/>
    <s v="Toronto"/>
    <s v="Small Business"/>
    <x v="0"/>
    <x v="14"/>
    <x v="0"/>
    <x v="593"/>
    <n v="1133.47"/>
    <n v="1698.75"/>
    <n v="1698.75"/>
    <n v="883.88049999999998"/>
    <n v="1562.5530000000001"/>
    <s v="High"/>
    <s v="OK"/>
    <n v="4.2999999999999997E-2"/>
    <s v="OK"/>
    <n v="5"/>
    <n v="8128.5187499999993"/>
    <n v="5667.35"/>
    <n v="2461.1687499999989"/>
    <n v="0.30278194904821976"/>
    <n v="0"/>
    <e v="#DIV/0!"/>
    <x v="1"/>
  </r>
  <r>
    <s v="ORD-2023-689428"/>
    <x v="455"/>
    <x v="5"/>
    <s v="Q1-2023"/>
    <d v="2023-01-30T00:00:00"/>
    <s v="Valid"/>
    <d v="2023-01-30T00:00:00"/>
    <x v="13"/>
    <s v="Jan-2023"/>
    <n v="1"/>
    <n v="23"/>
    <x v="0"/>
    <x v="0"/>
    <x v="11"/>
    <s v="Cape Town"/>
    <s v="Consumer"/>
    <x v="1"/>
    <x v="8"/>
    <x v="1"/>
    <x v="594"/>
    <n v="299.02"/>
    <n v="724.7"/>
    <n v="724.7"/>
    <n v="870.2482"/>
    <n v="1489.8140000000001"/>
    <s v="Low"/>
    <s v="OK"/>
    <n v="0.14000000000000001"/>
    <s v="OK"/>
    <n v="5"/>
    <n v="3116.21"/>
    <n v="1495.1"/>
    <n v="1621.1100000000001"/>
    <n v="0.52021847051386139"/>
    <n v="0"/>
    <e v="#DIV/0!"/>
    <x v="1"/>
  </r>
  <r>
    <s v="ORD-2025-683247"/>
    <x v="401"/>
    <x v="3"/>
    <s v="Q1-2025"/>
    <d v="2025-04-04T00:00:00"/>
    <s v="Valid"/>
    <d v="2025-04-04T00:00:00"/>
    <x v="30"/>
    <s v="Apr-2023"/>
    <n v="23"/>
    <n v="25"/>
    <x v="0"/>
    <x v="1"/>
    <x v="2"/>
    <s v="Osaka"/>
    <s v="Corporate"/>
    <x v="4"/>
    <x v="10"/>
    <x v="1"/>
    <x v="595"/>
    <n v="783.72"/>
    <n v="1355.94"/>
    <n v="1355.94"/>
    <n v="897.92590000000007"/>
    <n v="1531.7530000000002"/>
    <s v="Medium"/>
    <s v="OK"/>
    <n v="0.187"/>
    <s v="OK"/>
    <n v="4"/>
    <n v="4409.5168800000001"/>
    <n v="3134.88"/>
    <n v="1274.63688"/>
    <n v="0.28906497348525856"/>
    <n v="0"/>
    <e v="#DIV/0!"/>
    <x v="1"/>
  </r>
  <r>
    <s v="ORD-2024-585443"/>
    <x v="456"/>
    <x v="21"/>
    <s v="Q3-2024"/>
    <d v="2024-08-15T00:00:00"/>
    <s v="Invalid"/>
    <d v="2024-08-17T00:00:00"/>
    <x v="35"/>
    <s v="Sep-2023"/>
    <n v="12"/>
    <n v="0"/>
    <x v="1"/>
    <x v="2"/>
    <x v="5"/>
    <s v="Rio De Janeiro"/>
    <s v="Consumer"/>
    <x v="4"/>
    <x v="12"/>
    <x v="5"/>
    <x v="596"/>
    <n v="165.3"/>
    <n v="275.07"/>
    <n v="275.07"/>
    <n v="884.29359999999997"/>
    <n v="1563.2856000000002"/>
    <s v="Low"/>
    <s v="OK"/>
    <n v="0.13300000000000001"/>
    <s v="OK"/>
    <n v="25"/>
    <n v="5962.1422499999999"/>
    <n v="4132.5"/>
    <n v="1829.6422499999999"/>
    <n v="0.30687665159280625"/>
    <n v="0"/>
    <e v="#DIV/0!"/>
    <x v="1"/>
  </r>
  <r>
    <s v="ORD-2024-907733"/>
    <x v="306"/>
    <x v="0"/>
    <s v="Q1-2024"/>
    <d v="2024-03-22T00:00:00"/>
    <s v="Valid"/>
    <d v="2024-03-22T00:00:00"/>
    <x v="25"/>
    <s v="Apr-2023"/>
    <n v="11"/>
    <n v="13"/>
    <x v="0"/>
    <x v="3"/>
    <x v="8"/>
    <s v="Manchester"/>
    <s v="Consumer"/>
    <x v="1"/>
    <x v="6"/>
    <x v="4"/>
    <x v="597"/>
    <n v="985.45"/>
    <n v="1802.44"/>
    <n v="1802.44"/>
    <n v="916.27920000000006"/>
    <n v="1575.7398000000001"/>
    <s v="High"/>
    <s v="OK"/>
    <n v="8.9999999999999993E-3"/>
    <s v="OK"/>
    <n v="19"/>
    <n v="33938.142760000002"/>
    <n v="18723.55"/>
    <n v="15214.592760000003"/>
    <n v="0.44830363486867486"/>
    <n v="0"/>
    <e v="#DIV/0!"/>
    <x v="1"/>
  </r>
  <r>
    <s v="ORD-2024-550400"/>
    <x v="395"/>
    <x v="21"/>
    <s v="Q3-2024"/>
    <d v="2024-09-02T00:00:00"/>
    <s v="Valid"/>
    <d v="2024-09-02T00:00:00"/>
    <x v="34"/>
    <s v="Jun-2023"/>
    <n v="14"/>
    <n v="14"/>
    <x v="0"/>
    <x v="2"/>
    <x v="3"/>
    <s v="Toronto"/>
    <s v="Consumer"/>
    <x v="3"/>
    <x v="0"/>
    <x v="1"/>
    <x v="598"/>
    <n v="1337.01"/>
    <n v="1269.78"/>
    <n v="1269.78"/>
    <n v="898.33900000000006"/>
    <n v="1534.2200000000003"/>
    <s v="Medium"/>
    <s v="OK"/>
    <n v="0.16"/>
    <s v="OK"/>
    <n v="7"/>
    <n v="7466.3063999999986"/>
    <n v="9359.07"/>
    <n v="-1892.7636000000011"/>
    <n v="-0.25350735672996244"/>
    <n v="0"/>
    <e v="#DIV/0!"/>
    <x v="1"/>
  </r>
  <r>
    <s v="ORD-2025-189846"/>
    <x v="457"/>
    <x v="28"/>
    <s v="Q3-2025"/>
    <d v="2025-08-28T00:00:00"/>
    <s v="Valid"/>
    <d v="2025-08-28T00:00:00"/>
    <x v="36"/>
    <s v="Jul-2023"/>
    <n v="25"/>
    <n v="17"/>
    <x v="0"/>
    <x v="3"/>
    <x v="7"/>
    <s v="Paris"/>
    <s v="Education"/>
    <x v="1"/>
    <x v="9"/>
    <x v="2"/>
    <x v="599"/>
    <n v="416.16"/>
    <n v="571.9"/>
    <n v="571.9"/>
    <n v="884.70669999999996"/>
    <n v="1564.0182000000002"/>
    <s v="Low"/>
    <s v="OK"/>
    <n v="7.0999999999999994E-2"/>
    <s v="OK"/>
    <n v="2"/>
    <n v="1062.5902000000001"/>
    <n v="832.32"/>
    <n v="230.27020000000005"/>
    <n v="0.21670649701079497"/>
    <n v="0"/>
    <e v="#DIV/0!"/>
    <x v="1"/>
  </r>
  <r>
    <s v="ORD-2025-752192"/>
    <x v="216"/>
    <x v="8"/>
    <s v="Q2-2025"/>
    <d v="2025-05-18T00:00:00"/>
    <s v="Valid"/>
    <d v="2025-05-18T00:00:00"/>
    <x v="30"/>
    <s v="Apr-2023"/>
    <n v="25"/>
    <n v="2"/>
    <x v="1"/>
    <x v="1"/>
    <x v="2"/>
    <s v="Tokyo"/>
    <s v="Enterprise"/>
    <x v="0"/>
    <x v="1"/>
    <x v="1"/>
    <x v="600"/>
    <n v="1144.3800000000001"/>
    <n v="2755.04"/>
    <n v="2755.04"/>
    <n v="916.87959999999998"/>
    <n v="1576.4724000000001"/>
    <s v="High"/>
    <s v="OK"/>
    <n v="0.15"/>
    <s v="OK"/>
    <n v="17"/>
    <n v="39810.328000000001"/>
    <n v="19454.460000000003"/>
    <n v="20355.867999999999"/>
    <n v="0.51132128326096682"/>
    <n v="0"/>
    <e v="#DIV/0!"/>
    <x v="1"/>
  </r>
  <r>
    <s v="ORD-2023-294716"/>
    <x v="458"/>
    <x v="12"/>
    <s v="Q2-2023"/>
    <d v="2023-04-25T00:00:00"/>
    <s v="Valid"/>
    <d v="2023-04-25T00:00:00"/>
    <x v="25"/>
    <s v="Apr-2023"/>
    <n v="1"/>
    <n v="15"/>
    <x v="0"/>
    <x v="3"/>
    <x v="8"/>
    <s v="London"/>
    <s v="Small Business"/>
    <x v="0"/>
    <x v="14"/>
    <x v="1"/>
    <x v="601"/>
    <n v="405.66"/>
    <n v="962.51"/>
    <n v="962.51"/>
    <n v="898.75210000000004"/>
    <n v="1536.6870000000001"/>
    <s v="Medium"/>
    <s v="OK"/>
    <n v="0.19"/>
    <s v="OK"/>
    <n v="7"/>
    <n v="5457.4317000000001"/>
    <n v="2839.6200000000003"/>
    <n v="2617.8116999999997"/>
    <n v="0.47967832561239376"/>
    <n v="0"/>
    <e v="#DIV/0!"/>
    <x v="1"/>
  </r>
  <r>
    <s v="ORD-2023-552115"/>
    <x v="459"/>
    <x v="27"/>
    <s v="Q3-2023"/>
    <d v="2023-10-02T00:00:00"/>
    <s v="Valid"/>
    <d v="2023-10-02T00:00:00"/>
    <x v="35"/>
    <s v="Sep-2023"/>
    <n v="1"/>
    <n v="15"/>
    <x v="0"/>
    <x v="2"/>
    <x v="5"/>
    <s v="Rio De Janeiro"/>
    <s v="Small Business"/>
    <x v="0"/>
    <x v="5"/>
    <x v="4"/>
    <x v="602"/>
    <n v="689.33"/>
    <n v="668.27"/>
    <n v="668.27"/>
    <n v="885.11980000000005"/>
    <n v="1564.7508"/>
    <s v="Low"/>
    <s v="OK"/>
    <n v="0.186"/>
    <s v="OK"/>
    <n v="13"/>
    <n v="7071.6331400000008"/>
    <n v="8961.2900000000009"/>
    <n v="-1889.6568600000001"/>
    <n v="-0.26721647214861033"/>
    <n v="0"/>
    <e v="#DIV/0!"/>
    <x v="1"/>
  </r>
  <r>
    <s v="ORD-2023-107265"/>
    <x v="460"/>
    <x v="12"/>
    <s v="Q2-2023"/>
    <d v="2023-05-14T00:00:00"/>
    <s v="Valid"/>
    <d v="2023-05-14T00:00:00"/>
    <x v="30"/>
    <s v="Apr-2023"/>
    <n v="1"/>
    <n v="22"/>
    <x v="0"/>
    <x v="1"/>
    <x v="2"/>
    <s v="Nagoya"/>
    <s v="Enterprise"/>
    <x v="0"/>
    <x v="8"/>
    <x v="6"/>
    <x v="603"/>
    <n v="1209.22"/>
    <n v="1404.33"/>
    <n v="1404.33"/>
    <n v="921.375"/>
    <n v="1577.2049999999999"/>
    <s v="Medium"/>
    <s v="OK"/>
    <n v="0.10299999999999999"/>
    <s v="OK"/>
    <n v="11"/>
    <n v="13856.52411"/>
    <n v="13301.42"/>
    <n v="555.10411000000022"/>
    <n v="4.0060848275751328E-2"/>
    <n v="0"/>
    <e v="#DIV/0!"/>
    <x v="1"/>
  </r>
  <r>
    <s v="ORD-2025-262434"/>
    <x v="111"/>
    <x v="16"/>
    <s v="Q2-2025"/>
    <d v="2025-06-21T00:00:00"/>
    <s v="Valid"/>
    <d v="2025-06-21T00:00:00"/>
    <x v="37"/>
    <s v="Jan-2024"/>
    <n v="17"/>
    <n v="2"/>
    <x v="1"/>
    <x v="0"/>
    <x v="11"/>
    <s v="Johannesburg"/>
    <s v="Small Business"/>
    <x v="5"/>
    <x v="10"/>
    <x v="3"/>
    <x v="604"/>
    <n v="1466.27"/>
    <n v="3589.89"/>
    <n v="3589.89"/>
    <n v="899.16520000000003"/>
    <n v="1589.6592000000001"/>
    <s v="High"/>
    <s v="OK"/>
    <n v="9.7000000000000003E-2"/>
    <s v="OK"/>
    <n v="9"/>
    <n v="29175.036029999999"/>
    <n v="13196.43"/>
    <n v="15978.606029999999"/>
    <n v="0.54768076425234147"/>
    <n v="0"/>
    <e v="#DIV/0!"/>
    <x v="1"/>
  </r>
  <r>
    <s v="ORD-2024-266562"/>
    <x v="461"/>
    <x v="18"/>
    <s v="Q4-2024"/>
    <d v="2024-12-24T00:00:00"/>
    <s v="Valid"/>
    <d v="2024-12-24T00:00:00"/>
    <x v="29"/>
    <s v="Sep-2023"/>
    <n v="15"/>
    <n v="27"/>
    <x v="0"/>
    <x v="0"/>
    <x v="0"/>
    <s v="Mombasa"/>
    <s v="Corporate"/>
    <x v="3"/>
    <x v="5"/>
    <x v="1"/>
    <x v="605"/>
    <n v="143.33000000000001"/>
    <n v="233.51"/>
    <n v="233.51"/>
    <n v="885.53290000000004"/>
    <n v="1565.4834000000001"/>
    <s v="Low"/>
    <s v="OK"/>
    <n v="0.16300000000000001"/>
    <s v="OK"/>
    <n v="14"/>
    <n v="2736.27018"/>
    <n v="2006.6200000000001"/>
    <n v="729.65017999999986"/>
    <n v="0.26665867476580835"/>
    <n v="0"/>
    <e v="#DIV/0!"/>
    <x v="1"/>
  </r>
  <r>
    <s v="ORD-2024-838925"/>
    <x v="10"/>
    <x v="9"/>
    <s v="Q1-2024"/>
    <d v="2024-01-27T00:00:00"/>
    <s v="Invalid"/>
    <d v="2024-01-28T00:00:00"/>
    <x v="37"/>
    <s v="Jan-2024"/>
    <n v="1"/>
    <n v="0"/>
    <x v="1"/>
    <x v="0"/>
    <x v="11"/>
    <s v="Cape Town"/>
    <s v="Enterprise"/>
    <x v="4"/>
    <x v="7"/>
    <x v="0"/>
    <x v="606"/>
    <n v="109.75"/>
    <n v="124.25"/>
    <n v="124.25"/>
    <n v="922.13120000000015"/>
    <n v="1577.9376000000002"/>
    <s v="Low"/>
    <s v="OK"/>
    <n v="0.12"/>
    <s v="OK"/>
    <n v="19"/>
    <n v="2077.46"/>
    <n v="2085.25"/>
    <n v="-7.7899999999999636"/>
    <n v="-3.7497713554051405E-3"/>
    <n v="0"/>
    <e v="#DIV/0!"/>
    <x v="1"/>
  </r>
  <r>
    <s v="ORD-2023-664790"/>
    <x v="386"/>
    <x v="12"/>
    <s v="Q2-2023"/>
    <d v="2023-04-23T00:00:00"/>
    <s v="Valid"/>
    <d v="2023-04-23T00:00:00"/>
    <x v="38"/>
    <s v="Apr-2023"/>
    <n v="1"/>
    <n v="7"/>
    <x v="0"/>
    <x v="2"/>
    <x v="10"/>
    <s v="Austin"/>
    <s v="Corporate"/>
    <x v="3"/>
    <x v="7"/>
    <x v="1"/>
    <x v="607"/>
    <n v="1099.1500000000001"/>
    <n v="1431.37"/>
    <n v="1431.37"/>
    <n v="972.79660000000013"/>
    <n v="1590.3918000000001"/>
    <s v="Medium"/>
    <s v="OK"/>
    <n v="0.104"/>
    <s v="OK"/>
    <n v="8"/>
    <n v="10260.060159999999"/>
    <n v="8793.2000000000007"/>
    <n v="1466.8601599999984"/>
    <n v="0.14296798821109433"/>
    <n v="0"/>
    <e v="#DIV/0!"/>
    <x v="1"/>
  </r>
  <r>
    <s v="ORD-2024-331408"/>
    <x v="145"/>
    <x v="31"/>
    <s v="Q1-2024"/>
    <d v="2024-02-01T00:00:00"/>
    <s v="Valid"/>
    <d v="2024-02-01T00:00:00"/>
    <x v="39"/>
    <s v="Feb-2024"/>
    <n v="1"/>
    <n v="0"/>
    <x v="1"/>
    <x v="2"/>
    <x v="10"/>
    <s v="Austin"/>
    <s v="Consumer"/>
    <x v="3"/>
    <x v="10"/>
    <x v="1"/>
    <x v="608"/>
    <n v="714.43"/>
    <n v="1595.52"/>
    <n v="1595.52"/>
    <n v="947.8420000000001"/>
    <n v="1647.1880000000003"/>
    <s v="Medium"/>
    <s v="OK"/>
    <n v="0.19400000000000001"/>
    <s v="OK"/>
    <n v="14"/>
    <n v="18003.847679999999"/>
    <n v="10002.019999999999"/>
    <n v="8001.8276800000003"/>
    <n v="0.44445097638151093"/>
    <n v="0"/>
    <e v="#DIV/0!"/>
    <x v="1"/>
  </r>
  <r>
    <s v="ORD-2024-741404"/>
    <x v="462"/>
    <x v="1"/>
    <s v="Q4-2024"/>
    <d v="2024-11-06T00:00:00"/>
    <s v="Valid"/>
    <d v="2024-11-06T00:00:00"/>
    <x v="40"/>
    <s v="Oct-2024"/>
    <n v="1"/>
    <n v="18"/>
    <x v="0"/>
    <x v="2"/>
    <x v="10"/>
    <s v="Chicago"/>
    <s v="Education"/>
    <x v="5"/>
    <x v="0"/>
    <x v="5"/>
    <x v="609"/>
    <n v="942.02"/>
    <n v="1028.46"/>
    <n v="1028.46"/>
    <n v="922.88740000000007"/>
    <n v="1718.1738000000003"/>
    <s v="Medium"/>
    <s v="OK"/>
    <n v="0"/>
    <s v="OK"/>
    <n v="9"/>
    <n v="9256.14"/>
    <n v="8478.18"/>
    <n v="777.95999999999913"/>
    <n v="8.4047994088248354E-2"/>
    <n v="0"/>
    <e v="#DIV/0!"/>
    <x v="1"/>
  </r>
  <r>
    <s v="ORD-2024-341535"/>
    <x v="463"/>
    <x v="17"/>
    <s v="Q2-2024"/>
    <d v="2024-06-30T00:00:00"/>
    <s v="Valid"/>
    <d v="2024-06-30T00:00:00"/>
    <x v="29"/>
    <s v="Sep-2023"/>
    <n v="10"/>
    <n v="5"/>
    <x v="1"/>
    <x v="0"/>
    <x v="0"/>
    <s v="Kisumu"/>
    <s v="Education"/>
    <x v="4"/>
    <x v="12"/>
    <x v="2"/>
    <x v="610"/>
    <n v="1323.55"/>
    <n v="3230.35"/>
    <n v="3230.35"/>
    <n v="899.9914"/>
    <n v="1818.4636"/>
    <s v="High"/>
    <s v="OK"/>
    <n v="2.1999999999999999E-2"/>
    <s v="OK"/>
    <n v="26"/>
    <n v="82141.339799999987"/>
    <n v="34412.299999999996"/>
    <n v="47729.039799999991"/>
    <n v="0.58105991351263542"/>
    <n v="0"/>
    <e v="#DIV/0!"/>
    <x v="1"/>
  </r>
  <r>
    <s v="ORD-2023-451931"/>
    <x v="202"/>
    <x v="24"/>
    <s v="Q3-2023"/>
    <d v="2023-08-19T00:00:00"/>
    <s v="Valid"/>
    <d v="2023-08-19T00:00:00"/>
    <x v="36"/>
    <s v="Jul-2023"/>
    <n v="1"/>
    <n v="20"/>
    <x v="0"/>
    <x v="3"/>
    <x v="7"/>
    <s v="Paris"/>
    <s v="Enterprise"/>
    <x v="2"/>
    <x v="3"/>
    <x v="2"/>
    <x v="611"/>
    <n v="1418.51"/>
    <n v="2789.61"/>
    <n v="2789.61"/>
    <n v="886.35910000000001"/>
    <n v="1623.7834000000003"/>
    <s v="High"/>
    <s v="OK"/>
    <n v="0.17100000000000001"/>
    <s v="OK"/>
    <n v="8"/>
    <n v="18500.693520000001"/>
    <n v="11348.08"/>
    <n v="7152.6135200000008"/>
    <n v="0.38661326464695689"/>
    <n v="0"/>
    <e v="#DIV/0!"/>
    <x v="1"/>
  </r>
  <r>
    <s v="ORD-2025-532859"/>
    <x v="417"/>
    <x v="3"/>
    <s v="Q1-2025"/>
    <d v="2025-03-27T00:00:00"/>
    <s v="Valid"/>
    <d v="2025-03-27T00:00:00"/>
    <x v="33"/>
    <s v="Nov-2023"/>
    <n v="16"/>
    <n v="16"/>
    <x v="0"/>
    <x v="1"/>
    <x v="2"/>
    <s v="Tokyo"/>
    <s v="Enterprise"/>
    <x v="3"/>
    <x v="5"/>
    <x v="1"/>
    <x v="612"/>
    <n v="1317.58"/>
    <n v="1897.74"/>
    <n v="1897.74"/>
    <n v="872.72680000000003"/>
    <n v="1504.616"/>
    <s v="High"/>
    <s v="OK"/>
    <n v="8.1000000000000003E-2"/>
    <s v="OK"/>
    <n v="6"/>
    <n v="10464.138360000001"/>
    <n v="7905.48"/>
    <n v="2558.6583600000013"/>
    <n v="0.24451687009230266"/>
    <n v="0"/>
    <e v="#DIV/0!"/>
    <x v="1"/>
  </r>
  <r>
    <s v="ORD-2023-502205"/>
    <x v="326"/>
    <x v="32"/>
    <s v="Q4-2023"/>
    <d v="2023-10-11T00:00:00"/>
    <s v="Valid"/>
    <d v="2023-10-11T00:00:00"/>
    <x v="32"/>
    <s v="Oct-2023"/>
    <n v="1"/>
    <n v="2"/>
    <x v="1"/>
    <x v="0"/>
    <x v="1"/>
    <s v="Port Harcourt"/>
    <s v="Education"/>
    <x v="2"/>
    <x v="11"/>
    <x v="2"/>
    <x v="613"/>
    <n v="391.16"/>
    <n v="902.47"/>
    <n v="902.47"/>
    <n v="845.38800000000003"/>
    <n v="1400.654"/>
    <s v="Medium"/>
    <s v="OK"/>
    <n v="4.0000000000000001E-3"/>
    <s v="OK"/>
    <n v="12"/>
    <n v="10786.32144"/>
    <n v="4693.92"/>
    <n v="6092.4014399999996"/>
    <n v="0.56482661618139207"/>
    <n v="0"/>
    <e v="#DIV/0!"/>
    <x v="1"/>
  </r>
  <r>
    <s v="ORD-2024-930679"/>
    <x v="55"/>
    <x v="6"/>
    <s v="Q4-2024"/>
    <d v="2025-01-16T00:00:00"/>
    <s v="Valid"/>
    <d v="2025-01-16T00:00:00"/>
    <x v="41"/>
    <s v="Dec-2024"/>
    <n v="1"/>
    <n v="30"/>
    <x v="0"/>
    <x v="3"/>
    <x v="8"/>
    <s v="Manchester"/>
    <s v="Corporate"/>
    <x v="0"/>
    <x v="14"/>
    <x v="5"/>
    <x v="614"/>
    <n v="722.87"/>
    <n v="-33.659999999999997"/>
    <n v="33.659999999999997"/>
    <n v="741.29280000000006"/>
    <n v="1465.144"/>
    <s v="Low"/>
    <s v="FLAG"/>
    <n v="0.10199999999999999"/>
    <s v="OK"/>
    <n v="28"/>
    <n v="846.34703999999988"/>
    <n v="20240.36"/>
    <n v="-19394.01296"/>
    <n v="-22.914965189693348"/>
    <n v="0"/>
    <e v="#DIV/0!"/>
    <x v="1"/>
  </r>
  <r>
    <s v="ORD-2025-150713"/>
    <x v="444"/>
    <x v="13"/>
    <s v="Q3-2025"/>
    <d v="2025-07-16T00:00:00"/>
    <s v="Valid"/>
    <d v="2025-07-16T00:00:00"/>
    <x v="42"/>
    <s v="Jul-2025"/>
    <n v="1"/>
    <n v="5"/>
    <x v="1"/>
    <x v="3"/>
    <x v="8"/>
    <s v="London"/>
    <s v="Enterprise"/>
    <x v="1"/>
    <x v="11"/>
    <x v="1"/>
    <x v="615"/>
    <n v="930.03"/>
    <n v="1086.68"/>
    <n v="1086.68"/>
    <n v="895.06970000000001"/>
    <n v="1507.0830000000001"/>
    <s v="Medium"/>
    <s v="OK"/>
    <n v="0.109"/>
    <s v="OK"/>
    <n v="26"/>
    <n v="25174.028880000002"/>
    <n v="24180.78"/>
    <n v="993.24888000000283"/>
    <n v="3.9455300728168656E-2"/>
    <n v="0"/>
    <e v="#DIV/0!"/>
    <x v="1"/>
  </r>
  <r>
    <s v="ORD-2024-756884"/>
    <x v="464"/>
    <x v="1"/>
    <s v="Q4-2024"/>
    <d v="2024-10-24T00:00:00"/>
    <s v="Valid"/>
    <d v="2024-10-24T00:00:00"/>
    <x v="43"/>
    <s v="Oct-2024"/>
    <n v="1"/>
    <n v="11"/>
    <x v="0"/>
    <x v="3"/>
    <x v="7"/>
    <s v="Paris"/>
    <s v="Education"/>
    <x v="3"/>
    <x v="9"/>
    <x v="0"/>
    <x v="616"/>
    <n v="816.7"/>
    <n v="1010.75"/>
    <n v="1010.75"/>
    <n v="848.54240000000004"/>
    <n v="1549.0220000000002"/>
    <s v="Medium"/>
    <s v="OK"/>
    <n v="4.7E-2"/>
    <s v="OK"/>
    <n v="43"/>
    <n v="41419.524249999995"/>
    <n v="35118.1"/>
    <n v="6301.4242499999964"/>
    <n v="0.15213656757537472"/>
    <n v="0"/>
    <e v="#DIV/0!"/>
    <x v="1"/>
  </r>
  <r>
    <s v="ORD-2023-755337"/>
    <x v="428"/>
    <x v="27"/>
    <s v="Q3-2023"/>
    <d v="2023-09-14T00:00:00"/>
    <s v="Valid"/>
    <d v="2023-09-14T00:00:00"/>
    <x v="29"/>
    <s v="Sep-2023"/>
    <n v="1"/>
    <n v="6"/>
    <x v="1"/>
    <x v="0"/>
    <x v="0"/>
    <s v="Nakuru"/>
    <s v="Education"/>
    <x v="4"/>
    <x v="2"/>
    <x v="6"/>
    <x v="617"/>
    <n v="251.03"/>
    <n v="411.48"/>
    <n v="411.48"/>
    <n v="744.44720000000029"/>
    <n v="1635.5822000000005"/>
    <s v="Low"/>
    <s v="OK"/>
    <n v="0.16500000000000001"/>
    <s v="OK"/>
    <n v="3"/>
    <n v="1030.7574"/>
    <n v="753.09"/>
    <n v="277.66739999999993"/>
    <n v="0.26938191275658069"/>
    <n v="0"/>
    <e v="#DIV/0!"/>
    <x v="1"/>
  </r>
  <r>
    <s v="ORD-2025-907040"/>
    <x v="448"/>
    <x v="19"/>
    <s v="Q2-2025"/>
    <d v="2025-05-03T00:00:00"/>
    <s v="Valid"/>
    <d v="2025-05-03T00:00:00"/>
    <x v="44"/>
    <s v="Apr-2025"/>
    <n v="1"/>
    <n v="16"/>
    <x v="0"/>
    <x v="2"/>
    <x v="5"/>
    <s v="Rio De Janeiro"/>
    <s v="Consumer"/>
    <x v="2"/>
    <x v="1"/>
    <x v="2"/>
    <x v="618"/>
    <n v="168.68"/>
    <n v="413.34"/>
    <n v="413.34"/>
    <n v="896.23900000000003"/>
    <n v="1735.8720000000001"/>
    <s v="Low"/>
    <s v="OK"/>
    <n v="0.186"/>
    <s v="OK"/>
    <n v="7"/>
    <n v="2355.2113199999999"/>
    <n v="1180.76"/>
    <n v="1174.4513199999999"/>
    <n v="0.49866069767361682"/>
    <n v="0"/>
    <e v="#DIV/0!"/>
    <x v="1"/>
  </r>
  <r>
    <s v="ORD-2024-817997"/>
    <x v="465"/>
    <x v="14"/>
    <s v="Q3-2024"/>
    <d v="2024-08-23T00:00:00"/>
    <s v="Valid"/>
    <d v="2024-08-23T00:00:00"/>
    <x v="33"/>
    <s v="Nov-2023"/>
    <n v="9"/>
    <n v="26"/>
    <x v="0"/>
    <x v="1"/>
    <x v="4"/>
    <s v="Hyderabad"/>
    <s v="Corporate"/>
    <x v="0"/>
    <x v="1"/>
    <x v="2"/>
    <x v="619"/>
    <n v="1339.24"/>
    <n v="1558.89"/>
    <n v="1558.89"/>
    <n v="974.58210000000008"/>
    <n v="1836.1618000000001"/>
    <s v="Medium"/>
    <s v="OK"/>
    <n v="0.192"/>
    <s v="OK"/>
    <n v="24"/>
    <n v="30229.994880000002"/>
    <n v="32141.760000000002"/>
    <n v="-1911.76512"/>
    <n v="-6.3240669659021781E-2"/>
    <n v="0"/>
    <e v="#DIV/0!"/>
    <x v="1"/>
  </r>
  <r>
    <s v="ORD-2025-649633"/>
    <x v="466"/>
    <x v="13"/>
    <s v="Q3-2025"/>
    <d v="2025-07-31T00:00:00"/>
    <s v="Valid"/>
    <d v="2025-07-31T00:00:00"/>
    <x v="45"/>
    <s v="Jul-2025"/>
    <n v="1"/>
    <n v="12"/>
    <x v="0"/>
    <x v="0"/>
    <x v="0"/>
    <s v="Nairobi"/>
    <s v="Small Business"/>
    <x v="2"/>
    <x v="7"/>
    <x v="6"/>
    <x v="620"/>
    <n v="619.64"/>
    <n v="861.16"/>
    <n v="861.16"/>
    <n v="935.99520000000007"/>
    <n v="1977.7292"/>
    <s v="Low"/>
    <s v="OK"/>
    <n v="0.113"/>
    <s v="OK"/>
    <n v="14"/>
    <n v="10693.88488"/>
    <n v="8674.9599999999991"/>
    <n v="2018.9248800000005"/>
    <n v="0.18879246435276761"/>
    <n v="0"/>
    <e v="#DIV/0!"/>
    <x v="1"/>
  </r>
  <r>
    <s v="ORD-2023-885216"/>
    <x v="241"/>
    <x v="25"/>
    <s v="Q3-2023"/>
    <d v="2023-08-02T00:00:00"/>
    <s v="Invalid"/>
    <d v="2023-08-03T00:00:00"/>
    <x v="27"/>
    <s v="Aug-2023"/>
    <n v="1"/>
    <n v="0"/>
    <x v="1"/>
    <x v="1"/>
    <x v="9"/>
    <s v="Shanghai"/>
    <s v="Non-Profit"/>
    <x v="4"/>
    <x v="1"/>
    <x v="2"/>
    <x v="621"/>
    <n v="1021.97"/>
    <n v="2296.25"/>
    <n v="2296.25"/>
    <n v="1119.8995"/>
    <n v="2128.1417999999999"/>
    <s v="High"/>
    <s v="OK"/>
    <n v="0.161"/>
    <s v="OK"/>
    <n v="26"/>
    <n v="50090.397499999999"/>
    <n v="26571.22"/>
    <n v="23519.177499999998"/>
    <n v="0.46953465482081669"/>
    <n v="0"/>
    <e v="#DIV/0!"/>
    <x v="1"/>
  </r>
  <r>
    <s v="ORD-2023-561823"/>
    <x v="112"/>
    <x v="30"/>
    <s v="Q4-2023"/>
    <d v="2023-12-12T00:00:00"/>
    <s v="Valid"/>
    <d v="2023-12-12T00:00:00"/>
    <x v="33"/>
    <s v="Nov-2023"/>
    <n v="1"/>
    <n v="23"/>
    <x v="0"/>
    <x v="1"/>
    <x v="4"/>
    <s v="Delhi"/>
    <s v="Small Business"/>
    <x v="4"/>
    <x v="0"/>
    <x v="2"/>
    <x v="622"/>
    <n v="1349.04"/>
    <n v="2636.6"/>
    <n v="2636.6"/>
    <n v="969.44260000000008"/>
    <n v="1837.1271999999999"/>
    <s v="High"/>
    <s v="OK"/>
    <n v="0.114"/>
    <s v="OK"/>
    <n v="14"/>
    <n v="32704.386400000003"/>
    <n v="18886.559999999998"/>
    <n v="13817.826400000005"/>
    <n v="0.42250682312143928"/>
    <n v="0"/>
    <e v="#DIV/0!"/>
    <x v="1"/>
  </r>
  <r>
    <s v="ORD-2023-249805"/>
    <x v="81"/>
    <x v="4"/>
    <s v="Q4-2023"/>
    <d v="2024-01-16T00:00:00"/>
    <s v="Valid"/>
    <d v="2024-01-16T00:00:00"/>
    <x v="46"/>
    <s v="Dec-2023"/>
    <n v="1"/>
    <n v="25"/>
    <x v="0"/>
    <x v="1"/>
    <x v="4"/>
    <s v="Hyderabad"/>
    <s v="Small Business"/>
    <x v="0"/>
    <x v="8"/>
    <x v="0"/>
    <x v="623"/>
    <n v="1346.81"/>
    <n v="978.09"/>
    <n v="978.09"/>
    <n v="826.76050000000021"/>
    <n v="1561.0360000000003"/>
    <s v="Medium"/>
    <s v="OK"/>
    <n v="0.159"/>
    <s v="OK"/>
    <n v="17"/>
    <n v="13983.752729999998"/>
    <n v="22895.77"/>
    <n v="-8912.0172700000021"/>
    <n v="-0.6373122753293996"/>
    <n v="0"/>
    <e v="#DIV/0!"/>
    <x v="1"/>
  </r>
  <r>
    <s v="ORD-2023-548934"/>
    <x v="241"/>
    <x v="25"/>
    <s v="Q3-2023"/>
    <d v="2023-08-30T00:00:00"/>
    <s v="Valid"/>
    <d v="2023-08-30T00:00:00"/>
    <x v="27"/>
    <s v="Aug-2023"/>
    <n v="1"/>
    <n v="27"/>
    <x v="0"/>
    <x v="1"/>
    <x v="9"/>
    <s v="Shanghai"/>
    <s v="Consumer"/>
    <x v="3"/>
    <x v="13"/>
    <x v="5"/>
    <x v="624"/>
    <n v="226.04"/>
    <n v="545.72"/>
    <n v="545.72"/>
    <n v="830.46240000000034"/>
    <n v="1703.2647999999999"/>
    <s v="Low"/>
    <s v="OK"/>
    <n v="0.151"/>
    <s v="OK"/>
    <n v="11"/>
    <n v="5096.4790800000001"/>
    <n v="2486.44"/>
    <n v="2610.03908"/>
    <n v="0.51212592831834014"/>
    <n v="0"/>
    <e v="#DIV/0!"/>
    <x v="1"/>
  </r>
  <r>
    <s v="ORD-2023-921939"/>
    <x v="44"/>
    <x v="23"/>
    <s v="Q2-2023"/>
    <d v="2023-07-18T00:00:00"/>
    <s v="Valid"/>
    <d v="2023-07-18T00:00:00"/>
    <x v="34"/>
    <s v="Jun-2023"/>
    <n v="1"/>
    <n v="25"/>
    <x v="0"/>
    <x v="2"/>
    <x v="3"/>
    <s v="Vancouver"/>
    <s v="Enterprise"/>
    <x v="1"/>
    <x v="13"/>
    <x v="3"/>
    <x v="625"/>
    <n v="807.02"/>
    <n v="1435.54"/>
    <n v="1435.54"/>
    <n v="1421.6443999999999"/>
    <n v="1845.4935999999998"/>
    <s v="Medium"/>
    <s v="OK"/>
    <n v="0"/>
    <s v="OK"/>
    <n v="23"/>
    <n v="33017.42"/>
    <n v="18561.46"/>
    <n v="14455.96"/>
    <n v="0.43782827368098415"/>
    <n v="0"/>
    <e v="#DIV/0!"/>
    <x v="1"/>
  </r>
  <r>
    <s v="ORD-2023-961864"/>
    <x v="141"/>
    <x v="4"/>
    <s v="Q4-2023"/>
    <d v="2024-01-02T00:00:00"/>
    <s v="Valid"/>
    <d v="2024-01-02T00:00:00"/>
    <x v="28"/>
    <s v="Dec-2023"/>
    <n v="1"/>
    <n v="26"/>
    <x v="0"/>
    <x v="3"/>
    <x v="6"/>
    <s v="Frankfurt"/>
    <s v="Enterprise"/>
    <x v="3"/>
    <x v="6"/>
    <x v="0"/>
    <x v="626"/>
    <n v="1071.99"/>
    <n v="2397.3000000000002"/>
    <n v="2397.3000000000002"/>
    <n v="1239.1808000000001"/>
    <n v="2027.7608"/>
    <s v="High"/>
    <s v="OK"/>
    <n v="6.2E-2"/>
    <s v="OK"/>
    <n v="18"/>
    <n v="40476.013200000001"/>
    <n v="19295.82"/>
    <n v="21180.193200000002"/>
    <n v="0.52327765324476183"/>
    <n v="0"/>
    <e v="#DIV/0!"/>
    <x v="1"/>
  </r>
  <r>
    <s v="ORD-2023-455933"/>
    <x v="112"/>
    <x v="30"/>
    <s v="Q4-2023"/>
    <d v="2023-12-19T00:00:00"/>
    <s v="Valid"/>
    <d v="2023-12-19T00:00:00"/>
    <x v="33"/>
    <s v="Nov-2023"/>
    <n v="1"/>
    <n v="30"/>
    <x v="0"/>
    <x v="1"/>
    <x v="2"/>
    <s v="Nagoya"/>
    <s v="Consumer"/>
    <x v="0"/>
    <x v="15"/>
    <x v="3"/>
    <x v="627"/>
    <n v="807.11"/>
    <n v="1853.86"/>
    <n v="1853.86"/>
    <n v="642.58040000000005"/>
    <n v="1239.1808000000001"/>
    <s v="High"/>
    <s v="OK"/>
    <n v="0.13900000000000001"/>
    <s v="OK"/>
    <n v="8"/>
    <n v="12769.38768"/>
    <n v="6456.88"/>
    <n v="6312.5076799999997"/>
    <n v="0.49434693645388639"/>
    <n v="0"/>
    <e v="#DIV/0!"/>
    <x v="1"/>
  </r>
  <r>
    <s v="ORD-2025-728935"/>
    <x v="467"/>
    <x v="26"/>
    <s v="Q1-2025"/>
    <d v="2025-03-10T00:00:00"/>
    <s v="Valid"/>
    <d v="2025-03-10T00:00:00"/>
    <x v="47"/>
    <s v="Feb-2025"/>
    <n v="1"/>
    <n v="10"/>
    <x v="0"/>
    <x v="1"/>
    <x v="2"/>
    <s v="Osaka"/>
    <s v="Education"/>
    <x v="3"/>
    <x v="13"/>
    <x v="4"/>
    <x v="628"/>
    <n v="51.86"/>
    <n v="45.98"/>
    <n v="45.98"/>
    <n v="45.98"/>
    <n v="45.98"/>
    <s v="Low"/>
    <s v="OK"/>
    <n v="0.17299999999999999"/>
    <s v="OK"/>
    <n v="7"/>
    <n v="266.17821999999995"/>
    <n v="363.02"/>
    <n v="-96.841780000000028"/>
    <n v="-0.3638230806412337"/>
    <n v="0"/>
    <e v="#DI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379A76-7634-49C9-B324-ABD8CE0118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AX17" firstHeaderRow="1" firstDataRow="2" firstDataCol="1" rowPageCount="1" colPageCount="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showAll="0"/>
    <pivotField numFmtId="14" showAll="0"/>
    <pivotField axis="axisCol" showAll="0">
      <items count="69">
        <item m="1" x="53"/>
        <item m="1" x="66"/>
        <item m="1" x="55"/>
        <item m="1" x="56"/>
        <item m="1" x="64"/>
        <item m="1" x="51"/>
        <item m="1" x="62"/>
        <item m="1" x="67"/>
        <item m="1" x="48"/>
        <item m="1" x="61"/>
        <item m="1" x="54"/>
        <item m="1" x="65"/>
        <item m="1" x="58"/>
        <item m="1" x="50"/>
        <item m="1" x="52"/>
        <item m="1" x="60"/>
        <item m="1" x="59"/>
        <item m="1" x="63"/>
        <item m="1" x="57"/>
        <item m="1" x="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numFmtId="1" showAll="0"/>
    <pivotField numFmtId="1" showAll="0"/>
    <pivotField showAll="0"/>
    <pivotField showAll="0">
      <items count="5">
        <item x="0"/>
        <item x="2"/>
        <item x="1"/>
        <item x="3"/>
        <item t="default"/>
      </items>
    </pivotField>
    <pivotField axis="axisPage"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164" showAll="0"/>
    <pivotField numFmtId="164" showAll="0"/>
    <pivotField numFmtId="164" showAll="0"/>
    <pivotField numFmtId="164" showAll="0"/>
    <pivotField numFmtId="164" showAll="0"/>
    <pivotField showAll="0"/>
    <pivotField showAll="0"/>
    <pivotField numFmtId="10" showAll="0"/>
    <pivotField showAll="0"/>
    <pivotField numFmtId="1" showAll="0"/>
    <pivotField dataField="1" numFmtId="164" showAll="0"/>
    <pivotField numFmtId="164" showAll="0"/>
    <pivotField numFmtId="164" showAll="0"/>
    <pivotField numFmtId="10" showAll="0"/>
    <pivotField numFmtId="164" showAll="0"/>
    <pivotField numFmtId="10"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37"/>
  </rowFields>
  <rowItems count="13">
    <i>
      <x v="1"/>
    </i>
    <i>
      <x v="2"/>
    </i>
    <i>
      <x v="3"/>
    </i>
    <i>
      <x v="4"/>
    </i>
    <i>
      <x v="5"/>
    </i>
    <i>
      <x v="6"/>
    </i>
    <i>
      <x v="7"/>
    </i>
    <i>
      <x v="8"/>
    </i>
    <i>
      <x v="9"/>
    </i>
    <i>
      <x v="10"/>
    </i>
    <i>
      <x v="11"/>
    </i>
    <i>
      <x v="12"/>
    </i>
    <i t="grand">
      <x/>
    </i>
  </rowItems>
  <colFields count="1">
    <field x="7"/>
  </colFields>
  <colItems count="49">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colItems>
  <pageFields count="1">
    <pageField fld="13" hier="-1"/>
  </pageFields>
  <dataFields count="1">
    <dataField name="Sum of GrossRevenue" fld="30" baseField="0" baseItem="0" numFmtId="164"/>
  </dataFields>
  <chartFormats count="97">
    <chartFormat chart="0" format="0" series="1">
      <pivotArea type="data" outline="0" fieldPosition="0">
        <references count="2">
          <reference field="4294967294" count="1" selected="0">
            <x v="0"/>
          </reference>
          <reference field="7" count="1" selected="0">
            <x v="19"/>
          </reference>
        </references>
      </pivotArea>
    </chartFormat>
    <chartFormat chart="0" format="1" series="1">
      <pivotArea type="data" outline="0" fieldPosition="0">
        <references count="2">
          <reference field="4294967294" count="1" selected="0">
            <x v="0"/>
          </reference>
          <reference field="7" count="1" selected="0">
            <x v="32"/>
          </reference>
        </references>
      </pivotArea>
    </chartFormat>
    <chartFormat chart="0" format="2" series="1">
      <pivotArea type="data" outline="0" fieldPosition="0">
        <references count="2">
          <reference field="4294967294" count="1" selected="0">
            <x v="0"/>
          </reference>
          <reference field="7" count="1" selected="0">
            <x v="34"/>
          </reference>
        </references>
      </pivotArea>
    </chartFormat>
    <chartFormat chart="0" format="3" series="1">
      <pivotArea type="data" outline="0" fieldPosition="0">
        <references count="2">
          <reference field="4294967294" count="1" selected="0">
            <x v="0"/>
          </reference>
          <reference field="7" count="1" selected="0">
            <x v="39"/>
          </reference>
        </references>
      </pivotArea>
    </chartFormat>
    <chartFormat chart="0" format="4" series="1">
      <pivotArea type="data" outline="0" fieldPosition="0">
        <references count="2">
          <reference field="4294967294" count="1" selected="0">
            <x v="0"/>
          </reference>
          <reference field="7" count="1" selected="0">
            <x v="54"/>
          </reference>
        </references>
      </pivotArea>
    </chartFormat>
    <chartFormat chart="0" format="5" series="1">
      <pivotArea type="data" outline="0" fieldPosition="0">
        <references count="2">
          <reference field="4294967294" count="1" selected="0">
            <x v="0"/>
          </reference>
          <reference field="7" count="1" selected="0">
            <x v="23"/>
          </reference>
        </references>
      </pivotArea>
    </chartFormat>
    <chartFormat chart="6" format="11" series="1">
      <pivotArea type="data" outline="0" fieldPosition="0">
        <references count="2">
          <reference field="4294967294" count="1" selected="0">
            <x v="0"/>
          </reference>
          <reference field="7" count="1" selected="0">
            <x v="23"/>
          </reference>
        </references>
      </pivotArea>
    </chartFormat>
    <chartFormat chart="6" format="12" series="1">
      <pivotArea type="data" outline="0" fieldPosition="0">
        <references count="2">
          <reference field="4294967294" count="1" selected="0">
            <x v="0"/>
          </reference>
          <reference field="7" count="1" selected="0">
            <x v="32"/>
          </reference>
        </references>
      </pivotArea>
    </chartFormat>
    <chartFormat chart="6" format="13" series="1">
      <pivotArea type="data" outline="0" fieldPosition="0">
        <references count="2">
          <reference field="4294967294" count="1" selected="0">
            <x v="0"/>
          </reference>
          <reference field="7" count="1" selected="0">
            <x v="34"/>
          </reference>
        </references>
      </pivotArea>
    </chartFormat>
    <chartFormat chart="6" format="14" series="1">
      <pivotArea type="data" outline="0" fieldPosition="0">
        <references count="2">
          <reference field="4294967294" count="1" selected="0">
            <x v="0"/>
          </reference>
          <reference field="7" count="1" selected="0">
            <x v="39"/>
          </reference>
        </references>
      </pivotArea>
    </chartFormat>
    <chartFormat chart="6" format="15" series="1">
      <pivotArea type="data" outline="0" fieldPosition="0">
        <references count="2">
          <reference field="4294967294" count="1" selected="0">
            <x v="0"/>
          </reference>
          <reference field="7" count="1" selected="0">
            <x v="54"/>
          </reference>
        </references>
      </pivotArea>
    </chartFormat>
    <chartFormat chart="6" format="16" series="1">
      <pivotArea type="data" outline="0" fieldPosition="0">
        <references count="2">
          <reference field="4294967294" count="1" selected="0">
            <x v="0"/>
          </reference>
          <reference field="7" count="1" selected="0">
            <x v="25"/>
          </reference>
        </references>
      </pivotArea>
    </chartFormat>
    <chartFormat chart="6" format="17" series="1">
      <pivotArea type="data" outline="0" fieldPosition="0">
        <references count="2">
          <reference field="4294967294" count="1" selected="0">
            <x v="0"/>
          </reference>
          <reference field="7" count="1" selected="0">
            <x v="26"/>
          </reference>
        </references>
      </pivotArea>
    </chartFormat>
    <chartFormat chart="6" format="18" series="1">
      <pivotArea type="data" outline="0" fieldPosition="0">
        <references count="2">
          <reference field="4294967294" count="1" selected="0">
            <x v="0"/>
          </reference>
          <reference field="7" count="1" selected="0">
            <x v="27"/>
          </reference>
        </references>
      </pivotArea>
    </chartFormat>
    <chartFormat chart="6" format="19" series="1">
      <pivotArea type="data" outline="0" fieldPosition="0">
        <references count="2">
          <reference field="4294967294" count="1" selected="0">
            <x v="0"/>
          </reference>
          <reference field="7" count="1" selected="0">
            <x v="28"/>
          </reference>
        </references>
      </pivotArea>
    </chartFormat>
    <chartFormat chart="6" format="20" series="1">
      <pivotArea type="data" outline="0" fieldPosition="0">
        <references count="2">
          <reference field="4294967294" count="1" selected="0">
            <x v="0"/>
          </reference>
          <reference field="7" count="1" selected="0">
            <x v="29"/>
          </reference>
        </references>
      </pivotArea>
    </chartFormat>
    <chartFormat chart="6" format="21" series="1">
      <pivotArea type="data" outline="0" fieldPosition="0">
        <references count="2">
          <reference field="4294967294" count="1" selected="0">
            <x v="0"/>
          </reference>
          <reference field="7" count="1" selected="0">
            <x v="30"/>
          </reference>
        </references>
      </pivotArea>
    </chartFormat>
    <chartFormat chart="6" format="22" series="1">
      <pivotArea type="data" outline="0" fieldPosition="0">
        <references count="2">
          <reference field="4294967294" count="1" selected="0">
            <x v="0"/>
          </reference>
          <reference field="7" count="1" selected="0">
            <x v="31"/>
          </reference>
        </references>
      </pivotArea>
    </chartFormat>
    <chartFormat chart="6" format="23" series="1">
      <pivotArea type="data" outline="0" fieldPosition="0">
        <references count="2">
          <reference field="4294967294" count="1" selected="0">
            <x v="0"/>
          </reference>
          <reference field="7" count="1" selected="0">
            <x v="33"/>
          </reference>
        </references>
      </pivotArea>
    </chartFormat>
    <chartFormat chart="6" format="24" series="1">
      <pivotArea type="data" outline="0" fieldPosition="0">
        <references count="2">
          <reference field="4294967294" count="1" selected="0">
            <x v="0"/>
          </reference>
          <reference field="7" count="1" selected="0">
            <x v="35"/>
          </reference>
        </references>
      </pivotArea>
    </chartFormat>
    <chartFormat chart="6" format="25" series="1">
      <pivotArea type="data" outline="0" fieldPosition="0">
        <references count="2">
          <reference field="4294967294" count="1" selected="0">
            <x v="0"/>
          </reference>
          <reference field="7" count="1" selected="0">
            <x v="36"/>
          </reference>
        </references>
      </pivotArea>
    </chartFormat>
    <chartFormat chart="6" format="26" series="1">
      <pivotArea type="data" outline="0" fieldPosition="0">
        <references count="2">
          <reference field="4294967294" count="1" selected="0">
            <x v="0"/>
          </reference>
          <reference field="7" count="1" selected="0">
            <x v="37"/>
          </reference>
        </references>
      </pivotArea>
    </chartFormat>
    <chartFormat chart="6" format="27" series="1">
      <pivotArea type="data" outline="0" fieldPosition="0">
        <references count="2">
          <reference field="4294967294" count="1" selected="0">
            <x v="0"/>
          </reference>
          <reference field="7" count="1" selected="0">
            <x v="38"/>
          </reference>
        </references>
      </pivotArea>
    </chartFormat>
    <chartFormat chart="6" format="28" series="1">
      <pivotArea type="data" outline="0" fieldPosition="0">
        <references count="2">
          <reference field="4294967294" count="1" selected="0">
            <x v="0"/>
          </reference>
          <reference field="7" count="1" selected="0">
            <x v="40"/>
          </reference>
        </references>
      </pivotArea>
    </chartFormat>
    <chartFormat chart="6" format="29" series="1">
      <pivotArea type="data" outline="0" fieldPosition="0">
        <references count="2">
          <reference field="4294967294" count="1" selected="0">
            <x v="0"/>
          </reference>
          <reference field="7" count="1" selected="0">
            <x v="41"/>
          </reference>
        </references>
      </pivotArea>
    </chartFormat>
    <chartFormat chart="6" format="30" series="1">
      <pivotArea type="data" outline="0" fieldPosition="0">
        <references count="2">
          <reference field="4294967294" count="1" selected="0">
            <x v="0"/>
          </reference>
          <reference field="7" count="1" selected="0">
            <x v="42"/>
          </reference>
        </references>
      </pivotArea>
    </chartFormat>
    <chartFormat chart="6" format="31" series="1">
      <pivotArea type="data" outline="0" fieldPosition="0">
        <references count="2">
          <reference field="4294967294" count="1" selected="0">
            <x v="0"/>
          </reference>
          <reference field="7" count="1" selected="0">
            <x v="43"/>
          </reference>
        </references>
      </pivotArea>
    </chartFormat>
    <chartFormat chart="6" format="32" series="1">
      <pivotArea type="data" outline="0" fieldPosition="0">
        <references count="2">
          <reference field="4294967294" count="1" selected="0">
            <x v="0"/>
          </reference>
          <reference field="7" count="1" selected="0">
            <x v="44"/>
          </reference>
        </references>
      </pivotArea>
    </chartFormat>
    <chartFormat chart="6" format="33" series="1">
      <pivotArea type="data" outline="0" fieldPosition="0">
        <references count="2">
          <reference field="4294967294" count="1" selected="0">
            <x v="0"/>
          </reference>
          <reference field="7" count="1" selected="0">
            <x v="45"/>
          </reference>
        </references>
      </pivotArea>
    </chartFormat>
    <chartFormat chart="6" format="34" series="1">
      <pivotArea type="data" outline="0" fieldPosition="0">
        <references count="2">
          <reference field="4294967294" count="1" selected="0">
            <x v="0"/>
          </reference>
          <reference field="7" count="1" selected="0">
            <x v="46"/>
          </reference>
        </references>
      </pivotArea>
    </chartFormat>
    <chartFormat chart="6" format="35" series="1">
      <pivotArea type="data" outline="0" fieldPosition="0">
        <references count="2">
          <reference field="4294967294" count="1" selected="0">
            <x v="0"/>
          </reference>
          <reference field="7" count="1" selected="0">
            <x v="47"/>
          </reference>
        </references>
      </pivotArea>
    </chartFormat>
    <chartFormat chart="6" format="36" series="1">
      <pivotArea type="data" outline="0" fieldPosition="0">
        <references count="2">
          <reference field="4294967294" count="1" selected="0">
            <x v="0"/>
          </reference>
          <reference field="7" count="1" selected="0">
            <x v="48"/>
          </reference>
        </references>
      </pivotArea>
    </chartFormat>
    <chartFormat chart="6" format="37" series="1">
      <pivotArea type="data" outline="0" fieldPosition="0">
        <references count="2">
          <reference field="4294967294" count="1" selected="0">
            <x v="0"/>
          </reference>
          <reference field="7" count="1" selected="0">
            <x v="49"/>
          </reference>
        </references>
      </pivotArea>
    </chartFormat>
    <chartFormat chart="6" format="38" series="1">
      <pivotArea type="data" outline="0" fieldPosition="0">
        <references count="2">
          <reference field="4294967294" count="1" selected="0">
            <x v="0"/>
          </reference>
          <reference field="7" count="1" selected="0">
            <x v="50"/>
          </reference>
        </references>
      </pivotArea>
    </chartFormat>
    <chartFormat chart="6" format="39" series="1">
      <pivotArea type="data" outline="0" fieldPosition="0">
        <references count="2">
          <reference field="4294967294" count="1" selected="0">
            <x v="0"/>
          </reference>
          <reference field="7" count="1" selected="0">
            <x v="51"/>
          </reference>
        </references>
      </pivotArea>
    </chartFormat>
    <chartFormat chart="6" format="40" series="1">
      <pivotArea type="data" outline="0" fieldPosition="0">
        <references count="2">
          <reference field="4294967294" count="1" selected="0">
            <x v="0"/>
          </reference>
          <reference field="7" count="1" selected="0">
            <x v="52"/>
          </reference>
        </references>
      </pivotArea>
    </chartFormat>
    <chartFormat chart="6" format="41" series="1">
      <pivotArea type="data" outline="0" fieldPosition="0">
        <references count="2">
          <reference field="4294967294" count="1" selected="0">
            <x v="0"/>
          </reference>
          <reference field="7" count="1" selected="0">
            <x v="53"/>
          </reference>
        </references>
      </pivotArea>
    </chartFormat>
    <chartFormat chart="6" format="42" series="1">
      <pivotArea type="data" outline="0" fieldPosition="0">
        <references count="2">
          <reference field="4294967294" count="1" selected="0">
            <x v="0"/>
          </reference>
          <reference field="7" count="1" selected="0">
            <x v="55"/>
          </reference>
        </references>
      </pivotArea>
    </chartFormat>
    <chartFormat chart="6" format="43" series="1">
      <pivotArea type="data" outline="0" fieldPosition="0">
        <references count="2">
          <reference field="4294967294" count="1" selected="0">
            <x v="0"/>
          </reference>
          <reference field="7" count="1" selected="0">
            <x v="56"/>
          </reference>
        </references>
      </pivotArea>
    </chartFormat>
    <chartFormat chart="6" format="44" series="1">
      <pivotArea type="data" outline="0" fieldPosition="0">
        <references count="2">
          <reference field="4294967294" count="1" selected="0">
            <x v="0"/>
          </reference>
          <reference field="7" count="1" selected="0">
            <x v="57"/>
          </reference>
        </references>
      </pivotArea>
    </chartFormat>
    <chartFormat chart="6" format="45" series="1">
      <pivotArea type="data" outline="0" fieldPosition="0">
        <references count="2">
          <reference field="4294967294" count="1" selected="0">
            <x v="0"/>
          </reference>
          <reference field="7" count="1" selected="0">
            <x v="58"/>
          </reference>
        </references>
      </pivotArea>
    </chartFormat>
    <chartFormat chart="6" format="46" series="1">
      <pivotArea type="data" outline="0" fieldPosition="0">
        <references count="2">
          <reference field="4294967294" count="1" selected="0">
            <x v="0"/>
          </reference>
          <reference field="7" count="1" selected="0">
            <x v="59"/>
          </reference>
        </references>
      </pivotArea>
    </chartFormat>
    <chartFormat chart="6" format="47" series="1">
      <pivotArea type="data" outline="0" fieldPosition="0">
        <references count="2">
          <reference field="4294967294" count="1" selected="0">
            <x v="0"/>
          </reference>
          <reference field="7" count="1" selected="0">
            <x v="60"/>
          </reference>
        </references>
      </pivotArea>
    </chartFormat>
    <chartFormat chart="6" format="48" series="1">
      <pivotArea type="data" outline="0" fieldPosition="0">
        <references count="2">
          <reference field="4294967294" count="1" selected="0">
            <x v="0"/>
          </reference>
          <reference field="7" count="1" selected="0">
            <x v="61"/>
          </reference>
        </references>
      </pivotArea>
    </chartFormat>
    <chartFormat chart="6" format="49" series="1">
      <pivotArea type="data" outline="0" fieldPosition="0">
        <references count="2">
          <reference field="4294967294" count="1" selected="0">
            <x v="0"/>
          </reference>
          <reference field="7" count="1" selected="0">
            <x v="62"/>
          </reference>
        </references>
      </pivotArea>
    </chartFormat>
    <chartFormat chart="6" format="50" series="1">
      <pivotArea type="data" outline="0" fieldPosition="0">
        <references count="2">
          <reference field="4294967294" count="1" selected="0">
            <x v="0"/>
          </reference>
          <reference field="7" count="1" selected="0">
            <x v="63"/>
          </reference>
        </references>
      </pivotArea>
    </chartFormat>
    <chartFormat chart="6" format="51" series="1">
      <pivotArea type="data" outline="0" fieldPosition="0">
        <references count="2">
          <reference field="4294967294" count="1" selected="0">
            <x v="0"/>
          </reference>
          <reference field="7" count="1" selected="0">
            <x v="64"/>
          </reference>
        </references>
      </pivotArea>
    </chartFormat>
    <chartFormat chart="6" format="52" series="1">
      <pivotArea type="data" outline="0" fieldPosition="0">
        <references count="2">
          <reference field="4294967294" count="1" selected="0">
            <x v="0"/>
          </reference>
          <reference field="7" count="1" selected="0">
            <x v="65"/>
          </reference>
        </references>
      </pivotArea>
    </chartFormat>
    <chartFormat chart="6" format="53" series="1">
      <pivotArea type="data" outline="0" fieldPosition="0">
        <references count="2">
          <reference field="4294967294" count="1" selected="0">
            <x v="0"/>
          </reference>
          <reference field="7" count="1" selected="0">
            <x v="66"/>
          </reference>
        </references>
      </pivotArea>
    </chartFormat>
    <chartFormat chart="6" format="54" series="1">
      <pivotArea type="data" outline="0" fieldPosition="0">
        <references count="2">
          <reference field="4294967294" count="1" selected="0">
            <x v="0"/>
          </reference>
          <reference field="7" count="1" selected="0">
            <x v="67"/>
          </reference>
        </references>
      </pivotArea>
    </chartFormat>
    <chartFormat chart="6" format="55" series="1">
      <pivotArea type="data" outline="0" fieldPosition="0">
        <references count="2">
          <reference field="4294967294" count="1" selected="0">
            <x v="0"/>
          </reference>
          <reference field="7" count="1" selected="0">
            <x v="20"/>
          </reference>
        </references>
      </pivotArea>
    </chartFormat>
    <chartFormat chart="6" format="56" series="1">
      <pivotArea type="data" outline="0" fieldPosition="0">
        <references count="2">
          <reference field="4294967294" count="1" selected="0">
            <x v="0"/>
          </reference>
          <reference field="7" count="1" selected="0">
            <x v="21"/>
          </reference>
        </references>
      </pivotArea>
    </chartFormat>
    <chartFormat chart="6" format="57" series="1">
      <pivotArea type="data" outline="0" fieldPosition="0">
        <references count="2">
          <reference field="4294967294" count="1" selected="0">
            <x v="0"/>
          </reference>
          <reference field="7" count="1" selected="0">
            <x v="22"/>
          </reference>
        </references>
      </pivotArea>
    </chartFormat>
    <chartFormat chart="6" format="58" series="1">
      <pivotArea type="data" outline="0" fieldPosition="0">
        <references count="2">
          <reference field="4294967294" count="1" selected="0">
            <x v="0"/>
          </reference>
          <reference field="7" count="1" selected="0">
            <x v="24"/>
          </reference>
        </references>
      </pivotArea>
    </chartFormat>
    <chartFormat chart="0" format="6" series="1">
      <pivotArea type="data" outline="0" fieldPosition="0">
        <references count="2">
          <reference field="4294967294" count="1" selected="0">
            <x v="0"/>
          </reference>
          <reference field="7" count="1" selected="0">
            <x v="25"/>
          </reference>
        </references>
      </pivotArea>
    </chartFormat>
    <chartFormat chart="0" format="7" series="1">
      <pivotArea type="data" outline="0" fieldPosition="0">
        <references count="2">
          <reference field="4294967294" count="1" selected="0">
            <x v="0"/>
          </reference>
          <reference field="7" count="1" selected="0">
            <x v="26"/>
          </reference>
        </references>
      </pivotArea>
    </chartFormat>
    <chartFormat chart="0" format="8" series="1">
      <pivotArea type="data" outline="0" fieldPosition="0">
        <references count="2">
          <reference field="4294967294" count="1" selected="0">
            <x v="0"/>
          </reference>
          <reference field="7" count="1" selected="0">
            <x v="27"/>
          </reference>
        </references>
      </pivotArea>
    </chartFormat>
    <chartFormat chart="0" format="9" series="1">
      <pivotArea type="data" outline="0" fieldPosition="0">
        <references count="2">
          <reference field="4294967294" count="1" selected="0">
            <x v="0"/>
          </reference>
          <reference field="7" count="1" selected="0">
            <x v="28"/>
          </reference>
        </references>
      </pivotArea>
    </chartFormat>
    <chartFormat chart="0" format="10" series="1">
      <pivotArea type="data" outline="0" fieldPosition="0">
        <references count="2">
          <reference field="4294967294" count="1" selected="0">
            <x v="0"/>
          </reference>
          <reference field="7" count="1" selected="0">
            <x v="29"/>
          </reference>
        </references>
      </pivotArea>
    </chartFormat>
    <chartFormat chart="0" format="11" series="1">
      <pivotArea type="data" outline="0" fieldPosition="0">
        <references count="2">
          <reference field="4294967294" count="1" selected="0">
            <x v="0"/>
          </reference>
          <reference field="7" count="1" selected="0">
            <x v="30"/>
          </reference>
        </references>
      </pivotArea>
    </chartFormat>
    <chartFormat chart="0" format="12" series="1">
      <pivotArea type="data" outline="0" fieldPosition="0">
        <references count="2">
          <reference field="4294967294" count="1" selected="0">
            <x v="0"/>
          </reference>
          <reference field="7" count="1" selected="0">
            <x v="31"/>
          </reference>
        </references>
      </pivotArea>
    </chartFormat>
    <chartFormat chart="0" format="13" series="1">
      <pivotArea type="data" outline="0" fieldPosition="0">
        <references count="2">
          <reference field="4294967294" count="1" selected="0">
            <x v="0"/>
          </reference>
          <reference field="7" count="1" selected="0">
            <x v="33"/>
          </reference>
        </references>
      </pivotArea>
    </chartFormat>
    <chartFormat chart="0" format="14" series="1">
      <pivotArea type="data" outline="0" fieldPosition="0">
        <references count="2">
          <reference field="4294967294" count="1" selected="0">
            <x v="0"/>
          </reference>
          <reference field="7" count="1" selected="0">
            <x v="35"/>
          </reference>
        </references>
      </pivotArea>
    </chartFormat>
    <chartFormat chart="0" format="15" series="1">
      <pivotArea type="data" outline="0" fieldPosition="0">
        <references count="2">
          <reference field="4294967294" count="1" selected="0">
            <x v="0"/>
          </reference>
          <reference field="7" count="1" selected="0">
            <x v="36"/>
          </reference>
        </references>
      </pivotArea>
    </chartFormat>
    <chartFormat chart="0" format="16" series="1">
      <pivotArea type="data" outline="0" fieldPosition="0">
        <references count="2">
          <reference field="4294967294" count="1" selected="0">
            <x v="0"/>
          </reference>
          <reference field="7" count="1" selected="0">
            <x v="37"/>
          </reference>
        </references>
      </pivotArea>
    </chartFormat>
    <chartFormat chart="0" format="17" series="1">
      <pivotArea type="data" outline="0" fieldPosition="0">
        <references count="2">
          <reference field="4294967294" count="1" selected="0">
            <x v="0"/>
          </reference>
          <reference field="7" count="1" selected="0">
            <x v="38"/>
          </reference>
        </references>
      </pivotArea>
    </chartFormat>
    <chartFormat chart="0" format="18" series="1">
      <pivotArea type="data" outline="0" fieldPosition="0">
        <references count="2">
          <reference field="4294967294" count="1" selected="0">
            <x v="0"/>
          </reference>
          <reference field="7" count="1" selected="0">
            <x v="40"/>
          </reference>
        </references>
      </pivotArea>
    </chartFormat>
    <chartFormat chart="0" format="19" series="1">
      <pivotArea type="data" outline="0" fieldPosition="0">
        <references count="2">
          <reference field="4294967294" count="1" selected="0">
            <x v="0"/>
          </reference>
          <reference field="7" count="1" selected="0">
            <x v="41"/>
          </reference>
        </references>
      </pivotArea>
    </chartFormat>
    <chartFormat chart="0" format="20" series="1">
      <pivotArea type="data" outline="0" fieldPosition="0">
        <references count="2">
          <reference field="4294967294" count="1" selected="0">
            <x v="0"/>
          </reference>
          <reference field="7" count="1" selected="0">
            <x v="42"/>
          </reference>
        </references>
      </pivotArea>
    </chartFormat>
    <chartFormat chart="0" format="21" series="1">
      <pivotArea type="data" outline="0" fieldPosition="0">
        <references count="2">
          <reference field="4294967294" count="1" selected="0">
            <x v="0"/>
          </reference>
          <reference field="7" count="1" selected="0">
            <x v="43"/>
          </reference>
        </references>
      </pivotArea>
    </chartFormat>
    <chartFormat chart="0" format="22" series="1">
      <pivotArea type="data" outline="0" fieldPosition="0">
        <references count="2">
          <reference field="4294967294" count="1" selected="0">
            <x v="0"/>
          </reference>
          <reference field="7" count="1" selected="0">
            <x v="44"/>
          </reference>
        </references>
      </pivotArea>
    </chartFormat>
    <chartFormat chart="0" format="23" series="1">
      <pivotArea type="data" outline="0" fieldPosition="0">
        <references count="2">
          <reference field="4294967294" count="1" selected="0">
            <x v="0"/>
          </reference>
          <reference field="7" count="1" selected="0">
            <x v="45"/>
          </reference>
        </references>
      </pivotArea>
    </chartFormat>
    <chartFormat chart="0" format="24" series="1">
      <pivotArea type="data" outline="0" fieldPosition="0">
        <references count="2">
          <reference field="4294967294" count="1" selected="0">
            <x v="0"/>
          </reference>
          <reference field="7" count="1" selected="0">
            <x v="46"/>
          </reference>
        </references>
      </pivotArea>
    </chartFormat>
    <chartFormat chart="0" format="25" series="1">
      <pivotArea type="data" outline="0" fieldPosition="0">
        <references count="2">
          <reference field="4294967294" count="1" selected="0">
            <x v="0"/>
          </reference>
          <reference field="7" count="1" selected="0">
            <x v="47"/>
          </reference>
        </references>
      </pivotArea>
    </chartFormat>
    <chartFormat chart="0" format="26" series="1">
      <pivotArea type="data" outline="0" fieldPosition="0">
        <references count="2">
          <reference field="4294967294" count="1" selected="0">
            <x v="0"/>
          </reference>
          <reference field="7" count="1" selected="0">
            <x v="48"/>
          </reference>
        </references>
      </pivotArea>
    </chartFormat>
    <chartFormat chart="0" format="27" series="1">
      <pivotArea type="data" outline="0" fieldPosition="0">
        <references count="2">
          <reference field="4294967294" count="1" selected="0">
            <x v="0"/>
          </reference>
          <reference field="7" count="1" selected="0">
            <x v="49"/>
          </reference>
        </references>
      </pivotArea>
    </chartFormat>
    <chartFormat chart="0" format="28" series="1">
      <pivotArea type="data" outline="0" fieldPosition="0">
        <references count="2">
          <reference field="4294967294" count="1" selected="0">
            <x v="0"/>
          </reference>
          <reference field="7" count="1" selected="0">
            <x v="50"/>
          </reference>
        </references>
      </pivotArea>
    </chartFormat>
    <chartFormat chart="0" format="29" series="1">
      <pivotArea type="data" outline="0" fieldPosition="0">
        <references count="2">
          <reference field="4294967294" count="1" selected="0">
            <x v="0"/>
          </reference>
          <reference field="7" count="1" selected="0">
            <x v="51"/>
          </reference>
        </references>
      </pivotArea>
    </chartFormat>
    <chartFormat chart="0" format="30" series="1">
      <pivotArea type="data" outline="0" fieldPosition="0">
        <references count="2">
          <reference field="4294967294" count="1" selected="0">
            <x v="0"/>
          </reference>
          <reference field="7" count="1" selected="0">
            <x v="52"/>
          </reference>
        </references>
      </pivotArea>
    </chartFormat>
    <chartFormat chart="0" format="31" series="1">
      <pivotArea type="data" outline="0" fieldPosition="0">
        <references count="2">
          <reference field="4294967294" count="1" selected="0">
            <x v="0"/>
          </reference>
          <reference field="7" count="1" selected="0">
            <x v="53"/>
          </reference>
        </references>
      </pivotArea>
    </chartFormat>
    <chartFormat chart="0" format="32" series="1">
      <pivotArea type="data" outline="0" fieldPosition="0">
        <references count="2">
          <reference field="4294967294" count="1" selected="0">
            <x v="0"/>
          </reference>
          <reference field="7" count="1" selected="0">
            <x v="55"/>
          </reference>
        </references>
      </pivotArea>
    </chartFormat>
    <chartFormat chart="0" format="33" series="1">
      <pivotArea type="data" outline="0" fieldPosition="0">
        <references count="2">
          <reference field="4294967294" count="1" selected="0">
            <x v="0"/>
          </reference>
          <reference field="7" count="1" selected="0">
            <x v="56"/>
          </reference>
        </references>
      </pivotArea>
    </chartFormat>
    <chartFormat chart="0" format="34" series="1">
      <pivotArea type="data" outline="0" fieldPosition="0">
        <references count="2">
          <reference field="4294967294" count="1" selected="0">
            <x v="0"/>
          </reference>
          <reference field="7" count="1" selected="0">
            <x v="57"/>
          </reference>
        </references>
      </pivotArea>
    </chartFormat>
    <chartFormat chart="0" format="35" series="1">
      <pivotArea type="data" outline="0" fieldPosition="0">
        <references count="2">
          <reference field="4294967294" count="1" selected="0">
            <x v="0"/>
          </reference>
          <reference field="7" count="1" selected="0">
            <x v="58"/>
          </reference>
        </references>
      </pivotArea>
    </chartFormat>
    <chartFormat chart="0" format="36" series="1">
      <pivotArea type="data" outline="0" fieldPosition="0">
        <references count="2">
          <reference field="4294967294" count="1" selected="0">
            <x v="0"/>
          </reference>
          <reference field="7" count="1" selected="0">
            <x v="59"/>
          </reference>
        </references>
      </pivotArea>
    </chartFormat>
    <chartFormat chart="0" format="37" series="1">
      <pivotArea type="data" outline="0" fieldPosition="0">
        <references count="2">
          <reference field="4294967294" count="1" selected="0">
            <x v="0"/>
          </reference>
          <reference field="7" count="1" selected="0">
            <x v="60"/>
          </reference>
        </references>
      </pivotArea>
    </chartFormat>
    <chartFormat chart="0" format="38" series="1">
      <pivotArea type="data" outline="0" fieldPosition="0">
        <references count="2">
          <reference field="4294967294" count="1" selected="0">
            <x v="0"/>
          </reference>
          <reference field="7" count="1" selected="0">
            <x v="61"/>
          </reference>
        </references>
      </pivotArea>
    </chartFormat>
    <chartFormat chart="0" format="39" series="1">
      <pivotArea type="data" outline="0" fieldPosition="0">
        <references count="2">
          <reference field="4294967294" count="1" selected="0">
            <x v="0"/>
          </reference>
          <reference field="7" count="1" selected="0">
            <x v="62"/>
          </reference>
        </references>
      </pivotArea>
    </chartFormat>
    <chartFormat chart="0" format="40" series="1">
      <pivotArea type="data" outline="0" fieldPosition="0">
        <references count="2">
          <reference field="4294967294" count="1" selected="0">
            <x v="0"/>
          </reference>
          <reference field="7" count="1" selected="0">
            <x v="63"/>
          </reference>
        </references>
      </pivotArea>
    </chartFormat>
    <chartFormat chart="0" format="41" series="1">
      <pivotArea type="data" outline="0" fieldPosition="0">
        <references count="2">
          <reference field="4294967294" count="1" selected="0">
            <x v="0"/>
          </reference>
          <reference field="7" count="1" selected="0">
            <x v="64"/>
          </reference>
        </references>
      </pivotArea>
    </chartFormat>
    <chartFormat chart="0" format="42" series="1">
      <pivotArea type="data" outline="0" fieldPosition="0">
        <references count="2">
          <reference field="4294967294" count="1" selected="0">
            <x v="0"/>
          </reference>
          <reference field="7" count="1" selected="0">
            <x v="65"/>
          </reference>
        </references>
      </pivotArea>
    </chartFormat>
    <chartFormat chart="0" format="43" series="1">
      <pivotArea type="data" outline="0" fieldPosition="0">
        <references count="2">
          <reference field="4294967294" count="1" selected="0">
            <x v="0"/>
          </reference>
          <reference field="7" count="1" selected="0">
            <x v="66"/>
          </reference>
        </references>
      </pivotArea>
    </chartFormat>
    <chartFormat chart="0" format="44" series="1">
      <pivotArea type="data" outline="0" fieldPosition="0">
        <references count="2">
          <reference field="4294967294" count="1" selected="0">
            <x v="0"/>
          </reference>
          <reference field="7" count="1" selected="0">
            <x v="67"/>
          </reference>
        </references>
      </pivotArea>
    </chartFormat>
    <chartFormat chart="0" format="45" series="1">
      <pivotArea type="data" outline="0" fieldPosition="0">
        <references count="2">
          <reference field="4294967294" count="1" selected="0">
            <x v="0"/>
          </reference>
          <reference field="7" count="1" selected="0">
            <x v="20"/>
          </reference>
        </references>
      </pivotArea>
    </chartFormat>
    <chartFormat chart="0" format="46" series="1">
      <pivotArea type="data" outline="0" fieldPosition="0">
        <references count="2">
          <reference field="4294967294" count="1" selected="0">
            <x v="0"/>
          </reference>
          <reference field="7" count="1" selected="0">
            <x v="21"/>
          </reference>
        </references>
      </pivotArea>
    </chartFormat>
    <chartFormat chart="0" format="47" series="1">
      <pivotArea type="data" outline="0" fieldPosition="0">
        <references count="2">
          <reference field="4294967294" count="1" selected="0">
            <x v="0"/>
          </reference>
          <reference field="7" count="1" selected="0">
            <x v="22"/>
          </reference>
        </references>
      </pivotArea>
    </chartFormat>
    <chartFormat chart="0" format="48" series="1">
      <pivotArea type="data" outline="0" fieldPosition="0">
        <references count="2">
          <reference field="4294967294" count="1" selected="0">
            <x v="0"/>
          </reference>
          <reference field="7"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378E5-8C5B-4146-AEE9-E6D1BE1D01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rowPageCount="1" colPageCount="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showAll="0"/>
    <pivotField numFmtId="14" showAll="0"/>
    <pivotField showAll="0"/>
    <pivotField showAll="0"/>
    <pivotField numFmtId="1"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axis="axisRow" showAll="0">
      <items count="8">
        <item x="6"/>
        <item x="0"/>
        <item x="4"/>
        <item x="5"/>
        <item x="2"/>
        <item x="3"/>
        <item x="1"/>
        <item t="default"/>
      </items>
    </pivotField>
    <pivotField showAll="0"/>
    <pivotField numFmtId="164" showAll="0"/>
    <pivotField numFmtId="164" showAll="0"/>
    <pivotField numFmtId="164" showAll="0"/>
    <pivotField numFmtId="164" showAll="0"/>
    <pivotField numFmtId="164" showAll="0"/>
    <pivotField showAll="0"/>
    <pivotField showAll="0"/>
    <pivotField numFmtId="10" showAll="0"/>
    <pivotField showAll="0"/>
    <pivotField numFmtId="1" showAll="0"/>
    <pivotField dataField="1" numFmtId="164" showAll="0"/>
    <pivotField numFmtId="164" showAll="0"/>
    <pivotField numFmtId="164" showAll="0"/>
    <pivotField numFmtId="10" showAll="0"/>
    <pivotField numFmtId="164" showAll="0"/>
    <pivotField numFmtId="10" showAll="0"/>
    <pivotField axis="axisPage" showAll="0">
      <items count="5">
        <item m="1" x="2"/>
        <item m="1" x="3"/>
        <item x="0"/>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8"/>
  </rowFields>
  <rowItems count="8">
    <i>
      <x/>
    </i>
    <i>
      <x v="1"/>
    </i>
    <i>
      <x v="2"/>
    </i>
    <i>
      <x v="3"/>
    </i>
    <i>
      <x v="4"/>
    </i>
    <i>
      <x v="5"/>
    </i>
    <i>
      <x v="6"/>
    </i>
    <i t="grand">
      <x/>
    </i>
  </rowItems>
  <colItems count="1">
    <i/>
  </colItems>
  <pageFields count="1">
    <pageField fld="36" hier="-1"/>
  </pageFields>
  <dataFields count="1">
    <dataField name="Sum of GrossRevenue" fld="3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72F708-5F9B-4180-B2EA-985E6637FD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0" firstHeaderRow="0" firstDataRow="1" firstDataCol="1" rowPageCount="1" colPageCount="1"/>
  <pivotFields count="41">
    <pivotField dataField="1"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axis="axisPage"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showAll="0"/>
    <pivotField numFmtId="14" showAll="0"/>
    <pivotField showAll="0"/>
    <pivotField showAll="0"/>
    <pivotField numFmtId="1"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axis="axisRow"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164" showAll="0"/>
    <pivotField numFmtId="164" showAll="0"/>
    <pivotField numFmtId="164" showAll="0"/>
    <pivotField numFmtId="164" showAll="0"/>
    <pivotField numFmtId="164" showAll="0"/>
    <pivotField showAll="0"/>
    <pivotField showAll="0"/>
    <pivotField numFmtId="10" showAll="0"/>
    <pivotField showAll="0"/>
    <pivotField numFmtId="1" showAll="0"/>
    <pivotField dataField="1" numFmtId="164" showAll="0"/>
    <pivotField numFmtId="164" showAll="0"/>
    <pivotField dataField="1" numFmtId="164" showAll="0"/>
    <pivotField numFmtId="10" showAll="0"/>
    <pivotField numFmtId="164" showAll="0"/>
    <pivotField numFmtId="10"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7"/>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pageFields count="1">
    <pageField fld="2" hier="-1"/>
  </pageFields>
  <dataFields count="3">
    <dataField name="Count of OrderID" fld="0" subtotal="count" baseField="0" baseItem="0"/>
    <dataField name="Sum of GrossRevenue" fld="30" baseField="0" baseItem="0" numFmtId="164"/>
    <dataField name="Sum of GrossProfit" fld="3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0ED1FB-84B2-4199-9519-DF60AA7054A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showAll="0"/>
    <pivotField numFmtId="14" showAll="0"/>
    <pivotField showAll="0"/>
    <pivotField showAll="0"/>
    <pivotField numFmtId="1" showAll="0"/>
    <pivotField numFmtId="1"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Row"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164" showAll="0"/>
    <pivotField numFmtId="164" showAll="0"/>
    <pivotField numFmtId="164" showAll="0"/>
    <pivotField numFmtId="164" showAll="0"/>
    <pivotField numFmtId="164" showAll="0"/>
    <pivotField showAll="0"/>
    <pivotField showAll="0"/>
    <pivotField numFmtId="10" showAll="0"/>
    <pivotField showAll="0"/>
    <pivotField numFmtId="1" showAll="0"/>
    <pivotField dataField="1" numFmtId="164" showAll="0"/>
    <pivotField numFmtId="164" showAll="0"/>
    <pivotField numFmtId="164" showAll="0"/>
    <pivotField numFmtId="10" showAll="0"/>
    <pivotField numFmtId="164" showAll="0"/>
    <pivotField numFmtId="10"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12"/>
    <field x="16"/>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GrossRevenue" fld="3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1E29BF-C85E-4FDE-AB0E-6C4FFB4E61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I18" firstHeaderRow="1" firstDataRow="2" firstDataCol="1" rowPageCount="1" colPageCount="1"/>
  <pivotFields count="41">
    <pivotField showAll="0" countASubtotal="1"/>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showAll="0"/>
    <pivotField numFmtId="14" showAll="0"/>
    <pivotField showAll="0"/>
    <pivotField showAll="0"/>
    <pivotField numFmtId="1" showAll="0"/>
    <pivotField numFmtId="1" multipleItemSelectionAllowed="1" showAll="0"/>
    <pivotField axis="axisPage" dataField="1" showAll="0">
      <items count="3">
        <item x="0"/>
        <item x="1"/>
        <item t="default"/>
      </items>
    </pivotField>
    <pivotField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axis="axisCol" showAll="0">
      <items count="8">
        <item x="6"/>
        <item x="0"/>
        <item x="4"/>
        <item x="5"/>
        <item x="2"/>
        <item x="3"/>
        <item x="1"/>
        <item t="default"/>
      </items>
    </pivotField>
    <pivotField showAll="0"/>
    <pivotField numFmtId="164" showAll="0"/>
    <pivotField numFmtId="164" showAll="0"/>
    <pivotField numFmtId="164" showAll="0"/>
    <pivotField numFmtId="164" showAll="0"/>
    <pivotField numFmtId="164" showAll="0"/>
    <pivotField showAll="0"/>
    <pivotField showAll="0"/>
    <pivotField numFmtId="10" showAll="0"/>
    <pivotField showAll="0"/>
    <pivotField numFmtId="1" showAll="0"/>
    <pivotField numFmtId="164" showAll="0"/>
    <pivotField numFmtId="164" showAll="0"/>
    <pivotField numFmtId="164" showAll="0"/>
    <pivotField numFmtId="10" showAll="0"/>
    <pivotField numFmtId="164" showAll="0"/>
    <pivotField numFmtId="10"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1">
    <field x="13"/>
  </rowFields>
  <rowItems count="13">
    <i>
      <x/>
    </i>
    <i>
      <x v="1"/>
    </i>
    <i>
      <x v="2"/>
    </i>
    <i>
      <x v="3"/>
    </i>
    <i>
      <x v="4"/>
    </i>
    <i>
      <x v="5"/>
    </i>
    <i>
      <x v="6"/>
    </i>
    <i>
      <x v="7"/>
    </i>
    <i>
      <x v="8"/>
    </i>
    <i>
      <x v="9"/>
    </i>
    <i>
      <x v="10"/>
    </i>
    <i>
      <x v="11"/>
    </i>
    <i t="grand">
      <x/>
    </i>
  </rowItems>
  <colFields count="1">
    <field x="18"/>
  </colFields>
  <colItems count="8">
    <i>
      <x/>
    </i>
    <i>
      <x v="1"/>
    </i>
    <i>
      <x v="2"/>
    </i>
    <i>
      <x v="3"/>
    </i>
    <i>
      <x v="4"/>
    </i>
    <i>
      <x v="5"/>
    </i>
    <i>
      <x v="6"/>
    </i>
    <i t="grand">
      <x/>
    </i>
  </colItems>
  <pageFields count="1">
    <pageField fld="11" item="1" hier="-1"/>
  </pageFields>
  <dataFields count="1">
    <dataField name="Count of Targetleaddays" fld="11" subtotal="count" showDataAs="percentOfCol"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138DA7-A1C6-4146-B1C1-8B4E0BF95FD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H9" firstHeaderRow="1" firstDataRow="2"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showAll="0"/>
    <pivotField numFmtId="14" showAll="0"/>
    <pivotField showAll="0"/>
    <pivotField showAll="0"/>
    <pivotField numFmtId="1" showAll="0"/>
    <pivotField numFmtId="1" showAll="0"/>
    <pivotField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showAll="0"/>
    <pivotField numFmtId="164" showAll="0"/>
    <pivotField numFmtId="164" showAll="0"/>
    <pivotField numFmtId="164" showAll="0"/>
    <pivotField numFmtId="164" showAll="0"/>
    <pivotField numFmtId="164" showAll="0"/>
    <pivotField showAll="0"/>
    <pivotField showAll="0"/>
    <pivotField numFmtId="10" showAll="0"/>
    <pivotField showAll="0"/>
    <pivotField numFmtId="1" showAll="0"/>
    <pivotField numFmtId="164" showAll="0"/>
    <pivotField numFmtId="164" showAll="0"/>
    <pivotField dataField="1" numFmtId="164" showAll="0"/>
    <pivotField numFmtId="10" showAll="0"/>
    <pivotField numFmtId="164"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2"/>
  </rowFields>
  <rowItems count="5">
    <i>
      <x/>
    </i>
    <i>
      <x v="1"/>
    </i>
    <i>
      <x v="2"/>
    </i>
    <i>
      <x v="3"/>
    </i>
    <i t="grand">
      <x/>
    </i>
  </rowItems>
  <colFields count="1">
    <field x="16"/>
  </colFields>
  <colItems count="7">
    <i>
      <x/>
    </i>
    <i>
      <x v="1"/>
    </i>
    <i>
      <x v="2"/>
    </i>
    <i>
      <x v="3"/>
    </i>
    <i>
      <x v="4"/>
    </i>
    <i>
      <x v="5"/>
    </i>
    <i t="grand">
      <x/>
    </i>
  </colItems>
  <dataFields count="1">
    <dataField name="Sum of GrossProfit" fld="32" baseField="0" baseItem="0" numFmtId="164"/>
  </dataFields>
  <chartFormats count="18">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 chart="13" format="12" series="1">
      <pivotArea type="data" outline="0" fieldPosition="0">
        <references count="2">
          <reference field="4294967294" count="1" selected="0">
            <x v="0"/>
          </reference>
          <reference field="16" count="1" selected="0">
            <x v="0"/>
          </reference>
        </references>
      </pivotArea>
    </chartFormat>
    <chartFormat chart="13" format="13" series="1">
      <pivotArea type="data" outline="0" fieldPosition="0">
        <references count="2">
          <reference field="4294967294" count="1" selected="0">
            <x v="0"/>
          </reference>
          <reference field="16" count="1" selected="0">
            <x v="1"/>
          </reference>
        </references>
      </pivotArea>
    </chartFormat>
    <chartFormat chart="13" format="14" series="1">
      <pivotArea type="data" outline="0" fieldPosition="0">
        <references count="2">
          <reference field="4294967294" count="1" selected="0">
            <x v="0"/>
          </reference>
          <reference field="16" count="1" selected="0">
            <x v="2"/>
          </reference>
        </references>
      </pivotArea>
    </chartFormat>
    <chartFormat chart="13" format="15" series="1">
      <pivotArea type="data" outline="0" fieldPosition="0">
        <references count="2">
          <reference field="4294967294" count="1" selected="0">
            <x v="0"/>
          </reference>
          <reference field="16" count="1" selected="0">
            <x v="3"/>
          </reference>
        </references>
      </pivotArea>
    </chartFormat>
    <chartFormat chart="13" format="16" series="1">
      <pivotArea type="data" outline="0" fieldPosition="0">
        <references count="2">
          <reference field="4294967294" count="1" selected="0">
            <x v="0"/>
          </reference>
          <reference field="16" count="1" selected="0">
            <x v="4"/>
          </reference>
        </references>
      </pivotArea>
    </chartFormat>
    <chartFormat chart="13" format="17" series="1">
      <pivotArea type="data" outline="0" fieldPosition="0">
        <references count="2">
          <reference field="4294967294" count="1" selected="0">
            <x v="0"/>
          </reference>
          <reference field="16" count="1" selected="0">
            <x v="5"/>
          </reference>
        </references>
      </pivotArea>
    </chartFormat>
    <chartFormat chart="15" format="12" series="1">
      <pivotArea type="data" outline="0" fieldPosition="0">
        <references count="2">
          <reference field="4294967294" count="1" selected="0">
            <x v="0"/>
          </reference>
          <reference field="16" count="1" selected="0">
            <x v="0"/>
          </reference>
        </references>
      </pivotArea>
    </chartFormat>
    <chartFormat chart="15" format="13" series="1">
      <pivotArea type="data" outline="0" fieldPosition="0">
        <references count="2">
          <reference field="4294967294" count="1" selected="0">
            <x v="0"/>
          </reference>
          <reference field="16" count="1" selected="0">
            <x v="1"/>
          </reference>
        </references>
      </pivotArea>
    </chartFormat>
    <chartFormat chart="15" format="14" series="1">
      <pivotArea type="data" outline="0" fieldPosition="0">
        <references count="2">
          <reference field="4294967294" count="1" selected="0">
            <x v="0"/>
          </reference>
          <reference field="16" count="1" selected="0">
            <x v="2"/>
          </reference>
        </references>
      </pivotArea>
    </chartFormat>
    <chartFormat chart="15" format="15" series="1">
      <pivotArea type="data" outline="0" fieldPosition="0">
        <references count="2">
          <reference field="4294967294" count="1" selected="0">
            <x v="0"/>
          </reference>
          <reference field="16" count="1" selected="0">
            <x v="3"/>
          </reference>
        </references>
      </pivotArea>
    </chartFormat>
    <chartFormat chart="15" format="16" series="1">
      <pivotArea type="data" outline="0" fieldPosition="0">
        <references count="2">
          <reference field="4294967294" count="1" selected="0">
            <x v="0"/>
          </reference>
          <reference field="16" count="1" selected="0">
            <x v="4"/>
          </reference>
        </references>
      </pivotArea>
    </chartFormat>
    <chartFormat chart="15" format="17" series="1">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AD226B-C0B5-40D5-9B78-61D5030F075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41">
    <pivotField showAll="0"/>
    <pivotField numFmtId="14" showAll="0">
      <items count="469">
        <item x="5"/>
        <item x="455"/>
        <item x="270"/>
        <item x="414"/>
        <item x="180"/>
        <item x="7"/>
        <item x="370"/>
        <item x="183"/>
        <item x="119"/>
        <item x="423"/>
        <item x="122"/>
        <item x="446"/>
        <item x="179"/>
        <item x="311"/>
        <item x="23"/>
        <item x="77"/>
        <item x="425"/>
        <item x="62"/>
        <item x="152"/>
        <item x="147"/>
        <item x="360"/>
        <item x="29"/>
        <item x="159"/>
        <item x="452"/>
        <item x="2"/>
        <item x="107"/>
        <item x="431"/>
        <item x="225"/>
        <item x="335"/>
        <item x="205"/>
        <item x="314"/>
        <item x="210"/>
        <item x="341"/>
        <item x="64"/>
        <item x="277"/>
        <item x="150"/>
        <item x="33"/>
        <item x="50"/>
        <item x="451"/>
        <item x="163"/>
        <item x="89"/>
        <item x="458"/>
        <item x="125"/>
        <item x="289"/>
        <item x="27"/>
        <item x="386"/>
        <item x="153"/>
        <item x="43"/>
        <item x="67"/>
        <item x="460"/>
        <item x="15"/>
        <item x="440"/>
        <item x="409"/>
        <item x="129"/>
        <item x="449"/>
        <item x="176"/>
        <item x="274"/>
        <item x="238"/>
        <item x="405"/>
        <item x="20"/>
        <item x="381"/>
        <item x="361"/>
        <item x="72"/>
        <item x="206"/>
        <item x="372"/>
        <item x="233"/>
        <item x="327"/>
        <item x="407"/>
        <item x="445"/>
        <item x="307"/>
        <item x="109"/>
        <item x="279"/>
        <item x="366"/>
        <item x="75"/>
        <item x="250"/>
        <item x="37"/>
        <item x="263"/>
        <item x="169"/>
        <item x="44"/>
        <item x="87"/>
        <item x="85"/>
        <item x="305"/>
        <item x="185"/>
        <item x="140"/>
        <item x="133"/>
        <item x="421"/>
        <item x="424"/>
        <item x="375"/>
        <item x="47"/>
        <item x="288"/>
        <item x="385"/>
        <item x="255"/>
        <item x="171"/>
        <item x="369"/>
        <item x="244"/>
        <item x="287"/>
        <item x="131"/>
        <item x="202"/>
        <item x="442"/>
        <item x="241"/>
        <item x="234"/>
        <item x="173"/>
        <item x="388"/>
        <item x="115"/>
        <item x="182"/>
        <item x="418"/>
        <item x="66"/>
        <item x="114"/>
        <item x="259"/>
        <item x="416"/>
        <item x="342"/>
        <item x="199"/>
        <item x="161"/>
        <item x="344"/>
        <item x="52"/>
        <item x="428"/>
        <item x="137"/>
        <item x="459"/>
        <item x="73"/>
        <item x="215"/>
        <item x="363"/>
        <item x="158"/>
        <item x="198"/>
        <item x="322"/>
        <item x="203"/>
        <item x="230"/>
        <item x="155"/>
        <item x="326"/>
        <item x="232"/>
        <item x="347"/>
        <item x="175"/>
        <item x="357"/>
        <item x="258"/>
        <item x="281"/>
        <item x="390"/>
        <item x="323"/>
        <item x="249"/>
        <item x="143"/>
        <item x="192"/>
        <item x="275"/>
        <item x="284"/>
        <item x="112"/>
        <item x="106"/>
        <item x="213"/>
        <item x="134"/>
        <item x="293"/>
        <item x="296"/>
        <item x="63"/>
        <item x="373"/>
        <item x="4"/>
        <item x="141"/>
        <item x="339"/>
        <item x="379"/>
        <item x="201"/>
        <item x="194"/>
        <item x="294"/>
        <item x="81"/>
        <item x="239"/>
        <item x="310"/>
        <item x="422"/>
        <item x="113"/>
        <item x="359"/>
        <item x="299"/>
        <item x="278"/>
        <item x="434"/>
        <item x="240"/>
        <item x="39"/>
        <item x="181"/>
        <item x="94"/>
        <item x="346"/>
        <item x="302"/>
        <item x="13"/>
        <item x="84"/>
        <item x="435"/>
        <item x="246"/>
        <item x="10"/>
        <item x="145"/>
        <item x="162"/>
        <item x="382"/>
        <item x="436"/>
        <item x="178"/>
        <item x="128"/>
        <item x="220"/>
        <item x="291"/>
        <item x="142"/>
        <item x="350"/>
        <item x="438"/>
        <item x="353"/>
        <item x="351"/>
        <item x="193"/>
        <item x="396"/>
        <item x="262"/>
        <item x="313"/>
        <item x="427"/>
        <item x="219"/>
        <item x="34"/>
        <item x="306"/>
        <item x="58"/>
        <item x="0"/>
        <item x="450"/>
        <item x="226"/>
        <item x="245"/>
        <item x="68"/>
        <item x="362"/>
        <item x="264"/>
        <item x="247"/>
        <item x="214"/>
        <item x="243"/>
        <item x="149"/>
        <item x="136"/>
        <item x="402"/>
        <item x="82"/>
        <item x="285"/>
        <item x="70"/>
        <item x="412"/>
        <item x="31"/>
        <item x="36"/>
        <item x="394"/>
        <item x="411"/>
        <item x="399"/>
        <item x="229"/>
        <item x="371"/>
        <item x="8"/>
        <item x="374"/>
        <item x="321"/>
        <item x="384"/>
        <item x="392"/>
        <item x="45"/>
        <item x="312"/>
        <item x="22"/>
        <item x="172"/>
        <item x="42"/>
        <item x="98"/>
        <item x="65"/>
        <item x="154"/>
        <item x="397"/>
        <item x="91"/>
        <item x="118"/>
        <item x="101"/>
        <item x="367"/>
        <item x="151"/>
        <item x="415"/>
        <item x="343"/>
        <item x="116"/>
        <item x="273"/>
        <item x="102"/>
        <item x="103"/>
        <item x="368"/>
        <item x="132"/>
        <item x="248"/>
        <item x="268"/>
        <item x="303"/>
        <item x="463"/>
        <item x="104"/>
        <item x="24"/>
        <item x="410"/>
        <item x="286"/>
        <item x="292"/>
        <item x="157"/>
        <item x="319"/>
        <item x="26"/>
        <item x="333"/>
        <item x="19"/>
        <item x="465"/>
        <item x="227"/>
        <item x="453"/>
        <item x="447"/>
        <item x="398"/>
        <item x="144"/>
        <item x="297"/>
        <item x="325"/>
        <item x="174"/>
        <item x="99"/>
        <item x="420"/>
        <item x="456"/>
        <item x="352"/>
        <item x="395"/>
        <item x="364"/>
        <item x="32"/>
        <item x="38"/>
        <item x="74"/>
        <item x="340"/>
        <item x="433"/>
        <item x="224"/>
        <item x="208"/>
        <item x="209"/>
        <item x="330"/>
        <item x="254"/>
        <item x="190"/>
        <item x="186"/>
        <item x="211"/>
        <item x="97"/>
        <item x="196"/>
        <item x="177"/>
        <item x="138"/>
        <item x="365"/>
        <item x="188"/>
        <item x="166"/>
        <item x="88"/>
        <item x="237"/>
        <item x="156"/>
        <item x="406"/>
        <item x="195"/>
        <item x="464"/>
        <item x="46"/>
        <item x="100"/>
        <item x="49"/>
        <item x="462"/>
        <item x="168"/>
        <item x="1"/>
        <item x="403"/>
        <item x="40"/>
        <item x="228"/>
        <item x="290"/>
        <item x="148"/>
        <item x="355"/>
        <item x="61"/>
        <item x="272"/>
        <item x="332"/>
        <item x="48"/>
        <item x="298"/>
        <item x="222"/>
        <item x="443"/>
        <item x="404"/>
        <item x="391"/>
        <item x="127"/>
        <item x="76"/>
        <item x="378"/>
        <item x="301"/>
        <item x="461"/>
        <item x="25"/>
        <item x="218"/>
        <item x="96"/>
        <item x="429"/>
        <item x="389"/>
        <item x="16"/>
        <item x="329"/>
        <item x="126"/>
        <item x="71"/>
        <item x="55"/>
        <item x="336"/>
        <item x="124"/>
        <item x="130"/>
        <item x="358"/>
        <item x="6"/>
        <item x="356"/>
        <item x="271"/>
        <item x="11"/>
        <item x="408"/>
        <item x="315"/>
        <item x="123"/>
        <item x="419"/>
        <item x="282"/>
        <item x="170"/>
        <item x="105"/>
        <item x="334"/>
        <item x="51"/>
        <item x="265"/>
        <item x="93"/>
        <item x="191"/>
        <item x="317"/>
        <item x="167"/>
        <item x="184"/>
        <item x="316"/>
        <item x="413"/>
        <item x="54"/>
        <item x="120"/>
        <item x="146"/>
        <item x="432"/>
        <item x="454"/>
        <item x="242"/>
        <item x="337"/>
        <item x="348"/>
        <item x="467"/>
        <item x="121"/>
        <item x="12"/>
        <item x="338"/>
        <item x="401"/>
        <item x="417"/>
        <item x="251"/>
        <item x="309"/>
        <item x="308"/>
        <item x="380"/>
        <item x="400"/>
        <item x="80"/>
        <item x="3"/>
        <item x="257"/>
        <item x="95"/>
        <item x="276"/>
        <item x="253"/>
        <item x="53"/>
        <item x="28"/>
        <item x="69"/>
        <item x="376"/>
        <item x="260"/>
        <item x="331"/>
        <item x="439"/>
        <item x="160"/>
        <item x="139"/>
        <item x="448"/>
        <item x="221"/>
        <item x="79"/>
        <item x="207"/>
        <item x="60"/>
        <item x="86"/>
        <item x="57"/>
        <item x="354"/>
        <item x="266"/>
        <item x="320"/>
        <item x="78"/>
        <item x="393"/>
        <item x="216"/>
        <item x="252"/>
        <item x="269"/>
        <item x="280"/>
        <item x="9"/>
        <item x="328"/>
        <item x="41"/>
        <item x="261"/>
        <item x="108"/>
        <item x="345"/>
        <item x="56"/>
        <item x="21"/>
        <item x="324"/>
        <item x="295"/>
        <item x="111"/>
        <item x="235"/>
        <item x="267"/>
        <item x="35"/>
        <item x="304"/>
        <item x="437"/>
        <item x="231"/>
        <item x="349"/>
        <item x="110"/>
        <item x="444"/>
        <item x="189"/>
        <item x="200"/>
        <item x="212"/>
        <item x="466"/>
        <item x="18"/>
        <item x="187"/>
        <item x="92"/>
        <item x="318"/>
        <item x="30"/>
        <item x="377"/>
        <item x="90"/>
        <item x="217"/>
        <item x="441"/>
        <item x="117"/>
        <item x="430"/>
        <item x="83"/>
        <item x="204"/>
        <item x="457"/>
        <item x="383"/>
        <item x="300"/>
        <item x="426"/>
        <item x="164"/>
        <item x="197"/>
        <item x="256"/>
        <item x="387"/>
        <item x="14"/>
        <item x="236"/>
        <item x="17"/>
        <item x="59"/>
        <item x="135"/>
        <item x="223"/>
        <item x="283"/>
        <item x="165"/>
        <item t="default"/>
      </items>
    </pivotField>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numFmtId="14" showAll="0"/>
    <pivotField showAll="0"/>
    <pivotField numFmtId="14" showAll="0"/>
    <pivotField showAll="0"/>
    <pivotField showAll="0"/>
    <pivotField numFmtId="1" showAll="0"/>
    <pivotField numFmtId="1" showAll="0"/>
    <pivotField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5"/>
        <item x="1"/>
        <item x="0"/>
        <item t="default"/>
      </items>
    </pivotField>
    <pivotField showAll="0">
      <items count="17">
        <item x="8"/>
        <item x="5"/>
        <item x="0"/>
        <item x="14"/>
        <item x="6"/>
        <item x="9"/>
        <item x="3"/>
        <item x="10"/>
        <item x="2"/>
        <item x="1"/>
        <item x="11"/>
        <item x="4"/>
        <item x="12"/>
        <item x="13"/>
        <item x="15"/>
        <item x="7"/>
        <item t="default"/>
      </items>
    </pivotField>
    <pivotField showAll="0">
      <items count="8">
        <item x="6"/>
        <item x="0"/>
        <item x="4"/>
        <item x="5"/>
        <item x="2"/>
        <item x="3"/>
        <item x="1"/>
        <item t="default"/>
      </items>
    </pivotField>
    <pivotField axis="axisRow" showAll="0" measureFilter="1">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pivotField>
    <pivotField numFmtId="164" showAll="0"/>
    <pivotField numFmtId="164" showAll="0"/>
    <pivotField numFmtId="164" showAll="0"/>
    <pivotField numFmtId="164" showAll="0"/>
    <pivotField numFmtId="164" showAll="0"/>
    <pivotField showAll="0"/>
    <pivotField showAll="0"/>
    <pivotField numFmtId="10" showAll="0"/>
    <pivotField showAll="0"/>
    <pivotField numFmtId="1" showAll="0"/>
    <pivotField dataField="1" numFmtId="164" showAll="0"/>
    <pivotField numFmtId="164" showAll="0"/>
    <pivotField numFmtId="164" showAll="0"/>
    <pivotField numFmtId="10" showAll="0"/>
    <pivotField numFmtId="164"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9"/>
  </rowFields>
  <rowItems count="11">
    <i>
      <x v="116"/>
    </i>
    <i>
      <x v="170"/>
    </i>
    <i>
      <x v="206"/>
    </i>
    <i>
      <x v="247"/>
    </i>
    <i>
      <x v="269"/>
    </i>
    <i>
      <x v="318"/>
    </i>
    <i>
      <x v="322"/>
    </i>
    <i>
      <x v="367"/>
    </i>
    <i>
      <x v="402"/>
    </i>
    <i>
      <x v="404"/>
    </i>
    <i t="grand">
      <x/>
    </i>
  </rowItems>
  <colItems count="1">
    <i/>
  </colItems>
  <dataFields count="1">
    <dataField name="Sum of GrossRevenue" fld="30"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2ACE67C8-D85D-4B4F-9CB9-E9FB49F5CD3B}" sourceName="ProductCategory">
  <pivotTables>
    <pivotTable tabId="15" name="PivotTable6"/>
    <pivotTable tabId="18" name="PivotTable8"/>
    <pivotTable tabId="12" name="PivotTable3"/>
    <pivotTable tabId="14" name="PivotTable5"/>
    <pivotTable tabId="19" name="PivotTable9"/>
    <pivotTable tabId="20" name="PivotTable10"/>
    <pivotTable tabId="21" name="PivotTable11"/>
  </pivotTables>
  <data>
    <tabular pivotCacheId="574898073">
      <items count="7">
        <i x="6" s="1"/>
        <i x="0" s="1"/>
        <i x="4" s="1"/>
        <i x="5"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F1B0F4A-4373-4401-A0D9-D7B1E2E187F8}" sourceName="SalesPerson">
  <pivotTables>
    <pivotTable tabId="15" name="PivotTable6"/>
    <pivotTable tabId="18" name="PivotTable8"/>
    <pivotTable tabId="12" name="PivotTable3"/>
    <pivotTable tabId="14" name="PivotTable5"/>
    <pivotTable tabId="19" name="PivotTable9"/>
    <pivotTable tabId="20" name="PivotTable10"/>
    <pivotTable tabId="21" name="PivotTable11"/>
  </pivotTables>
  <data>
    <tabular pivotCacheId="574898073">
      <items count="16">
        <i x="8" s="1"/>
        <i x="5" s="1"/>
        <i x="0" s="1"/>
        <i x="14" s="1"/>
        <i x="6" s="1"/>
        <i x="9" s="1"/>
        <i x="3" s="1"/>
        <i x="10" s="1"/>
        <i x="2" s="1"/>
        <i x="1" s="1"/>
        <i x="11" s="1"/>
        <i x="4" s="1"/>
        <i x="12" s="1"/>
        <i x="13" s="1"/>
        <i x="1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2058050-13CC-4645-9FDC-E833CB94F97D}" sourceName="Country">
  <pivotTables>
    <pivotTable tabId="15" name="PivotTable6"/>
    <pivotTable tabId="18" name="PivotTable8"/>
    <pivotTable tabId="12" name="PivotTable3"/>
    <pivotTable tabId="14" name="PivotTable5"/>
    <pivotTable tabId="19" name="PivotTable9"/>
    <pivotTable tabId="20" name="PivotTable10"/>
    <pivotTable tabId="21" name="PivotTable11"/>
  </pivotTables>
  <data>
    <tabular pivotCacheId="574898073">
      <items count="12">
        <i x="5" s="1"/>
        <i x="3" s="1"/>
        <i x="9" s="1"/>
        <i x="7" s="1"/>
        <i x="6" s="1"/>
        <i x="4" s="1"/>
        <i x="2" s="1"/>
        <i x="0" s="1"/>
        <i x="1" s="1"/>
        <i x="11" s="1"/>
        <i x="8"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781B3F-F802-4579-A945-159762FA9591}" sourceName="Region">
  <pivotTables>
    <pivotTable tabId="15" name="PivotTable6"/>
    <pivotTable tabId="18" name="PivotTable8"/>
    <pivotTable tabId="12" name="PivotTable3"/>
    <pivotTable tabId="14" name="PivotTable5"/>
    <pivotTable tabId="19" name="PivotTable9"/>
    <pivotTable tabId="20" name="PivotTable10"/>
    <pivotTable tabId="21" name="PivotTable11"/>
  </pivotTables>
  <data>
    <tabular pivotCacheId="574898073">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0FC673D-4EDA-4C7A-877B-03893E246AF2}" sourceName="Channel">
  <pivotTables>
    <pivotTable tabId="15" name="PivotTable6"/>
    <pivotTable tabId="18" name="PivotTable8"/>
    <pivotTable tabId="12" name="PivotTable3"/>
    <pivotTable tabId="14" name="PivotTable5"/>
    <pivotTable tabId="19" name="PivotTable9"/>
    <pivotTable tabId="20" name="PivotTable10"/>
    <pivotTable tabId="21" name="PivotTable11"/>
  </pivotTables>
  <data>
    <tabular pivotCacheId="574898073">
      <items count="6">
        <i x="4" s="1"/>
        <i x="3" s="1"/>
        <i x="2" s="1"/>
        <i x="5"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CC070D-D758-4AB6-B8EE-D25737CF79B8}" sourceName="Month">
  <pivotTables>
    <pivotTable tabId="15" name="PivotTable6"/>
    <pivotTable tabId="18" name="PivotTable8"/>
    <pivotTable tabId="12" name="PivotTable3"/>
    <pivotTable tabId="14" name="PivotTable5"/>
    <pivotTable tabId="19" name="PivotTable9"/>
    <pivotTable tabId="20" name="PivotTable10"/>
    <pivotTable tabId="21" name="PivotTable11"/>
  </pivotTables>
  <data>
    <tabular pivotCacheId="574898073">
      <items count="33">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D2835B0-A706-4C0F-846D-C51BE40807D5}"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44D3816B-DD33-42B8-861D-CB5371725487}" cache="Slicer_ProductCategory" caption="ProductCategory" rowHeight="234950"/>
  <slicer name="SalesPerson" xr10:uid="{B8D5347F-2CF0-4491-91B7-39F3A1DC7A99}" cache="Slicer_SalesPerson" caption="SalesPerson" rowHeight="234950"/>
  <slicer name="Country" xr10:uid="{FA41D1E0-0EDF-470B-9D64-A0DABD2104B6}" cache="Slicer_Country" caption="Country" rowHeight="234950"/>
  <slicer name="Region" xr10:uid="{B60B969C-C548-4E62-A5E4-4DD95759CC37}" cache="Slicer_Region" caption="Region" rowHeight="234950"/>
  <slicer name="Channel" xr10:uid="{8680CBE8-6E84-4457-BABE-F3A5859EFC8E}" cache="Slicer_Channel" caption="Channel" rowHeight="234950"/>
  <slicer name="Month" xr10:uid="{37CD980D-9E11-49B8-856F-32D240CBCC47}"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67584CD-F836-4CD4-917B-ABB3CBD3C017}"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1" xr10:uid="{22429921-95B3-447B-A869-9085E55192F6}" cache="Slicer_ProductCategory" caption="ProductCategory" rowHeight="234950"/>
  <slicer name="SalesPerson 1" xr10:uid="{149DEF87-93D0-4B6A-B33C-C751C117DA90}" cache="Slicer_SalesPerson" caption="SalesPerson" startItem="9" rowHeight="234950"/>
  <slicer name="Country 1" xr10:uid="{BD07E2F6-CA68-442C-8A96-3E11D8F26843}" cache="Slicer_Country" caption="Country" rowHeight="234950"/>
  <slicer name="Region 2" xr10:uid="{B7AEF258-BF6A-4A98-B4D3-2868C37F5CBF}" cache="Slicer_Region" caption="Region" rowHeight="234950"/>
  <slicer name="Channel 1" xr10:uid="{7ABD1D05-3785-4AF1-B487-9E5C8E93BE3F}" cache="Slicer_Channel" caption="Channel" rowHeight="234950"/>
  <slicer name="Month 2" xr10:uid="{DBA39534-1044-4FC8-B1CA-9ADBBD9428F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5631A4-7CB1-46ED-8DD4-40B943CAA0D5}" name="Table2" displayName="Table2" ref="A1:AK633" totalsRowCount="1">
  <autoFilter ref="A1:AK632" xr:uid="{5C5631A4-7CB1-46ED-8DD4-40B943CAA0D5}"/>
  <tableColumns count="37">
    <tableColumn id="1" xr3:uid="{9CB95B78-18A4-4D62-905F-3633B0EA6D0B}" name="OrderID" totalsRowLabel="Total"/>
    <tableColumn id="2" xr3:uid="{3BBE5BA4-2E37-49EA-A83B-E7E1E110D3EE}" name="OrderDate" dataDxfId="40"/>
    <tableColumn id="3" xr3:uid="{3C90DBAC-2867-4395-B9DF-BFE7AB8B202A}" name="Month" dataDxfId="39"/>
    <tableColumn id="4" xr3:uid="{8C1A1B76-77ED-4614-99A1-49B593554F0D}" name="Quarters" dataDxfId="38"/>
    <tableColumn id="5" xr3:uid="{36FBA9F1-46A5-4D79-BDC8-24644E444EE4}" name="RequiredDate" dataDxfId="37"/>
    <tableColumn id="6" xr3:uid="{7FD1DD89-468A-4CDA-A68E-7FAF70343595}" name="Date check"/>
    <tableColumn id="7" xr3:uid="{C03A1230-AF3E-4040-89EB-B7A055872795}" name="Valid Required date" dataDxfId="36"/>
    <tableColumn id="8" xr3:uid="{3EED23FF-BAD6-47E7-9FF9-4FE6CA02EF2E}" name="1st Month purchase" dataDxfId="35">
      <calculatedColumnFormula>_xlfn.MINIFS(B2:B632, N2:N632, N2)</calculatedColumnFormula>
    </tableColumn>
    <tableColumn id="37" xr3:uid="{09DDD446-08B0-404D-B4B4-8B855654307E}" name="1ST Month purchase2" dataDxfId="34">
      <calculatedColumnFormula>TEXT(H2,"mmm-yyyy")</calculatedColumnFormula>
    </tableColumn>
    <tableColumn id="9" xr3:uid="{7D49244A-D8B2-4942-BE85-C06854790A71}" name="month number" dataDxfId="33">
      <calculatedColumnFormula>DATEDIF(H2, B2, "m") + 1</calculatedColumnFormula>
    </tableColumn>
    <tableColumn id="10" xr3:uid="{76859FD4-B1E4-4B7E-8570-307BE026AA8F}" name="LeadTimeDays" dataDxfId="5"/>
    <tableColumn id="36" xr3:uid="{938BD935-0337-4DAF-A387-649B641E35F5}" name="Targetleaddays" dataDxfId="3" totalsRowDxfId="2">
      <calculatedColumnFormula>IF(Table2[[#This Row],[LeadTimeDays]]&lt;7,"1","0")</calculatedColumnFormula>
    </tableColumn>
    <tableColumn id="11" xr3:uid="{FCE748FD-604D-4132-B418-61C905A2FD94}" name="Region" dataDxfId="4"/>
    <tableColumn id="12" xr3:uid="{485F8902-0399-44AF-AFBD-F76B74AD1394}" name="Country" dataDxfId="32"/>
    <tableColumn id="13" xr3:uid="{4F3D6CB9-3D80-4705-BDC3-E4485E96AFB6}" name="City" dataDxfId="31"/>
    <tableColumn id="14" xr3:uid="{0A169FA3-D8B6-4417-91ED-4AAD4506562F}" name="CustomerSegment" dataDxfId="30"/>
    <tableColumn id="15" xr3:uid="{936E0F13-6142-403F-9091-80672CDFFE2A}" name="Channel" dataDxfId="29"/>
    <tableColumn id="16" xr3:uid="{70918FF9-69DA-479D-B126-8BE229DBC0FA}" name="SalesPerson" dataDxfId="28"/>
    <tableColumn id="17" xr3:uid="{37F67ABC-1DE2-4555-9F8E-57BDCAB604CF}" name="ProductCategory" dataDxfId="27"/>
    <tableColumn id="18" xr3:uid="{5467B5FF-51DD-476E-9B31-D283AFB18114}" name="SKU" dataDxfId="26"/>
    <tableColumn id="19" xr3:uid="{3A1486CE-5A11-41EA-A1D0-944946A070D0}" name="UnitCost" dataDxfId="25"/>
    <tableColumn id="20" xr3:uid="{A7F9AFAA-F76A-47CC-BBC2-FF5E9D08CE73}" name="UnitPrice" dataDxfId="24"/>
    <tableColumn id="21" xr3:uid="{996E589E-0948-480A-BEF2-E0F701DC9833}" name="N.Unitprice" dataDxfId="23"/>
    <tableColumn id="22" xr3:uid="{B715E4B2-F0DD-4D6D-9278-069B3A9AC6F3}" name="33RD percentile" dataDxfId="22"/>
    <tableColumn id="23" xr3:uid="{D3BDF599-95FC-44E6-A079-0FC4DAF36884}" name="66th percentile" dataDxfId="21"/>
    <tableColumn id="24" xr3:uid="{E5EA774A-C87E-4CDC-AB80-EB0A30ACDAFC}" name="PriceBand" dataDxfId="20"/>
    <tableColumn id="25" xr3:uid="{07B84CD3-FCAD-48E5-B292-4D59B62AFAF2}" name="Flag"/>
    <tableColumn id="26" xr3:uid="{0294F74F-77BD-4438-B565-B53B7ACCD00D}" name="DiscountPct" dataDxfId="19"/>
    <tableColumn id="27" xr3:uid="{1D51A508-B5EB-429C-A716-C7C05E2766B4}" name="Dicount"/>
    <tableColumn id="28" xr3:uid="{4EC64E9B-651A-4B16-932D-7ED61736CFBD}" name="Quantity" dataDxfId="18"/>
    <tableColumn id="29" xr3:uid="{471F6B2B-CE4F-42F2-968F-06E4CCD9C187}" name="GrossRevenue" totalsRowFunction="average" dataDxfId="17" totalsRowDxfId="1"/>
    <tableColumn id="30" xr3:uid="{2591DE17-C8EB-48CE-BAFB-A43E2C00B971}" name="CostOfGoods" dataDxfId="16"/>
    <tableColumn id="31" xr3:uid="{B2E6CE4D-364B-46AB-A8BC-1C2C929B33AF}" name="GrossProfit" totalsRowFunction="sum" dataDxfId="15" totalsRowDxfId="0"/>
    <tableColumn id="32" xr3:uid="{D0A0FCA9-92EB-47CD-967F-611610D54A6B}" name="MarginPct" dataDxfId="14"/>
    <tableColumn id="33" xr3:uid="{8AD2A43E-E384-4A3F-826C-A215A5552260}" name="Category total" dataDxfId="13">
      <calculatedColumnFormula>SUMIFS(AE2:AE632, S2:S632, S2)</calculatedColumnFormula>
    </tableColumn>
    <tableColumn id="34" xr3:uid="{1F79BCBE-DACA-4C04-B16C-71AFDBFADDE0}" name="Cumulative rev" dataDxfId="12">
      <calculatedColumnFormula>SUMIFS(AE2:AE632, S2:S632, S2, AE2:AE632, "&gt;" &amp; AE2) / AI2</calculatedColumnFormula>
    </tableColumn>
    <tableColumn id="35" xr3:uid="{05360B99-FCD6-43AE-8AF4-786EC174643E}" name="Category" totalsRowFunction="count" dataDxfId="11">
      <calculatedColumnFormula>IF(AJ2&lt;=0.8,"A",IF(Table2[[#This Row],[Cumulative rev]]&lt;=0.95,"B","C"))</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2"/>
  <sheetViews>
    <sheetView workbookViewId="0">
      <selection activeCell="B6" sqref="B6"/>
    </sheetView>
  </sheetViews>
  <sheetFormatPr defaultRowHeight="14.4" x14ac:dyDescent="0.3"/>
  <cols>
    <col min="1" max="1" width="16.109375" bestFit="1" customWidth="1"/>
    <col min="2" max="2" width="10.5546875" style="4" bestFit="1" customWidth="1"/>
    <col min="3" max="3" width="27.88671875" style="4" bestFit="1" customWidth="1"/>
    <col min="4" max="4" width="8.44140625" style="7" bestFit="1" customWidth="1"/>
    <col min="5" max="5" width="14" style="7" bestFit="1" customWidth="1"/>
    <col min="6" max="6" width="12.44140625" style="7" bestFit="1" customWidth="1"/>
    <col min="7" max="7" width="16.6640625" style="7" bestFit="1" customWidth="1"/>
    <col min="8" max="8" width="11.21875" style="7" bestFit="1" customWidth="1"/>
    <col min="9" max="9" width="11" style="7" bestFit="1" customWidth="1"/>
    <col min="10" max="10" width="15.33203125" style="7" bestFit="1" customWidth="1"/>
    <col min="11" max="11" width="10" style="7" bestFit="1" customWidth="1"/>
    <col min="12" max="12" width="10.77734375" style="9" bestFit="1" customWidth="1"/>
    <col min="13" max="13" width="9" style="9" bestFit="1" customWidth="1"/>
    <col min="14" max="14" width="11" style="11" bestFit="1" customWidth="1"/>
    <col min="15" max="15" width="8.33203125" style="13" bestFit="1" customWidth="1"/>
  </cols>
  <sheetData>
    <row r="1" spans="1:15" x14ac:dyDescent="0.3">
      <c r="A1" s="1" t="s">
        <v>0</v>
      </c>
      <c r="B1" s="5" t="s">
        <v>1</v>
      </c>
      <c r="C1" s="5" t="s">
        <v>2</v>
      </c>
      <c r="D1" s="6" t="s">
        <v>3</v>
      </c>
      <c r="E1" s="6" t="s">
        <v>4</v>
      </c>
      <c r="F1" s="6" t="s">
        <v>5</v>
      </c>
      <c r="G1" s="6" t="s">
        <v>6</v>
      </c>
      <c r="H1" s="6" t="s">
        <v>7</v>
      </c>
      <c r="I1" s="6" t="s">
        <v>8</v>
      </c>
      <c r="J1" s="6" t="s">
        <v>9</v>
      </c>
      <c r="K1" s="6" t="s">
        <v>10</v>
      </c>
      <c r="L1" s="8" t="s">
        <v>11</v>
      </c>
      <c r="M1" s="8" t="s">
        <v>12</v>
      </c>
      <c r="N1" s="10" t="s">
        <v>13</v>
      </c>
      <c r="O1" s="12" t="s">
        <v>14</v>
      </c>
    </row>
    <row r="2" spans="1:15" x14ac:dyDescent="0.3">
      <c r="A2" t="s">
        <v>15</v>
      </c>
      <c r="B2" s="4">
        <v>45362</v>
      </c>
      <c r="C2" s="4">
        <v>45388</v>
      </c>
      <c r="D2" s="7" t="s">
        <v>646</v>
      </c>
      <c r="E2" s="7" t="s">
        <v>650</v>
      </c>
      <c r="F2" s="7" t="s">
        <v>662</v>
      </c>
      <c r="G2" s="7" t="s">
        <v>701</v>
      </c>
      <c r="H2" s="7" t="s">
        <v>707</v>
      </c>
      <c r="I2" s="7" t="s">
        <v>712</v>
      </c>
      <c r="J2" s="7" t="s">
        <v>727</v>
      </c>
      <c r="K2" s="7" t="s">
        <v>734</v>
      </c>
      <c r="L2" s="9">
        <v>279.24</v>
      </c>
      <c r="M2" s="9">
        <v>608.9</v>
      </c>
      <c r="N2" s="11">
        <v>0.112</v>
      </c>
      <c r="O2" s="13">
        <v>9</v>
      </c>
    </row>
    <row r="3" spans="1:15" x14ac:dyDescent="0.3">
      <c r="A3" t="s">
        <v>16</v>
      </c>
      <c r="B3" s="4">
        <v>45588</v>
      </c>
      <c r="C3" s="4">
        <v>45587</v>
      </c>
      <c r="D3" s="7" t="s">
        <v>646</v>
      </c>
      <c r="E3" s="7" t="s">
        <v>651</v>
      </c>
      <c r="F3" s="7" t="s">
        <v>663</v>
      </c>
      <c r="G3" s="7" t="s">
        <v>702</v>
      </c>
      <c r="H3" s="7" t="s">
        <v>708</v>
      </c>
      <c r="I3" s="7" t="s">
        <v>713</v>
      </c>
      <c r="J3" s="7" t="s">
        <v>728</v>
      </c>
      <c r="K3" s="7" t="s">
        <v>735</v>
      </c>
      <c r="L3" s="9">
        <v>1084.3900000000001</v>
      </c>
      <c r="M3" s="9">
        <v>759.33</v>
      </c>
      <c r="N3" s="11">
        <v>0.23699999999999999</v>
      </c>
      <c r="O3" s="13">
        <v>31</v>
      </c>
    </row>
    <row r="4" spans="1:15" x14ac:dyDescent="0.3">
      <c r="A4" t="s">
        <v>17</v>
      </c>
      <c r="B4" s="4">
        <v>44985</v>
      </c>
      <c r="C4" s="4">
        <v>45010</v>
      </c>
      <c r="D4" s="7" t="s">
        <v>646</v>
      </c>
      <c r="E4" s="7" t="s">
        <v>650</v>
      </c>
      <c r="F4" s="7" t="s">
        <v>664</v>
      </c>
      <c r="G4" s="7" t="s">
        <v>701</v>
      </c>
      <c r="H4" s="7" t="s">
        <v>707</v>
      </c>
      <c r="I4" s="7" t="s">
        <v>714</v>
      </c>
      <c r="J4" s="7" t="s">
        <v>729</v>
      </c>
      <c r="K4" s="7" t="s">
        <v>736</v>
      </c>
      <c r="L4" s="9">
        <v>1460.76</v>
      </c>
      <c r="M4" s="9">
        <v>-30.66</v>
      </c>
      <c r="N4" s="11">
        <v>0.13100000000000001</v>
      </c>
      <c r="O4" s="13">
        <v>12</v>
      </c>
    </row>
    <row r="5" spans="1:15" x14ac:dyDescent="0.3">
      <c r="A5" t="s">
        <v>18</v>
      </c>
      <c r="B5" s="4">
        <v>45745</v>
      </c>
      <c r="C5" s="4">
        <v>45749</v>
      </c>
      <c r="D5" s="7" t="s">
        <v>646</v>
      </c>
      <c r="E5" s="7" t="s">
        <v>651</v>
      </c>
      <c r="F5" s="7" t="s">
        <v>665</v>
      </c>
      <c r="G5" s="7" t="s">
        <v>703</v>
      </c>
      <c r="H5" s="7" t="s">
        <v>709</v>
      </c>
      <c r="I5" s="7" t="s">
        <v>715</v>
      </c>
      <c r="J5" s="7" t="s">
        <v>730</v>
      </c>
      <c r="K5" s="7" t="s">
        <v>737</v>
      </c>
      <c r="L5" s="9">
        <v>259.93</v>
      </c>
      <c r="M5" s="9">
        <v>255.94</v>
      </c>
      <c r="N5" s="11">
        <v>7.1999999999999995E-2</v>
      </c>
      <c r="O5" s="13">
        <v>22</v>
      </c>
    </row>
    <row r="6" spans="1:15" x14ac:dyDescent="0.3">
      <c r="A6" t="s">
        <v>19</v>
      </c>
      <c r="B6" s="4">
        <v>45266</v>
      </c>
      <c r="C6" s="4">
        <v>45291</v>
      </c>
      <c r="D6" s="7" t="s">
        <v>647</v>
      </c>
      <c r="E6" s="7" t="s">
        <v>652</v>
      </c>
      <c r="F6" s="7" t="s">
        <v>666</v>
      </c>
      <c r="G6" s="7" t="s">
        <v>704</v>
      </c>
      <c r="H6" s="7" t="s">
        <v>707</v>
      </c>
      <c r="I6" s="7" t="s">
        <v>716</v>
      </c>
      <c r="J6" s="7" t="s">
        <v>728</v>
      </c>
      <c r="K6" s="7" t="s">
        <v>738</v>
      </c>
      <c r="L6" s="9">
        <v>663.03</v>
      </c>
      <c r="M6" s="9">
        <v>813.51</v>
      </c>
      <c r="N6" s="11">
        <v>0.10199999999999999</v>
      </c>
      <c r="O6" s="13">
        <v>15</v>
      </c>
    </row>
    <row r="7" spans="1:15" x14ac:dyDescent="0.3">
      <c r="A7" t="s">
        <v>20</v>
      </c>
      <c r="B7" s="4">
        <v>44928</v>
      </c>
      <c r="C7" s="4">
        <v>44931</v>
      </c>
      <c r="D7" s="7" t="s">
        <v>648</v>
      </c>
      <c r="E7" s="7" t="s">
        <v>653</v>
      </c>
      <c r="F7" s="7" t="s">
        <v>667</v>
      </c>
      <c r="G7" s="7" t="s">
        <v>701</v>
      </c>
      <c r="H7" s="7" t="s">
        <v>710</v>
      </c>
      <c r="I7" s="7" t="s">
        <v>717</v>
      </c>
      <c r="J7" s="7" t="s">
        <v>731</v>
      </c>
      <c r="K7" s="7" t="s">
        <v>739</v>
      </c>
      <c r="L7" s="9">
        <v>315.87</v>
      </c>
      <c r="M7" s="9">
        <v>591.67999999999995</v>
      </c>
      <c r="N7" s="11">
        <v>0</v>
      </c>
      <c r="O7" s="13">
        <v>7</v>
      </c>
    </row>
    <row r="8" spans="1:15" x14ac:dyDescent="0.3">
      <c r="A8" t="s">
        <v>21</v>
      </c>
      <c r="B8" s="4">
        <v>45653</v>
      </c>
      <c r="C8" s="4">
        <v>45671</v>
      </c>
      <c r="D8" s="7" t="s">
        <v>647</v>
      </c>
      <c r="E8" s="7" t="s">
        <v>654</v>
      </c>
      <c r="F8" s="7" t="s">
        <v>668</v>
      </c>
      <c r="G8" s="7" t="s">
        <v>705</v>
      </c>
      <c r="H8" s="7" t="s">
        <v>709</v>
      </c>
      <c r="I8" s="7" t="s">
        <v>718</v>
      </c>
      <c r="J8" s="7" t="s">
        <v>732</v>
      </c>
      <c r="K8" s="7" t="s">
        <v>740</v>
      </c>
      <c r="L8" s="9">
        <v>586.07000000000005</v>
      </c>
      <c r="M8" s="9">
        <v>845.97</v>
      </c>
      <c r="N8" s="11">
        <v>0.14699999999999999</v>
      </c>
      <c r="O8" s="13">
        <v>4</v>
      </c>
    </row>
    <row r="9" spans="1:15" x14ac:dyDescent="0.3">
      <c r="A9" t="s">
        <v>22</v>
      </c>
      <c r="B9" s="4">
        <v>44941</v>
      </c>
      <c r="C9" s="4">
        <v>44939</v>
      </c>
      <c r="D9" s="7" t="s">
        <v>646</v>
      </c>
      <c r="E9" s="7" t="s">
        <v>651</v>
      </c>
      <c r="F9" s="7" t="s">
        <v>669</v>
      </c>
      <c r="G9" s="7" t="s">
        <v>702</v>
      </c>
      <c r="H9" s="7" t="s">
        <v>708</v>
      </c>
      <c r="I9" s="7" t="s">
        <v>719</v>
      </c>
      <c r="J9" s="7" t="s">
        <v>728</v>
      </c>
      <c r="K9" s="7" t="s">
        <v>741</v>
      </c>
      <c r="L9" s="9">
        <v>28.38</v>
      </c>
      <c r="M9" s="9">
        <v>47.22</v>
      </c>
      <c r="N9" s="11">
        <v>0.19400000000000001</v>
      </c>
      <c r="O9" s="13">
        <v>18</v>
      </c>
    </row>
    <row r="10" spans="1:15" x14ac:dyDescent="0.3">
      <c r="A10" t="s">
        <v>23</v>
      </c>
      <c r="B10" s="4">
        <v>45416</v>
      </c>
      <c r="C10" s="4">
        <v>45441</v>
      </c>
      <c r="D10" s="7" t="s">
        <v>646</v>
      </c>
      <c r="E10" s="7" t="s">
        <v>651</v>
      </c>
      <c r="F10" s="7" t="s">
        <v>669</v>
      </c>
      <c r="G10" s="7" t="s">
        <v>703</v>
      </c>
      <c r="H10" s="7" t="s">
        <v>709</v>
      </c>
      <c r="I10" s="7" t="s">
        <v>719</v>
      </c>
      <c r="J10" s="7" t="s">
        <v>732</v>
      </c>
      <c r="K10" s="7" t="s">
        <v>742</v>
      </c>
      <c r="L10" s="9">
        <v>1295.3399999999999</v>
      </c>
      <c r="M10" s="9">
        <v>2530.81</v>
      </c>
      <c r="N10" s="11">
        <v>3.1E-2</v>
      </c>
      <c r="O10" s="13">
        <v>6</v>
      </c>
    </row>
    <row r="11" spans="1:15" x14ac:dyDescent="0.3">
      <c r="A11" t="s">
        <v>24</v>
      </c>
      <c r="B11" s="4">
        <v>45798</v>
      </c>
      <c r="C11" s="4">
        <v>45817</v>
      </c>
      <c r="D11" s="7" t="s">
        <v>648</v>
      </c>
      <c r="E11" s="7" t="s">
        <v>655</v>
      </c>
      <c r="F11" s="7" t="s">
        <v>670</v>
      </c>
      <c r="G11" s="7" t="s">
        <v>703</v>
      </c>
      <c r="H11" s="7" t="s">
        <v>708</v>
      </c>
      <c r="I11" s="7" t="s">
        <v>720</v>
      </c>
      <c r="J11" s="7" t="s">
        <v>727</v>
      </c>
      <c r="K11" s="7" t="s">
        <v>743</v>
      </c>
      <c r="L11" s="9">
        <v>1331.38</v>
      </c>
      <c r="M11" s="9">
        <v>2309.56</v>
      </c>
      <c r="N11" s="11">
        <v>0.14899999999999999</v>
      </c>
      <c r="O11" s="13">
        <v>31</v>
      </c>
    </row>
    <row r="12" spans="1:15" x14ac:dyDescent="0.3">
      <c r="A12" t="s">
        <v>25</v>
      </c>
      <c r="B12" s="4">
        <v>45319</v>
      </c>
      <c r="C12" s="4">
        <v>45331</v>
      </c>
      <c r="D12" s="7" t="s">
        <v>649</v>
      </c>
      <c r="E12" s="7" t="s">
        <v>656</v>
      </c>
      <c r="F12" s="7" t="s">
        <v>671</v>
      </c>
      <c r="G12" s="7" t="s">
        <v>701</v>
      </c>
      <c r="H12" s="7" t="s">
        <v>708</v>
      </c>
      <c r="I12" s="7" t="s">
        <v>715</v>
      </c>
      <c r="J12" s="7" t="s">
        <v>733</v>
      </c>
      <c r="K12" s="7" t="s">
        <v>744</v>
      </c>
      <c r="L12" s="9">
        <v>644.16999999999996</v>
      </c>
      <c r="M12" s="9">
        <v>700.12</v>
      </c>
      <c r="N12" s="11">
        <v>6.0000000000000001E-3</v>
      </c>
      <c r="O12" s="13">
        <v>23</v>
      </c>
    </row>
    <row r="13" spans="1:15" x14ac:dyDescent="0.3">
      <c r="A13" t="s">
        <v>26</v>
      </c>
      <c r="B13" s="4">
        <v>45660</v>
      </c>
      <c r="C13" s="4">
        <v>45680</v>
      </c>
      <c r="D13" s="7" t="s">
        <v>647</v>
      </c>
      <c r="E13" s="7" t="s">
        <v>652</v>
      </c>
      <c r="F13" s="7" t="s">
        <v>666</v>
      </c>
      <c r="G13" s="7" t="s">
        <v>701</v>
      </c>
      <c r="H13" s="7" t="s">
        <v>710</v>
      </c>
      <c r="I13" s="7" t="s">
        <v>721</v>
      </c>
      <c r="J13" s="7" t="s">
        <v>730</v>
      </c>
      <c r="K13" s="7" t="s">
        <v>745</v>
      </c>
      <c r="L13" s="9">
        <v>908.6</v>
      </c>
      <c r="M13" s="9">
        <v>691.37</v>
      </c>
      <c r="N13" s="11">
        <v>0.25</v>
      </c>
      <c r="O13" s="13">
        <v>20</v>
      </c>
    </row>
    <row r="14" spans="1:15" x14ac:dyDescent="0.3">
      <c r="A14" t="s">
        <v>27</v>
      </c>
      <c r="B14" s="4">
        <v>45722</v>
      </c>
      <c r="C14" s="4">
        <v>45747</v>
      </c>
      <c r="D14" s="7" t="s">
        <v>648</v>
      </c>
      <c r="E14" s="7" t="s">
        <v>655</v>
      </c>
      <c r="F14" s="7" t="s">
        <v>672</v>
      </c>
      <c r="G14" s="7" t="s">
        <v>703</v>
      </c>
      <c r="H14" s="7" t="s">
        <v>708</v>
      </c>
      <c r="I14" s="7" t="s">
        <v>713</v>
      </c>
      <c r="J14" s="7" t="s">
        <v>727</v>
      </c>
      <c r="K14" s="7" t="s">
        <v>746</v>
      </c>
      <c r="L14" s="9">
        <v>331.57</v>
      </c>
      <c r="M14" s="9">
        <v>548.4</v>
      </c>
      <c r="N14" s="11">
        <v>9.4E-2</v>
      </c>
      <c r="O14" s="13">
        <v>10</v>
      </c>
    </row>
    <row r="15" spans="1:15" x14ac:dyDescent="0.3">
      <c r="A15" t="s">
        <v>28</v>
      </c>
      <c r="B15" s="4">
        <v>45311</v>
      </c>
      <c r="C15" s="4">
        <v>45335</v>
      </c>
      <c r="D15" s="7" t="s">
        <v>649</v>
      </c>
      <c r="E15" s="7" t="s">
        <v>657</v>
      </c>
      <c r="F15" s="7" t="s">
        <v>673</v>
      </c>
      <c r="G15" s="7" t="s">
        <v>701</v>
      </c>
      <c r="H15" s="7" t="s">
        <v>707</v>
      </c>
      <c r="I15" s="7" t="s">
        <v>722</v>
      </c>
      <c r="J15" s="7" t="s">
        <v>728</v>
      </c>
      <c r="K15" s="7" t="s">
        <v>747</v>
      </c>
      <c r="L15" s="9">
        <v>643.53</v>
      </c>
      <c r="M15" s="9">
        <v>1439.01</v>
      </c>
      <c r="N15" s="11">
        <v>0</v>
      </c>
      <c r="O15" s="13">
        <v>15</v>
      </c>
    </row>
    <row r="16" spans="1:15" x14ac:dyDescent="0.3">
      <c r="A16" t="s">
        <v>29</v>
      </c>
      <c r="B16" s="4">
        <v>45901</v>
      </c>
      <c r="C16" s="4">
        <v>45930</v>
      </c>
      <c r="D16" s="7" t="s">
        <v>648</v>
      </c>
      <c r="E16" s="7" t="s">
        <v>655</v>
      </c>
      <c r="F16" s="7" t="s">
        <v>672</v>
      </c>
      <c r="G16" s="7" t="s">
        <v>702</v>
      </c>
      <c r="H16" s="7" t="s">
        <v>707</v>
      </c>
      <c r="I16" s="7" t="s">
        <v>723</v>
      </c>
      <c r="J16" s="7" t="s">
        <v>733</v>
      </c>
      <c r="K16" s="7" t="s">
        <v>748</v>
      </c>
      <c r="L16" s="9">
        <v>780.59</v>
      </c>
      <c r="M16" s="9">
        <v>631.57000000000005</v>
      </c>
      <c r="N16" s="11">
        <v>0</v>
      </c>
      <c r="O16" s="13">
        <v>12</v>
      </c>
    </row>
    <row r="17" spans="1:15" x14ac:dyDescent="0.3">
      <c r="A17" t="s">
        <v>30</v>
      </c>
      <c r="B17" s="4">
        <v>45039</v>
      </c>
      <c r="C17" s="4">
        <v>45038</v>
      </c>
      <c r="D17" s="7" t="s">
        <v>646</v>
      </c>
      <c r="E17" s="7" t="s">
        <v>650</v>
      </c>
      <c r="F17" s="7" t="s">
        <v>664</v>
      </c>
      <c r="G17" s="7" t="s">
        <v>705</v>
      </c>
      <c r="H17" s="7" t="s">
        <v>711</v>
      </c>
      <c r="I17" s="7" t="s">
        <v>718</v>
      </c>
      <c r="J17" s="7" t="s">
        <v>731</v>
      </c>
      <c r="K17" s="7" t="s">
        <v>749</v>
      </c>
      <c r="L17" s="9">
        <v>756.51</v>
      </c>
      <c r="M17" s="9">
        <v>850.8</v>
      </c>
      <c r="N17" s="11">
        <v>7.3999999999999996E-2</v>
      </c>
      <c r="O17" s="13">
        <v>9</v>
      </c>
    </row>
    <row r="18" spans="1:15" x14ac:dyDescent="0.3">
      <c r="A18" t="s">
        <v>31</v>
      </c>
      <c r="B18" s="4">
        <v>45636</v>
      </c>
      <c r="C18" s="4">
        <v>45665</v>
      </c>
      <c r="D18" s="7" t="s">
        <v>649</v>
      </c>
      <c r="E18" s="7" t="s">
        <v>657</v>
      </c>
      <c r="F18" s="7" t="s">
        <v>673</v>
      </c>
      <c r="G18" s="7" t="s">
        <v>705</v>
      </c>
      <c r="H18" s="7" t="s">
        <v>707</v>
      </c>
      <c r="I18" s="7" t="s">
        <v>723</v>
      </c>
      <c r="J18" s="7" t="s">
        <v>728</v>
      </c>
      <c r="K18" s="7" t="s">
        <v>750</v>
      </c>
      <c r="L18" s="9">
        <v>891.08</v>
      </c>
      <c r="M18" s="9">
        <v>1040.0999999999999</v>
      </c>
      <c r="N18" s="11">
        <v>0.109</v>
      </c>
      <c r="O18" s="13">
        <v>28</v>
      </c>
    </row>
    <row r="19" spans="1:15" x14ac:dyDescent="0.3">
      <c r="A19" t="s">
        <v>32</v>
      </c>
      <c r="B19" s="4">
        <v>45908</v>
      </c>
      <c r="C19" s="4">
        <v>45916</v>
      </c>
      <c r="D19" s="7" t="s">
        <v>647</v>
      </c>
      <c r="E19" s="7" t="s">
        <v>652</v>
      </c>
      <c r="F19" s="7" t="s">
        <v>666</v>
      </c>
      <c r="G19" s="7" t="s">
        <v>701</v>
      </c>
      <c r="H19" s="7" t="s">
        <v>710</v>
      </c>
      <c r="I19" s="7" t="s">
        <v>712</v>
      </c>
      <c r="J19" s="7" t="s">
        <v>730</v>
      </c>
      <c r="K19" s="7" t="s">
        <v>751</v>
      </c>
      <c r="L19" s="9">
        <v>1225.57</v>
      </c>
      <c r="M19" s="9">
        <v>2705.57</v>
      </c>
      <c r="N19" s="11">
        <v>0.183</v>
      </c>
      <c r="O19" s="13">
        <v>16</v>
      </c>
    </row>
    <row r="20" spans="1:15" x14ac:dyDescent="0.3">
      <c r="A20" t="s">
        <v>33</v>
      </c>
      <c r="B20" s="4">
        <v>45858</v>
      </c>
      <c r="C20" s="4">
        <v>45874</v>
      </c>
      <c r="D20" s="7" t="s">
        <v>648</v>
      </c>
      <c r="E20" s="7" t="s">
        <v>655</v>
      </c>
      <c r="F20" s="7" t="s">
        <v>672</v>
      </c>
      <c r="G20" s="7" t="s">
        <v>706</v>
      </c>
      <c r="H20" s="7" t="s">
        <v>709</v>
      </c>
      <c r="I20" s="7" t="s">
        <v>715</v>
      </c>
      <c r="J20" s="7" t="s">
        <v>733</v>
      </c>
      <c r="K20" s="7" t="s">
        <v>752</v>
      </c>
      <c r="L20" s="9">
        <v>1068.17</v>
      </c>
      <c r="M20" s="9">
        <v>2375.37</v>
      </c>
      <c r="N20" s="11">
        <v>0.109</v>
      </c>
      <c r="O20" s="13">
        <v>18</v>
      </c>
    </row>
    <row r="21" spans="1:15" x14ac:dyDescent="0.3">
      <c r="A21" t="s">
        <v>34</v>
      </c>
      <c r="B21" s="4">
        <v>45798</v>
      </c>
      <c r="C21" s="4">
        <v>45796</v>
      </c>
      <c r="D21" s="7" t="s">
        <v>649</v>
      </c>
      <c r="E21" s="7" t="s">
        <v>658</v>
      </c>
      <c r="F21" s="7" t="s">
        <v>674</v>
      </c>
      <c r="G21" s="7" t="s">
        <v>706</v>
      </c>
      <c r="H21" s="7" t="s">
        <v>708</v>
      </c>
      <c r="I21" s="7" t="s">
        <v>724</v>
      </c>
      <c r="J21" s="7" t="s">
        <v>731</v>
      </c>
      <c r="K21" s="7" t="s">
        <v>753</v>
      </c>
      <c r="L21" s="9">
        <v>1015.16</v>
      </c>
      <c r="M21" s="9">
        <v>2148.14</v>
      </c>
      <c r="N21" s="11">
        <v>3.7999999999999999E-2</v>
      </c>
      <c r="O21" s="13">
        <v>19</v>
      </c>
    </row>
    <row r="22" spans="1:15" x14ac:dyDescent="0.3">
      <c r="A22" t="s">
        <v>35</v>
      </c>
      <c r="B22" s="4">
        <v>45498</v>
      </c>
      <c r="C22" s="4">
        <v>45497</v>
      </c>
      <c r="D22" s="7" t="s">
        <v>646</v>
      </c>
      <c r="E22" s="7" t="s">
        <v>650</v>
      </c>
      <c r="F22" s="7" t="s">
        <v>675</v>
      </c>
      <c r="G22" s="7" t="s">
        <v>703</v>
      </c>
      <c r="H22" s="7" t="s">
        <v>711</v>
      </c>
      <c r="I22" s="7" t="s">
        <v>713</v>
      </c>
      <c r="J22" s="7" t="s">
        <v>731</v>
      </c>
      <c r="K22" s="7" t="s">
        <v>754</v>
      </c>
      <c r="L22" s="9">
        <v>1494.4</v>
      </c>
      <c r="M22" s="9">
        <v>3661.07</v>
      </c>
      <c r="N22" s="11">
        <v>7.1999999999999995E-2</v>
      </c>
      <c r="O22" s="13">
        <v>7</v>
      </c>
    </row>
    <row r="23" spans="1:15" x14ac:dyDescent="0.3">
      <c r="A23" t="s">
        <v>36</v>
      </c>
      <c r="B23" s="4">
        <v>45057</v>
      </c>
      <c r="C23" s="4">
        <v>45074</v>
      </c>
      <c r="D23" s="7" t="s">
        <v>647</v>
      </c>
      <c r="E23" s="7" t="s">
        <v>659</v>
      </c>
      <c r="F23" s="7" t="s">
        <v>676</v>
      </c>
      <c r="G23" s="7" t="s">
        <v>706</v>
      </c>
      <c r="H23" s="7" t="s">
        <v>709</v>
      </c>
      <c r="I23" s="7" t="s">
        <v>718</v>
      </c>
      <c r="J23" s="7" t="s">
        <v>729</v>
      </c>
      <c r="K23" s="7" t="s">
        <v>755</v>
      </c>
      <c r="L23" s="9">
        <v>1331.19</v>
      </c>
      <c r="M23" s="9">
        <v>2903.09</v>
      </c>
      <c r="N23" s="11">
        <v>0.14299999999999999</v>
      </c>
      <c r="O23" s="13">
        <v>8</v>
      </c>
    </row>
    <row r="24" spans="1:15" x14ac:dyDescent="0.3">
      <c r="A24" t="s">
        <v>37</v>
      </c>
      <c r="B24" s="4">
        <v>45822</v>
      </c>
      <c r="C24" s="4">
        <v>45837</v>
      </c>
      <c r="D24" s="7" t="s">
        <v>646</v>
      </c>
      <c r="E24" s="7" t="s">
        <v>651</v>
      </c>
      <c r="F24" s="7" t="s">
        <v>663</v>
      </c>
      <c r="G24" s="7" t="s">
        <v>704</v>
      </c>
      <c r="H24" s="7" t="s">
        <v>709</v>
      </c>
      <c r="I24" s="7" t="s">
        <v>724</v>
      </c>
      <c r="J24" s="7" t="s">
        <v>733</v>
      </c>
      <c r="K24" s="7" t="s">
        <v>756</v>
      </c>
      <c r="L24" s="9">
        <v>730.99</v>
      </c>
      <c r="M24" s="9">
        <v>1242.8399999999999</v>
      </c>
      <c r="N24" s="11">
        <v>0.12</v>
      </c>
      <c r="O24" s="13">
        <v>10</v>
      </c>
    </row>
    <row r="25" spans="1:15" x14ac:dyDescent="0.3">
      <c r="A25" t="s">
        <v>38</v>
      </c>
      <c r="B25" s="4">
        <v>45430</v>
      </c>
      <c r="C25" s="4">
        <v>45435</v>
      </c>
      <c r="D25" s="7" t="s">
        <v>648</v>
      </c>
      <c r="E25" s="7" t="s">
        <v>660</v>
      </c>
      <c r="F25" s="7" t="s">
        <v>677</v>
      </c>
      <c r="G25" s="7" t="s">
        <v>706</v>
      </c>
      <c r="H25" s="7" t="s">
        <v>707</v>
      </c>
      <c r="I25" s="7" t="s">
        <v>722</v>
      </c>
      <c r="J25" s="7" t="s">
        <v>731</v>
      </c>
      <c r="K25" s="7" t="s">
        <v>757</v>
      </c>
      <c r="L25" s="9">
        <v>1274.5899999999999</v>
      </c>
      <c r="M25" s="9">
        <v>2553.69</v>
      </c>
      <c r="N25" s="11">
        <v>0.01</v>
      </c>
      <c r="O25" s="13">
        <v>8</v>
      </c>
    </row>
    <row r="26" spans="1:15" x14ac:dyDescent="0.3">
      <c r="A26" t="s">
        <v>39</v>
      </c>
      <c r="B26" s="4">
        <v>44964</v>
      </c>
      <c r="C26" s="4">
        <v>44969</v>
      </c>
      <c r="D26" s="7" t="s">
        <v>648</v>
      </c>
      <c r="E26" s="7" t="s">
        <v>655</v>
      </c>
      <c r="F26" s="7" t="s">
        <v>670</v>
      </c>
      <c r="G26" s="7" t="s">
        <v>702</v>
      </c>
      <c r="H26" s="7" t="s">
        <v>708</v>
      </c>
      <c r="I26" s="7" t="s">
        <v>725</v>
      </c>
      <c r="J26" s="7" t="s">
        <v>727</v>
      </c>
      <c r="K26" s="7" t="s">
        <v>758</v>
      </c>
      <c r="L26" s="9">
        <v>948.55</v>
      </c>
      <c r="M26" s="9">
        <v>2089.16</v>
      </c>
      <c r="N26" s="11">
        <v>7.0000000000000001E-3</v>
      </c>
      <c r="O26" s="13">
        <v>12</v>
      </c>
    </row>
    <row r="27" spans="1:15" x14ac:dyDescent="0.3">
      <c r="A27" t="s">
        <v>40</v>
      </c>
      <c r="B27" s="4">
        <v>45473</v>
      </c>
      <c r="C27" s="4">
        <v>45487</v>
      </c>
      <c r="D27" s="7" t="s">
        <v>648</v>
      </c>
      <c r="E27" s="7" t="s">
        <v>655</v>
      </c>
      <c r="F27" s="7" t="s">
        <v>672</v>
      </c>
      <c r="G27" s="7" t="s">
        <v>702</v>
      </c>
      <c r="H27" s="7" t="s">
        <v>707</v>
      </c>
      <c r="I27" s="7" t="s">
        <v>712</v>
      </c>
      <c r="J27" s="7" t="s">
        <v>733</v>
      </c>
      <c r="K27" s="7" t="s">
        <v>759</v>
      </c>
      <c r="L27" s="9">
        <v>1491.85</v>
      </c>
      <c r="M27" s="9">
        <v>2583.02</v>
      </c>
      <c r="N27" s="11">
        <v>0.16800000000000001</v>
      </c>
      <c r="O27" s="13">
        <v>4</v>
      </c>
    </row>
    <row r="28" spans="1:15" x14ac:dyDescent="0.3">
      <c r="A28" t="s">
        <v>41</v>
      </c>
      <c r="B28" s="4">
        <v>45626</v>
      </c>
      <c r="C28" s="4">
        <v>45656</v>
      </c>
      <c r="D28" s="7" t="s">
        <v>649</v>
      </c>
      <c r="E28" s="7" t="s">
        <v>657</v>
      </c>
      <c r="F28" s="7" t="s">
        <v>673</v>
      </c>
      <c r="G28" s="7" t="s">
        <v>704</v>
      </c>
      <c r="H28" s="7" t="s">
        <v>709</v>
      </c>
      <c r="I28" s="7" t="s">
        <v>721</v>
      </c>
      <c r="J28" s="7" t="s">
        <v>728</v>
      </c>
      <c r="K28" s="7" t="s">
        <v>760</v>
      </c>
      <c r="L28" s="9">
        <v>117.64</v>
      </c>
      <c r="M28" s="9">
        <v>175.67</v>
      </c>
      <c r="N28" s="11">
        <v>0</v>
      </c>
      <c r="O28" s="13">
        <v>10</v>
      </c>
    </row>
    <row r="29" spans="1:15" x14ac:dyDescent="0.3">
      <c r="A29" t="s">
        <v>42</v>
      </c>
      <c r="B29" s="4">
        <v>45492</v>
      </c>
      <c r="C29" s="4">
        <v>45492</v>
      </c>
      <c r="D29" s="7" t="s">
        <v>646</v>
      </c>
      <c r="E29" s="7" t="s">
        <v>650</v>
      </c>
      <c r="F29" s="7" t="s">
        <v>662</v>
      </c>
      <c r="G29" s="7" t="s">
        <v>705</v>
      </c>
      <c r="H29" s="7" t="s">
        <v>707</v>
      </c>
      <c r="I29" s="7" t="s">
        <v>720</v>
      </c>
      <c r="J29" s="7" t="s">
        <v>730</v>
      </c>
      <c r="K29" s="7" t="s">
        <v>761</v>
      </c>
      <c r="L29" s="9">
        <v>857.24</v>
      </c>
      <c r="M29" s="9">
        <v>758.23</v>
      </c>
      <c r="N29" s="11">
        <v>0.125</v>
      </c>
      <c r="O29" s="13">
        <v>6</v>
      </c>
    </row>
    <row r="30" spans="1:15" x14ac:dyDescent="0.3">
      <c r="A30" t="s">
        <v>43</v>
      </c>
      <c r="B30" s="4">
        <v>45030</v>
      </c>
      <c r="C30" s="4">
        <v>45060</v>
      </c>
      <c r="D30" s="7" t="s">
        <v>646</v>
      </c>
      <c r="E30" s="7" t="s">
        <v>650</v>
      </c>
      <c r="F30" s="7" t="s">
        <v>678</v>
      </c>
      <c r="G30" s="7" t="s">
        <v>704</v>
      </c>
      <c r="H30" s="7" t="s">
        <v>709</v>
      </c>
      <c r="I30" s="7" t="s">
        <v>724</v>
      </c>
      <c r="J30" s="7" t="s">
        <v>730</v>
      </c>
      <c r="K30" s="7" t="s">
        <v>762</v>
      </c>
      <c r="L30" s="9">
        <v>209.25</v>
      </c>
      <c r="M30" s="9">
        <v>434.8</v>
      </c>
      <c r="N30" s="11">
        <v>0</v>
      </c>
      <c r="O30" s="13">
        <v>9</v>
      </c>
    </row>
    <row r="31" spans="1:15" x14ac:dyDescent="0.3">
      <c r="A31" t="s">
        <v>44</v>
      </c>
      <c r="B31" s="4">
        <v>45754</v>
      </c>
      <c r="C31" s="4">
        <v>45758</v>
      </c>
      <c r="D31" s="7" t="s">
        <v>649</v>
      </c>
      <c r="E31" s="7" t="s">
        <v>657</v>
      </c>
      <c r="F31" s="7" t="s">
        <v>679</v>
      </c>
      <c r="G31" s="7" t="s">
        <v>702</v>
      </c>
      <c r="H31" s="7" t="s">
        <v>707</v>
      </c>
      <c r="I31" s="7" t="s">
        <v>718</v>
      </c>
      <c r="J31" s="7" t="s">
        <v>729</v>
      </c>
      <c r="K31" s="7" t="s">
        <v>763</v>
      </c>
      <c r="L31" s="9">
        <v>754.77</v>
      </c>
      <c r="M31" s="9">
        <v>1666.18</v>
      </c>
      <c r="N31" s="11">
        <v>0.13900000000000001</v>
      </c>
      <c r="O31" s="13">
        <v>14</v>
      </c>
    </row>
    <row r="32" spans="1:15" x14ac:dyDescent="0.3">
      <c r="A32" t="s">
        <v>45</v>
      </c>
      <c r="B32" s="4">
        <v>45653</v>
      </c>
      <c r="C32" s="4">
        <v>45672</v>
      </c>
      <c r="D32" s="7" t="s">
        <v>647</v>
      </c>
      <c r="E32" s="7" t="s">
        <v>654</v>
      </c>
      <c r="F32" s="7" t="s">
        <v>680</v>
      </c>
      <c r="G32" s="7" t="s">
        <v>703</v>
      </c>
      <c r="H32" s="7" t="s">
        <v>710</v>
      </c>
      <c r="I32" s="7" t="s">
        <v>715</v>
      </c>
      <c r="J32" s="7" t="s">
        <v>727</v>
      </c>
      <c r="K32" s="7" t="s">
        <v>764</v>
      </c>
      <c r="L32" s="9">
        <v>495.59</v>
      </c>
      <c r="M32" s="9">
        <v>631.78</v>
      </c>
      <c r="N32" s="11">
        <v>8.6999999999999994E-2</v>
      </c>
      <c r="O32" s="13">
        <v>17</v>
      </c>
    </row>
    <row r="33" spans="1:15" x14ac:dyDescent="0.3">
      <c r="A33" t="s">
        <v>46</v>
      </c>
      <c r="B33" s="4">
        <v>44980</v>
      </c>
      <c r="C33" s="4">
        <v>45010</v>
      </c>
      <c r="D33" s="7" t="s">
        <v>648</v>
      </c>
      <c r="E33" s="7" t="s">
        <v>653</v>
      </c>
      <c r="F33" s="7" t="s">
        <v>681</v>
      </c>
      <c r="G33" s="7" t="s">
        <v>706</v>
      </c>
      <c r="H33" s="7" t="s">
        <v>708</v>
      </c>
      <c r="I33" s="7" t="s">
        <v>726</v>
      </c>
      <c r="J33" s="7" t="s">
        <v>730</v>
      </c>
      <c r="K33" s="7" t="s">
        <v>765</v>
      </c>
      <c r="L33" s="9">
        <v>1242.6600000000001</v>
      </c>
      <c r="M33" s="9">
        <v>1794.07</v>
      </c>
      <c r="N33" s="11">
        <v>8.8999999999999996E-2</v>
      </c>
      <c r="O33" s="13">
        <v>16</v>
      </c>
    </row>
    <row r="34" spans="1:15" x14ac:dyDescent="0.3">
      <c r="A34" t="s">
        <v>47</v>
      </c>
      <c r="B34" s="4">
        <v>45862</v>
      </c>
      <c r="C34" s="4">
        <v>45875</v>
      </c>
      <c r="D34" s="7" t="s">
        <v>646</v>
      </c>
      <c r="E34" s="7" t="s">
        <v>661</v>
      </c>
      <c r="F34" s="7" t="s">
        <v>682</v>
      </c>
      <c r="G34" s="7" t="s">
        <v>702</v>
      </c>
      <c r="H34" s="7" t="s">
        <v>709</v>
      </c>
      <c r="I34" s="7" t="s">
        <v>726</v>
      </c>
      <c r="J34" s="7" t="s">
        <v>729</v>
      </c>
      <c r="K34" s="7" t="s">
        <v>766</v>
      </c>
      <c r="L34" s="9">
        <v>1463.9</v>
      </c>
      <c r="M34" s="9">
        <v>2633.02</v>
      </c>
      <c r="N34" s="11">
        <v>8.4000000000000005E-2</v>
      </c>
      <c r="O34" s="13">
        <v>4</v>
      </c>
    </row>
    <row r="35" spans="1:15" x14ac:dyDescent="0.3">
      <c r="A35" t="s">
        <v>48</v>
      </c>
      <c r="B35" s="4">
        <v>45400</v>
      </c>
      <c r="C35" s="4">
        <v>45420</v>
      </c>
      <c r="D35" s="7" t="s">
        <v>649</v>
      </c>
      <c r="E35" s="7" t="s">
        <v>658</v>
      </c>
      <c r="F35" s="7" t="s">
        <v>683</v>
      </c>
      <c r="G35" s="7" t="s">
        <v>703</v>
      </c>
      <c r="I35" s="7" t="s">
        <v>726</v>
      </c>
      <c r="J35" s="7" t="s">
        <v>731</v>
      </c>
      <c r="K35" s="7" t="s">
        <v>767</v>
      </c>
      <c r="L35" s="9">
        <v>645.33000000000004</v>
      </c>
      <c r="M35" s="9">
        <v>1321.85</v>
      </c>
      <c r="N35" s="11">
        <v>0</v>
      </c>
      <c r="O35" s="13">
        <v>10</v>
      </c>
    </row>
    <row r="36" spans="1:15" x14ac:dyDescent="0.3">
      <c r="A36" t="s">
        <v>49</v>
      </c>
      <c r="B36" s="4">
        <v>45527</v>
      </c>
      <c r="C36" s="4">
        <v>45525</v>
      </c>
      <c r="D36" s="7" t="s">
        <v>646</v>
      </c>
      <c r="E36" s="7" t="s">
        <v>661</v>
      </c>
      <c r="F36" s="7" t="s">
        <v>682</v>
      </c>
      <c r="G36" s="7" t="s">
        <v>702</v>
      </c>
      <c r="H36" s="7" t="s">
        <v>707</v>
      </c>
      <c r="I36" s="7" t="s">
        <v>718</v>
      </c>
      <c r="J36" s="7" t="s">
        <v>727</v>
      </c>
      <c r="K36" s="7" t="s">
        <v>768</v>
      </c>
      <c r="L36" s="9">
        <v>1432.52</v>
      </c>
      <c r="M36" s="9">
        <v>3036.87</v>
      </c>
      <c r="N36" s="11">
        <v>0</v>
      </c>
      <c r="O36" s="13">
        <v>9</v>
      </c>
    </row>
    <row r="37" spans="1:15" x14ac:dyDescent="0.3">
      <c r="A37" t="s">
        <v>50</v>
      </c>
      <c r="B37" s="4">
        <v>45012</v>
      </c>
      <c r="C37" s="4">
        <v>45038</v>
      </c>
      <c r="D37" s="7" t="s">
        <v>647</v>
      </c>
      <c r="E37" s="7" t="s">
        <v>654</v>
      </c>
      <c r="F37" s="7" t="s">
        <v>680</v>
      </c>
      <c r="G37" s="7" t="s">
        <v>703</v>
      </c>
      <c r="H37" s="7" t="s">
        <v>709</v>
      </c>
      <c r="I37" s="7" t="s">
        <v>713</v>
      </c>
      <c r="J37" s="7" t="s">
        <v>728</v>
      </c>
      <c r="K37" s="7" t="s">
        <v>769</v>
      </c>
      <c r="L37" s="9">
        <v>178.53</v>
      </c>
      <c r="M37" s="9">
        <v>199.37</v>
      </c>
      <c r="N37" s="11">
        <v>0.10100000000000001</v>
      </c>
      <c r="O37" s="13">
        <v>37</v>
      </c>
    </row>
    <row r="38" spans="1:15" x14ac:dyDescent="0.3">
      <c r="A38" t="s">
        <v>51</v>
      </c>
      <c r="B38" s="4">
        <v>45358</v>
      </c>
      <c r="C38" s="4">
        <v>45376</v>
      </c>
      <c r="D38" s="7" t="s">
        <v>649</v>
      </c>
      <c r="E38" s="7" t="s">
        <v>656</v>
      </c>
      <c r="F38" s="7" t="s">
        <v>684</v>
      </c>
      <c r="G38" s="7" t="s">
        <v>701</v>
      </c>
      <c r="H38" s="7" t="s">
        <v>708</v>
      </c>
      <c r="I38" s="7" t="s">
        <v>717</v>
      </c>
      <c r="J38" s="7" t="s">
        <v>727</v>
      </c>
      <c r="K38" s="7" t="s">
        <v>770</v>
      </c>
      <c r="L38" s="9">
        <v>712.84</v>
      </c>
      <c r="M38" s="9">
        <v>927.51</v>
      </c>
      <c r="N38" s="11">
        <v>0.24299999999999999</v>
      </c>
      <c r="O38" s="13">
        <v>27</v>
      </c>
    </row>
    <row r="39" spans="1:15" x14ac:dyDescent="0.3">
      <c r="A39" t="s">
        <v>52</v>
      </c>
      <c r="B39" s="4">
        <v>45832</v>
      </c>
      <c r="C39" s="4">
        <v>45848</v>
      </c>
      <c r="D39" s="7" t="s">
        <v>647</v>
      </c>
      <c r="E39" s="7" t="s">
        <v>659</v>
      </c>
      <c r="F39" s="7" t="s">
        <v>685</v>
      </c>
      <c r="G39" s="7" t="s">
        <v>706</v>
      </c>
      <c r="H39" s="7" t="s">
        <v>711</v>
      </c>
      <c r="I39" s="7" t="s">
        <v>725</v>
      </c>
      <c r="J39" s="7" t="s">
        <v>727</v>
      </c>
      <c r="K39" s="7" t="s">
        <v>771</v>
      </c>
      <c r="L39" s="9">
        <v>757.19</v>
      </c>
      <c r="M39" s="9">
        <v>1735.41</v>
      </c>
      <c r="N39" s="11">
        <v>0.13600000000000001</v>
      </c>
      <c r="O39" s="13">
        <v>8</v>
      </c>
    </row>
    <row r="40" spans="1:15" x14ac:dyDescent="0.3">
      <c r="A40" t="s">
        <v>53</v>
      </c>
      <c r="B40" s="4">
        <v>45401</v>
      </c>
      <c r="C40" s="4">
        <v>45418</v>
      </c>
      <c r="D40" s="7" t="s">
        <v>646</v>
      </c>
      <c r="E40" s="7" t="s">
        <v>651</v>
      </c>
      <c r="F40" s="7" t="s">
        <v>663</v>
      </c>
      <c r="G40" s="7" t="s">
        <v>703</v>
      </c>
      <c r="H40" s="7" t="s">
        <v>708</v>
      </c>
      <c r="I40" s="7" t="s">
        <v>720</v>
      </c>
      <c r="J40" s="7" t="s">
        <v>728</v>
      </c>
      <c r="K40" s="7" t="s">
        <v>772</v>
      </c>
      <c r="L40" s="9">
        <v>865.33</v>
      </c>
      <c r="M40" s="9">
        <v>1395.64</v>
      </c>
      <c r="N40" s="11">
        <v>0.17499999999999999</v>
      </c>
      <c r="O40" s="13">
        <v>13</v>
      </c>
    </row>
    <row r="41" spans="1:15" x14ac:dyDescent="0.3">
      <c r="A41" t="s">
        <v>54</v>
      </c>
      <c r="B41" s="4">
        <v>45094</v>
      </c>
      <c r="C41" s="4">
        <v>45101</v>
      </c>
      <c r="D41" s="7" t="s">
        <v>648</v>
      </c>
      <c r="E41" s="7" t="s">
        <v>660</v>
      </c>
      <c r="F41" s="7" t="s">
        <v>686</v>
      </c>
      <c r="G41" s="7" t="s">
        <v>701</v>
      </c>
      <c r="H41" s="7" t="s">
        <v>707</v>
      </c>
      <c r="I41" s="7" t="s">
        <v>714</v>
      </c>
      <c r="J41" s="7" t="s">
        <v>728</v>
      </c>
      <c r="K41" s="7" t="s">
        <v>773</v>
      </c>
      <c r="L41" s="9">
        <v>313.99</v>
      </c>
      <c r="M41" s="9">
        <v>454.42</v>
      </c>
      <c r="N41" s="11">
        <v>0.129</v>
      </c>
      <c r="O41" s="13">
        <v>9</v>
      </c>
    </row>
    <row r="42" spans="1:15" x14ac:dyDescent="0.3">
      <c r="A42" t="s">
        <v>55</v>
      </c>
      <c r="B42" s="4">
        <v>45531</v>
      </c>
      <c r="C42" s="4">
        <v>45554</v>
      </c>
      <c r="D42" s="7" t="s">
        <v>649</v>
      </c>
      <c r="E42" s="7" t="s">
        <v>656</v>
      </c>
      <c r="F42" s="7" t="s">
        <v>671</v>
      </c>
      <c r="G42" s="7" t="s">
        <v>705</v>
      </c>
      <c r="H42" s="7" t="s">
        <v>711</v>
      </c>
      <c r="I42" s="7" t="s">
        <v>726</v>
      </c>
      <c r="J42" s="7" t="s">
        <v>732</v>
      </c>
      <c r="K42" s="7" t="s">
        <v>774</v>
      </c>
      <c r="L42" s="9">
        <v>1024.01</v>
      </c>
      <c r="M42" s="9">
        <v>1580.97</v>
      </c>
      <c r="N42" s="11">
        <v>3.6999999999999998E-2</v>
      </c>
      <c r="O42" s="13">
        <v>27</v>
      </c>
    </row>
    <row r="43" spans="1:15" x14ac:dyDescent="0.3">
      <c r="A43" t="s">
        <v>56</v>
      </c>
      <c r="B43" s="4">
        <v>45302</v>
      </c>
      <c r="C43" s="4">
        <v>45324</v>
      </c>
      <c r="D43" s="7" t="s">
        <v>646</v>
      </c>
      <c r="E43" s="7" t="s">
        <v>661</v>
      </c>
      <c r="F43" s="7" t="s">
        <v>687</v>
      </c>
      <c r="G43" s="7" t="s">
        <v>704</v>
      </c>
      <c r="H43" s="7" t="s">
        <v>708</v>
      </c>
      <c r="I43" s="7" t="s">
        <v>723</v>
      </c>
      <c r="J43" s="7" t="s">
        <v>729</v>
      </c>
      <c r="K43" s="7" t="s">
        <v>775</v>
      </c>
      <c r="L43" s="9">
        <v>1206.2</v>
      </c>
      <c r="M43" s="9">
        <v>1759.79</v>
      </c>
      <c r="N43" s="11">
        <v>0</v>
      </c>
      <c r="O43" s="13">
        <v>6</v>
      </c>
    </row>
    <row r="44" spans="1:15" x14ac:dyDescent="0.3">
      <c r="A44" t="s">
        <v>57</v>
      </c>
      <c r="B44" s="4">
        <v>45590</v>
      </c>
      <c r="C44" s="4">
        <v>45610</v>
      </c>
      <c r="D44" s="7" t="s">
        <v>646</v>
      </c>
      <c r="E44" s="7" t="s">
        <v>650</v>
      </c>
      <c r="F44" s="7" t="s">
        <v>675</v>
      </c>
      <c r="G44" s="7" t="s">
        <v>701</v>
      </c>
      <c r="H44" s="7" t="s">
        <v>711</v>
      </c>
      <c r="I44" s="7" t="s">
        <v>722</v>
      </c>
      <c r="J44" s="7" t="s">
        <v>728</v>
      </c>
      <c r="K44" s="7" t="s">
        <v>776</v>
      </c>
      <c r="L44" s="9">
        <v>1396.48</v>
      </c>
      <c r="M44" s="9">
        <v>3204.5</v>
      </c>
      <c r="N44" s="11">
        <v>0.318</v>
      </c>
      <c r="O44" s="13">
        <v>14</v>
      </c>
    </row>
    <row r="45" spans="1:15" x14ac:dyDescent="0.3">
      <c r="A45" t="s">
        <v>58</v>
      </c>
      <c r="B45" s="4">
        <v>45806</v>
      </c>
      <c r="C45" s="4">
        <v>45828</v>
      </c>
      <c r="D45" s="7" t="s">
        <v>649</v>
      </c>
      <c r="E45" s="7" t="s">
        <v>656</v>
      </c>
      <c r="F45" s="7" t="s">
        <v>671</v>
      </c>
      <c r="G45" s="7" t="s">
        <v>701</v>
      </c>
      <c r="H45" s="7" t="s">
        <v>711</v>
      </c>
      <c r="I45" s="7" t="s">
        <v>720</v>
      </c>
      <c r="J45" s="7" t="s">
        <v>728</v>
      </c>
      <c r="K45" s="7" t="s">
        <v>777</v>
      </c>
      <c r="L45" s="9">
        <v>483.47</v>
      </c>
      <c r="M45" s="9">
        <v>1135.43</v>
      </c>
      <c r="N45" s="11">
        <v>0.14599999999999999</v>
      </c>
      <c r="O45" s="13">
        <v>11</v>
      </c>
    </row>
    <row r="46" spans="1:15" x14ac:dyDescent="0.3">
      <c r="A46" t="s">
        <v>59</v>
      </c>
      <c r="B46" s="4">
        <v>45432</v>
      </c>
      <c r="C46" s="4">
        <v>45445</v>
      </c>
      <c r="D46" s="7" t="s">
        <v>648</v>
      </c>
      <c r="E46" s="7" t="s">
        <v>653</v>
      </c>
      <c r="F46" s="7" t="s">
        <v>688</v>
      </c>
      <c r="G46" s="7" t="s">
        <v>706</v>
      </c>
      <c r="H46" s="7" t="s">
        <v>709</v>
      </c>
      <c r="I46" s="7" t="s">
        <v>723</v>
      </c>
      <c r="J46" s="7" t="s">
        <v>727</v>
      </c>
      <c r="K46" s="7" t="s">
        <v>778</v>
      </c>
      <c r="L46" s="9">
        <v>675.43</v>
      </c>
      <c r="M46" s="9">
        <v>996.36</v>
      </c>
      <c r="N46" s="11">
        <v>0.182</v>
      </c>
      <c r="O46" s="13">
        <v>22</v>
      </c>
    </row>
    <row r="47" spans="1:15" x14ac:dyDescent="0.3">
      <c r="A47" t="s">
        <v>60</v>
      </c>
      <c r="B47" s="4">
        <v>45035</v>
      </c>
      <c r="C47" s="4">
        <v>45046</v>
      </c>
      <c r="D47" s="7" t="s">
        <v>647</v>
      </c>
      <c r="E47" s="7" t="s">
        <v>654</v>
      </c>
      <c r="F47" s="7" t="s">
        <v>680</v>
      </c>
      <c r="G47" s="7" t="s">
        <v>705</v>
      </c>
      <c r="H47" s="7" t="s">
        <v>707</v>
      </c>
      <c r="I47" s="7" t="s">
        <v>720</v>
      </c>
      <c r="J47" s="7" t="s">
        <v>729</v>
      </c>
      <c r="K47" s="7" t="s">
        <v>779</v>
      </c>
      <c r="L47" s="9">
        <v>826.55</v>
      </c>
      <c r="M47" s="9">
        <v>1397.05</v>
      </c>
      <c r="N47" s="11">
        <v>0.16900000000000001</v>
      </c>
      <c r="O47" s="13">
        <v>28</v>
      </c>
    </row>
    <row r="48" spans="1:15" x14ac:dyDescent="0.3">
      <c r="A48" t="s">
        <v>61</v>
      </c>
      <c r="B48" s="4">
        <v>45100</v>
      </c>
      <c r="C48" s="4">
        <v>45110</v>
      </c>
      <c r="D48" s="7" t="s">
        <v>646</v>
      </c>
      <c r="E48" s="7" t="s">
        <v>651</v>
      </c>
      <c r="F48" s="7" t="s">
        <v>669</v>
      </c>
      <c r="G48" s="7" t="s">
        <v>704</v>
      </c>
      <c r="H48" s="7" t="s">
        <v>708</v>
      </c>
      <c r="I48" s="7" t="s">
        <v>713</v>
      </c>
      <c r="J48" s="7" t="s">
        <v>728</v>
      </c>
      <c r="K48" s="7" t="s">
        <v>780</v>
      </c>
      <c r="L48" s="9">
        <v>337.75</v>
      </c>
      <c r="M48" s="9">
        <v>548.89</v>
      </c>
      <c r="N48" s="11">
        <v>0</v>
      </c>
      <c r="O48" s="13">
        <v>13</v>
      </c>
    </row>
    <row r="49" spans="1:15" x14ac:dyDescent="0.3">
      <c r="A49" t="s">
        <v>62</v>
      </c>
      <c r="B49" s="4">
        <v>45426</v>
      </c>
      <c r="C49" s="4">
        <v>45440</v>
      </c>
      <c r="D49" s="7" t="s">
        <v>649</v>
      </c>
      <c r="E49" s="7" t="s">
        <v>658</v>
      </c>
      <c r="F49" s="7" t="s">
        <v>674</v>
      </c>
      <c r="G49" s="7" t="s">
        <v>704</v>
      </c>
      <c r="H49" s="7" t="s">
        <v>707</v>
      </c>
      <c r="I49" s="7" t="s">
        <v>717</v>
      </c>
      <c r="J49" s="7" t="s">
        <v>729</v>
      </c>
      <c r="K49" s="7" t="s">
        <v>781</v>
      </c>
      <c r="L49" s="9">
        <v>1421.14</v>
      </c>
      <c r="M49" s="9">
        <v>3524</v>
      </c>
      <c r="N49" s="11">
        <v>0</v>
      </c>
      <c r="O49" s="13">
        <v>31</v>
      </c>
    </row>
    <row r="50" spans="1:15" x14ac:dyDescent="0.3">
      <c r="A50" t="s">
        <v>63</v>
      </c>
      <c r="B50" s="4">
        <v>45579</v>
      </c>
      <c r="C50" s="4">
        <v>45604</v>
      </c>
      <c r="D50" s="7" t="s">
        <v>646</v>
      </c>
      <c r="E50" s="7" t="s">
        <v>651</v>
      </c>
      <c r="F50" s="7" t="s">
        <v>665</v>
      </c>
      <c r="G50" s="7" t="s">
        <v>706</v>
      </c>
      <c r="H50" s="7" t="s">
        <v>708</v>
      </c>
      <c r="I50" s="7" t="s">
        <v>719</v>
      </c>
      <c r="J50" s="7" t="s">
        <v>729</v>
      </c>
      <c r="K50" s="7" t="s">
        <v>782</v>
      </c>
      <c r="L50" s="9">
        <v>859.35</v>
      </c>
      <c r="M50" s="9">
        <v>1825.61</v>
      </c>
      <c r="N50" s="11">
        <v>0.187</v>
      </c>
      <c r="O50" s="13">
        <v>24</v>
      </c>
    </row>
    <row r="51" spans="1:15" x14ac:dyDescent="0.3">
      <c r="A51" t="s">
        <v>64</v>
      </c>
      <c r="B51" s="4">
        <v>45117</v>
      </c>
      <c r="C51" s="4">
        <v>45139</v>
      </c>
      <c r="D51" s="7" t="s">
        <v>649</v>
      </c>
      <c r="E51" s="7" t="s">
        <v>657</v>
      </c>
      <c r="F51" s="7" t="s">
        <v>673</v>
      </c>
      <c r="G51" s="7" t="s">
        <v>704</v>
      </c>
      <c r="H51" s="7" t="s">
        <v>709</v>
      </c>
      <c r="I51" s="7" t="s">
        <v>717</v>
      </c>
      <c r="J51" s="7" t="s">
        <v>728</v>
      </c>
      <c r="K51" s="7" t="s">
        <v>783</v>
      </c>
      <c r="L51" s="9">
        <v>1303.56</v>
      </c>
      <c r="M51" s="9">
        <v>1791.37</v>
      </c>
      <c r="N51" s="11">
        <v>0.126</v>
      </c>
      <c r="O51" s="13">
        <v>22</v>
      </c>
    </row>
    <row r="52" spans="1:15" x14ac:dyDescent="0.3">
      <c r="A52" t="s">
        <v>65</v>
      </c>
      <c r="B52" s="4">
        <v>45602</v>
      </c>
      <c r="C52" s="4">
        <v>45618</v>
      </c>
      <c r="D52" s="7" t="s">
        <v>648</v>
      </c>
      <c r="E52" s="7" t="s">
        <v>653</v>
      </c>
      <c r="F52" s="7" t="s">
        <v>667</v>
      </c>
      <c r="G52" s="7" t="s">
        <v>703</v>
      </c>
      <c r="H52" s="7" t="s">
        <v>710</v>
      </c>
      <c r="I52" s="7" t="s">
        <v>726</v>
      </c>
      <c r="J52" s="7" t="s">
        <v>733</v>
      </c>
      <c r="K52" s="7" t="s">
        <v>784</v>
      </c>
      <c r="L52" s="9">
        <v>1454.11</v>
      </c>
      <c r="M52" s="9">
        <v>2629.75</v>
      </c>
      <c r="N52" s="11">
        <v>0.29199999999999998</v>
      </c>
      <c r="O52" s="13">
        <v>8</v>
      </c>
    </row>
    <row r="53" spans="1:15" x14ac:dyDescent="0.3">
      <c r="A53" t="s">
        <v>66</v>
      </c>
      <c r="B53" s="4">
        <v>45582</v>
      </c>
      <c r="C53" s="4">
        <v>45602</v>
      </c>
      <c r="D53" s="7" t="s">
        <v>647</v>
      </c>
      <c r="E53" s="7" t="s">
        <v>654</v>
      </c>
      <c r="F53" s="7" t="s">
        <v>668</v>
      </c>
      <c r="G53" s="7" t="s">
        <v>706</v>
      </c>
      <c r="H53" s="7" t="s">
        <v>710</v>
      </c>
      <c r="I53" s="7" t="s">
        <v>719</v>
      </c>
      <c r="J53" s="7" t="s">
        <v>732</v>
      </c>
      <c r="K53" s="7" t="s">
        <v>785</v>
      </c>
      <c r="L53" s="9">
        <v>72.94</v>
      </c>
      <c r="M53" s="9">
        <v>106.3</v>
      </c>
      <c r="N53" s="11">
        <v>0.29499999999999998</v>
      </c>
      <c r="O53" s="13">
        <v>8</v>
      </c>
    </row>
    <row r="54" spans="1:15" x14ac:dyDescent="0.3">
      <c r="A54" t="s">
        <v>67</v>
      </c>
      <c r="B54" s="4">
        <v>45016</v>
      </c>
      <c r="C54" s="4">
        <v>45021</v>
      </c>
      <c r="D54" s="7" t="s">
        <v>646</v>
      </c>
      <c r="E54" s="7" t="s">
        <v>650</v>
      </c>
      <c r="F54" s="7" t="s">
        <v>678</v>
      </c>
      <c r="G54" s="7" t="s">
        <v>702</v>
      </c>
      <c r="H54" s="7" t="s">
        <v>709</v>
      </c>
      <c r="I54" s="7" t="s">
        <v>717</v>
      </c>
      <c r="J54" s="7" t="s">
        <v>731</v>
      </c>
      <c r="K54" s="7" t="s">
        <v>786</v>
      </c>
      <c r="L54" s="9">
        <v>533.26</v>
      </c>
      <c r="M54" s="9">
        <v>385.72</v>
      </c>
      <c r="N54" s="11">
        <v>0</v>
      </c>
      <c r="O54" s="13">
        <v>15</v>
      </c>
    </row>
    <row r="55" spans="1:15" x14ac:dyDescent="0.3">
      <c r="A55" t="s">
        <v>68</v>
      </c>
      <c r="B55" s="4">
        <v>45678</v>
      </c>
      <c r="C55" s="4">
        <v>45704</v>
      </c>
      <c r="D55" s="7" t="s">
        <v>649</v>
      </c>
      <c r="E55" s="7" t="s">
        <v>657</v>
      </c>
      <c r="F55" s="7" t="s">
        <v>679</v>
      </c>
      <c r="G55" s="7" t="s">
        <v>701</v>
      </c>
      <c r="H55" s="7" t="s">
        <v>710</v>
      </c>
      <c r="I55" s="7" t="s">
        <v>719</v>
      </c>
      <c r="J55" s="7" t="s">
        <v>731</v>
      </c>
      <c r="K55" s="7" t="s">
        <v>787</v>
      </c>
      <c r="L55" s="9">
        <v>204.11</v>
      </c>
      <c r="M55" s="9">
        <v>236.87</v>
      </c>
      <c r="N55" s="11">
        <v>0.182</v>
      </c>
      <c r="O55" s="13">
        <v>13</v>
      </c>
    </row>
    <row r="56" spans="1:15" x14ac:dyDescent="0.3">
      <c r="A56" t="s">
        <v>69</v>
      </c>
      <c r="B56" s="4">
        <v>45168</v>
      </c>
      <c r="C56" s="4">
        <v>45170</v>
      </c>
      <c r="D56" s="7" t="s">
        <v>649</v>
      </c>
      <c r="E56" s="7" t="s">
        <v>656</v>
      </c>
      <c r="F56" s="7" t="s">
        <v>684</v>
      </c>
      <c r="G56" s="7" t="s">
        <v>701</v>
      </c>
      <c r="H56" s="7" t="s">
        <v>711</v>
      </c>
      <c r="I56" s="7" t="s">
        <v>725</v>
      </c>
      <c r="J56" s="7" t="s">
        <v>729</v>
      </c>
      <c r="K56" s="7" t="s">
        <v>788</v>
      </c>
      <c r="L56" s="9">
        <v>44.42</v>
      </c>
      <c r="M56" s="9">
        <v>41.9</v>
      </c>
      <c r="N56" s="11">
        <v>0.14399999999999999</v>
      </c>
      <c r="O56" s="13">
        <v>6</v>
      </c>
    </row>
    <row r="57" spans="1:15" x14ac:dyDescent="0.3">
      <c r="A57" t="s">
        <v>70</v>
      </c>
      <c r="B57" s="4">
        <v>45753</v>
      </c>
      <c r="C57" s="4">
        <v>45777</v>
      </c>
      <c r="D57" s="7" t="s">
        <v>648</v>
      </c>
      <c r="E57" s="7" t="s">
        <v>655</v>
      </c>
      <c r="F57" s="7" t="s">
        <v>672</v>
      </c>
      <c r="G57" s="7" t="s">
        <v>702</v>
      </c>
      <c r="H57" s="7" t="s">
        <v>708</v>
      </c>
      <c r="I57" s="7" t="s">
        <v>723</v>
      </c>
      <c r="J57" s="7" t="s">
        <v>732</v>
      </c>
      <c r="K57" s="7" t="s">
        <v>789</v>
      </c>
      <c r="L57" s="9">
        <v>855.78</v>
      </c>
      <c r="M57" s="9">
        <v>977.38</v>
      </c>
      <c r="N57" s="11">
        <v>0.14699999999999999</v>
      </c>
      <c r="O57" s="13">
        <v>38</v>
      </c>
    </row>
    <row r="58" spans="1:15" x14ac:dyDescent="0.3">
      <c r="A58" t="s">
        <v>71</v>
      </c>
      <c r="B58" s="4">
        <v>45697</v>
      </c>
      <c r="C58" s="4">
        <v>45717</v>
      </c>
      <c r="D58" s="7" t="s">
        <v>648</v>
      </c>
      <c r="E58" s="7" t="s">
        <v>655</v>
      </c>
      <c r="F58" s="7" t="s">
        <v>670</v>
      </c>
      <c r="G58" s="7" t="s">
        <v>701</v>
      </c>
      <c r="H58" s="7" t="s">
        <v>710</v>
      </c>
      <c r="I58" s="7" t="s">
        <v>717</v>
      </c>
      <c r="J58" s="7" t="s">
        <v>731</v>
      </c>
      <c r="K58" s="7" t="s">
        <v>790</v>
      </c>
      <c r="L58" s="9">
        <v>1154.6400000000001</v>
      </c>
      <c r="M58" s="9">
        <v>2794.13</v>
      </c>
      <c r="N58" s="11">
        <v>3.5000000000000003E-2</v>
      </c>
      <c r="O58" s="13">
        <v>11</v>
      </c>
    </row>
    <row r="59" spans="1:15" x14ac:dyDescent="0.3">
      <c r="A59" t="s">
        <v>72</v>
      </c>
      <c r="B59" s="4">
        <v>45643</v>
      </c>
      <c r="C59" s="4">
        <v>45644</v>
      </c>
      <c r="D59" s="7" t="s">
        <v>649</v>
      </c>
      <c r="E59" s="7" t="s">
        <v>656</v>
      </c>
      <c r="F59" s="7" t="s">
        <v>684</v>
      </c>
      <c r="G59" s="7" t="s">
        <v>702</v>
      </c>
      <c r="H59" s="7" t="s">
        <v>707</v>
      </c>
      <c r="I59" s="7" t="s">
        <v>716</v>
      </c>
      <c r="J59" s="7" t="s">
        <v>733</v>
      </c>
      <c r="K59" s="7" t="s">
        <v>791</v>
      </c>
      <c r="L59" s="9">
        <v>346.82</v>
      </c>
      <c r="M59" s="9">
        <v>701.95</v>
      </c>
      <c r="N59" s="11">
        <v>0.14699999999999999</v>
      </c>
      <c r="O59" s="13">
        <v>8</v>
      </c>
    </row>
    <row r="60" spans="1:15" x14ac:dyDescent="0.3">
      <c r="A60" t="s">
        <v>73</v>
      </c>
      <c r="B60" s="4">
        <v>45817</v>
      </c>
      <c r="C60" s="4">
        <v>45826</v>
      </c>
      <c r="D60" s="7" t="s">
        <v>649</v>
      </c>
      <c r="E60" s="7" t="s">
        <v>657</v>
      </c>
      <c r="F60" s="7" t="s">
        <v>673</v>
      </c>
      <c r="G60" s="7" t="s">
        <v>705</v>
      </c>
      <c r="H60" s="7" t="s">
        <v>709</v>
      </c>
      <c r="I60" s="7" t="s">
        <v>722</v>
      </c>
      <c r="J60" s="7" t="s">
        <v>733</v>
      </c>
      <c r="K60" s="7" t="s">
        <v>792</v>
      </c>
      <c r="L60" s="9">
        <v>1225.5</v>
      </c>
      <c r="M60" s="9">
        <v>-5.27</v>
      </c>
      <c r="N60" s="11">
        <v>7.4999999999999997E-2</v>
      </c>
      <c r="O60" s="13">
        <v>56</v>
      </c>
    </row>
    <row r="61" spans="1:15" x14ac:dyDescent="0.3">
      <c r="A61" t="s">
        <v>74</v>
      </c>
      <c r="B61" s="4">
        <v>45779</v>
      </c>
      <c r="C61" s="4">
        <v>45790</v>
      </c>
      <c r="D61" s="7" t="s">
        <v>646</v>
      </c>
      <c r="E61" s="7" t="s">
        <v>650</v>
      </c>
      <c r="F61" s="7" t="s">
        <v>678</v>
      </c>
      <c r="G61" s="7" t="s">
        <v>705</v>
      </c>
      <c r="H61" s="7" t="s">
        <v>708</v>
      </c>
      <c r="I61" s="7" t="s">
        <v>720</v>
      </c>
      <c r="J61" s="7" t="s">
        <v>733</v>
      </c>
      <c r="K61" s="7" t="s">
        <v>793</v>
      </c>
      <c r="L61" s="9">
        <v>1057.5999999999999</v>
      </c>
      <c r="M61" s="9">
        <v>1437.06</v>
      </c>
      <c r="N61" s="11">
        <v>0.20499999999999999</v>
      </c>
      <c r="O61" s="13">
        <v>4</v>
      </c>
    </row>
    <row r="62" spans="1:15" x14ac:dyDescent="0.3">
      <c r="A62" t="s">
        <v>75</v>
      </c>
      <c r="B62" s="4">
        <v>45361</v>
      </c>
      <c r="C62" s="4">
        <v>45391</v>
      </c>
      <c r="D62" s="7" t="s">
        <v>649</v>
      </c>
      <c r="E62" s="7" t="s">
        <v>657</v>
      </c>
      <c r="F62" s="7" t="s">
        <v>679</v>
      </c>
      <c r="G62" s="7" t="s">
        <v>701</v>
      </c>
      <c r="H62" s="7" t="s">
        <v>711</v>
      </c>
      <c r="I62" s="7" t="s">
        <v>714</v>
      </c>
      <c r="J62" s="7" t="s">
        <v>727</v>
      </c>
      <c r="K62" s="7" t="s">
        <v>794</v>
      </c>
      <c r="L62" s="9">
        <v>1176.56</v>
      </c>
      <c r="M62" s="9">
        <v>1911.89</v>
      </c>
      <c r="N62" s="11">
        <v>0.11899999999999999</v>
      </c>
      <c r="O62" s="13">
        <v>20</v>
      </c>
    </row>
    <row r="63" spans="1:15" x14ac:dyDescent="0.3">
      <c r="A63" t="s">
        <v>76</v>
      </c>
      <c r="B63" s="4">
        <v>45910</v>
      </c>
      <c r="C63" s="4">
        <v>45912</v>
      </c>
      <c r="D63" s="7" t="s">
        <v>647</v>
      </c>
      <c r="E63" s="7" t="s">
        <v>652</v>
      </c>
      <c r="F63" s="7" t="s">
        <v>689</v>
      </c>
      <c r="G63" s="7" t="s">
        <v>704</v>
      </c>
      <c r="H63" s="7" t="s">
        <v>708</v>
      </c>
      <c r="I63" s="7" t="s">
        <v>719</v>
      </c>
      <c r="J63" s="7" t="s">
        <v>727</v>
      </c>
      <c r="K63" s="7" t="s">
        <v>795</v>
      </c>
      <c r="L63" s="9">
        <v>1470.15</v>
      </c>
      <c r="M63" s="9">
        <v>2593.7800000000002</v>
      </c>
      <c r="N63" s="11">
        <v>0.11</v>
      </c>
      <c r="O63" s="13">
        <v>12</v>
      </c>
    </row>
    <row r="64" spans="1:15" x14ac:dyDescent="0.3">
      <c r="A64" t="s">
        <v>77</v>
      </c>
      <c r="B64" s="4">
        <v>45774</v>
      </c>
      <c r="C64" s="4">
        <v>45802</v>
      </c>
      <c r="D64" s="7" t="s">
        <v>649</v>
      </c>
      <c r="E64" s="7" t="s">
        <v>657</v>
      </c>
      <c r="F64" s="7" t="s">
        <v>690</v>
      </c>
      <c r="G64" s="7" t="s">
        <v>705</v>
      </c>
      <c r="H64" s="7" t="s">
        <v>709</v>
      </c>
      <c r="I64" s="7" t="s">
        <v>714</v>
      </c>
      <c r="J64" s="7" t="s">
        <v>730</v>
      </c>
      <c r="K64" s="7" t="s">
        <v>796</v>
      </c>
      <c r="L64" s="9">
        <v>603.45000000000005</v>
      </c>
      <c r="M64" s="9">
        <v>1244.08</v>
      </c>
      <c r="N64" s="11">
        <v>0.2</v>
      </c>
      <c r="O64" s="13">
        <v>11</v>
      </c>
    </row>
    <row r="65" spans="1:15" x14ac:dyDescent="0.3">
      <c r="A65" t="s">
        <v>78</v>
      </c>
      <c r="B65" s="4">
        <v>45598</v>
      </c>
      <c r="C65" s="4">
        <v>45614</v>
      </c>
      <c r="D65" s="7" t="s">
        <v>647</v>
      </c>
      <c r="E65" s="7" t="s">
        <v>654</v>
      </c>
      <c r="F65" s="7" t="s">
        <v>691</v>
      </c>
      <c r="G65" s="7" t="s">
        <v>705</v>
      </c>
      <c r="H65" s="7" t="s">
        <v>710</v>
      </c>
      <c r="I65" s="7" t="s">
        <v>719</v>
      </c>
      <c r="J65" s="7" t="s">
        <v>732</v>
      </c>
      <c r="K65" s="7" t="s">
        <v>797</v>
      </c>
      <c r="L65" s="9">
        <v>1233.58</v>
      </c>
      <c r="M65" s="9">
        <v>1912.51</v>
      </c>
      <c r="N65" s="11">
        <v>0.255</v>
      </c>
      <c r="O65" s="13">
        <v>51</v>
      </c>
    </row>
    <row r="66" spans="1:15" x14ac:dyDescent="0.3">
      <c r="A66" t="s">
        <v>79</v>
      </c>
      <c r="B66" s="4">
        <v>44972</v>
      </c>
      <c r="C66" s="4">
        <v>44983</v>
      </c>
      <c r="D66" s="7" t="s">
        <v>646</v>
      </c>
      <c r="E66" s="7" t="s">
        <v>661</v>
      </c>
      <c r="F66" s="7" t="s">
        <v>682</v>
      </c>
      <c r="G66" s="7" t="s">
        <v>703</v>
      </c>
      <c r="H66" s="7" t="s">
        <v>707</v>
      </c>
      <c r="I66" s="7" t="s">
        <v>723</v>
      </c>
      <c r="J66" s="7" t="s">
        <v>731</v>
      </c>
      <c r="K66" s="7" t="s">
        <v>798</v>
      </c>
      <c r="L66" s="9">
        <v>498.5</v>
      </c>
      <c r="M66" s="9">
        <v>755.87</v>
      </c>
      <c r="N66" s="11">
        <v>0.13</v>
      </c>
      <c r="O66" s="13">
        <v>40</v>
      </c>
    </row>
    <row r="67" spans="1:15" x14ac:dyDescent="0.3">
      <c r="A67" t="s">
        <v>80</v>
      </c>
      <c r="B67" s="4">
        <v>45263</v>
      </c>
      <c r="C67" s="4">
        <v>45286</v>
      </c>
      <c r="D67" s="7" t="s">
        <v>648</v>
      </c>
      <c r="E67" s="7" t="s">
        <v>655</v>
      </c>
      <c r="F67" s="7" t="s">
        <v>692</v>
      </c>
      <c r="G67" s="7" t="s">
        <v>702</v>
      </c>
      <c r="H67" s="7" t="s">
        <v>707</v>
      </c>
      <c r="I67" s="7" t="s">
        <v>719</v>
      </c>
      <c r="J67" s="7" t="s">
        <v>730</v>
      </c>
      <c r="K67" s="7" t="s">
        <v>799</v>
      </c>
      <c r="L67" s="9">
        <v>1303.1099999999999</v>
      </c>
      <c r="M67" s="9">
        <v>1145.67</v>
      </c>
      <c r="N67" s="11">
        <v>0.184</v>
      </c>
      <c r="O67" s="13">
        <v>13</v>
      </c>
    </row>
    <row r="68" spans="1:15" x14ac:dyDescent="0.3">
      <c r="A68" t="s">
        <v>81</v>
      </c>
      <c r="B68" s="4">
        <v>45004</v>
      </c>
      <c r="C68" s="4">
        <v>45025</v>
      </c>
      <c r="D68" s="7" t="s">
        <v>649</v>
      </c>
      <c r="E68" s="7" t="s">
        <v>658</v>
      </c>
      <c r="F68" s="7" t="s">
        <v>693</v>
      </c>
      <c r="G68" s="7" t="s">
        <v>704</v>
      </c>
      <c r="H68" s="7" t="s">
        <v>707</v>
      </c>
      <c r="I68" s="7" t="s">
        <v>716</v>
      </c>
      <c r="J68" s="7" t="s">
        <v>733</v>
      </c>
      <c r="K68" s="7" t="s">
        <v>800</v>
      </c>
      <c r="L68" s="9">
        <v>1082.17</v>
      </c>
      <c r="M68" s="9">
        <v>1234.0999999999999</v>
      </c>
      <c r="N68" s="11">
        <v>0.189</v>
      </c>
      <c r="O68" s="13">
        <v>16</v>
      </c>
    </row>
    <row r="69" spans="1:15" x14ac:dyDescent="0.3">
      <c r="A69" t="s">
        <v>82</v>
      </c>
      <c r="B69" s="4">
        <v>45434</v>
      </c>
      <c r="C69" s="4">
        <v>45449</v>
      </c>
      <c r="D69" s="7" t="s">
        <v>647</v>
      </c>
      <c r="E69" s="7" t="s">
        <v>652</v>
      </c>
      <c r="F69" s="7" t="s">
        <v>694</v>
      </c>
      <c r="G69" s="7" t="s">
        <v>701</v>
      </c>
      <c r="H69" s="7" t="s">
        <v>710</v>
      </c>
      <c r="I69" s="7" t="s">
        <v>712</v>
      </c>
      <c r="J69" s="7" t="s">
        <v>732</v>
      </c>
      <c r="K69" s="7" t="s">
        <v>801</v>
      </c>
      <c r="L69" s="9">
        <v>673.88</v>
      </c>
      <c r="M69" s="9">
        <v>1228.01</v>
      </c>
      <c r="N69" s="11">
        <v>0.105</v>
      </c>
      <c r="O69" s="13">
        <v>13</v>
      </c>
    </row>
    <row r="70" spans="1:15" x14ac:dyDescent="0.3">
      <c r="A70" t="s">
        <v>83</v>
      </c>
      <c r="B70" s="4">
        <v>45157</v>
      </c>
      <c r="C70" s="4">
        <v>45176</v>
      </c>
      <c r="D70" s="7" t="s">
        <v>646</v>
      </c>
      <c r="E70" s="7" t="s">
        <v>661</v>
      </c>
      <c r="F70" s="7" t="s">
        <v>682</v>
      </c>
      <c r="G70" s="7" t="s">
        <v>706</v>
      </c>
      <c r="H70" s="7" t="s">
        <v>707</v>
      </c>
      <c r="I70" s="7" t="s">
        <v>726</v>
      </c>
      <c r="J70" s="7" t="s">
        <v>732</v>
      </c>
      <c r="K70" s="7" t="s">
        <v>802</v>
      </c>
      <c r="L70" s="9">
        <v>494.61</v>
      </c>
      <c r="M70" s="9">
        <v>605.23</v>
      </c>
      <c r="N70" s="11">
        <v>0.20399999999999999</v>
      </c>
      <c r="O70" s="13">
        <v>18</v>
      </c>
    </row>
    <row r="71" spans="1:15" x14ac:dyDescent="0.3">
      <c r="A71" t="s">
        <v>84</v>
      </c>
      <c r="B71" s="4">
        <v>45037</v>
      </c>
      <c r="C71" s="4">
        <v>45056</v>
      </c>
      <c r="D71" s="7" t="s">
        <v>647</v>
      </c>
      <c r="E71" s="7" t="s">
        <v>659</v>
      </c>
      <c r="F71" s="7" t="s">
        <v>685</v>
      </c>
      <c r="G71" s="7" t="s">
        <v>701</v>
      </c>
      <c r="H71" s="7" t="s">
        <v>707</v>
      </c>
      <c r="I71" s="7" t="s">
        <v>720</v>
      </c>
      <c r="J71" s="7" t="s">
        <v>727</v>
      </c>
      <c r="K71" s="7" t="s">
        <v>803</v>
      </c>
      <c r="L71" s="9">
        <v>882.33</v>
      </c>
      <c r="M71" s="9">
        <v>1880.15</v>
      </c>
      <c r="N71" s="11">
        <v>0.05</v>
      </c>
      <c r="O71" s="13">
        <v>5</v>
      </c>
    </row>
    <row r="72" spans="1:15" x14ac:dyDescent="0.3">
      <c r="A72" t="s">
        <v>85</v>
      </c>
      <c r="B72" s="4">
        <v>45369</v>
      </c>
      <c r="C72" s="4">
        <v>45372</v>
      </c>
      <c r="D72" s="7" t="s">
        <v>649</v>
      </c>
      <c r="E72" s="7" t="s">
        <v>656</v>
      </c>
      <c r="F72" s="7" t="s">
        <v>684</v>
      </c>
      <c r="G72" s="7" t="s">
        <v>705</v>
      </c>
      <c r="H72" s="7" t="s">
        <v>708</v>
      </c>
      <c r="I72" s="7" t="s">
        <v>724</v>
      </c>
      <c r="J72" s="7" t="s">
        <v>733</v>
      </c>
      <c r="K72" s="7" t="s">
        <v>804</v>
      </c>
      <c r="L72" s="9">
        <v>910.63</v>
      </c>
      <c r="M72" s="9">
        <v>1269.4000000000001</v>
      </c>
      <c r="N72" s="11">
        <v>6.8000000000000005E-2</v>
      </c>
      <c r="O72" s="13">
        <v>9</v>
      </c>
    </row>
    <row r="73" spans="1:15" x14ac:dyDescent="0.3">
      <c r="A73" t="s">
        <v>86</v>
      </c>
      <c r="B73" s="4">
        <v>45756</v>
      </c>
      <c r="C73" s="4">
        <v>45783</v>
      </c>
      <c r="D73" s="7" t="s">
        <v>648</v>
      </c>
      <c r="E73" s="7" t="s">
        <v>655</v>
      </c>
      <c r="F73" s="7" t="s">
        <v>672</v>
      </c>
      <c r="G73" s="7" t="s">
        <v>706</v>
      </c>
      <c r="H73" s="7" t="s">
        <v>709</v>
      </c>
      <c r="I73" s="7" t="s">
        <v>721</v>
      </c>
      <c r="J73" s="7" t="s">
        <v>731</v>
      </c>
      <c r="K73" s="7" t="s">
        <v>805</v>
      </c>
      <c r="L73" s="9">
        <v>264.19</v>
      </c>
      <c r="M73" s="9">
        <v>620.92999999999995</v>
      </c>
      <c r="N73" s="11">
        <v>0.14199999999999999</v>
      </c>
      <c r="O73" s="13">
        <v>12</v>
      </c>
    </row>
    <row r="74" spans="1:15" x14ac:dyDescent="0.3">
      <c r="A74" t="s">
        <v>87</v>
      </c>
      <c r="B74" s="4">
        <v>45394</v>
      </c>
      <c r="C74" s="4">
        <v>45419</v>
      </c>
      <c r="D74" s="7" t="s">
        <v>646</v>
      </c>
      <c r="E74" s="7" t="s">
        <v>661</v>
      </c>
      <c r="F74" s="7" t="s">
        <v>682</v>
      </c>
      <c r="G74" s="7" t="s">
        <v>702</v>
      </c>
      <c r="H74" s="7" t="s">
        <v>710</v>
      </c>
      <c r="I74" s="7" t="s">
        <v>720</v>
      </c>
      <c r="J74" s="7" t="s">
        <v>731</v>
      </c>
      <c r="K74" s="7" t="s">
        <v>806</v>
      </c>
      <c r="L74" s="9">
        <v>1376.51</v>
      </c>
      <c r="M74" s="9">
        <v>1455.91</v>
      </c>
      <c r="N74" s="11">
        <v>0.185</v>
      </c>
      <c r="O74" s="13">
        <v>17</v>
      </c>
    </row>
    <row r="75" spans="1:15" x14ac:dyDescent="0.3">
      <c r="A75" t="s">
        <v>88</v>
      </c>
      <c r="B75" s="4">
        <v>45641</v>
      </c>
      <c r="C75" s="4">
        <v>45646</v>
      </c>
      <c r="D75" s="7" t="s">
        <v>647</v>
      </c>
      <c r="E75" s="7" t="s">
        <v>659</v>
      </c>
      <c r="F75" s="7" t="s">
        <v>676</v>
      </c>
      <c r="G75" s="7" t="s">
        <v>705</v>
      </c>
      <c r="H75" s="7" t="s">
        <v>711</v>
      </c>
      <c r="I75" s="7" t="s">
        <v>713</v>
      </c>
      <c r="J75" s="7" t="s">
        <v>729</v>
      </c>
      <c r="K75" s="7" t="s">
        <v>807</v>
      </c>
      <c r="L75" s="9">
        <v>717.55</v>
      </c>
      <c r="M75" s="9">
        <v>546.42999999999995</v>
      </c>
      <c r="N75" s="11">
        <v>4.7E-2</v>
      </c>
      <c r="O75" s="13">
        <v>18</v>
      </c>
    </row>
    <row r="76" spans="1:15" x14ac:dyDescent="0.3">
      <c r="A76" t="s">
        <v>89</v>
      </c>
      <c r="B76" s="4">
        <v>45066</v>
      </c>
      <c r="C76" s="4">
        <v>45064</v>
      </c>
      <c r="D76" s="7" t="s">
        <v>646</v>
      </c>
      <c r="E76" s="7" t="s">
        <v>661</v>
      </c>
      <c r="F76" s="7" t="s">
        <v>687</v>
      </c>
      <c r="G76" s="7" t="s">
        <v>701</v>
      </c>
      <c r="H76" s="7" t="s">
        <v>710</v>
      </c>
      <c r="I76" s="7" t="s">
        <v>720</v>
      </c>
      <c r="J76" s="7" t="s">
        <v>727</v>
      </c>
      <c r="K76" s="7" t="s">
        <v>808</v>
      </c>
      <c r="L76" s="9">
        <v>917.88</v>
      </c>
      <c r="M76" s="9">
        <v>1347.92</v>
      </c>
      <c r="N76" s="11">
        <v>0.34300000000000003</v>
      </c>
      <c r="O76" s="13">
        <v>5</v>
      </c>
    </row>
    <row r="77" spans="1:15" x14ac:dyDescent="0.3">
      <c r="A77" t="s">
        <v>90</v>
      </c>
      <c r="B77" s="4">
        <v>45187</v>
      </c>
      <c r="C77" s="4">
        <v>45207</v>
      </c>
      <c r="D77" s="7" t="s">
        <v>647</v>
      </c>
      <c r="E77" s="7" t="s">
        <v>654</v>
      </c>
      <c r="F77" s="7" t="s">
        <v>680</v>
      </c>
      <c r="G77" s="7" t="s">
        <v>705</v>
      </c>
      <c r="H77" s="7" t="s">
        <v>711</v>
      </c>
      <c r="I77" s="7" t="s">
        <v>717</v>
      </c>
      <c r="J77" s="7" t="s">
        <v>727</v>
      </c>
      <c r="K77" s="7" t="s">
        <v>809</v>
      </c>
      <c r="L77" s="9">
        <v>825.64</v>
      </c>
      <c r="M77" s="9">
        <v>1108.43</v>
      </c>
      <c r="N77" s="11">
        <v>0.114</v>
      </c>
      <c r="O77" s="13">
        <v>7</v>
      </c>
    </row>
    <row r="78" spans="1:15" x14ac:dyDescent="0.3">
      <c r="A78" t="s">
        <v>91</v>
      </c>
      <c r="B78" s="4">
        <v>45532</v>
      </c>
      <c r="C78" s="4">
        <v>45560</v>
      </c>
      <c r="D78" s="7" t="s">
        <v>648</v>
      </c>
      <c r="E78" s="7" t="s">
        <v>655</v>
      </c>
      <c r="F78" s="7" t="s">
        <v>692</v>
      </c>
      <c r="G78" s="7" t="s">
        <v>703</v>
      </c>
      <c r="H78" s="7" t="s">
        <v>708</v>
      </c>
      <c r="J78" s="7" t="s">
        <v>733</v>
      </c>
      <c r="K78" s="7" t="s">
        <v>810</v>
      </c>
      <c r="L78" s="9">
        <v>1394.65</v>
      </c>
      <c r="M78" s="9">
        <v>3144.1</v>
      </c>
      <c r="N78" s="11">
        <v>0.13400000000000001</v>
      </c>
      <c r="O78" s="13">
        <v>13</v>
      </c>
    </row>
    <row r="79" spans="1:15" x14ac:dyDescent="0.3">
      <c r="A79" t="s">
        <v>92</v>
      </c>
      <c r="B79" s="4">
        <v>45473</v>
      </c>
      <c r="C79" s="4">
        <v>45471</v>
      </c>
      <c r="D79" s="7" t="s">
        <v>648</v>
      </c>
      <c r="E79" s="7" t="s">
        <v>655</v>
      </c>
      <c r="F79" s="7" t="s">
        <v>692</v>
      </c>
      <c r="G79" s="7" t="s">
        <v>705</v>
      </c>
      <c r="H79" s="7" t="s">
        <v>711</v>
      </c>
      <c r="I79" s="7" t="s">
        <v>716</v>
      </c>
      <c r="J79" s="7" t="s">
        <v>733</v>
      </c>
      <c r="K79" s="7" t="s">
        <v>811</v>
      </c>
      <c r="L79" s="9">
        <v>1112.98</v>
      </c>
      <c r="M79" s="9">
        <v>2095.73</v>
      </c>
      <c r="N79" s="11">
        <v>7.1999999999999995E-2</v>
      </c>
      <c r="O79" s="13">
        <v>17</v>
      </c>
    </row>
    <row r="80" spans="1:15" x14ac:dyDescent="0.3">
      <c r="A80" t="s">
        <v>93</v>
      </c>
      <c r="B80" s="4">
        <v>45091</v>
      </c>
      <c r="C80" s="4">
        <v>45093</v>
      </c>
      <c r="D80" s="7" t="s">
        <v>649</v>
      </c>
      <c r="E80" s="7" t="s">
        <v>658</v>
      </c>
      <c r="F80" s="7" t="s">
        <v>693</v>
      </c>
      <c r="G80" s="7" t="s">
        <v>703</v>
      </c>
      <c r="H80" s="7" t="s">
        <v>711</v>
      </c>
      <c r="I80" s="7" t="s">
        <v>723</v>
      </c>
      <c r="J80" s="7" t="s">
        <v>727</v>
      </c>
      <c r="K80" s="7" t="s">
        <v>812</v>
      </c>
      <c r="L80" s="9">
        <v>357.36</v>
      </c>
      <c r="M80" s="9">
        <v>703.62</v>
      </c>
      <c r="N80" s="11">
        <v>0.25700000000000001</v>
      </c>
      <c r="O80" s="13">
        <v>20</v>
      </c>
    </row>
    <row r="81" spans="1:15" x14ac:dyDescent="0.3">
      <c r="A81" t="s">
        <v>94</v>
      </c>
      <c r="B81" s="4">
        <v>45617</v>
      </c>
      <c r="C81" s="4">
        <v>45647</v>
      </c>
      <c r="D81" s="7" t="s">
        <v>649</v>
      </c>
      <c r="E81" s="7" t="s">
        <v>657</v>
      </c>
      <c r="F81" s="7" t="s">
        <v>673</v>
      </c>
      <c r="G81" s="7" t="s">
        <v>705</v>
      </c>
      <c r="H81" s="7" t="s">
        <v>711</v>
      </c>
      <c r="I81" s="7" t="s">
        <v>714</v>
      </c>
      <c r="J81" s="7" t="s">
        <v>732</v>
      </c>
      <c r="K81" s="7" t="s">
        <v>813</v>
      </c>
      <c r="L81" s="9">
        <v>1122.68</v>
      </c>
      <c r="M81" s="9">
        <v>1997.19</v>
      </c>
      <c r="N81" s="11">
        <v>0.186</v>
      </c>
      <c r="O81" s="13">
        <v>3</v>
      </c>
    </row>
    <row r="82" spans="1:15" x14ac:dyDescent="0.3">
      <c r="A82" t="s">
        <v>95</v>
      </c>
      <c r="B82" s="4">
        <v>44965</v>
      </c>
      <c r="C82" s="4">
        <v>44968</v>
      </c>
      <c r="D82" s="7" t="s">
        <v>646</v>
      </c>
      <c r="E82" s="7" t="s">
        <v>661</v>
      </c>
      <c r="F82" s="7" t="s">
        <v>695</v>
      </c>
      <c r="G82" s="7" t="s">
        <v>701</v>
      </c>
      <c r="H82" s="7" t="s">
        <v>711</v>
      </c>
      <c r="I82" s="7" t="s">
        <v>724</v>
      </c>
      <c r="J82" s="7" t="s">
        <v>729</v>
      </c>
      <c r="K82" s="7" t="s">
        <v>814</v>
      </c>
      <c r="L82" s="9">
        <v>1410.05</v>
      </c>
      <c r="M82" s="9">
        <v>2763.95</v>
      </c>
      <c r="N82" s="11">
        <v>0.161</v>
      </c>
      <c r="O82" s="13">
        <v>26</v>
      </c>
    </row>
    <row r="83" spans="1:15" x14ac:dyDescent="0.3">
      <c r="A83" t="s">
        <v>96</v>
      </c>
      <c r="B83" s="4">
        <v>45157</v>
      </c>
      <c r="C83" s="4">
        <v>45181</v>
      </c>
      <c r="D83" s="7" t="s">
        <v>648</v>
      </c>
      <c r="E83" s="7" t="s">
        <v>653</v>
      </c>
      <c r="F83" s="7" t="s">
        <v>688</v>
      </c>
      <c r="G83" s="7" t="s">
        <v>706</v>
      </c>
      <c r="H83" s="7" t="s">
        <v>707</v>
      </c>
      <c r="I83" s="7" t="s">
        <v>714</v>
      </c>
      <c r="J83" s="7" t="s">
        <v>728</v>
      </c>
      <c r="K83" s="7" t="s">
        <v>815</v>
      </c>
      <c r="L83" s="9">
        <v>1183.95</v>
      </c>
      <c r="M83" s="9">
        <v>1503.53</v>
      </c>
      <c r="N83" s="11">
        <v>0.24099999999999999</v>
      </c>
      <c r="O83" s="13">
        <v>16</v>
      </c>
    </row>
    <row r="84" spans="1:15" x14ac:dyDescent="0.3">
      <c r="A84" t="s">
        <v>97</v>
      </c>
      <c r="B84" s="4">
        <v>45791</v>
      </c>
      <c r="C84" s="4">
        <v>45801</v>
      </c>
      <c r="D84" s="7" t="s">
        <v>649</v>
      </c>
      <c r="E84" s="7" t="s">
        <v>657</v>
      </c>
      <c r="F84" s="7" t="s">
        <v>690</v>
      </c>
      <c r="G84" s="7" t="s">
        <v>705</v>
      </c>
      <c r="H84" s="7" t="s">
        <v>709</v>
      </c>
      <c r="I84" s="7" t="s">
        <v>723</v>
      </c>
      <c r="J84" s="7" t="s">
        <v>727</v>
      </c>
      <c r="K84" s="7" t="s">
        <v>816</v>
      </c>
      <c r="L84" s="9">
        <v>170.39</v>
      </c>
      <c r="M84" s="9">
        <v>388.04</v>
      </c>
      <c r="N84" s="11">
        <v>8.4000000000000005E-2</v>
      </c>
      <c r="O84" s="13">
        <v>15</v>
      </c>
    </row>
    <row r="85" spans="1:15" x14ac:dyDescent="0.3">
      <c r="A85" t="s">
        <v>98</v>
      </c>
      <c r="B85" s="4">
        <v>45770</v>
      </c>
      <c r="C85" s="4">
        <v>45769</v>
      </c>
      <c r="D85" s="7" t="s">
        <v>648</v>
      </c>
      <c r="E85" s="7" t="s">
        <v>660</v>
      </c>
      <c r="F85" s="7" t="s">
        <v>686</v>
      </c>
      <c r="G85" s="7" t="s">
        <v>703</v>
      </c>
      <c r="H85" s="7" t="s">
        <v>710</v>
      </c>
      <c r="I85" s="7" t="s">
        <v>726</v>
      </c>
      <c r="J85" s="7" t="s">
        <v>732</v>
      </c>
      <c r="K85" s="7" t="s">
        <v>817</v>
      </c>
      <c r="L85" s="9">
        <v>23.24</v>
      </c>
      <c r="M85" s="9">
        <v>44.57</v>
      </c>
      <c r="N85" s="11">
        <v>0.215</v>
      </c>
      <c r="O85" s="13">
        <v>15</v>
      </c>
    </row>
    <row r="86" spans="1:15" x14ac:dyDescent="0.3">
      <c r="A86" t="s">
        <v>99</v>
      </c>
      <c r="B86" s="4">
        <v>45741</v>
      </c>
      <c r="C86" s="4">
        <v>45764</v>
      </c>
      <c r="D86" s="7" t="s">
        <v>649</v>
      </c>
      <c r="E86" s="7" t="s">
        <v>658</v>
      </c>
      <c r="F86" s="7" t="s">
        <v>683</v>
      </c>
      <c r="G86" s="7" t="s">
        <v>704</v>
      </c>
      <c r="H86" s="7" t="s">
        <v>707</v>
      </c>
      <c r="I86" s="7" t="s">
        <v>722</v>
      </c>
      <c r="J86" s="7" t="s">
        <v>729</v>
      </c>
      <c r="K86" s="7" t="s">
        <v>818</v>
      </c>
      <c r="L86" s="9">
        <v>1421.19</v>
      </c>
      <c r="M86" s="9">
        <v>1808.26</v>
      </c>
      <c r="N86" s="11">
        <v>0.104</v>
      </c>
      <c r="O86" s="13">
        <v>13</v>
      </c>
    </row>
    <row r="87" spans="1:15" x14ac:dyDescent="0.3">
      <c r="A87" t="s">
        <v>100</v>
      </c>
      <c r="B87" s="4">
        <v>45282</v>
      </c>
      <c r="C87" s="4">
        <v>45283</v>
      </c>
      <c r="D87" s="7" t="s">
        <v>646</v>
      </c>
      <c r="E87" s="7" t="s">
        <v>661</v>
      </c>
      <c r="F87" s="7" t="s">
        <v>695</v>
      </c>
      <c r="G87" s="7" t="s">
        <v>703</v>
      </c>
      <c r="H87" s="7" t="s">
        <v>709</v>
      </c>
      <c r="I87" s="7" t="s">
        <v>726</v>
      </c>
      <c r="J87" s="7" t="s">
        <v>727</v>
      </c>
      <c r="K87" s="7" t="s">
        <v>819</v>
      </c>
      <c r="L87" s="9">
        <v>1186.18</v>
      </c>
      <c r="M87" s="9">
        <v>1285.0899999999999</v>
      </c>
      <c r="N87" s="11">
        <v>7.0000000000000007E-2</v>
      </c>
      <c r="O87" s="13">
        <v>11</v>
      </c>
    </row>
    <row r="88" spans="1:15" x14ac:dyDescent="0.3">
      <c r="A88" t="s">
        <v>101</v>
      </c>
      <c r="B88" s="4">
        <v>45388</v>
      </c>
      <c r="C88" s="4">
        <v>45407</v>
      </c>
      <c r="D88" s="7" t="s">
        <v>647</v>
      </c>
      <c r="E88" s="7" t="s">
        <v>659</v>
      </c>
      <c r="F88" s="7" t="s">
        <v>685</v>
      </c>
      <c r="G88" s="7" t="s">
        <v>701</v>
      </c>
      <c r="H88" s="7" t="s">
        <v>707</v>
      </c>
      <c r="I88" s="7" t="s">
        <v>723</v>
      </c>
      <c r="J88" s="7" t="s">
        <v>727</v>
      </c>
      <c r="K88" s="7" t="s">
        <v>820</v>
      </c>
      <c r="L88" s="9">
        <v>1366.48</v>
      </c>
      <c r="M88" s="9">
        <v>1678.14</v>
      </c>
      <c r="N88" s="11">
        <v>0.154</v>
      </c>
      <c r="O88" s="13">
        <v>10</v>
      </c>
    </row>
    <row r="89" spans="1:15" x14ac:dyDescent="0.3">
      <c r="A89" t="s">
        <v>102</v>
      </c>
      <c r="B89" s="4">
        <v>45876</v>
      </c>
      <c r="C89" s="4">
        <v>45888</v>
      </c>
      <c r="D89" s="7" t="s">
        <v>646</v>
      </c>
      <c r="E89" s="7" t="s">
        <v>650</v>
      </c>
      <c r="F89" s="7" t="s">
        <v>678</v>
      </c>
      <c r="G89" s="7" t="s">
        <v>701</v>
      </c>
      <c r="I89" s="7" t="s">
        <v>724</v>
      </c>
      <c r="J89" s="7" t="s">
        <v>727</v>
      </c>
      <c r="K89" s="7" t="s">
        <v>821</v>
      </c>
      <c r="L89" s="9">
        <v>601.51</v>
      </c>
      <c r="M89" s="9">
        <v>679.35</v>
      </c>
      <c r="N89" s="11">
        <v>0.188</v>
      </c>
      <c r="O89" s="13">
        <v>3</v>
      </c>
    </row>
    <row r="90" spans="1:15" x14ac:dyDescent="0.3">
      <c r="A90" t="s">
        <v>103</v>
      </c>
      <c r="B90" s="4">
        <v>45312</v>
      </c>
      <c r="C90" s="4">
        <v>45316</v>
      </c>
      <c r="D90" s="7" t="s">
        <v>647</v>
      </c>
      <c r="E90" s="7" t="s">
        <v>654</v>
      </c>
      <c r="F90" s="7" t="s">
        <v>680</v>
      </c>
      <c r="G90" s="7" t="s">
        <v>704</v>
      </c>
      <c r="H90" s="7" t="s">
        <v>711</v>
      </c>
      <c r="I90" s="7" t="s">
        <v>712</v>
      </c>
      <c r="J90" s="7" t="s">
        <v>732</v>
      </c>
      <c r="K90" s="7" t="s">
        <v>822</v>
      </c>
      <c r="L90" s="9">
        <v>523.70000000000005</v>
      </c>
      <c r="M90" s="9">
        <v>1109.92</v>
      </c>
      <c r="N90" s="11">
        <v>0.03</v>
      </c>
      <c r="O90" s="13">
        <v>11</v>
      </c>
    </row>
    <row r="91" spans="1:15" x14ac:dyDescent="0.3">
      <c r="A91" t="s">
        <v>104</v>
      </c>
      <c r="B91" s="4">
        <v>45106</v>
      </c>
      <c r="C91" s="4">
        <v>45109</v>
      </c>
      <c r="D91" s="7" t="s">
        <v>647</v>
      </c>
      <c r="E91" s="7" t="s">
        <v>652</v>
      </c>
      <c r="F91" s="7" t="s">
        <v>694</v>
      </c>
      <c r="G91" s="7" t="s">
        <v>702</v>
      </c>
      <c r="H91" s="7" t="s">
        <v>709</v>
      </c>
      <c r="I91" s="7" t="s">
        <v>721</v>
      </c>
      <c r="J91" s="7" t="s">
        <v>732</v>
      </c>
      <c r="K91" s="7" t="s">
        <v>823</v>
      </c>
      <c r="L91" s="9">
        <v>55.65</v>
      </c>
      <c r="M91" s="9">
        <v>83.57</v>
      </c>
      <c r="N91" s="11">
        <v>6.6000000000000003E-2</v>
      </c>
      <c r="O91" s="13">
        <v>8</v>
      </c>
    </row>
    <row r="92" spans="1:15" x14ac:dyDescent="0.3">
      <c r="A92" t="s">
        <v>105</v>
      </c>
      <c r="B92" s="4">
        <v>45775</v>
      </c>
      <c r="C92" s="4">
        <v>45792</v>
      </c>
      <c r="D92" s="7" t="s">
        <v>647</v>
      </c>
      <c r="E92" s="7" t="s">
        <v>652</v>
      </c>
      <c r="F92" s="7" t="s">
        <v>694</v>
      </c>
      <c r="G92" s="7" t="s">
        <v>702</v>
      </c>
      <c r="H92" s="7" t="s">
        <v>711</v>
      </c>
      <c r="I92" s="7" t="s">
        <v>725</v>
      </c>
      <c r="J92" s="7" t="s">
        <v>729</v>
      </c>
      <c r="K92" s="7" t="s">
        <v>824</v>
      </c>
      <c r="L92" s="9">
        <v>691.19</v>
      </c>
      <c r="M92" s="9">
        <v>1284.3</v>
      </c>
      <c r="N92" s="11">
        <v>7.3999999999999996E-2</v>
      </c>
      <c r="O92" s="13">
        <v>7</v>
      </c>
    </row>
    <row r="93" spans="1:15" x14ac:dyDescent="0.3">
      <c r="A93" t="s">
        <v>106</v>
      </c>
      <c r="B93" s="4">
        <v>45817</v>
      </c>
      <c r="C93" s="4">
        <v>45833</v>
      </c>
      <c r="D93" s="7" t="s">
        <v>647</v>
      </c>
      <c r="E93" s="7" t="s">
        <v>654</v>
      </c>
      <c r="F93" s="7" t="s">
        <v>696</v>
      </c>
      <c r="G93" s="7" t="s">
        <v>706</v>
      </c>
      <c r="H93" s="7" t="s">
        <v>710</v>
      </c>
      <c r="I93" s="7" t="s">
        <v>724</v>
      </c>
      <c r="J93" s="7" t="s">
        <v>730</v>
      </c>
      <c r="K93" s="7" t="s">
        <v>825</v>
      </c>
      <c r="L93" s="9">
        <v>527.33000000000004</v>
      </c>
      <c r="M93" s="9">
        <v>911.72</v>
      </c>
      <c r="N93" s="11">
        <v>0.14399999999999999</v>
      </c>
      <c r="O93" s="13">
        <v>25</v>
      </c>
    </row>
    <row r="94" spans="1:15" x14ac:dyDescent="0.3">
      <c r="A94" t="s">
        <v>107</v>
      </c>
      <c r="B94" s="4">
        <v>45101</v>
      </c>
      <c r="C94" s="4">
        <v>45100</v>
      </c>
      <c r="D94" s="7" t="s">
        <v>648</v>
      </c>
      <c r="E94" s="7" t="s">
        <v>655</v>
      </c>
      <c r="F94" s="7" t="s">
        <v>692</v>
      </c>
      <c r="G94" s="7" t="s">
        <v>703</v>
      </c>
      <c r="H94" s="7" t="s">
        <v>707</v>
      </c>
      <c r="I94" s="7" t="s">
        <v>718</v>
      </c>
      <c r="J94" s="7" t="s">
        <v>728</v>
      </c>
      <c r="K94" s="7" t="s">
        <v>826</v>
      </c>
      <c r="L94" s="9">
        <v>804.01</v>
      </c>
      <c r="M94" s="9">
        <v>1405.07</v>
      </c>
      <c r="N94" s="11">
        <v>9.6000000000000002E-2</v>
      </c>
      <c r="O94" s="13">
        <v>8</v>
      </c>
    </row>
    <row r="95" spans="1:15" x14ac:dyDescent="0.3">
      <c r="A95" t="s">
        <v>108</v>
      </c>
      <c r="B95" s="4">
        <v>45569</v>
      </c>
      <c r="C95" s="4">
        <v>45598</v>
      </c>
      <c r="D95" s="7" t="s">
        <v>646</v>
      </c>
      <c r="E95" s="7" t="s">
        <v>651</v>
      </c>
      <c r="F95" s="7" t="s">
        <v>669</v>
      </c>
      <c r="G95" s="7" t="s">
        <v>701</v>
      </c>
      <c r="H95" s="7" t="s">
        <v>710</v>
      </c>
      <c r="I95" s="7" t="s">
        <v>721</v>
      </c>
      <c r="J95" s="7" t="s">
        <v>733</v>
      </c>
      <c r="K95" s="7" t="s">
        <v>827</v>
      </c>
      <c r="L95" s="9">
        <v>412.09</v>
      </c>
      <c r="M95" s="9">
        <v>968.94</v>
      </c>
      <c r="N95" s="11">
        <v>9.9000000000000005E-2</v>
      </c>
      <c r="O95" s="13">
        <v>23</v>
      </c>
    </row>
    <row r="96" spans="1:15" x14ac:dyDescent="0.3">
      <c r="A96" t="s">
        <v>109</v>
      </c>
      <c r="B96" s="4">
        <v>45910</v>
      </c>
      <c r="C96" s="4">
        <v>45930</v>
      </c>
      <c r="D96" s="7" t="s">
        <v>646</v>
      </c>
      <c r="E96" s="7" t="s">
        <v>650</v>
      </c>
      <c r="F96" s="7" t="s">
        <v>675</v>
      </c>
      <c r="G96" s="7" t="s">
        <v>701</v>
      </c>
      <c r="H96" s="7" t="s">
        <v>711</v>
      </c>
      <c r="I96" s="7" t="s">
        <v>716</v>
      </c>
      <c r="J96" s="7" t="s">
        <v>730</v>
      </c>
      <c r="K96" s="7" t="s">
        <v>828</v>
      </c>
      <c r="L96" s="9">
        <v>1009.48</v>
      </c>
      <c r="M96" s="9">
        <v>1088.81</v>
      </c>
      <c r="N96" s="11">
        <v>0.16</v>
      </c>
      <c r="O96" s="13">
        <v>6</v>
      </c>
    </row>
    <row r="97" spans="1:15" x14ac:dyDescent="0.3">
      <c r="A97" t="s">
        <v>110</v>
      </c>
      <c r="B97" s="4">
        <v>45022</v>
      </c>
      <c r="C97" s="4">
        <v>45043</v>
      </c>
      <c r="D97" s="7" t="s">
        <v>649</v>
      </c>
      <c r="E97" s="7" t="s">
        <v>658</v>
      </c>
      <c r="F97" s="7" t="s">
        <v>693</v>
      </c>
      <c r="G97" s="7" t="s">
        <v>706</v>
      </c>
      <c r="H97" s="7" t="s">
        <v>710</v>
      </c>
      <c r="I97" s="7" t="s">
        <v>714</v>
      </c>
      <c r="J97" s="7" t="s">
        <v>728</v>
      </c>
      <c r="K97" s="7" t="s">
        <v>829</v>
      </c>
      <c r="L97" s="9">
        <v>1084.79</v>
      </c>
      <c r="M97" s="9">
        <v>2484.9899999999998</v>
      </c>
      <c r="N97" s="11">
        <v>3.4000000000000002E-2</v>
      </c>
      <c r="O97" s="13">
        <v>18</v>
      </c>
    </row>
    <row r="98" spans="1:15" x14ac:dyDescent="0.3">
      <c r="A98" t="s">
        <v>111</v>
      </c>
      <c r="B98" s="4">
        <v>45870</v>
      </c>
      <c r="C98" s="4">
        <v>45885</v>
      </c>
      <c r="D98" s="7" t="s">
        <v>647</v>
      </c>
      <c r="E98" s="7" t="s">
        <v>654</v>
      </c>
      <c r="G98" s="7" t="s">
        <v>706</v>
      </c>
      <c r="H98" s="7" t="s">
        <v>711</v>
      </c>
      <c r="I98" s="7" t="s">
        <v>719</v>
      </c>
      <c r="J98" s="7" t="s">
        <v>732</v>
      </c>
      <c r="K98" s="7" t="s">
        <v>830</v>
      </c>
      <c r="L98" s="9">
        <v>24.44</v>
      </c>
      <c r="M98" s="9">
        <v>28.69</v>
      </c>
      <c r="N98" s="11">
        <v>0.14599999999999999</v>
      </c>
      <c r="O98" s="13">
        <v>6</v>
      </c>
    </row>
    <row r="99" spans="1:15" x14ac:dyDescent="0.3">
      <c r="A99" t="s">
        <v>112</v>
      </c>
      <c r="B99" s="4">
        <v>45440</v>
      </c>
      <c r="C99" s="4">
        <v>45438</v>
      </c>
      <c r="D99" s="7" t="s">
        <v>646</v>
      </c>
      <c r="E99" s="7" t="s">
        <v>651</v>
      </c>
      <c r="F99" s="7" t="s">
        <v>669</v>
      </c>
      <c r="G99" s="7" t="s">
        <v>706</v>
      </c>
      <c r="H99" s="7" t="s">
        <v>708</v>
      </c>
      <c r="I99" s="7" t="s">
        <v>721</v>
      </c>
      <c r="J99" s="7" t="s">
        <v>733</v>
      </c>
      <c r="K99" s="7" t="s">
        <v>831</v>
      </c>
      <c r="L99" s="9">
        <v>1227.08</v>
      </c>
      <c r="M99" s="9">
        <v>1896.62</v>
      </c>
      <c r="N99" s="11">
        <v>0</v>
      </c>
      <c r="O99" s="13">
        <v>18</v>
      </c>
    </row>
    <row r="100" spans="1:15" x14ac:dyDescent="0.3">
      <c r="A100" t="s">
        <v>113</v>
      </c>
      <c r="B100" s="4">
        <v>45860</v>
      </c>
      <c r="C100" s="4">
        <v>45887</v>
      </c>
      <c r="D100" s="7" t="s">
        <v>647</v>
      </c>
      <c r="E100" s="7" t="s">
        <v>659</v>
      </c>
      <c r="F100" s="7" t="s">
        <v>676</v>
      </c>
      <c r="G100" s="7" t="s">
        <v>703</v>
      </c>
      <c r="H100" s="7" t="s">
        <v>709</v>
      </c>
      <c r="I100" s="7" t="s">
        <v>724</v>
      </c>
      <c r="J100" s="7" t="s">
        <v>729</v>
      </c>
      <c r="K100" s="7" t="s">
        <v>832</v>
      </c>
      <c r="L100" s="9">
        <v>547.32000000000005</v>
      </c>
      <c r="M100" s="9">
        <v>419.17</v>
      </c>
      <c r="N100" s="11">
        <v>9.1999999999999998E-2</v>
      </c>
      <c r="O100" s="13">
        <v>14</v>
      </c>
    </row>
    <row r="101" spans="1:15" x14ac:dyDescent="0.3">
      <c r="A101" t="s">
        <v>114</v>
      </c>
      <c r="B101" s="4">
        <v>44985</v>
      </c>
      <c r="C101" s="4">
        <v>45005</v>
      </c>
      <c r="D101" s="7" t="s">
        <v>649</v>
      </c>
      <c r="E101" s="7" t="s">
        <v>656</v>
      </c>
      <c r="F101" s="7" t="s">
        <v>671</v>
      </c>
      <c r="G101" s="7" t="s">
        <v>705</v>
      </c>
      <c r="H101" s="7" t="s">
        <v>711</v>
      </c>
      <c r="I101" s="7" t="s">
        <v>722</v>
      </c>
      <c r="J101" s="7" t="s">
        <v>731</v>
      </c>
      <c r="K101" s="7" t="s">
        <v>833</v>
      </c>
      <c r="L101" s="9">
        <v>1200.78</v>
      </c>
      <c r="M101" s="9">
        <v>2001.17</v>
      </c>
      <c r="N101" s="11">
        <v>0.29199999999999998</v>
      </c>
      <c r="O101" s="13">
        <v>18</v>
      </c>
    </row>
    <row r="102" spans="1:15" x14ac:dyDescent="0.3">
      <c r="A102" t="s">
        <v>115</v>
      </c>
      <c r="B102" s="4">
        <v>45684</v>
      </c>
      <c r="C102" s="4">
        <v>45703</v>
      </c>
      <c r="D102" s="7" t="s">
        <v>647</v>
      </c>
      <c r="E102" s="7" t="s">
        <v>659</v>
      </c>
      <c r="F102" s="7" t="s">
        <v>676</v>
      </c>
      <c r="G102" s="7" t="s">
        <v>703</v>
      </c>
      <c r="H102" s="7" t="s">
        <v>711</v>
      </c>
      <c r="I102" s="7" t="s">
        <v>716</v>
      </c>
      <c r="J102" s="7" t="s">
        <v>730</v>
      </c>
      <c r="K102" s="7" t="s">
        <v>834</v>
      </c>
      <c r="L102" s="9">
        <v>1253.22</v>
      </c>
      <c r="M102" s="9">
        <v>3104.71</v>
      </c>
      <c r="N102" s="11">
        <v>0</v>
      </c>
      <c r="O102" s="13">
        <v>17</v>
      </c>
    </row>
    <row r="103" spans="1:15" x14ac:dyDescent="0.3">
      <c r="A103" t="s">
        <v>116</v>
      </c>
      <c r="B103" s="4">
        <v>45304</v>
      </c>
      <c r="C103" s="4">
        <v>45313</v>
      </c>
      <c r="D103" s="7" t="s">
        <v>647</v>
      </c>
      <c r="E103" s="7" t="s">
        <v>654</v>
      </c>
      <c r="F103" s="7" t="s">
        <v>691</v>
      </c>
      <c r="G103" s="7" t="s">
        <v>706</v>
      </c>
      <c r="H103" s="7" t="s">
        <v>709</v>
      </c>
      <c r="I103" s="7" t="s">
        <v>713</v>
      </c>
      <c r="J103" s="7" t="s">
        <v>727</v>
      </c>
      <c r="K103" s="7" t="s">
        <v>835</v>
      </c>
      <c r="L103" s="9">
        <v>313.60000000000002</v>
      </c>
      <c r="M103" s="9">
        <v>334.28</v>
      </c>
      <c r="N103" s="11">
        <v>0.14000000000000001</v>
      </c>
      <c r="O103" s="13">
        <v>22</v>
      </c>
    </row>
    <row r="104" spans="1:15" x14ac:dyDescent="0.3">
      <c r="A104" t="s">
        <v>117</v>
      </c>
      <c r="B104" s="4">
        <v>45747</v>
      </c>
      <c r="C104" s="4">
        <v>45751</v>
      </c>
      <c r="D104" s="7" t="s">
        <v>646</v>
      </c>
      <c r="E104" s="7" t="s">
        <v>650</v>
      </c>
      <c r="F104" s="7" t="s">
        <v>678</v>
      </c>
      <c r="G104" s="7" t="s">
        <v>701</v>
      </c>
      <c r="H104" s="7" t="s">
        <v>711</v>
      </c>
      <c r="I104" s="7" t="s">
        <v>712</v>
      </c>
      <c r="J104" s="7" t="s">
        <v>731</v>
      </c>
      <c r="K104" s="7" t="s">
        <v>836</v>
      </c>
      <c r="L104" s="9">
        <v>862.08</v>
      </c>
      <c r="M104" s="9">
        <v>1952.83</v>
      </c>
      <c r="N104" s="11">
        <v>0</v>
      </c>
      <c r="O104" s="13">
        <v>7</v>
      </c>
    </row>
    <row r="105" spans="1:15" x14ac:dyDescent="0.3">
      <c r="A105" t="s">
        <v>118</v>
      </c>
      <c r="B105" s="4">
        <v>45631</v>
      </c>
      <c r="C105" s="4">
        <v>45654</v>
      </c>
      <c r="D105" s="7" t="s">
        <v>648</v>
      </c>
      <c r="E105" s="7" t="s">
        <v>653</v>
      </c>
      <c r="F105" s="7" t="s">
        <v>688</v>
      </c>
      <c r="G105" s="7" t="s">
        <v>701</v>
      </c>
      <c r="H105" s="7" t="s">
        <v>711</v>
      </c>
      <c r="I105" s="7" t="s">
        <v>721</v>
      </c>
      <c r="J105" s="7" t="s">
        <v>733</v>
      </c>
      <c r="K105" s="7" t="s">
        <v>837</v>
      </c>
      <c r="L105" s="9">
        <v>107.03</v>
      </c>
      <c r="M105" s="9">
        <v>242.29</v>
      </c>
      <c r="N105" s="11">
        <v>0.18</v>
      </c>
      <c r="O105" s="13">
        <v>30</v>
      </c>
    </row>
    <row r="106" spans="1:15" x14ac:dyDescent="0.3">
      <c r="A106" t="s">
        <v>119</v>
      </c>
      <c r="B106" s="4">
        <v>45549</v>
      </c>
      <c r="C106" s="4">
        <v>45570</v>
      </c>
      <c r="D106" s="7" t="s">
        <v>647</v>
      </c>
      <c r="E106" s="7" t="s">
        <v>659</v>
      </c>
      <c r="F106" s="7" t="s">
        <v>685</v>
      </c>
      <c r="G106" s="7" t="s">
        <v>705</v>
      </c>
      <c r="H106" s="7" t="s">
        <v>708</v>
      </c>
      <c r="I106" s="7" t="s">
        <v>722</v>
      </c>
      <c r="J106" s="7" t="s">
        <v>731</v>
      </c>
      <c r="K106" s="7" t="s">
        <v>838</v>
      </c>
      <c r="L106" s="9">
        <v>1405.56</v>
      </c>
      <c r="M106" s="9">
        <v>2968.87</v>
      </c>
      <c r="N106" s="11">
        <v>0.16900000000000001</v>
      </c>
      <c r="O106" s="13">
        <v>5</v>
      </c>
    </row>
    <row r="107" spans="1:15" x14ac:dyDescent="0.3">
      <c r="A107" t="s">
        <v>120</v>
      </c>
      <c r="B107" s="4">
        <v>45433</v>
      </c>
      <c r="C107" s="4">
        <v>45439</v>
      </c>
      <c r="D107" s="7" t="s">
        <v>646</v>
      </c>
      <c r="E107" s="7" t="s">
        <v>661</v>
      </c>
      <c r="F107" s="7" t="s">
        <v>682</v>
      </c>
      <c r="G107" s="7" t="s">
        <v>703</v>
      </c>
      <c r="H107" s="7" t="s">
        <v>708</v>
      </c>
      <c r="I107" s="7" t="s">
        <v>724</v>
      </c>
      <c r="J107" s="7" t="s">
        <v>727</v>
      </c>
      <c r="K107" s="7" t="s">
        <v>839</v>
      </c>
      <c r="L107" s="9">
        <v>1157.51</v>
      </c>
      <c r="M107" s="9">
        <v>1394.3</v>
      </c>
      <c r="N107" s="11">
        <v>0.27800000000000002</v>
      </c>
      <c r="O107" s="13">
        <v>12</v>
      </c>
    </row>
    <row r="108" spans="1:15" x14ac:dyDescent="0.3">
      <c r="A108" t="s">
        <v>121</v>
      </c>
      <c r="B108" s="4">
        <v>45057</v>
      </c>
      <c r="C108" s="4">
        <v>45084</v>
      </c>
      <c r="D108" s="7" t="s">
        <v>646</v>
      </c>
      <c r="E108" s="7" t="s">
        <v>650</v>
      </c>
      <c r="F108" s="7" t="s">
        <v>675</v>
      </c>
      <c r="G108" s="7" t="s">
        <v>701</v>
      </c>
      <c r="H108" s="7" t="s">
        <v>708</v>
      </c>
      <c r="I108" s="7" t="s">
        <v>713</v>
      </c>
      <c r="J108" s="7" t="s">
        <v>730</v>
      </c>
      <c r="K108" s="7" t="s">
        <v>840</v>
      </c>
      <c r="L108" s="9">
        <v>12.85</v>
      </c>
      <c r="M108" s="9">
        <v>15.41</v>
      </c>
      <c r="N108" s="11">
        <v>0.13700000000000001</v>
      </c>
      <c r="O108" s="13">
        <v>39</v>
      </c>
    </row>
    <row r="109" spans="1:15" x14ac:dyDescent="0.3">
      <c r="A109" t="s">
        <v>122</v>
      </c>
      <c r="B109" s="4">
        <v>45518</v>
      </c>
      <c r="C109" s="4">
        <v>45539</v>
      </c>
      <c r="D109" s="7" t="s">
        <v>649</v>
      </c>
      <c r="E109" s="7" t="s">
        <v>658</v>
      </c>
      <c r="F109" s="7" t="s">
        <v>693</v>
      </c>
      <c r="G109" s="7" t="s">
        <v>703</v>
      </c>
      <c r="H109" s="7" t="s">
        <v>708</v>
      </c>
      <c r="I109" s="7" t="s">
        <v>713</v>
      </c>
      <c r="J109" s="7" t="s">
        <v>730</v>
      </c>
      <c r="K109" s="7" t="s">
        <v>841</v>
      </c>
      <c r="L109" s="9">
        <v>1138.8</v>
      </c>
      <c r="M109" s="9">
        <v>2250.81</v>
      </c>
      <c r="N109" s="11">
        <v>0.123</v>
      </c>
      <c r="O109" s="13">
        <v>12</v>
      </c>
    </row>
    <row r="110" spans="1:15" x14ac:dyDescent="0.3">
      <c r="A110" t="s">
        <v>123</v>
      </c>
      <c r="B110" s="4">
        <v>45581</v>
      </c>
      <c r="C110" s="4">
        <v>45604</v>
      </c>
      <c r="D110" s="7" t="s">
        <v>647</v>
      </c>
      <c r="E110" s="7" t="s">
        <v>652</v>
      </c>
      <c r="F110" s="7" t="s">
        <v>666</v>
      </c>
      <c r="G110" s="7" t="s">
        <v>705</v>
      </c>
      <c r="H110" s="7" t="s">
        <v>707</v>
      </c>
      <c r="I110" s="7" t="s">
        <v>713</v>
      </c>
      <c r="J110" s="7" t="s">
        <v>729</v>
      </c>
      <c r="K110" s="7" t="s">
        <v>842</v>
      </c>
      <c r="L110" s="9">
        <v>82.14</v>
      </c>
      <c r="M110" s="9">
        <v>166.04</v>
      </c>
      <c r="N110" s="11">
        <v>0</v>
      </c>
      <c r="O110" s="13">
        <v>10</v>
      </c>
    </row>
    <row r="111" spans="1:15" x14ac:dyDescent="0.3">
      <c r="A111" t="s">
        <v>124</v>
      </c>
      <c r="B111" s="4">
        <v>45445</v>
      </c>
      <c r="C111" s="4">
        <v>45451</v>
      </c>
      <c r="D111" s="7" t="s">
        <v>646</v>
      </c>
      <c r="E111" s="7" t="s">
        <v>650</v>
      </c>
      <c r="F111" s="7" t="s">
        <v>662</v>
      </c>
      <c r="G111" s="7" t="s">
        <v>704</v>
      </c>
      <c r="H111" s="7" t="s">
        <v>709</v>
      </c>
      <c r="I111" s="7" t="s">
        <v>720</v>
      </c>
      <c r="J111" s="7" t="s">
        <v>733</v>
      </c>
      <c r="K111" s="7" t="s">
        <v>843</v>
      </c>
      <c r="L111" s="9">
        <v>292.94</v>
      </c>
      <c r="M111" s="9">
        <v>356.55</v>
      </c>
      <c r="N111" s="11">
        <v>0.22900000000000001</v>
      </c>
      <c r="O111" s="13">
        <v>2</v>
      </c>
    </row>
    <row r="112" spans="1:15" x14ac:dyDescent="0.3">
      <c r="A112" t="s">
        <v>125</v>
      </c>
      <c r="B112" s="4">
        <v>45452</v>
      </c>
      <c r="C112" s="4">
        <v>45480</v>
      </c>
      <c r="D112" s="7" t="s">
        <v>647</v>
      </c>
      <c r="E112" s="7" t="s">
        <v>659</v>
      </c>
      <c r="F112" s="7" t="s">
        <v>676</v>
      </c>
      <c r="G112" s="7" t="s">
        <v>701</v>
      </c>
      <c r="H112" s="7" t="s">
        <v>708</v>
      </c>
      <c r="I112" s="7" t="s">
        <v>713</v>
      </c>
      <c r="J112" s="7" t="s">
        <v>727</v>
      </c>
      <c r="K112" s="7" t="s">
        <v>844</v>
      </c>
      <c r="L112" s="9">
        <v>550.22</v>
      </c>
      <c r="M112" s="9">
        <v>1025.05</v>
      </c>
      <c r="N112" s="11">
        <v>0</v>
      </c>
      <c r="O112" s="13">
        <v>27</v>
      </c>
    </row>
    <row r="113" spans="1:15" x14ac:dyDescent="0.3">
      <c r="A113" t="s">
        <v>126</v>
      </c>
      <c r="B113" s="4">
        <v>45453</v>
      </c>
      <c r="C113" s="4">
        <v>45454</v>
      </c>
      <c r="D113" s="7" t="s">
        <v>649</v>
      </c>
      <c r="E113" s="7" t="s">
        <v>658</v>
      </c>
      <c r="F113" s="7" t="s">
        <v>674</v>
      </c>
      <c r="G113" s="7" t="s">
        <v>705</v>
      </c>
      <c r="H113" s="7" t="s">
        <v>709</v>
      </c>
      <c r="I113" s="7" t="s">
        <v>724</v>
      </c>
      <c r="J113" s="7" t="s">
        <v>731</v>
      </c>
      <c r="K113" s="7" t="s">
        <v>845</v>
      </c>
      <c r="L113" s="9">
        <v>1187.1300000000001</v>
      </c>
      <c r="M113" s="9">
        <v>1795.17</v>
      </c>
      <c r="N113" s="11">
        <v>1.2E-2</v>
      </c>
      <c r="O113" s="13">
        <v>17</v>
      </c>
    </row>
    <row r="114" spans="1:15" x14ac:dyDescent="0.3">
      <c r="A114" t="s">
        <v>127</v>
      </c>
      <c r="B114" s="4">
        <v>45472</v>
      </c>
      <c r="C114" s="4">
        <v>45499</v>
      </c>
      <c r="D114" s="7" t="s">
        <v>646</v>
      </c>
      <c r="E114" s="7" t="s">
        <v>661</v>
      </c>
      <c r="F114" s="7" t="s">
        <v>687</v>
      </c>
      <c r="G114" s="7" t="s">
        <v>706</v>
      </c>
      <c r="H114" s="7" t="s">
        <v>710</v>
      </c>
      <c r="I114" s="7" t="s">
        <v>717</v>
      </c>
      <c r="J114" s="7" t="s">
        <v>729</v>
      </c>
      <c r="K114" s="7" t="s">
        <v>846</v>
      </c>
      <c r="L114" s="9">
        <v>5.36</v>
      </c>
      <c r="M114" s="9">
        <v>4.37</v>
      </c>
      <c r="N114" s="11">
        <v>0.11799999999999999</v>
      </c>
      <c r="O114" s="13">
        <v>9</v>
      </c>
    </row>
    <row r="115" spans="1:15" x14ac:dyDescent="0.3">
      <c r="A115" t="s">
        <v>128</v>
      </c>
      <c r="B115" s="4">
        <v>45674</v>
      </c>
      <c r="C115" s="4">
        <v>45681</v>
      </c>
      <c r="D115" s="7" t="s">
        <v>648</v>
      </c>
      <c r="E115" s="7" t="s">
        <v>660</v>
      </c>
      <c r="F115" s="7" t="s">
        <v>697</v>
      </c>
      <c r="G115" s="7" t="s">
        <v>706</v>
      </c>
      <c r="H115" s="7" t="s">
        <v>708</v>
      </c>
      <c r="I115" s="7" t="s">
        <v>715</v>
      </c>
      <c r="J115" s="7" t="s">
        <v>733</v>
      </c>
      <c r="K115" s="7" t="s">
        <v>847</v>
      </c>
      <c r="L115" s="9">
        <v>142.09</v>
      </c>
      <c r="M115" s="9">
        <v>218.5</v>
      </c>
      <c r="N115" s="11">
        <v>0.11899999999999999</v>
      </c>
      <c r="O115" s="13">
        <v>11</v>
      </c>
    </row>
    <row r="116" spans="1:15" x14ac:dyDescent="0.3">
      <c r="A116" t="s">
        <v>129</v>
      </c>
      <c r="B116" s="4">
        <v>45250</v>
      </c>
      <c r="C116" s="4">
        <v>45265</v>
      </c>
      <c r="D116" s="7" t="s">
        <v>647</v>
      </c>
      <c r="E116" s="7" t="s">
        <v>652</v>
      </c>
      <c r="F116" s="7" t="s">
        <v>689</v>
      </c>
      <c r="G116" s="7" t="s">
        <v>706</v>
      </c>
      <c r="H116" s="7" t="s">
        <v>707</v>
      </c>
      <c r="I116" s="7" t="s">
        <v>716</v>
      </c>
      <c r="J116" s="7" t="s">
        <v>729</v>
      </c>
      <c r="K116" s="7" t="s">
        <v>848</v>
      </c>
      <c r="L116" s="9">
        <v>354.24</v>
      </c>
      <c r="M116" s="9">
        <v>249.87</v>
      </c>
      <c r="N116" s="11">
        <v>0</v>
      </c>
      <c r="O116" s="13">
        <v>6</v>
      </c>
    </row>
    <row r="117" spans="1:15" x14ac:dyDescent="0.3">
      <c r="A117" t="s">
        <v>130</v>
      </c>
      <c r="B117" s="4">
        <v>44987</v>
      </c>
      <c r="C117" s="4">
        <v>44990</v>
      </c>
      <c r="D117" s="7" t="s">
        <v>648</v>
      </c>
      <c r="E117" s="7" t="s">
        <v>655</v>
      </c>
      <c r="F117" s="7" t="s">
        <v>672</v>
      </c>
      <c r="G117" s="7" t="s">
        <v>706</v>
      </c>
      <c r="H117" s="7" t="s">
        <v>711</v>
      </c>
      <c r="I117" s="7" t="s">
        <v>715</v>
      </c>
      <c r="J117" s="7" t="s">
        <v>732</v>
      </c>
      <c r="K117" s="7" t="s">
        <v>849</v>
      </c>
      <c r="L117" s="9">
        <v>1473.58</v>
      </c>
      <c r="M117" s="9">
        <v>3436.52</v>
      </c>
      <c r="N117" s="11">
        <v>0.108</v>
      </c>
      <c r="O117" s="13">
        <v>8</v>
      </c>
    </row>
    <row r="118" spans="1:15" x14ac:dyDescent="0.3">
      <c r="A118" t="s">
        <v>131</v>
      </c>
      <c r="B118" s="4">
        <v>45811</v>
      </c>
      <c r="C118" s="4">
        <v>45818</v>
      </c>
      <c r="D118" s="7" t="s">
        <v>648</v>
      </c>
      <c r="E118" s="7" t="s">
        <v>653</v>
      </c>
      <c r="F118" s="7" t="s">
        <v>667</v>
      </c>
      <c r="G118" s="7" t="s">
        <v>704</v>
      </c>
      <c r="H118" s="7" t="s">
        <v>710</v>
      </c>
      <c r="I118" s="7" t="s">
        <v>719</v>
      </c>
      <c r="J118" s="7" t="s">
        <v>728</v>
      </c>
      <c r="K118" s="7" t="s">
        <v>850</v>
      </c>
      <c r="L118" s="9">
        <v>75.180000000000007</v>
      </c>
      <c r="M118" s="9">
        <v>53.45</v>
      </c>
      <c r="N118" s="11">
        <v>0.157</v>
      </c>
      <c r="O118" s="13">
        <v>17</v>
      </c>
    </row>
    <row r="119" spans="1:15" x14ac:dyDescent="0.3">
      <c r="A119" t="s">
        <v>132</v>
      </c>
      <c r="B119" s="4">
        <v>45653</v>
      </c>
      <c r="C119" s="4">
        <v>45659</v>
      </c>
      <c r="D119" s="7" t="s">
        <v>649</v>
      </c>
      <c r="E119" s="7" t="s">
        <v>656</v>
      </c>
      <c r="F119" s="7" t="s">
        <v>698</v>
      </c>
      <c r="G119" s="7" t="s">
        <v>702</v>
      </c>
      <c r="H119" s="7" t="s">
        <v>711</v>
      </c>
      <c r="I119" s="7" t="s">
        <v>721</v>
      </c>
      <c r="J119" s="7" t="s">
        <v>731</v>
      </c>
      <c r="K119" s="7" t="s">
        <v>851</v>
      </c>
      <c r="L119" s="9">
        <v>1391.99</v>
      </c>
      <c r="M119" s="9">
        <v>3469.7</v>
      </c>
      <c r="N119" s="11">
        <v>0.184</v>
      </c>
      <c r="O119" s="13">
        <v>23</v>
      </c>
    </row>
    <row r="120" spans="1:15" x14ac:dyDescent="0.3">
      <c r="A120" t="s">
        <v>133</v>
      </c>
      <c r="B120" s="4">
        <v>45086</v>
      </c>
      <c r="C120" s="4">
        <v>45096</v>
      </c>
      <c r="D120" s="7" t="s">
        <v>647</v>
      </c>
      <c r="E120" s="7" t="s">
        <v>659</v>
      </c>
      <c r="F120" s="7" t="s">
        <v>699</v>
      </c>
      <c r="G120" s="7" t="s">
        <v>706</v>
      </c>
      <c r="H120" s="7" t="s">
        <v>707</v>
      </c>
      <c r="I120" s="7" t="s">
        <v>721</v>
      </c>
      <c r="J120" s="7" t="s">
        <v>732</v>
      </c>
      <c r="K120" s="7" t="s">
        <v>852</v>
      </c>
      <c r="L120" s="9">
        <v>339.61</v>
      </c>
      <c r="M120" s="9">
        <v>621.02</v>
      </c>
      <c r="N120" s="11">
        <v>7.0999999999999994E-2</v>
      </c>
      <c r="O120" s="13">
        <v>10</v>
      </c>
    </row>
    <row r="121" spans="1:15" x14ac:dyDescent="0.3">
      <c r="A121" t="s">
        <v>134</v>
      </c>
      <c r="B121" s="4">
        <v>45847</v>
      </c>
      <c r="C121" s="4">
        <v>45856</v>
      </c>
      <c r="D121" s="7" t="s">
        <v>648</v>
      </c>
      <c r="E121" s="7" t="s">
        <v>653</v>
      </c>
      <c r="F121" s="7" t="s">
        <v>688</v>
      </c>
      <c r="G121" s="7" t="s">
        <v>702</v>
      </c>
      <c r="H121" s="7" t="s">
        <v>710</v>
      </c>
      <c r="I121" s="7" t="s">
        <v>714</v>
      </c>
      <c r="J121" s="7" t="s">
        <v>731</v>
      </c>
      <c r="K121" s="7" t="s">
        <v>853</v>
      </c>
      <c r="L121" s="9">
        <v>57.96</v>
      </c>
      <c r="M121" s="9">
        <v>88.51</v>
      </c>
      <c r="N121" s="11">
        <v>4.2999999999999997E-2</v>
      </c>
      <c r="O121" s="13">
        <v>7</v>
      </c>
    </row>
    <row r="122" spans="1:15" x14ac:dyDescent="0.3">
      <c r="A122" t="s">
        <v>135</v>
      </c>
      <c r="B122" s="4">
        <v>45827</v>
      </c>
      <c r="C122" s="4">
        <v>45850</v>
      </c>
      <c r="D122" s="7" t="s">
        <v>649</v>
      </c>
      <c r="E122" s="7" t="s">
        <v>658</v>
      </c>
      <c r="G122" s="7" t="s">
        <v>703</v>
      </c>
      <c r="H122" s="7" t="s">
        <v>711</v>
      </c>
      <c r="J122" s="7" t="s">
        <v>729</v>
      </c>
      <c r="K122" s="7" t="s">
        <v>854</v>
      </c>
      <c r="L122" s="9">
        <v>801.24</v>
      </c>
      <c r="M122" s="9">
        <v>1959.09</v>
      </c>
      <c r="N122" s="11">
        <v>0.123</v>
      </c>
      <c r="O122" s="13">
        <v>23</v>
      </c>
    </row>
    <row r="123" spans="1:15" x14ac:dyDescent="0.3">
      <c r="A123" t="s">
        <v>136</v>
      </c>
      <c r="B123" s="4">
        <v>45249</v>
      </c>
      <c r="C123" s="4">
        <v>45273</v>
      </c>
      <c r="D123" s="7" t="s">
        <v>649</v>
      </c>
      <c r="E123" s="7" t="s">
        <v>657</v>
      </c>
      <c r="F123" s="7" t="s">
        <v>679</v>
      </c>
      <c r="G123" s="7" t="s">
        <v>703</v>
      </c>
      <c r="H123" s="7" t="s">
        <v>711</v>
      </c>
      <c r="I123" s="7" t="s">
        <v>722</v>
      </c>
      <c r="J123" s="7" t="s">
        <v>732</v>
      </c>
      <c r="K123" s="7" t="s">
        <v>855</v>
      </c>
      <c r="L123" s="9">
        <v>1297.42</v>
      </c>
      <c r="M123" s="9">
        <v>2742.97</v>
      </c>
      <c r="N123" s="11">
        <v>6.9000000000000006E-2</v>
      </c>
      <c r="O123" s="13">
        <v>9</v>
      </c>
    </row>
    <row r="124" spans="1:15" x14ac:dyDescent="0.3">
      <c r="A124" t="s">
        <v>137</v>
      </c>
      <c r="B124" s="4">
        <v>45289</v>
      </c>
      <c r="C124" s="4">
        <v>45311</v>
      </c>
      <c r="D124" s="7" t="s">
        <v>646</v>
      </c>
      <c r="E124" s="7" t="s">
        <v>650</v>
      </c>
      <c r="F124" s="7" t="s">
        <v>662</v>
      </c>
      <c r="G124" s="7" t="s">
        <v>701</v>
      </c>
      <c r="H124" s="7" t="s">
        <v>711</v>
      </c>
      <c r="I124" s="7" t="s">
        <v>716</v>
      </c>
      <c r="J124" s="7" t="s">
        <v>730</v>
      </c>
      <c r="K124" s="7" t="s">
        <v>856</v>
      </c>
      <c r="L124" s="9">
        <v>1395.49</v>
      </c>
      <c r="M124" s="9">
        <v>1679.42</v>
      </c>
      <c r="N124" s="11">
        <v>0.20300000000000001</v>
      </c>
      <c r="O124" s="13">
        <v>12</v>
      </c>
    </row>
    <row r="125" spans="1:15" x14ac:dyDescent="0.3">
      <c r="A125" t="s">
        <v>138</v>
      </c>
      <c r="B125" s="4">
        <v>45598</v>
      </c>
      <c r="C125" s="4">
        <v>45625</v>
      </c>
      <c r="D125" s="7" t="s">
        <v>648</v>
      </c>
      <c r="E125" s="7" t="s">
        <v>655</v>
      </c>
      <c r="F125" s="7" t="s">
        <v>672</v>
      </c>
      <c r="G125" s="7" t="s">
        <v>705</v>
      </c>
      <c r="H125" s="7" t="s">
        <v>711</v>
      </c>
      <c r="I125" s="7" t="s">
        <v>714</v>
      </c>
      <c r="J125" s="7" t="s">
        <v>729</v>
      </c>
      <c r="K125" s="7" t="s">
        <v>857</v>
      </c>
      <c r="L125" s="9">
        <v>1363.51</v>
      </c>
      <c r="M125" s="9">
        <v>1433.9</v>
      </c>
      <c r="N125" s="11">
        <v>5.7000000000000002E-2</v>
      </c>
      <c r="O125" s="13">
        <v>8</v>
      </c>
    </row>
    <row r="126" spans="1:15" x14ac:dyDescent="0.3">
      <c r="A126" t="s">
        <v>139</v>
      </c>
      <c r="B126" s="4">
        <v>45159</v>
      </c>
      <c r="C126" s="4">
        <v>45173</v>
      </c>
      <c r="D126" s="7" t="s">
        <v>648</v>
      </c>
      <c r="E126" s="7" t="s">
        <v>653</v>
      </c>
      <c r="F126" s="7" t="s">
        <v>681</v>
      </c>
      <c r="G126" s="7" t="s">
        <v>702</v>
      </c>
      <c r="H126" s="7" t="s">
        <v>710</v>
      </c>
      <c r="I126" s="7" t="s">
        <v>721</v>
      </c>
      <c r="J126" s="7" t="s">
        <v>727</v>
      </c>
      <c r="K126" s="7" t="s">
        <v>858</v>
      </c>
      <c r="L126" s="9">
        <v>178.19</v>
      </c>
      <c r="M126" s="9">
        <v>284.43</v>
      </c>
      <c r="N126" s="11">
        <v>8.8999999999999996E-2</v>
      </c>
      <c r="O126" s="13">
        <v>8</v>
      </c>
    </row>
    <row r="127" spans="1:15" x14ac:dyDescent="0.3">
      <c r="A127" t="s">
        <v>140</v>
      </c>
      <c r="B127" s="4">
        <v>45150</v>
      </c>
      <c r="C127" s="4">
        <v>45175</v>
      </c>
      <c r="D127" s="7" t="s">
        <v>647</v>
      </c>
      <c r="E127" s="7" t="s">
        <v>659</v>
      </c>
      <c r="F127" s="7" t="s">
        <v>685</v>
      </c>
      <c r="G127" s="7" t="s">
        <v>705</v>
      </c>
      <c r="H127" s="7" t="s">
        <v>707</v>
      </c>
      <c r="I127" s="7" t="s">
        <v>717</v>
      </c>
      <c r="J127" s="7" t="s">
        <v>727</v>
      </c>
      <c r="K127" s="7" t="s">
        <v>859</v>
      </c>
      <c r="L127" s="9">
        <v>950.77</v>
      </c>
      <c r="M127" s="9">
        <v>694.78</v>
      </c>
      <c r="N127" s="11">
        <v>8.4000000000000005E-2</v>
      </c>
      <c r="O127" s="13">
        <v>14</v>
      </c>
    </row>
    <row r="128" spans="1:15" x14ac:dyDescent="0.3">
      <c r="A128" t="s">
        <v>141</v>
      </c>
      <c r="B128" s="4">
        <v>45450</v>
      </c>
      <c r="C128" s="4">
        <v>45469</v>
      </c>
      <c r="D128" s="7" t="s">
        <v>649</v>
      </c>
      <c r="E128" s="7" t="s">
        <v>656</v>
      </c>
      <c r="F128" s="7" t="s">
        <v>671</v>
      </c>
      <c r="G128" s="7" t="s">
        <v>703</v>
      </c>
      <c r="H128" s="7" t="s">
        <v>709</v>
      </c>
      <c r="I128" s="7" t="s">
        <v>724</v>
      </c>
      <c r="J128" s="7" t="s">
        <v>727</v>
      </c>
      <c r="K128" s="7" t="s">
        <v>860</v>
      </c>
      <c r="L128" s="9">
        <v>1064.32</v>
      </c>
      <c r="M128" s="9">
        <v>1848.39</v>
      </c>
      <c r="N128" s="11">
        <v>7.2999999999999995E-2</v>
      </c>
      <c r="O128" s="13">
        <v>38</v>
      </c>
    </row>
    <row r="129" spans="1:15" x14ac:dyDescent="0.3">
      <c r="A129" t="s">
        <v>142</v>
      </c>
      <c r="B129" s="4">
        <v>45874</v>
      </c>
      <c r="C129" s="4">
        <v>45883</v>
      </c>
      <c r="D129" s="7" t="s">
        <v>649</v>
      </c>
      <c r="E129" s="7" t="s">
        <v>658</v>
      </c>
      <c r="F129" s="7" t="s">
        <v>683</v>
      </c>
      <c r="G129" s="7" t="s">
        <v>703</v>
      </c>
      <c r="H129" s="7" t="s">
        <v>711</v>
      </c>
      <c r="I129" s="7" t="s">
        <v>718</v>
      </c>
      <c r="J129" s="7" t="s">
        <v>727</v>
      </c>
      <c r="K129" s="7" t="s">
        <v>861</v>
      </c>
      <c r="L129" s="9">
        <v>41.76</v>
      </c>
      <c r="M129" s="9">
        <v>45.19</v>
      </c>
      <c r="N129" s="11">
        <v>0.17899999999999999</v>
      </c>
      <c r="O129" s="13">
        <v>23</v>
      </c>
    </row>
    <row r="130" spans="1:15" x14ac:dyDescent="0.3">
      <c r="A130" t="s">
        <v>143</v>
      </c>
      <c r="B130" s="4">
        <v>45442</v>
      </c>
      <c r="C130" s="4">
        <v>45456</v>
      </c>
      <c r="D130" s="7" t="s">
        <v>648</v>
      </c>
      <c r="E130" s="7" t="s">
        <v>660</v>
      </c>
      <c r="F130" s="7" t="s">
        <v>686</v>
      </c>
      <c r="G130" s="7" t="s">
        <v>705</v>
      </c>
      <c r="H130" s="7" t="s">
        <v>707</v>
      </c>
      <c r="I130" s="7" t="s">
        <v>721</v>
      </c>
      <c r="J130" s="7" t="s">
        <v>730</v>
      </c>
      <c r="K130" s="7" t="s">
        <v>862</v>
      </c>
      <c r="L130" s="9">
        <v>157.78</v>
      </c>
      <c r="M130" s="9">
        <v>361.1</v>
      </c>
      <c r="N130" s="11">
        <v>0.187</v>
      </c>
      <c r="O130" s="13">
        <v>9</v>
      </c>
    </row>
    <row r="131" spans="1:15" x14ac:dyDescent="0.3">
      <c r="A131" t="s">
        <v>144</v>
      </c>
      <c r="B131" s="4">
        <v>44948</v>
      </c>
      <c r="C131" s="4">
        <v>44956</v>
      </c>
      <c r="D131" s="7" t="s">
        <v>648</v>
      </c>
      <c r="E131" s="7" t="s">
        <v>660</v>
      </c>
      <c r="F131" s="7" t="s">
        <v>686</v>
      </c>
      <c r="G131" s="7" t="s">
        <v>705</v>
      </c>
      <c r="H131" s="7" t="s">
        <v>708</v>
      </c>
      <c r="I131" s="7" t="s">
        <v>720</v>
      </c>
      <c r="J131" s="7" t="s">
        <v>729</v>
      </c>
      <c r="K131" s="7" t="s">
        <v>863</v>
      </c>
      <c r="L131" s="9">
        <v>413.52</v>
      </c>
      <c r="M131" s="9">
        <v>1004.34</v>
      </c>
      <c r="N131" s="11">
        <v>0.111</v>
      </c>
      <c r="O131" s="13">
        <v>18</v>
      </c>
    </row>
    <row r="132" spans="1:15" x14ac:dyDescent="0.3">
      <c r="A132" t="s">
        <v>145</v>
      </c>
      <c r="B132" s="4">
        <v>45700</v>
      </c>
      <c r="C132" s="4">
        <v>45716</v>
      </c>
      <c r="D132" s="7" t="s">
        <v>648</v>
      </c>
      <c r="E132" s="7" t="s">
        <v>655</v>
      </c>
      <c r="F132" s="7" t="s">
        <v>670</v>
      </c>
      <c r="G132" s="7" t="s">
        <v>703</v>
      </c>
      <c r="H132" s="7" t="s">
        <v>711</v>
      </c>
      <c r="I132" s="7" t="s">
        <v>717</v>
      </c>
      <c r="J132" s="7" t="s">
        <v>732</v>
      </c>
      <c r="K132" s="7" t="s">
        <v>864</v>
      </c>
      <c r="L132" s="9">
        <v>414.95</v>
      </c>
      <c r="M132" s="9">
        <v>1027.73</v>
      </c>
      <c r="N132" s="11">
        <v>6.3E-2</v>
      </c>
      <c r="O132" s="13">
        <v>8</v>
      </c>
    </row>
    <row r="133" spans="1:15" x14ac:dyDescent="0.3">
      <c r="A133" t="s">
        <v>146</v>
      </c>
      <c r="B133" s="4">
        <v>45719</v>
      </c>
      <c r="C133" s="4">
        <v>45740</v>
      </c>
      <c r="D133" s="7" t="s">
        <v>646</v>
      </c>
      <c r="E133" s="7" t="s">
        <v>651</v>
      </c>
      <c r="F133" s="7" t="s">
        <v>669</v>
      </c>
      <c r="G133" s="7" t="s">
        <v>706</v>
      </c>
      <c r="H133" s="7" t="s">
        <v>711</v>
      </c>
      <c r="I133" s="7" t="s">
        <v>722</v>
      </c>
      <c r="J133" s="7" t="s">
        <v>733</v>
      </c>
      <c r="K133" s="7" t="s">
        <v>865</v>
      </c>
      <c r="L133" s="9">
        <v>555.95000000000005</v>
      </c>
      <c r="M133" s="9">
        <v>468.09</v>
      </c>
      <c r="N133" s="11">
        <v>0.14199999999999999</v>
      </c>
      <c r="O133" s="13">
        <v>11</v>
      </c>
    </row>
    <row r="134" spans="1:15" x14ac:dyDescent="0.3">
      <c r="A134" t="s">
        <v>147</v>
      </c>
      <c r="B134" s="4">
        <v>44953</v>
      </c>
      <c r="C134" s="4">
        <v>44957</v>
      </c>
      <c r="D134" s="7" t="s">
        <v>649</v>
      </c>
      <c r="E134" s="7" t="s">
        <v>658</v>
      </c>
      <c r="F134" s="7" t="s">
        <v>693</v>
      </c>
      <c r="G134" s="7" t="s">
        <v>706</v>
      </c>
      <c r="H134" s="7" t="s">
        <v>708</v>
      </c>
      <c r="I134" s="7" t="s">
        <v>725</v>
      </c>
      <c r="J134" s="7" t="s">
        <v>731</v>
      </c>
      <c r="K134" s="7" t="s">
        <v>866</v>
      </c>
      <c r="L134" s="9">
        <v>941.2</v>
      </c>
      <c r="M134" s="9">
        <v>668.02</v>
      </c>
      <c r="N134" s="11">
        <v>0.22</v>
      </c>
      <c r="O134" s="13">
        <v>16</v>
      </c>
    </row>
    <row r="135" spans="1:15" x14ac:dyDescent="0.3">
      <c r="A135" t="s">
        <v>148</v>
      </c>
      <c r="B135" s="4">
        <v>45666</v>
      </c>
      <c r="C135" s="4">
        <v>45672</v>
      </c>
      <c r="D135" s="7" t="s">
        <v>647</v>
      </c>
      <c r="E135" s="7" t="s">
        <v>659</v>
      </c>
      <c r="F135" s="7" t="s">
        <v>699</v>
      </c>
      <c r="G135" s="7" t="s">
        <v>702</v>
      </c>
      <c r="H135" s="7" t="s">
        <v>708</v>
      </c>
      <c r="I135" s="7" t="s">
        <v>712</v>
      </c>
      <c r="J135" s="7" t="s">
        <v>730</v>
      </c>
      <c r="K135" s="7" t="s">
        <v>867</v>
      </c>
      <c r="L135" s="9">
        <v>304.77999999999997</v>
      </c>
      <c r="M135" s="9">
        <v>537.27</v>
      </c>
      <c r="N135" s="11">
        <v>0.187</v>
      </c>
      <c r="O135" s="13">
        <v>8</v>
      </c>
    </row>
    <row r="136" spans="1:15" x14ac:dyDescent="0.3">
      <c r="A136" t="s">
        <v>149</v>
      </c>
      <c r="B136" s="4">
        <v>45647</v>
      </c>
      <c r="C136" s="4">
        <v>45652</v>
      </c>
      <c r="D136" s="7" t="s">
        <v>648</v>
      </c>
      <c r="E136" s="7" t="s">
        <v>660</v>
      </c>
      <c r="F136" s="7" t="s">
        <v>686</v>
      </c>
      <c r="G136" s="7" t="s">
        <v>704</v>
      </c>
      <c r="H136" s="7" t="s">
        <v>709</v>
      </c>
      <c r="I136" s="7" t="s">
        <v>724</v>
      </c>
      <c r="J136" s="7" t="s">
        <v>728</v>
      </c>
      <c r="K136" s="7" t="s">
        <v>868</v>
      </c>
      <c r="L136" s="9">
        <v>699.57</v>
      </c>
      <c r="M136" s="9">
        <v>572.71</v>
      </c>
      <c r="N136" s="11">
        <v>0.192</v>
      </c>
      <c r="O136" s="13">
        <v>26</v>
      </c>
    </row>
    <row r="137" spans="1:15" x14ac:dyDescent="0.3">
      <c r="A137" t="s">
        <v>150</v>
      </c>
      <c r="B137" s="4">
        <v>45028</v>
      </c>
      <c r="C137" s="4">
        <v>45033</v>
      </c>
      <c r="D137" s="7" t="s">
        <v>649</v>
      </c>
      <c r="E137" s="7" t="s">
        <v>657</v>
      </c>
      <c r="F137" s="7" t="s">
        <v>679</v>
      </c>
      <c r="G137" s="7" t="s">
        <v>706</v>
      </c>
      <c r="H137" s="7" t="s">
        <v>711</v>
      </c>
      <c r="I137" s="7" t="s">
        <v>718</v>
      </c>
      <c r="J137" s="7" t="s">
        <v>732</v>
      </c>
      <c r="K137" s="7" t="s">
        <v>869</v>
      </c>
      <c r="L137" s="9">
        <v>1087.81</v>
      </c>
      <c r="M137" s="9">
        <v>2323.87</v>
      </c>
      <c r="N137" s="11">
        <v>9.4E-2</v>
      </c>
      <c r="O137" s="13">
        <v>13</v>
      </c>
    </row>
    <row r="138" spans="1:15" x14ac:dyDescent="0.3">
      <c r="A138" t="s">
        <v>151</v>
      </c>
      <c r="B138" s="4">
        <v>45640</v>
      </c>
      <c r="C138" s="4">
        <v>45669</v>
      </c>
      <c r="D138" s="7" t="s">
        <v>647</v>
      </c>
      <c r="E138" s="7" t="s">
        <v>659</v>
      </c>
      <c r="F138" s="7" t="s">
        <v>676</v>
      </c>
      <c r="G138" s="7" t="s">
        <v>702</v>
      </c>
      <c r="H138" s="7" t="s">
        <v>708</v>
      </c>
      <c r="I138" s="7" t="s">
        <v>713</v>
      </c>
      <c r="J138" s="7" t="s">
        <v>727</v>
      </c>
      <c r="K138" s="7" t="s">
        <v>870</v>
      </c>
      <c r="L138" s="9">
        <v>1412.15</v>
      </c>
      <c r="M138" s="9">
        <v>1631.04</v>
      </c>
      <c r="N138" s="11">
        <v>8.9999999999999993E-3</v>
      </c>
      <c r="O138" s="13">
        <v>6</v>
      </c>
    </row>
    <row r="139" spans="1:15" x14ac:dyDescent="0.3">
      <c r="A139" t="s">
        <v>152</v>
      </c>
      <c r="B139" s="4">
        <v>45016</v>
      </c>
      <c r="C139" s="4">
        <v>45028</v>
      </c>
      <c r="D139" s="7" t="s">
        <v>646</v>
      </c>
      <c r="E139" s="7" t="s">
        <v>650</v>
      </c>
      <c r="F139" s="7" t="s">
        <v>675</v>
      </c>
      <c r="G139" s="7" t="s">
        <v>705</v>
      </c>
      <c r="H139" s="7" t="s">
        <v>708</v>
      </c>
      <c r="I139" s="7" t="s">
        <v>712</v>
      </c>
      <c r="J139" s="7" t="s">
        <v>730</v>
      </c>
      <c r="K139" s="7" t="s">
        <v>871</v>
      </c>
      <c r="L139" s="9">
        <v>304.22000000000003</v>
      </c>
      <c r="M139" s="9">
        <v>393.31</v>
      </c>
      <c r="N139" s="11">
        <v>0.26500000000000001</v>
      </c>
      <c r="O139" s="13">
        <v>15</v>
      </c>
    </row>
    <row r="140" spans="1:15" x14ac:dyDescent="0.3">
      <c r="A140" t="s">
        <v>153</v>
      </c>
      <c r="B140" s="4">
        <v>45616</v>
      </c>
      <c r="C140" s="4">
        <v>45641</v>
      </c>
      <c r="D140" s="7" t="s">
        <v>649</v>
      </c>
      <c r="E140" s="7" t="s">
        <v>657</v>
      </c>
      <c r="F140" s="7" t="s">
        <v>690</v>
      </c>
      <c r="G140" s="7" t="s">
        <v>701</v>
      </c>
      <c r="H140" s="7" t="s">
        <v>708</v>
      </c>
      <c r="I140" s="7" t="s">
        <v>715</v>
      </c>
      <c r="J140" s="7" t="s">
        <v>728</v>
      </c>
      <c r="K140" s="7" t="s">
        <v>872</v>
      </c>
      <c r="L140" s="9">
        <v>1203.58</v>
      </c>
      <c r="M140" s="9">
        <v>1856.16</v>
      </c>
      <c r="N140" s="11">
        <v>0.129</v>
      </c>
      <c r="O140" s="13">
        <v>22</v>
      </c>
    </row>
    <row r="141" spans="1:15" x14ac:dyDescent="0.3">
      <c r="A141" t="s">
        <v>154</v>
      </c>
      <c r="B141" s="4">
        <v>45336</v>
      </c>
      <c r="C141" s="4">
        <v>45336</v>
      </c>
      <c r="D141" s="7" t="s">
        <v>647</v>
      </c>
      <c r="E141" s="7" t="s">
        <v>659</v>
      </c>
      <c r="F141" s="7" t="s">
        <v>699</v>
      </c>
      <c r="G141" s="7" t="s">
        <v>701</v>
      </c>
      <c r="H141" s="7" t="s">
        <v>710</v>
      </c>
      <c r="I141" s="7" t="s">
        <v>716</v>
      </c>
      <c r="J141" s="7" t="s">
        <v>733</v>
      </c>
      <c r="K141" s="7" t="s">
        <v>873</v>
      </c>
      <c r="L141" s="9">
        <v>65.930000000000007</v>
      </c>
      <c r="M141" s="9">
        <v>84.9</v>
      </c>
      <c r="N141" s="11">
        <v>0.25900000000000001</v>
      </c>
      <c r="O141" s="13">
        <v>23</v>
      </c>
    </row>
    <row r="142" spans="1:15" x14ac:dyDescent="0.3">
      <c r="A142" t="s">
        <v>155</v>
      </c>
      <c r="B142" s="4">
        <v>45048</v>
      </c>
      <c r="C142" s="4">
        <v>45064</v>
      </c>
      <c r="D142" s="7" t="s">
        <v>647</v>
      </c>
      <c r="E142" s="7" t="s">
        <v>654</v>
      </c>
      <c r="F142" s="7" t="s">
        <v>680</v>
      </c>
      <c r="G142" s="7" t="s">
        <v>705</v>
      </c>
      <c r="H142" s="7" t="s">
        <v>709</v>
      </c>
      <c r="I142" s="7" t="s">
        <v>723</v>
      </c>
      <c r="J142" s="7" t="s">
        <v>732</v>
      </c>
      <c r="K142" s="7" t="s">
        <v>874</v>
      </c>
      <c r="L142" s="9">
        <v>1463.92</v>
      </c>
      <c r="M142" s="9">
        <v>2252.2399999999998</v>
      </c>
      <c r="N142" s="11">
        <v>0.11799999999999999</v>
      </c>
      <c r="O142" s="13">
        <v>44</v>
      </c>
    </row>
    <row r="143" spans="1:15" x14ac:dyDescent="0.3">
      <c r="A143" t="s">
        <v>156</v>
      </c>
      <c r="B143" s="4">
        <v>45649</v>
      </c>
      <c r="C143" s="4">
        <v>45668</v>
      </c>
      <c r="D143" s="7" t="s">
        <v>649</v>
      </c>
      <c r="E143" s="7" t="s">
        <v>656</v>
      </c>
      <c r="F143" s="7" t="s">
        <v>671</v>
      </c>
      <c r="G143" s="7" t="s">
        <v>702</v>
      </c>
      <c r="H143" s="7" t="s">
        <v>707</v>
      </c>
      <c r="I143" s="7" t="s">
        <v>723</v>
      </c>
      <c r="J143" s="7" t="s">
        <v>730</v>
      </c>
      <c r="K143" s="7" t="s">
        <v>875</v>
      </c>
      <c r="L143" s="9">
        <v>501.81</v>
      </c>
      <c r="M143" s="9">
        <v>921.62</v>
      </c>
      <c r="N143" s="11">
        <v>0.01</v>
      </c>
      <c r="O143" s="13">
        <v>9</v>
      </c>
    </row>
    <row r="144" spans="1:15" x14ac:dyDescent="0.3">
      <c r="A144" t="s">
        <v>157</v>
      </c>
      <c r="B144" s="4">
        <v>45133</v>
      </c>
      <c r="C144" s="4">
        <v>45163</v>
      </c>
      <c r="D144" s="7" t="s">
        <v>648</v>
      </c>
      <c r="E144" s="7" t="s">
        <v>660</v>
      </c>
      <c r="F144" s="7" t="s">
        <v>700</v>
      </c>
      <c r="G144" s="7" t="s">
        <v>704</v>
      </c>
      <c r="H144" s="7" t="s">
        <v>707</v>
      </c>
      <c r="I144" s="7" t="s">
        <v>724</v>
      </c>
      <c r="J144" s="7" t="s">
        <v>733</v>
      </c>
      <c r="K144" s="7" t="s">
        <v>876</v>
      </c>
      <c r="L144" s="9">
        <v>1261.48</v>
      </c>
      <c r="M144" s="9">
        <v>1643.18</v>
      </c>
      <c r="N144" s="11">
        <v>0.151</v>
      </c>
      <c r="O144" s="13">
        <v>23</v>
      </c>
    </row>
    <row r="145" spans="1:15" x14ac:dyDescent="0.3">
      <c r="A145" t="s">
        <v>158</v>
      </c>
      <c r="B145" s="4">
        <v>45458</v>
      </c>
      <c r="C145" s="4">
        <v>45479</v>
      </c>
      <c r="D145" s="7" t="s">
        <v>648</v>
      </c>
      <c r="E145" s="7" t="s">
        <v>653</v>
      </c>
      <c r="F145" s="7" t="s">
        <v>667</v>
      </c>
      <c r="G145" s="7" t="s">
        <v>706</v>
      </c>
      <c r="H145" s="7" t="s">
        <v>710</v>
      </c>
      <c r="I145" s="7" t="s">
        <v>716</v>
      </c>
      <c r="J145" s="7" t="s">
        <v>728</v>
      </c>
      <c r="K145" s="7" t="s">
        <v>877</v>
      </c>
      <c r="L145" s="9">
        <v>817.23</v>
      </c>
      <c r="M145" s="9">
        <v>1467.17</v>
      </c>
      <c r="N145" s="11">
        <v>0.245</v>
      </c>
      <c r="O145" s="13">
        <v>9</v>
      </c>
    </row>
    <row r="146" spans="1:15" x14ac:dyDescent="0.3">
      <c r="A146" t="s">
        <v>159</v>
      </c>
      <c r="B146" s="4">
        <v>45112</v>
      </c>
      <c r="C146" s="4">
        <v>45121</v>
      </c>
      <c r="D146" s="7" t="s">
        <v>648</v>
      </c>
      <c r="E146" s="7" t="s">
        <v>655</v>
      </c>
      <c r="F146" s="7" t="s">
        <v>672</v>
      </c>
      <c r="G146" s="7" t="s">
        <v>706</v>
      </c>
      <c r="H146" s="7" t="s">
        <v>711</v>
      </c>
      <c r="I146" s="7" t="s">
        <v>717</v>
      </c>
      <c r="J146" s="7" t="s">
        <v>729</v>
      </c>
      <c r="K146" s="7" t="s">
        <v>878</v>
      </c>
      <c r="L146" s="9">
        <v>578.85</v>
      </c>
      <c r="M146" s="9">
        <v>998.76</v>
      </c>
      <c r="N146" s="11">
        <v>8.2000000000000003E-2</v>
      </c>
      <c r="O146" s="13">
        <v>28</v>
      </c>
    </row>
    <row r="147" spans="1:15" x14ac:dyDescent="0.3">
      <c r="A147" t="s">
        <v>160</v>
      </c>
      <c r="B147" s="4">
        <v>45260</v>
      </c>
      <c r="C147" s="4">
        <v>45259</v>
      </c>
      <c r="D147" s="7" t="s">
        <v>646</v>
      </c>
      <c r="E147" s="7" t="s">
        <v>661</v>
      </c>
      <c r="F147" s="7" t="s">
        <v>687</v>
      </c>
      <c r="G147" s="7" t="s">
        <v>705</v>
      </c>
      <c r="H147" s="7" t="s">
        <v>709</v>
      </c>
      <c r="I147" s="7" t="s">
        <v>718</v>
      </c>
      <c r="J147" s="7" t="s">
        <v>731</v>
      </c>
      <c r="K147" s="7" t="s">
        <v>879</v>
      </c>
      <c r="L147" s="9">
        <v>275.56</v>
      </c>
      <c r="M147" s="9">
        <v>630.72</v>
      </c>
      <c r="N147" s="11">
        <v>0.107</v>
      </c>
      <c r="O147" s="13">
        <v>23</v>
      </c>
    </row>
    <row r="148" spans="1:15" x14ac:dyDescent="0.3">
      <c r="A148" t="s">
        <v>161</v>
      </c>
      <c r="B148" s="4">
        <v>45911</v>
      </c>
      <c r="C148" s="4">
        <v>45928</v>
      </c>
      <c r="D148" s="7" t="s">
        <v>646</v>
      </c>
      <c r="E148" s="7" t="s">
        <v>650</v>
      </c>
      <c r="F148" s="7" t="s">
        <v>664</v>
      </c>
      <c r="G148" s="7" t="s">
        <v>703</v>
      </c>
      <c r="H148" s="7" t="s">
        <v>710</v>
      </c>
      <c r="I148" s="7" t="s">
        <v>713</v>
      </c>
      <c r="J148" s="7" t="s">
        <v>731</v>
      </c>
      <c r="K148" s="7" t="s">
        <v>880</v>
      </c>
      <c r="L148" s="9">
        <v>891.46</v>
      </c>
      <c r="M148" s="9">
        <v>728.61</v>
      </c>
      <c r="N148" s="11">
        <v>0.185</v>
      </c>
      <c r="O148" s="13">
        <v>6</v>
      </c>
    </row>
    <row r="149" spans="1:15" x14ac:dyDescent="0.3">
      <c r="A149" t="s">
        <v>162</v>
      </c>
      <c r="B149" s="4">
        <v>45386</v>
      </c>
      <c r="C149" s="4">
        <v>45406</v>
      </c>
      <c r="D149" s="7" t="s">
        <v>649</v>
      </c>
      <c r="E149" s="7" t="s">
        <v>656</v>
      </c>
      <c r="F149" s="7" t="s">
        <v>698</v>
      </c>
      <c r="G149" s="7" t="s">
        <v>703</v>
      </c>
      <c r="H149" s="7" t="s">
        <v>711</v>
      </c>
      <c r="I149" s="7" t="s">
        <v>719</v>
      </c>
      <c r="J149" s="7" t="s">
        <v>733</v>
      </c>
      <c r="K149" s="7" t="s">
        <v>881</v>
      </c>
      <c r="L149" s="9">
        <v>683.42</v>
      </c>
      <c r="M149" s="9">
        <v>951.51</v>
      </c>
      <c r="N149" s="11">
        <v>0</v>
      </c>
      <c r="O149" s="13">
        <v>14</v>
      </c>
    </row>
    <row r="150" spans="1:15" x14ac:dyDescent="0.3">
      <c r="A150" t="s">
        <v>163</v>
      </c>
      <c r="B150" s="4">
        <v>45183</v>
      </c>
      <c r="C150" s="4">
        <v>45185</v>
      </c>
      <c r="D150" s="7" t="s">
        <v>649</v>
      </c>
      <c r="E150" s="7" t="s">
        <v>657</v>
      </c>
      <c r="F150" s="7" t="s">
        <v>679</v>
      </c>
      <c r="G150" s="7" t="s">
        <v>703</v>
      </c>
      <c r="H150" s="7" t="s">
        <v>711</v>
      </c>
      <c r="I150" s="7" t="s">
        <v>717</v>
      </c>
      <c r="J150" s="7" t="s">
        <v>728</v>
      </c>
      <c r="K150" s="7" t="s">
        <v>882</v>
      </c>
      <c r="L150" s="9">
        <v>376.83</v>
      </c>
      <c r="M150" s="9">
        <v>732.88</v>
      </c>
      <c r="N150" s="11">
        <v>0.188</v>
      </c>
      <c r="O150" s="13">
        <v>25</v>
      </c>
    </row>
    <row r="151" spans="1:15" x14ac:dyDescent="0.3">
      <c r="A151" t="s">
        <v>164</v>
      </c>
      <c r="B151" s="4">
        <v>45558</v>
      </c>
      <c r="C151" s="4">
        <v>45583</v>
      </c>
      <c r="D151" s="7" t="s">
        <v>648</v>
      </c>
      <c r="E151" s="7" t="s">
        <v>653</v>
      </c>
      <c r="F151" s="7" t="s">
        <v>688</v>
      </c>
      <c r="G151" s="7" t="s">
        <v>705</v>
      </c>
      <c r="H151" s="7" t="s">
        <v>708</v>
      </c>
      <c r="I151" s="7" t="s">
        <v>725</v>
      </c>
      <c r="J151" s="7" t="s">
        <v>730</v>
      </c>
      <c r="K151" s="7" t="s">
        <v>883</v>
      </c>
      <c r="L151" s="9">
        <v>1297</v>
      </c>
      <c r="M151" s="9">
        <v>2411.52</v>
      </c>
      <c r="N151" s="11">
        <v>2.1000000000000001E-2</v>
      </c>
      <c r="O151" s="13">
        <v>18</v>
      </c>
    </row>
    <row r="152" spans="1:15" x14ac:dyDescent="0.3">
      <c r="A152" t="s">
        <v>165</v>
      </c>
      <c r="B152" s="4">
        <v>45763</v>
      </c>
      <c r="C152" s="4">
        <v>45793</v>
      </c>
      <c r="D152" s="7" t="s">
        <v>648</v>
      </c>
      <c r="E152" s="7" t="s">
        <v>653</v>
      </c>
      <c r="F152" s="7" t="s">
        <v>681</v>
      </c>
      <c r="G152" s="7" t="s">
        <v>706</v>
      </c>
      <c r="H152" s="7" t="s">
        <v>710</v>
      </c>
      <c r="I152" s="7" t="s">
        <v>723</v>
      </c>
      <c r="J152" s="7" t="s">
        <v>728</v>
      </c>
      <c r="K152" s="7" t="s">
        <v>884</v>
      </c>
      <c r="L152" s="9">
        <v>763.32</v>
      </c>
      <c r="M152" s="9">
        <v>568.29</v>
      </c>
      <c r="N152" s="11">
        <v>0.13100000000000001</v>
      </c>
      <c r="O152" s="13">
        <v>16</v>
      </c>
    </row>
    <row r="153" spans="1:15" x14ac:dyDescent="0.3">
      <c r="A153" t="s">
        <v>166</v>
      </c>
      <c r="B153" s="4">
        <v>45110</v>
      </c>
      <c r="C153" s="4">
        <v>45130</v>
      </c>
      <c r="D153" s="7" t="s">
        <v>646</v>
      </c>
      <c r="E153" s="7" t="s">
        <v>661</v>
      </c>
      <c r="F153" s="7" t="s">
        <v>682</v>
      </c>
      <c r="G153" s="7" t="s">
        <v>705</v>
      </c>
      <c r="H153" s="7" t="s">
        <v>710</v>
      </c>
      <c r="I153" s="7" t="s">
        <v>721</v>
      </c>
      <c r="J153" s="7" t="s">
        <v>731</v>
      </c>
      <c r="K153" s="7" t="s">
        <v>885</v>
      </c>
      <c r="L153" s="9">
        <v>1001.96</v>
      </c>
      <c r="M153" s="9">
        <v>1254.95</v>
      </c>
      <c r="N153" s="11">
        <v>4.4999999999999998E-2</v>
      </c>
      <c r="O153" s="13">
        <v>18</v>
      </c>
    </row>
    <row r="154" spans="1:15" x14ac:dyDescent="0.3">
      <c r="A154" t="s">
        <v>167</v>
      </c>
      <c r="B154" s="4">
        <v>45267</v>
      </c>
      <c r="C154" s="4">
        <v>45265</v>
      </c>
      <c r="D154" s="7" t="s">
        <v>647</v>
      </c>
      <c r="E154" s="7" t="s">
        <v>652</v>
      </c>
      <c r="F154" s="7" t="s">
        <v>689</v>
      </c>
      <c r="G154" s="7" t="s">
        <v>703</v>
      </c>
      <c r="H154" s="7" t="s">
        <v>709</v>
      </c>
      <c r="I154" s="7" t="s">
        <v>722</v>
      </c>
      <c r="J154" s="7" t="s">
        <v>728</v>
      </c>
      <c r="K154" s="7" t="s">
        <v>886</v>
      </c>
      <c r="L154" s="9">
        <v>1097.5899999999999</v>
      </c>
      <c r="M154" s="9">
        <v>845.55</v>
      </c>
      <c r="N154" s="11">
        <v>0.184</v>
      </c>
      <c r="O154" s="13">
        <v>6</v>
      </c>
    </row>
    <row r="155" spans="1:15" x14ac:dyDescent="0.3">
      <c r="A155" t="s">
        <v>168</v>
      </c>
      <c r="B155" s="4">
        <v>45340</v>
      </c>
      <c r="C155" s="4">
        <v>45355</v>
      </c>
      <c r="D155" s="7" t="s">
        <v>646</v>
      </c>
      <c r="E155" s="7" t="s">
        <v>650</v>
      </c>
      <c r="F155" s="7" t="s">
        <v>662</v>
      </c>
      <c r="G155" s="7" t="s">
        <v>702</v>
      </c>
      <c r="H155" s="7" t="s">
        <v>711</v>
      </c>
      <c r="I155" s="7" t="s">
        <v>723</v>
      </c>
      <c r="J155" s="7" t="s">
        <v>728</v>
      </c>
      <c r="K155" s="7" t="s">
        <v>887</v>
      </c>
      <c r="L155" s="9">
        <v>928.68</v>
      </c>
      <c r="M155" s="9">
        <v>2145.17</v>
      </c>
      <c r="N155" s="11">
        <v>0.13600000000000001</v>
      </c>
      <c r="O155" s="13">
        <v>16</v>
      </c>
    </row>
    <row r="156" spans="1:15" x14ac:dyDescent="0.3">
      <c r="A156" t="s">
        <v>169</v>
      </c>
      <c r="B156" s="4">
        <v>45230</v>
      </c>
      <c r="C156" s="4">
        <v>45232</v>
      </c>
      <c r="D156" s="7" t="s">
        <v>646</v>
      </c>
      <c r="E156" s="7" t="s">
        <v>650</v>
      </c>
      <c r="F156" s="7" t="s">
        <v>662</v>
      </c>
      <c r="G156" s="7" t="s">
        <v>702</v>
      </c>
      <c r="H156" s="7" t="s">
        <v>707</v>
      </c>
      <c r="I156" s="7" t="s">
        <v>719</v>
      </c>
      <c r="J156" s="7" t="s">
        <v>733</v>
      </c>
      <c r="K156" s="7" t="s">
        <v>888</v>
      </c>
      <c r="L156" s="9">
        <v>867.89</v>
      </c>
      <c r="M156" s="9">
        <v>1349.94</v>
      </c>
      <c r="N156" s="11">
        <v>0.184</v>
      </c>
      <c r="O156" s="13">
        <v>10</v>
      </c>
    </row>
    <row r="157" spans="1:15" x14ac:dyDescent="0.3">
      <c r="A157" t="s">
        <v>170</v>
      </c>
      <c r="B157" s="4">
        <v>45511</v>
      </c>
      <c r="C157" s="4">
        <v>45521</v>
      </c>
      <c r="D157" s="7" t="s">
        <v>647</v>
      </c>
      <c r="E157" s="7" t="s">
        <v>652</v>
      </c>
      <c r="F157" s="7" t="s">
        <v>666</v>
      </c>
      <c r="G157" s="7" t="s">
        <v>704</v>
      </c>
      <c r="H157" s="7" t="s">
        <v>708</v>
      </c>
      <c r="I157" s="7" t="s">
        <v>723</v>
      </c>
      <c r="J157" s="7" t="s">
        <v>729</v>
      </c>
      <c r="K157" s="7" t="s">
        <v>889</v>
      </c>
      <c r="L157" s="9">
        <v>436.58</v>
      </c>
      <c r="M157" s="9">
        <v>527.48</v>
      </c>
      <c r="N157" s="11">
        <v>0.111</v>
      </c>
      <c r="O157" s="13">
        <v>19</v>
      </c>
    </row>
    <row r="158" spans="1:15" x14ac:dyDescent="0.3">
      <c r="A158" t="s">
        <v>171</v>
      </c>
      <c r="B158" s="4">
        <v>45323</v>
      </c>
      <c r="C158" s="4">
        <v>45343</v>
      </c>
      <c r="D158" s="7" t="s">
        <v>649</v>
      </c>
      <c r="E158" s="7" t="s">
        <v>657</v>
      </c>
      <c r="F158" s="7" t="s">
        <v>690</v>
      </c>
      <c r="G158" s="7" t="s">
        <v>705</v>
      </c>
      <c r="H158" s="7" t="s">
        <v>709</v>
      </c>
      <c r="I158" s="7" t="s">
        <v>720</v>
      </c>
      <c r="J158" s="7" t="s">
        <v>729</v>
      </c>
      <c r="K158" s="7" t="s">
        <v>890</v>
      </c>
      <c r="L158" s="9">
        <v>656.2</v>
      </c>
      <c r="M158" s="9">
        <v>1467.17</v>
      </c>
      <c r="N158" s="11">
        <v>1.7999999999999999E-2</v>
      </c>
      <c r="O158" s="13">
        <v>5</v>
      </c>
    </row>
    <row r="159" spans="1:15" x14ac:dyDescent="0.3">
      <c r="A159" t="s">
        <v>172</v>
      </c>
      <c r="B159" s="4">
        <v>45531</v>
      </c>
      <c r="C159" s="4">
        <v>45553</v>
      </c>
      <c r="D159" s="7" t="s">
        <v>647</v>
      </c>
      <c r="E159" s="7" t="s">
        <v>654</v>
      </c>
      <c r="F159" s="7" t="s">
        <v>680</v>
      </c>
      <c r="G159" s="7" t="s">
        <v>704</v>
      </c>
      <c r="H159" s="7" t="s">
        <v>711</v>
      </c>
      <c r="I159" s="7" t="s">
        <v>717</v>
      </c>
      <c r="J159" s="7" t="s">
        <v>727</v>
      </c>
      <c r="K159" s="7" t="s">
        <v>891</v>
      </c>
      <c r="L159" s="9">
        <v>896.75</v>
      </c>
      <c r="M159" s="9">
        <v>1651.14</v>
      </c>
      <c r="N159" s="11">
        <v>2.5000000000000001E-2</v>
      </c>
      <c r="O159" s="13">
        <v>15</v>
      </c>
    </row>
    <row r="160" spans="1:15" x14ac:dyDescent="0.3">
      <c r="A160" t="s">
        <v>173</v>
      </c>
      <c r="B160" s="4">
        <v>45703</v>
      </c>
      <c r="C160" s="4">
        <v>45703</v>
      </c>
      <c r="D160" s="7" t="s">
        <v>649</v>
      </c>
      <c r="E160" s="7" t="s">
        <v>656</v>
      </c>
      <c r="F160" s="7" t="s">
        <v>698</v>
      </c>
      <c r="G160" s="7" t="s">
        <v>705</v>
      </c>
      <c r="H160" s="7" t="s">
        <v>709</v>
      </c>
      <c r="I160" s="7" t="s">
        <v>716</v>
      </c>
      <c r="J160" s="7" t="s">
        <v>733</v>
      </c>
      <c r="K160" s="7" t="s">
        <v>892</v>
      </c>
      <c r="L160" s="9">
        <v>815.83</v>
      </c>
      <c r="M160" s="9">
        <v>1982.18</v>
      </c>
      <c r="N160" s="11">
        <v>0.127</v>
      </c>
      <c r="O160" s="13">
        <v>6</v>
      </c>
    </row>
    <row r="161" spans="1:15" x14ac:dyDescent="0.3">
      <c r="A161" t="s">
        <v>174</v>
      </c>
      <c r="B161" s="4">
        <v>45870</v>
      </c>
      <c r="C161" s="4">
        <v>45890</v>
      </c>
      <c r="D161" s="7" t="s">
        <v>647</v>
      </c>
      <c r="E161" s="7" t="s">
        <v>659</v>
      </c>
      <c r="F161" s="7" t="s">
        <v>685</v>
      </c>
      <c r="G161" s="7" t="s">
        <v>701</v>
      </c>
      <c r="H161" s="7" t="s">
        <v>711</v>
      </c>
      <c r="I161" s="7" t="s">
        <v>714</v>
      </c>
      <c r="J161" s="7" t="s">
        <v>730</v>
      </c>
      <c r="K161" s="7" t="s">
        <v>893</v>
      </c>
      <c r="L161" s="9">
        <v>1220.4100000000001</v>
      </c>
      <c r="M161" s="9">
        <v>2552.2199999999998</v>
      </c>
      <c r="N161" s="11">
        <v>0.18099999999999999</v>
      </c>
      <c r="O161" s="13">
        <v>14</v>
      </c>
    </row>
    <row r="162" spans="1:15" x14ac:dyDescent="0.3">
      <c r="A162" t="s">
        <v>175</v>
      </c>
      <c r="B162" s="4">
        <v>44977</v>
      </c>
      <c r="C162" s="4">
        <v>44989</v>
      </c>
      <c r="D162" s="7" t="s">
        <v>647</v>
      </c>
      <c r="E162" s="7" t="s">
        <v>654</v>
      </c>
      <c r="F162" s="7" t="s">
        <v>680</v>
      </c>
      <c r="G162" s="7" t="s">
        <v>704</v>
      </c>
      <c r="H162" s="7" t="s">
        <v>710</v>
      </c>
      <c r="I162" s="7" t="s">
        <v>724</v>
      </c>
      <c r="J162" s="7" t="s">
        <v>732</v>
      </c>
      <c r="K162" s="7" t="s">
        <v>894</v>
      </c>
      <c r="L162" s="9">
        <v>299.75</v>
      </c>
      <c r="M162" s="9">
        <v>523.01</v>
      </c>
      <c r="N162" s="11">
        <v>0.157</v>
      </c>
      <c r="O162" s="13">
        <v>50</v>
      </c>
    </row>
    <row r="163" spans="1:15" x14ac:dyDescent="0.3">
      <c r="A163" t="s">
        <v>176</v>
      </c>
      <c r="B163" s="4">
        <v>45595</v>
      </c>
      <c r="C163" s="4">
        <v>45620</v>
      </c>
      <c r="D163" s="7" t="s">
        <v>647</v>
      </c>
      <c r="E163" s="7" t="s">
        <v>659</v>
      </c>
      <c r="F163" s="7" t="s">
        <v>676</v>
      </c>
      <c r="G163" s="7" t="s">
        <v>705</v>
      </c>
      <c r="H163" s="7" t="s">
        <v>708</v>
      </c>
      <c r="I163" s="7" t="s">
        <v>718</v>
      </c>
      <c r="J163" s="7" t="s">
        <v>727</v>
      </c>
      <c r="K163" s="7" t="s">
        <v>895</v>
      </c>
      <c r="L163" s="9">
        <v>811.05</v>
      </c>
      <c r="M163" s="9">
        <v>1217.71</v>
      </c>
      <c r="N163" s="11">
        <v>7.1999999999999995E-2</v>
      </c>
      <c r="O163" s="13">
        <v>5</v>
      </c>
    </row>
    <row r="164" spans="1:15" x14ac:dyDescent="0.3">
      <c r="A164" t="s">
        <v>177</v>
      </c>
      <c r="B164" s="4">
        <v>45385</v>
      </c>
      <c r="C164" s="4">
        <v>45389</v>
      </c>
      <c r="D164" s="7" t="s">
        <v>648</v>
      </c>
      <c r="E164" s="7" t="s">
        <v>655</v>
      </c>
      <c r="F164" s="7" t="s">
        <v>672</v>
      </c>
      <c r="G164" s="7" t="s">
        <v>703</v>
      </c>
      <c r="H164" s="7" t="s">
        <v>711</v>
      </c>
      <c r="I164" s="7" t="s">
        <v>725</v>
      </c>
      <c r="J164" s="7" t="s">
        <v>730</v>
      </c>
      <c r="K164" s="7" t="s">
        <v>896</v>
      </c>
      <c r="L164" s="9">
        <v>1023.27</v>
      </c>
      <c r="M164" s="9">
        <v>1343.64</v>
      </c>
      <c r="N164" s="11">
        <v>0.13300000000000001</v>
      </c>
      <c r="O164" s="13">
        <v>7</v>
      </c>
    </row>
    <row r="165" spans="1:15" x14ac:dyDescent="0.3">
      <c r="A165" t="s">
        <v>178</v>
      </c>
      <c r="B165" s="4">
        <v>45010</v>
      </c>
      <c r="C165" s="4">
        <v>45011</v>
      </c>
      <c r="D165" s="7" t="s">
        <v>647</v>
      </c>
      <c r="E165" s="7" t="s">
        <v>652</v>
      </c>
      <c r="F165" s="7" t="s">
        <v>666</v>
      </c>
      <c r="G165" s="7" t="s">
        <v>705</v>
      </c>
      <c r="H165" s="7" t="s">
        <v>710</v>
      </c>
      <c r="I165" s="7" t="s">
        <v>714</v>
      </c>
      <c r="J165" s="7" t="s">
        <v>732</v>
      </c>
      <c r="K165" s="7" t="s">
        <v>897</v>
      </c>
      <c r="L165" s="9">
        <v>135.12</v>
      </c>
      <c r="M165" s="9">
        <v>301.7</v>
      </c>
      <c r="N165" s="11">
        <v>0.14000000000000001</v>
      </c>
      <c r="O165" s="13">
        <v>47</v>
      </c>
    </row>
    <row r="166" spans="1:15" x14ac:dyDescent="0.3">
      <c r="A166" t="s">
        <v>179</v>
      </c>
      <c r="B166" s="4">
        <v>45447</v>
      </c>
      <c r="C166" s="4">
        <v>45459</v>
      </c>
      <c r="D166" s="7" t="s">
        <v>647</v>
      </c>
      <c r="E166" s="7" t="s">
        <v>659</v>
      </c>
      <c r="F166" s="7" t="s">
        <v>685</v>
      </c>
      <c r="G166" s="7" t="s">
        <v>701</v>
      </c>
      <c r="H166" s="7" t="s">
        <v>707</v>
      </c>
      <c r="I166" s="7" t="s">
        <v>713</v>
      </c>
      <c r="J166" s="7" t="s">
        <v>728</v>
      </c>
      <c r="K166" s="7" t="s">
        <v>898</v>
      </c>
      <c r="L166" s="9">
        <v>918.42</v>
      </c>
      <c r="M166" s="9">
        <v>1511.71</v>
      </c>
      <c r="N166" s="11">
        <v>0.02</v>
      </c>
      <c r="O166" s="13">
        <v>8</v>
      </c>
    </row>
    <row r="167" spans="1:15" x14ac:dyDescent="0.3">
      <c r="A167" t="s">
        <v>180</v>
      </c>
      <c r="B167" s="4">
        <v>44976</v>
      </c>
      <c r="C167" s="4">
        <v>44997</v>
      </c>
      <c r="D167" s="7" t="s">
        <v>649</v>
      </c>
      <c r="E167" s="7" t="s">
        <v>656</v>
      </c>
      <c r="F167" s="7" t="s">
        <v>671</v>
      </c>
      <c r="G167" s="7" t="s">
        <v>705</v>
      </c>
      <c r="H167" s="7" t="s">
        <v>711</v>
      </c>
      <c r="I167" s="7" t="s">
        <v>716</v>
      </c>
      <c r="J167" s="7" t="s">
        <v>732</v>
      </c>
      <c r="K167" s="7" t="s">
        <v>899</v>
      </c>
      <c r="L167" s="9">
        <v>1234.81</v>
      </c>
      <c r="M167" s="9">
        <v>2055.2399999999998</v>
      </c>
      <c r="N167" s="11">
        <v>5.2999999999999999E-2</v>
      </c>
      <c r="O167" s="13">
        <v>44</v>
      </c>
    </row>
    <row r="168" spans="1:15" x14ac:dyDescent="0.3">
      <c r="A168" t="s">
        <v>181</v>
      </c>
      <c r="B168" s="4">
        <v>45034</v>
      </c>
      <c r="C168" s="4">
        <v>45064</v>
      </c>
      <c r="D168" s="7" t="s">
        <v>647</v>
      </c>
      <c r="E168" s="7" t="s">
        <v>659</v>
      </c>
      <c r="F168" s="7" t="s">
        <v>676</v>
      </c>
      <c r="G168" s="7" t="s">
        <v>703</v>
      </c>
      <c r="H168" s="7" t="s">
        <v>707</v>
      </c>
      <c r="I168" s="7" t="s">
        <v>722</v>
      </c>
      <c r="J168" s="7" t="s">
        <v>731</v>
      </c>
      <c r="K168" s="7" t="s">
        <v>900</v>
      </c>
      <c r="L168" s="9">
        <v>329.03</v>
      </c>
      <c r="M168" s="9">
        <v>391.15</v>
      </c>
      <c r="N168" s="11">
        <v>0.19700000000000001</v>
      </c>
      <c r="O168" s="13">
        <v>46</v>
      </c>
    </row>
    <row r="169" spans="1:15" x14ac:dyDescent="0.3">
      <c r="A169" t="s">
        <v>182</v>
      </c>
      <c r="B169" s="4">
        <v>45435</v>
      </c>
      <c r="C169" s="4">
        <v>45457</v>
      </c>
      <c r="D169" s="7" t="s">
        <v>649</v>
      </c>
      <c r="E169" s="7" t="s">
        <v>657</v>
      </c>
      <c r="F169" s="7" t="s">
        <v>673</v>
      </c>
      <c r="G169" s="7" t="s">
        <v>705</v>
      </c>
      <c r="H169" s="7" t="s">
        <v>708</v>
      </c>
      <c r="I169" s="7" t="s">
        <v>725</v>
      </c>
      <c r="J169" s="7" t="s">
        <v>732</v>
      </c>
      <c r="K169" s="7" t="s">
        <v>901</v>
      </c>
      <c r="L169" s="9">
        <v>1481.74</v>
      </c>
      <c r="M169" s="9">
        <v>1848.97</v>
      </c>
      <c r="N169" s="11">
        <v>0.254</v>
      </c>
      <c r="O169" s="13">
        <v>9</v>
      </c>
    </row>
    <row r="170" spans="1:15" x14ac:dyDescent="0.3">
      <c r="A170" t="s">
        <v>183</v>
      </c>
      <c r="B170" s="4">
        <v>45206</v>
      </c>
      <c r="C170" s="4">
        <v>45222</v>
      </c>
      <c r="D170" s="7" t="s">
        <v>647</v>
      </c>
      <c r="E170" s="7" t="s">
        <v>654</v>
      </c>
      <c r="F170" s="7" t="s">
        <v>696</v>
      </c>
      <c r="G170" s="7" t="s">
        <v>704</v>
      </c>
      <c r="H170" s="7" t="s">
        <v>707</v>
      </c>
      <c r="I170" s="7" t="s">
        <v>715</v>
      </c>
      <c r="J170" s="7" t="s">
        <v>732</v>
      </c>
      <c r="K170" s="7" t="s">
        <v>902</v>
      </c>
      <c r="L170" s="9">
        <v>906.81</v>
      </c>
      <c r="M170" s="9">
        <v>1395.56</v>
      </c>
      <c r="N170" s="11">
        <v>0.185</v>
      </c>
      <c r="O170" s="13">
        <v>6</v>
      </c>
    </row>
    <row r="171" spans="1:15" x14ac:dyDescent="0.3">
      <c r="A171" t="s">
        <v>184</v>
      </c>
      <c r="B171" s="4">
        <v>45574</v>
      </c>
      <c r="C171" s="4">
        <v>45604</v>
      </c>
      <c r="D171" s="7" t="s">
        <v>649</v>
      </c>
      <c r="E171" s="7" t="s">
        <v>658</v>
      </c>
      <c r="F171" s="7" t="s">
        <v>693</v>
      </c>
      <c r="G171" s="7" t="s">
        <v>705</v>
      </c>
      <c r="H171" s="7" t="s">
        <v>710</v>
      </c>
      <c r="I171" s="7" t="s">
        <v>713</v>
      </c>
      <c r="J171" s="7" t="s">
        <v>727</v>
      </c>
      <c r="K171" s="7" t="s">
        <v>903</v>
      </c>
      <c r="L171" s="9">
        <v>343.85</v>
      </c>
      <c r="M171" s="9">
        <v>538.04</v>
      </c>
      <c r="N171" s="11">
        <v>0.13900000000000001</v>
      </c>
      <c r="O171" s="13">
        <v>5</v>
      </c>
    </row>
    <row r="172" spans="1:15" x14ac:dyDescent="0.3">
      <c r="A172" t="s">
        <v>185</v>
      </c>
      <c r="B172" s="4">
        <v>45488</v>
      </c>
      <c r="C172" s="4">
        <v>45488</v>
      </c>
      <c r="D172" s="7" t="s">
        <v>647</v>
      </c>
      <c r="E172" s="7" t="s">
        <v>652</v>
      </c>
      <c r="F172" s="7" t="s">
        <v>689</v>
      </c>
      <c r="G172" s="7" t="s">
        <v>705</v>
      </c>
      <c r="H172" s="7" t="s">
        <v>709</v>
      </c>
      <c r="I172" s="7" t="s">
        <v>715</v>
      </c>
      <c r="J172" s="7" t="s">
        <v>733</v>
      </c>
      <c r="K172" s="7" t="s">
        <v>904</v>
      </c>
      <c r="L172" s="9">
        <v>801.77</v>
      </c>
      <c r="M172" s="9">
        <v>1218.92</v>
      </c>
      <c r="N172" s="11">
        <v>0.254</v>
      </c>
      <c r="O172" s="13">
        <v>16</v>
      </c>
    </row>
    <row r="173" spans="1:15" x14ac:dyDescent="0.3">
      <c r="A173" t="s">
        <v>186</v>
      </c>
      <c r="B173" s="4">
        <v>45190</v>
      </c>
      <c r="C173" s="4">
        <v>45209</v>
      </c>
      <c r="D173" s="7" t="s">
        <v>647</v>
      </c>
      <c r="E173" s="7" t="s">
        <v>652</v>
      </c>
      <c r="F173" s="7" t="s">
        <v>689</v>
      </c>
      <c r="G173" s="7" t="s">
        <v>702</v>
      </c>
      <c r="H173" s="7" t="s">
        <v>708</v>
      </c>
      <c r="I173" s="7" t="s">
        <v>726</v>
      </c>
      <c r="J173" s="7" t="s">
        <v>727</v>
      </c>
      <c r="K173" s="7" t="s">
        <v>905</v>
      </c>
      <c r="L173" s="9">
        <v>845.63</v>
      </c>
      <c r="M173" s="9">
        <v>2062.12</v>
      </c>
      <c r="N173" s="11">
        <v>0.13400000000000001</v>
      </c>
      <c r="O173" s="13">
        <v>5</v>
      </c>
    </row>
    <row r="174" spans="1:15" x14ac:dyDescent="0.3">
      <c r="A174" t="s">
        <v>187</v>
      </c>
      <c r="B174" s="4">
        <v>44981</v>
      </c>
      <c r="C174" s="4">
        <v>44994</v>
      </c>
      <c r="D174" s="7" t="s">
        <v>648</v>
      </c>
      <c r="E174" s="7" t="s">
        <v>660</v>
      </c>
      <c r="F174" s="7" t="s">
        <v>700</v>
      </c>
      <c r="G174" s="7" t="s">
        <v>706</v>
      </c>
      <c r="H174" s="7" t="s">
        <v>708</v>
      </c>
      <c r="I174" s="7" t="s">
        <v>724</v>
      </c>
      <c r="J174" s="7" t="s">
        <v>727</v>
      </c>
      <c r="K174" s="7" t="s">
        <v>906</v>
      </c>
      <c r="L174" s="9">
        <v>6.85</v>
      </c>
      <c r="M174" s="9">
        <v>10.18</v>
      </c>
      <c r="N174" s="11">
        <v>4.7E-2</v>
      </c>
      <c r="O174" s="13">
        <v>10</v>
      </c>
    </row>
    <row r="175" spans="1:15" x14ac:dyDescent="0.3">
      <c r="A175" t="s">
        <v>188</v>
      </c>
      <c r="B175" s="4">
        <v>45798</v>
      </c>
      <c r="C175" s="4">
        <v>45796</v>
      </c>
      <c r="D175" s="7" t="s">
        <v>646</v>
      </c>
      <c r="E175" s="7" t="s">
        <v>661</v>
      </c>
      <c r="F175" s="7" t="s">
        <v>682</v>
      </c>
      <c r="G175" s="7" t="s">
        <v>703</v>
      </c>
      <c r="H175" s="7" t="s">
        <v>710</v>
      </c>
      <c r="I175" s="7" t="s">
        <v>719</v>
      </c>
      <c r="J175" s="7" t="s">
        <v>731</v>
      </c>
      <c r="K175" s="7" t="s">
        <v>907</v>
      </c>
      <c r="L175" s="9">
        <v>1263.8399999999999</v>
      </c>
      <c r="M175" s="9">
        <v>2281.7199999999998</v>
      </c>
      <c r="N175" s="11">
        <v>7.8E-2</v>
      </c>
      <c r="O175" s="13">
        <v>15</v>
      </c>
    </row>
    <row r="176" spans="1:15" x14ac:dyDescent="0.3">
      <c r="A176" t="s">
        <v>189</v>
      </c>
      <c r="B176" s="4">
        <v>45435</v>
      </c>
      <c r="C176" s="4">
        <v>45446</v>
      </c>
      <c r="D176" s="7" t="s">
        <v>646</v>
      </c>
      <c r="E176" s="7" t="s">
        <v>661</v>
      </c>
      <c r="F176" s="7" t="s">
        <v>682</v>
      </c>
      <c r="G176" s="7" t="s">
        <v>705</v>
      </c>
      <c r="H176" s="7" t="s">
        <v>710</v>
      </c>
      <c r="I176" s="7" t="s">
        <v>721</v>
      </c>
      <c r="J176" s="7" t="s">
        <v>728</v>
      </c>
      <c r="K176" s="7" t="s">
        <v>908</v>
      </c>
      <c r="L176" s="9">
        <v>180.89</v>
      </c>
      <c r="M176" s="9">
        <v>249.57</v>
      </c>
      <c r="N176" s="11">
        <v>2.1999999999999999E-2</v>
      </c>
      <c r="O176" s="13">
        <v>8</v>
      </c>
    </row>
    <row r="177" spans="1:15" x14ac:dyDescent="0.3">
      <c r="A177" t="s">
        <v>190</v>
      </c>
      <c r="B177" s="4">
        <v>45761</v>
      </c>
      <c r="C177" s="4">
        <v>45781</v>
      </c>
      <c r="D177" s="7" t="s">
        <v>649</v>
      </c>
      <c r="E177" s="7" t="s">
        <v>658</v>
      </c>
      <c r="F177" s="7" t="s">
        <v>674</v>
      </c>
      <c r="G177" s="7" t="s">
        <v>706</v>
      </c>
      <c r="H177" s="7" t="s">
        <v>709</v>
      </c>
      <c r="I177" s="7" t="s">
        <v>723</v>
      </c>
      <c r="J177" s="7" t="s">
        <v>732</v>
      </c>
      <c r="K177" s="7" t="s">
        <v>909</v>
      </c>
      <c r="L177" s="9">
        <v>1413.87</v>
      </c>
      <c r="M177" s="9">
        <v>3275</v>
      </c>
      <c r="N177" s="11">
        <v>0.255</v>
      </c>
      <c r="O177" s="13">
        <v>38</v>
      </c>
    </row>
    <row r="178" spans="1:15" x14ac:dyDescent="0.3">
      <c r="A178" t="s">
        <v>191</v>
      </c>
      <c r="B178" s="4">
        <v>45165</v>
      </c>
      <c r="C178" s="4">
        <v>45180</v>
      </c>
      <c r="D178" s="7" t="s">
        <v>649</v>
      </c>
      <c r="E178" s="7" t="s">
        <v>658</v>
      </c>
      <c r="F178" s="7" t="s">
        <v>683</v>
      </c>
      <c r="G178" s="7" t="s">
        <v>704</v>
      </c>
      <c r="H178" s="7" t="s">
        <v>709</v>
      </c>
      <c r="I178" s="7" t="s">
        <v>725</v>
      </c>
      <c r="J178" s="7" t="s">
        <v>728</v>
      </c>
      <c r="K178" s="7" t="s">
        <v>910</v>
      </c>
      <c r="L178" s="9">
        <v>943.79</v>
      </c>
      <c r="M178" s="9">
        <v>1913.76</v>
      </c>
      <c r="N178" s="11">
        <v>9.0999999999999998E-2</v>
      </c>
      <c r="O178" s="13">
        <v>9</v>
      </c>
    </row>
    <row r="179" spans="1:15" x14ac:dyDescent="0.3">
      <c r="A179" t="s">
        <v>192</v>
      </c>
      <c r="B179" s="4">
        <v>45325</v>
      </c>
      <c r="C179" s="4">
        <v>45343</v>
      </c>
      <c r="D179" s="7" t="s">
        <v>649</v>
      </c>
      <c r="E179" s="7" t="s">
        <v>656</v>
      </c>
      <c r="F179" s="7" t="s">
        <v>698</v>
      </c>
      <c r="G179" s="7" t="s">
        <v>701</v>
      </c>
      <c r="H179" s="7" t="s">
        <v>707</v>
      </c>
      <c r="I179" s="7" t="s">
        <v>722</v>
      </c>
      <c r="J179" s="7" t="s">
        <v>727</v>
      </c>
      <c r="K179" s="7" t="s">
        <v>911</v>
      </c>
      <c r="L179" s="9">
        <v>39.229999999999997</v>
      </c>
      <c r="M179" s="9">
        <v>30.09</v>
      </c>
      <c r="N179" s="11">
        <v>0.17699999999999999</v>
      </c>
      <c r="O179" s="13">
        <v>13</v>
      </c>
    </row>
    <row r="180" spans="1:15" x14ac:dyDescent="0.3">
      <c r="A180" t="s">
        <v>193</v>
      </c>
      <c r="B180" s="4">
        <v>45021</v>
      </c>
      <c r="C180" s="4">
        <v>45032</v>
      </c>
      <c r="D180" s="7" t="s">
        <v>648</v>
      </c>
      <c r="E180" s="7" t="s">
        <v>653</v>
      </c>
      <c r="F180" s="7" t="s">
        <v>688</v>
      </c>
      <c r="G180" s="7" t="s">
        <v>703</v>
      </c>
      <c r="H180" s="7" t="s">
        <v>708</v>
      </c>
      <c r="I180" s="7" t="s">
        <v>719</v>
      </c>
      <c r="J180" s="7" t="s">
        <v>732</v>
      </c>
      <c r="K180" s="7" t="s">
        <v>912</v>
      </c>
      <c r="L180" s="9">
        <v>213.1</v>
      </c>
      <c r="M180" s="9">
        <v>501.31</v>
      </c>
      <c r="N180" s="11">
        <v>5.6000000000000001E-2</v>
      </c>
      <c r="O180" s="13">
        <v>15</v>
      </c>
    </row>
    <row r="181" spans="1:15" x14ac:dyDescent="0.3">
      <c r="A181" t="s">
        <v>194</v>
      </c>
      <c r="B181" s="4">
        <v>45890</v>
      </c>
      <c r="C181" s="4">
        <v>45912</v>
      </c>
      <c r="D181" s="7" t="s">
        <v>647</v>
      </c>
      <c r="E181" s="7" t="s">
        <v>659</v>
      </c>
      <c r="F181" s="7" t="s">
        <v>676</v>
      </c>
      <c r="G181" s="7" t="s">
        <v>702</v>
      </c>
      <c r="H181" s="7" t="s">
        <v>707</v>
      </c>
      <c r="I181" s="7" t="s">
        <v>717</v>
      </c>
      <c r="J181" s="7" t="s">
        <v>728</v>
      </c>
      <c r="K181" s="7" t="s">
        <v>913</v>
      </c>
      <c r="L181" s="9">
        <v>352.66</v>
      </c>
      <c r="M181" s="9">
        <v>411.18</v>
      </c>
      <c r="N181" s="11">
        <v>0.17299999999999999</v>
      </c>
      <c r="O181" s="13">
        <v>13</v>
      </c>
    </row>
    <row r="182" spans="1:15" x14ac:dyDescent="0.3">
      <c r="A182" t="s">
        <v>195</v>
      </c>
      <c r="B182" s="4">
        <v>45915</v>
      </c>
      <c r="C182" s="4">
        <v>45918</v>
      </c>
      <c r="D182" s="7" t="s">
        <v>648</v>
      </c>
      <c r="E182" s="7" t="s">
        <v>655</v>
      </c>
      <c r="F182" s="7" t="s">
        <v>692</v>
      </c>
      <c r="G182" s="7" t="s">
        <v>703</v>
      </c>
      <c r="H182" s="7" t="s">
        <v>711</v>
      </c>
      <c r="I182" s="7" t="s">
        <v>716</v>
      </c>
      <c r="J182" s="7" t="s">
        <v>733</v>
      </c>
      <c r="K182" s="7" t="s">
        <v>914</v>
      </c>
      <c r="L182" s="9">
        <v>5.5</v>
      </c>
      <c r="M182" s="9">
        <v>5.92</v>
      </c>
      <c r="N182" s="11">
        <v>0.21199999999999999</v>
      </c>
      <c r="O182" s="13">
        <v>4</v>
      </c>
    </row>
    <row r="183" spans="1:15" x14ac:dyDescent="0.3">
      <c r="A183" t="s">
        <v>196</v>
      </c>
      <c r="B183" s="4">
        <v>45568</v>
      </c>
      <c r="C183" s="4">
        <v>45576</v>
      </c>
      <c r="D183" s="7" t="s">
        <v>647</v>
      </c>
      <c r="E183" s="7" t="s">
        <v>659</v>
      </c>
      <c r="F183" s="7" t="s">
        <v>699</v>
      </c>
      <c r="G183" s="7" t="s">
        <v>706</v>
      </c>
      <c r="H183" s="7" t="s">
        <v>711</v>
      </c>
      <c r="I183" s="7" t="s">
        <v>717</v>
      </c>
      <c r="J183" s="7" t="s">
        <v>730</v>
      </c>
      <c r="K183" s="7" t="s">
        <v>915</v>
      </c>
      <c r="L183" s="9">
        <v>1132.6099999999999</v>
      </c>
      <c r="M183" s="9">
        <v>2206.63</v>
      </c>
      <c r="N183" s="11">
        <v>6.3E-2</v>
      </c>
      <c r="O183" s="13">
        <v>20</v>
      </c>
    </row>
    <row r="184" spans="1:15" x14ac:dyDescent="0.3">
      <c r="A184" t="s">
        <v>197</v>
      </c>
      <c r="B184" s="4">
        <v>45690</v>
      </c>
      <c r="C184" s="4">
        <v>45720</v>
      </c>
      <c r="D184" s="7" t="s">
        <v>647</v>
      </c>
      <c r="E184" s="7" t="s">
        <v>652</v>
      </c>
      <c r="F184" s="7" t="s">
        <v>666</v>
      </c>
      <c r="G184" s="7" t="s">
        <v>702</v>
      </c>
      <c r="H184" s="7" t="s">
        <v>710</v>
      </c>
      <c r="I184" s="7" t="s">
        <v>716</v>
      </c>
      <c r="J184" s="7" t="s">
        <v>733</v>
      </c>
      <c r="K184" s="7" t="s">
        <v>916</v>
      </c>
      <c r="L184" s="9">
        <v>766.59</v>
      </c>
      <c r="M184" s="9">
        <v>1912.8</v>
      </c>
      <c r="N184" s="11">
        <v>0.19600000000000001</v>
      </c>
      <c r="O184" s="13">
        <v>5</v>
      </c>
    </row>
    <row r="185" spans="1:15" x14ac:dyDescent="0.3">
      <c r="A185" t="s">
        <v>198</v>
      </c>
      <c r="B185" s="4">
        <v>45157</v>
      </c>
      <c r="C185" s="4">
        <v>45161</v>
      </c>
      <c r="D185" s="7" t="s">
        <v>646</v>
      </c>
      <c r="E185" s="7" t="s">
        <v>651</v>
      </c>
      <c r="F185" s="7" t="s">
        <v>669</v>
      </c>
      <c r="G185" s="7" t="s">
        <v>705</v>
      </c>
      <c r="H185" s="7" t="s">
        <v>708</v>
      </c>
      <c r="I185" s="7" t="s">
        <v>713</v>
      </c>
      <c r="J185" s="7" t="s">
        <v>732</v>
      </c>
      <c r="K185" s="7" t="s">
        <v>917</v>
      </c>
      <c r="L185" s="9">
        <v>790.63</v>
      </c>
      <c r="M185" s="9">
        <v>1382.31</v>
      </c>
      <c r="N185" s="11">
        <v>0.10100000000000001</v>
      </c>
      <c r="O185" s="13">
        <v>7</v>
      </c>
    </row>
    <row r="186" spans="1:15" x14ac:dyDescent="0.3">
      <c r="A186" t="s">
        <v>199</v>
      </c>
      <c r="B186" s="4">
        <v>45587</v>
      </c>
      <c r="C186" s="4">
        <v>45594</v>
      </c>
      <c r="D186" s="7" t="s">
        <v>646</v>
      </c>
      <c r="E186" s="7" t="s">
        <v>651</v>
      </c>
      <c r="F186" s="7" t="s">
        <v>663</v>
      </c>
      <c r="G186" s="7" t="s">
        <v>706</v>
      </c>
      <c r="H186" s="7" t="s">
        <v>710</v>
      </c>
      <c r="I186" s="7" t="s">
        <v>724</v>
      </c>
      <c r="J186" s="7" t="s">
        <v>732</v>
      </c>
      <c r="K186" s="7" t="s">
        <v>918</v>
      </c>
      <c r="L186" s="9">
        <v>1023.06</v>
      </c>
      <c r="M186" s="9">
        <v>1355.61</v>
      </c>
      <c r="N186" s="11">
        <v>0.153</v>
      </c>
      <c r="O186" s="13">
        <v>23</v>
      </c>
    </row>
    <row r="187" spans="1:15" x14ac:dyDescent="0.3">
      <c r="A187" t="s">
        <v>200</v>
      </c>
      <c r="B187" s="4">
        <v>45099</v>
      </c>
      <c r="C187" s="4">
        <v>45128</v>
      </c>
      <c r="D187" s="7" t="s">
        <v>649</v>
      </c>
      <c r="E187" s="7" t="s">
        <v>657</v>
      </c>
      <c r="F187" s="7" t="s">
        <v>679</v>
      </c>
      <c r="G187" s="7" t="s">
        <v>701</v>
      </c>
      <c r="H187" s="7" t="s">
        <v>707</v>
      </c>
      <c r="I187" s="7" t="s">
        <v>713</v>
      </c>
      <c r="J187" s="7" t="s">
        <v>733</v>
      </c>
      <c r="K187" s="7" t="s">
        <v>919</v>
      </c>
      <c r="L187" s="9">
        <v>734.34</v>
      </c>
      <c r="M187" s="9">
        <v>887.9</v>
      </c>
      <c r="N187" s="11">
        <v>2.5000000000000001E-2</v>
      </c>
      <c r="O187" s="13">
        <v>12</v>
      </c>
    </row>
    <row r="188" spans="1:15" x14ac:dyDescent="0.3">
      <c r="A188" t="s">
        <v>201</v>
      </c>
      <c r="B188" s="4">
        <v>45670</v>
      </c>
      <c r="C188" s="4">
        <v>45696</v>
      </c>
      <c r="D188" s="7" t="s">
        <v>649</v>
      </c>
      <c r="E188" s="7" t="s">
        <v>657</v>
      </c>
      <c r="F188" s="7" t="s">
        <v>690</v>
      </c>
      <c r="G188" s="7" t="s">
        <v>703</v>
      </c>
      <c r="I188" s="7" t="s">
        <v>718</v>
      </c>
      <c r="J188" s="7" t="s">
        <v>732</v>
      </c>
      <c r="K188" s="7" t="s">
        <v>920</v>
      </c>
      <c r="L188" s="9">
        <v>594.74</v>
      </c>
      <c r="M188" s="9">
        <v>1020.69</v>
      </c>
      <c r="N188" s="11">
        <v>0.21099999999999999</v>
      </c>
      <c r="O188" s="13">
        <v>6</v>
      </c>
    </row>
    <row r="189" spans="1:15" x14ac:dyDescent="0.3">
      <c r="A189" t="s">
        <v>202</v>
      </c>
      <c r="B189" s="4">
        <v>45126</v>
      </c>
      <c r="C189" s="4">
        <v>45138</v>
      </c>
      <c r="D189" s="7" t="s">
        <v>648</v>
      </c>
      <c r="E189" s="7" t="s">
        <v>655</v>
      </c>
      <c r="F189" s="7" t="s">
        <v>692</v>
      </c>
      <c r="G189" s="7" t="s">
        <v>701</v>
      </c>
      <c r="H189" s="7" t="s">
        <v>707</v>
      </c>
      <c r="I189" s="7" t="s">
        <v>712</v>
      </c>
      <c r="J189" s="7" t="s">
        <v>732</v>
      </c>
      <c r="K189" s="7" t="s">
        <v>921</v>
      </c>
      <c r="L189" s="9">
        <v>1334.64</v>
      </c>
      <c r="M189" s="9">
        <v>2273.42</v>
      </c>
      <c r="N189" s="11">
        <v>0.11799999999999999</v>
      </c>
      <c r="O189" s="13">
        <v>14</v>
      </c>
    </row>
    <row r="190" spans="1:15" x14ac:dyDescent="0.3">
      <c r="A190" t="s">
        <v>203</v>
      </c>
      <c r="B190" s="4">
        <v>45431</v>
      </c>
      <c r="C190" s="4">
        <v>45451</v>
      </c>
      <c r="D190" s="7" t="s">
        <v>648</v>
      </c>
      <c r="E190" s="7" t="s">
        <v>655</v>
      </c>
      <c r="F190" s="7" t="s">
        <v>672</v>
      </c>
      <c r="G190" s="7" t="s">
        <v>705</v>
      </c>
      <c r="H190" s="7" t="s">
        <v>707</v>
      </c>
      <c r="I190" s="7" t="s">
        <v>718</v>
      </c>
      <c r="J190" s="7" t="s">
        <v>732</v>
      </c>
      <c r="K190" s="7" t="s">
        <v>922</v>
      </c>
      <c r="L190" s="9">
        <v>1075.9000000000001</v>
      </c>
      <c r="M190" s="9">
        <v>1242.1500000000001</v>
      </c>
      <c r="N190" s="11">
        <v>1.2E-2</v>
      </c>
      <c r="O190" s="13">
        <v>7</v>
      </c>
    </row>
    <row r="191" spans="1:15" x14ac:dyDescent="0.3">
      <c r="A191" t="s">
        <v>204</v>
      </c>
      <c r="B191" s="4">
        <v>45325</v>
      </c>
      <c r="C191" s="4">
        <v>45341</v>
      </c>
      <c r="D191" s="7" t="s">
        <v>647</v>
      </c>
      <c r="E191" s="7" t="s">
        <v>659</v>
      </c>
      <c r="F191" s="7" t="s">
        <v>676</v>
      </c>
      <c r="G191" s="7" t="s">
        <v>705</v>
      </c>
      <c r="H191" s="7" t="s">
        <v>708</v>
      </c>
      <c r="I191" s="7" t="s">
        <v>722</v>
      </c>
      <c r="J191" s="7" t="s">
        <v>731</v>
      </c>
      <c r="K191" s="7" t="s">
        <v>923</v>
      </c>
      <c r="L191" s="9">
        <v>993.75</v>
      </c>
      <c r="M191" s="9">
        <v>1310.29</v>
      </c>
      <c r="N191" s="11">
        <v>0.215</v>
      </c>
      <c r="O191" s="13">
        <v>19</v>
      </c>
    </row>
    <row r="192" spans="1:15" x14ac:dyDescent="0.3">
      <c r="A192" t="s">
        <v>205</v>
      </c>
      <c r="B192" s="4">
        <v>45146</v>
      </c>
      <c r="C192" s="4">
        <v>45160</v>
      </c>
      <c r="D192" s="7" t="s">
        <v>649</v>
      </c>
      <c r="E192" s="7" t="s">
        <v>658</v>
      </c>
      <c r="F192" s="7" t="s">
        <v>674</v>
      </c>
      <c r="G192" s="7" t="s">
        <v>703</v>
      </c>
      <c r="H192" s="7" t="s">
        <v>711</v>
      </c>
      <c r="I192" s="7" t="s">
        <v>725</v>
      </c>
      <c r="J192" s="7" t="s">
        <v>732</v>
      </c>
      <c r="K192" s="7" t="s">
        <v>924</v>
      </c>
      <c r="L192" s="9">
        <v>446.69</v>
      </c>
      <c r="M192" s="9">
        <v>967.25</v>
      </c>
      <c r="N192" s="11">
        <v>9.4E-2</v>
      </c>
      <c r="O192" s="13">
        <v>10</v>
      </c>
    </row>
    <row r="193" spans="1:15" x14ac:dyDescent="0.3">
      <c r="A193" t="s">
        <v>206</v>
      </c>
      <c r="B193" s="4">
        <v>45516</v>
      </c>
      <c r="C193" s="4">
        <v>45538</v>
      </c>
      <c r="D193" s="7" t="s">
        <v>648</v>
      </c>
      <c r="E193" s="7" t="s">
        <v>660</v>
      </c>
      <c r="F193" s="7" t="s">
        <v>697</v>
      </c>
      <c r="G193" s="7" t="s">
        <v>704</v>
      </c>
      <c r="H193" s="7" t="s">
        <v>710</v>
      </c>
      <c r="I193" s="7" t="s">
        <v>714</v>
      </c>
      <c r="J193" s="7" t="s">
        <v>731</v>
      </c>
      <c r="K193" s="7" t="s">
        <v>925</v>
      </c>
      <c r="L193" s="9">
        <v>797.8</v>
      </c>
      <c r="M193" s="9">
        <v>886.22</v>
      </c>
      <c r="N193" s="11">
        <v>0.23599999999999999</v>
      </c>
      <c r="O193" s="13">
        <v>36</v>
      </c>
    </row>
    <row r="194" spans="1:15" x14ac:dyDescent="0.3">
      <c r="A194" t="s">
        <v>207</v>
      </c>
      <c r="B194" s="4">
        <v>45214</v>
      </c>
      <c r="C194" s="4">
        <v>45243</v>
      </c>
      <c r="D194" s="7" t="s">
        <v>647</v>
      </c>
      <c r="E194" s="7" t="s">
        <v>659</v>
      </c>
      <c r="F194" s="7" t="s">
        <v>676</v>
      </c>
      <c r="G194" s="7" t="s">
        <v>703</v>
      </c>
      <c r="H194" s="7" t="s">
        <v>710</v>
      </c>
      <c r="I194" s="7" t="s">
        <v>713</v>
      </c>
      <c r="J194" s="7" t="s">
        <v>728</v>
      </c>
      <c r="K194" s="7" t="s">
        <v>926</v>
      </c>
      <c r="L194" s="9">
        <v>986.44</v>
      </c>
      <c r="M194" s="9">
        <v>790.61</v>
      </c>
      <c r="N194" s="11">
        <v>7.1999999999999995E-2</v>
      </c>
      <c r="O194" s="13">
        <v>6</v>
      </c>
    </row>
    <row r="195" spans="1:15" x14ac:dyDescent="0.3">
      <c r="A195" t="s">
        <v>208</v>
      </c>
      <c r="B195" s="4">
        <v>45050</v>
      </c>
      <c r="C195" s="4">
        <v>45072</v>
      </c>
      <c r="D195" s="7" t="s">
        <v>648</v>
      </c>
      <c r="E195" s="7" t="s">
        <v>660</v>
      </c>
      <c r="F195" s="7" t="s">
        <v>686</v>
      </c>
      <c r="G195" s="7" t="s">
        <v>706</v>
      </c>
      <c r="H195" s="7" t="s">
        <v>708</v>
      </c>
      <c r="I195" s="7" t="s">
        <v>713</v>
      </c>
      <c r="J195" s="7" t="s">
        <v>729</v>
      </c>
      <c r="K195" s="7" t="s">
        <v>927</v>
      </c>
      <c r="L195" s="9">
        <v>249.71</v>
      </c>
      <c r="M195" s="9">
        <v>361.33</v>
      </c>
      <c r="N195" s="11">
        <v>9.4E-2</v>
      </c>
      <c r="O195" s="13">
        <v>12</v>
      </c>
    </row>
    <row r="196" spans="1:15" x14ac:dyDescent="0.3">
      <c r="A196" t="s">
        <v>209</v>
      </c>
      <c r="B196" s="4">
        <v>45557</v>
      </c>
      <c r="C196" s="4">
        <v>45566</v>
      </c>
      <c r="D196" s="7" t="s">
        <v>648</v>
      </c>
      <c r="E196" s="7" t="s">
        <v>655</v>
      </c>
      <c r="F196" s="7" t="s">
        <v>670</v>
      </c>
      <c r="G196" s="7" t="s">
        <v>703</v>
      </c>
      <c r="H196" s="7" t="s">
        <v>708</v>
      </c>
      <c r="I196" s="7" t="s">
        <v>723</v>
      </c>
      <c r="J196" s="7" t="s">
        <v>732</v>
      </c>
      <c r="K196" s="7" t="s">
        <v>928</v>
      </c>
      <c r="L196" s="9">
        <v>1378.8</v>
      </c>
      <c r="M196" s="9">
        <v>1952.04</v>
      </c>
      <c r="N196" s="11">
        <v>0.159</v>
      </c>
      <c r="O196" s="13">
        <v>19</v>
      </c>
    </row>
    <row r="197" spans="1:15" x14ac:dyDescent="0.3">
      <c r="A197" t="s">
        <v>210</v>
      </c>
      <c r="B197" s="4">
        <v>45588</v>
      </c>
      <c r="C197" s="4">
        <v>45610</v>
      </c>
      <c r="D197" s="7" t="s">
        <v>647</v>
      </c>
      <c r="E197" s="7" t="s">
        <v>652</v>
      </c>
      <c r="F197" s="7" t="s">
        <v>666</v>
      </c>
      <c r="G197" s="7" t="s">
        <v>703</v>
      </c>
      <c r="H197" s="7" t="s">
        <v>711</v>
      </c>
      <c r="I197" s="7" t="s">
        <v>717</v>
      </c>
      <c r="J197" s="7" t="s">
        <v>730</v>
      </c>
      <c r="K197" s="7" t="s">
        <v>929</v>
      </c>
      <c r="L197" s="9">
        <v>1406.4</v>
      </c>
      <c r="M197" s="9">
        <v>1564.76</v>
      </c>
      <c r="N197" s="11">
        <v>0.185</v>
      </c>
      <c r="O197" s="13">
        <v>17</v>
      </c>
    </row>
    <row r="198" spans="1:15" x14ac:dyDescent="0.3">
      <c r="A198" t="s">
        <v>211</v>
      </c>
      <c r="B198" s="4">
        <v>45333</v>
      </c>
      <c r="C198" s="4">
        <v>45354</v>
      </c>
      <c r="D198" s="7" t="s">
        <v>646</v>
      </c>
      <c r="E198" s="7" t="s">
        <v>650</v>
      </c>
      <c r="F198" s="7" t="s">
        <v>662</v>
      </c>
      <c r="G198" s="7" t="s">
        <v>706</v>
      </c>
      <c r="H198" s="7" t="s">
        <v>708</v>
      </c>
      <c r="I198" s="7" t="s">
        <v>717</v>
      </c>
      <c r="J198" s="7" t="s">
        <v>730</v>
      </c>
      <c r="K198" s="7" t="s">
        <v>930</v>
      </c>
      <c r="L198" s="9">
        <v>516.86</v>
      </c>
      <c r="M198" s="9">
        <v>852.54</v>
      </c>
      <c r="N198" s="11">
        <v>5.0999999999999997E-2</v>
      </c>
      <c r="O198" s="13">
        <v>14</v>
      </c>
    </row>
    <row r="199" spans="1:15" x14ac:dyDescent="0.3">
      <c r="A199" t="s">
        <v>212</v>
      </c>
      <c r="B199" s="4">
        <v>44956</v>
      </c>
      <c r="C199" s="4">
        <v>44978</v>
      </c>
      <c r="D199" s="7" t="s">
        <v>649</v>
      </c>
      <c r="E199" s="7" t="s">
        <v>656</v>
      </c>
      <c r="F199" s="7" t="s">
        <v>684</v>
      </c>
      <c r="G199" s="7" t="s">
        <v>705</v>
      </c>
      <c r="H199" s="7" t="s">
        <v>709</v>
      </c>
      <c r="I199" s="7" t="s">
        <v>715</v>
      </c>
      <c r="J199" s="7" t="s">
        <v>729</v>
      </c>
      <c r="K199" s="7" t="s">
        <v>931</v>
      </c>
      <c r="L199" s="9">
        <v>1142.8800000000001</v>
      </c>
      <c r="M199" s="9">
        <v>1465.29</v>
      </c>
      <c r="N199" s="11">
        <v>0.186</v>
      </c>
      <c r="O199" s="13">
        <v>7</v>
      </c>
    </row>
    <row r="200" spans="1:15" x14ac:dyDescent="0.3">
      <c r="A200" t="s">
        <v>213</v>
      </c>
      <c r="B200" s="4">
        <v>45030</v>
      </c>
      <c r="C200" s="4">
        <v>45059</v>
      </c>
      <c r="D200" s="7" t="s">
        <v>649</v>
      </c>
      <c r="E200" s="7" t="s">
        <v>656</v>
      </c>
      <c r="F200" s="7" t="s">
        <v>698</v>
      </c>
      <c r="G200" s="7" t="s">
        <v>704</v>
      </c>
      <c r="H200" s="7" t="s">
        <v>711</v>
      </c>
      <c r="I200" s="7" t="s">
        <v>713</v>
      </c>
      <c r="J200" s="7" t="s">
        <v>728</v>
      </c>
      <c r="K200" s="7" t="s">
        <v>932</v>
      </c>
      <c r="L200" s="9">
        <v>1320.33</v>
      </c>
      <c r="M200" s="9">
        <v>2645.23</v>
      </c>
      <c r="N200" s="11">
        <v>0.155</v>
      </c>
      <c r="O200" s="13">
        <v>25</v>
      </c>
    </row>
    <row r="201" spans="1:15" x14ac:dyDescent="0.3">
      <c r="A201" t="s">
        <v>214</v>
      </c>
      <c r="B201" s="4">
        <v>44939</v>
      </c>
      <c r="C201" s="4">
        <v>44945</v>
      </c>
      <c r="D201" s="7" t="s">
        <v>648</v>
      </c>
      <c r="E201" s="7" t="s">
        <v>660</v>
      </c>
      <c r="F201" s="7" t="s">
        <v>677</v>
      </c>
      <c r="G201" s="7" t="s">
        <v>701</v>
      </c>
      <c r="H201" s="7" t="s">
        <v>711</v>
      </c>
      <c r="I201" s="7" t="s">
        <v>722</v>
      </c>
      <c r="J201" s="7" t="s">
        <v>730</v>
      </c>
      <c r="K201" s="7" t="s">
        <v>933</v>
      </c>
      <c r="L201" s="9">
        <v>833.57</v>
      </c>
      <c r="M201" s="9">
        <v>881.57</v>
      </c>
      <c r="N201" s="11">
        <v>5.7000000000000002E-2</v>
      </c>
      <c r="O201" s="13">
        <v>18</v>
      </c>
    </row>
    <row r="202" spans="1:15" x14ac:dyDescent="0.3">
      <c r="A202" t="s">
        <v>215</v>
      </c>
      <c r="B202" s="4">
        <v>45303</v>
      </c>
      <c r="C202" s="4">
        <v>45320</v>
      </c>
      <c r="D202" s="7" t="s">
        <v>648</v>
      </c>
      <c r="E202" s="7" t="s">
        <v>660</v>
      </c>
      <c r="F202" s="7" t="s">
        <v>677</v>
      </c>
      <c r="G202" s="7" t="s">
        <v>702</v>
      </c>
      <c r="H202" s="7" t="s">
        <v>710</v>
      </c>
      <c r="I202" s="7" t="s">
        <v>720</v>
      </c>
      <c r="J202" s="7" t="s">
        <v>728</v>
      </c>
      <c r="K202" s="7" t="s">
        <v>934</v>
      </c>
      <c r="L202" s="9">
        <v>493.76</v>
      </c>
      <c r="M202" s="9">
        <v>625.04</v>
      </c>
      <c r="N202" s="11">
        <v>0.25800000000000001</v>
      </c>
      <c r="O202" s="13">
        <v>10</v>
      </c>
    </row>
    <row r="203" spans="1:15" x14ac:dyDescent="0.3">
      <c r="A203" t="s">
        <v>216</v>
      </c>
      <c r="B203" s="4">
        <v>45153</v>
      </c>
      <c r="C203" s="4">
        <v>45176</v>
      </c>
      <c r="D203" s="7" t="s">
        <v>648</v>
      </c>
      <c r="E203" s="7" t="s">
        <v>660</v>
      </c>
      <c r="F203" s="7" t="s">
        <v>700</v>
      </c>
      <c r="G203" s="7" t="s">
        <v>706</v>
      </c>
      <c r="H203" s="7" t="s">
        <v>708</v>
      </c>
      <c r="I203" s="7" t="s">
        <v>723</v>
      </c>
      <c r="J203" s="7" t="s">
        <v>730</v>
      </c>
      <c r="K203" s="7" t="s">
        <v>935</v>
      </c>
      <c r="L203" s="9">
        <v>590.33000000000004</v>
      </c>
      <c r="M203" s="9">
        <v>973.04</v>
      </c>
      <c r="N203" s="11">
        <v>0</v>
      </c>
      <c r="O203" s="13">
        <v>26</v>
      </c>
    </row>
    <row r="204" spans="1:15" x14ac:dyDescent="0.3">
      <c r="A204" t="s">
        <v>217</v>
      </c>
      <c r="B204" s="4">
        <v>44946</v>
      </c>
      <c r="C204" s="4">
        <v>44960</v>
      </c>
      <c r="D204" s="7" t="s">
        <v>646</v>
      </c>
      <c r="E204" s="7" t="s">
        <v>650</v>
      </c>
      <c r="F204" s="7" t="s">
        <v>662</v>
      </c>
      <c r="G204" s="7" t="s">
        <v>701</v>
      </c>
      <c r="H204" s="7" t="s">
        <v>707</v>
      </c>
      <c r="I204" s="7" t="s">
        <v>724</v>
      </c>
      <c r="J204" s="7" t="s">
        <v>729</v>
      </c>
      <c r="K204" s="7" t="s">
        <v>936</v>
      </c>
      <c r="L204" s="9">
        <v>884.36</v>
      </c>
      <c r="M204" s="9">
        <v>1545.34</v>
      </c>
      <c r="N204" s="11">
        <v>0.24299999999999999</v>
      </c>
      <c r="O204" s="13">
        <v>41</v>
      </c>
    </row>
    <row r="205" spans="1:15" x14ac:dyDescent="0.3">
      <c r="A205" t="s">
        <v>218</v>
      </c>
      <c r="B205" s="4">
        <v>45692</v>
      </c>
      <c r="C205" s="4">
        <v>45713</v>
      </c>
      <c r="D205" s="7" t="s">
        <v>649</v>
      </c>
      <c r="E205" s="7" t="s">
        <v>658</v>
      </c>
      <c r="F205" s="7" t="s">
        <v>674</v>
      </c>
      <c r="G205" s="7" t="s">
        <v>701</v>
      </c>
      <c r="H205" s="7" t="s">
        <v>709</v>
      </c>
      <c r="I205" s="7" t="s">
        <v>726</v>
      </c>
      <c r="J205" s="7" t="s">
        <v>732</v>
      </c>
      <c r="K205" s="7" t="s">
        <v>937</v>
      </c>
      <c r="L205" s="9">
        <v>1016.32</v>
      </c>
      <c r="M205" s="9">
        <v>2253.42</v>
      </c>
      <c r="N205" s="11">
        <v>5.5E-2</v>
      </c>
      <c r="O205" s="13">
        <v>12</v>
      </c>
    </row>
    <row r="206" spans="1:15" x14ac:dyDescent="0.3">
      <c r="A206" t="s">
        <v>219</v>
      </c>
      <c r="B206" s="4">
        <v>45035</v>
      </c>
      <c r="C206" s="4">
        <v>45044</v>
      </c>
      <c r="D206" s="7" t="s">
        <v>649</v>
      </c>
      <c r="E206" s="7" t="s">
        <v>656</v>
      </c>
      <c r="F206" s="7" t="s">
        <v>671</v>
      </c>
      <c r="G206" s="7" t="s">
        <v>702</v>
      </c>
      <c r="H206" s="7" t="s">
        <v>708</v>
      </c>
      <c r="I206" s="7" t="s">
        <v>718</v>
      </c>
      <c r="J206" s="7" t="s">
        <v>732</v>
      </c>
      <c r="K206" s="7" t="s">
        <v>938</v>
      </c>
      <c r="L206" s="9">
        <v>1178.42</v>
      </c>
      <c r="M206" s="9">
        <v>2446.56</v>
      </c>
      <c r="N206" s="11">
        <v>2.9000000000000001E-2</v>
      </c>
      <c r="O206" s="13">
        <v>11</v>
      </c>
    </row>
    <row r="207" spans="1:15" x14ac:dyDescent="0.3">
      <c r="A207" t="s">
        <v>220</v>
      </c>
      <c r="B207" s="4">
        <v>45109</v>
      </c>
      <c r="C207" s="4">
        <v>45139</v>
      </c>
      <c r="D207" s="7" t="s">
        <v>649</v>
      </c>
      <c r="E207" s="7" t="s">
        <v>658</v>
      </c>
      <c r="F207" s="7" t="s">
        <v>674</v>
      </c>
      <c r="G207" s="7" t="s">
        <v>705</v>
      </c>
      <c r="H207" s="7" t="s">
        <v>707</v>
      </c>
      <c r="I207" s="7" t="s">
        <v>717</v>
      </c>
      <c r="J207" s="7" t="s">
        <v>727</v>
      </c>
      <c r="K207" s="7" t="s">
        <v>939</v>
      </c>
      <c r="L207" s="9">
        <v>137.46</v>
      </c>
      <c r="M207" s="9">
        <v>188.3</v>
      </c>
      <c r="N207" s="11">
        <v>3.7999999999999999E-2</v>
      </c>
      <c r="O207" s="13">
        <v>37</v>
      </c>
    </row>
    <row r="208" spans="1:15" x14ac:dyDescent="0.3">
      <c r="A208" t="s">
        <v>221</v>
      </c>
      <c r="B208" s="4">
        <v>45678</v>
      </c>
      <c r="C208" s="4">
        <v>45702</v>
      </c>
      <c r="D208" s="7" t="s">
        <v>646</v>
      </c>
      <c r="E208" s="7" t="s">
        <v>650</v>
      </c>
      <c r="F208" s="7" t="s">
        <v>664</v>
      </c>
      <c r="G208" s="7" t="s">
        <v>705</v>
      </c>
      <c r="H208" s="7" t="s">
        <v>707</v>
      </c>
      <c r="I208" s="7" t="s">
        <v>713</v>
      </c>
      <c r="J208" s="7" t="s">
        <v>733</v>
      </c>
      <c r="K208" s="7" t="s">
        <v>940</v>
      </c>
      <c r="L208" s="9">
        <v>1030.44</v>
      </c>
      <c r="M208" s="9">
        <v>2562.84</v>
      </c>
      <c r="N208" s="11">
        <v>0.14799999999999999</v>
      </c>
      <c r="O208" s="13">
        <v>13</v>
      </c>
    </row>
    <row r="209" spans="1:15" x14ac:dyDescent="0.3">
      <c r="A209" t="s">
        <v>222</v>
      </c>
      <c r="B209" s="4">
        <v>45545</v>
      </c>
      <c r="C209" s="4">
        <v>45572</v>
      </c>
      <c r="D209" s="7" t="s">
        <v>646</v>
      </c>
      <c r="E209" s="7" t="s">
        <v>650</v>
      </c>
      <c r="F209" s="7" t="s">
        <v>662</v>
      </c>
      <c r="G209" s="7" t="s">
        <v>704</v>
      </c>
      <c r="H209" s="7" t="s">
        <v>707</v>
      </c>
      <c r="I209" s="7" t="s">
        <v>716</v>
      </c>
      <c r="J209" s="7" t="s">
        <v>728</v>
      </c>
      <c r="K209" s="7" t="s">
        <v>941</v>
      </c>
      <c r="L209" s="9">
        <v>1248.3900000000001</v>
      </c>
      <c r="M209" s="9">
        <v>1805.11</v>
      </c>
      <c r="N209" s="11">
        <v>0.20300000000000001</v>
      </c>
      <c r="O209" s="13">
        <v>11</v>
      </c>
    </row>
    <row r="210" spans="1:15" x14ac:dyDescent="0.3">
      <c r="A210" t="s">
        <v>223</v>
      </c>
      <c r="B210" s="4">
        <v>45859</v>
      </c>
      <c r="C210" s="4">
        <v>45876</v>
      </c>
      <c r="D210" s="7" t="s">
        <v>646</v>
      </c>
      <c r="E210" s="7" t="s">
        <v>651</v>
      </c>
      <c r="F210" s="7" t="s">
        <v>665</v>
      </c>
      <c r="G210" s="7" t="s">
        <v>706</v>
      </c>
      <c r="H210" s="7" t="s">
        <v>711</v>
      </c>
      <c r="I210" s="7" t="s">
        <v>724</v>
      </c>
      <c r="J210" s="7" t="s">
        <v>733</v>
      </c>
      <c r="K210" s="7" t="s">
        <v>942</v>
      </c>
      <c r="L210" s="9">
        <v>1204.95</v>
      </c>
      <c r="M210" s="9">
        <v>2065.73</v>
      </c>
      <c r="N210" s="11">
        <v>0.13600000000000001</v>
      </c>
      <c r="O210" s="13">
        <v>10</v>
      </c>
    </row>
    <row r="211" spans="1:15" x14ac:dyDescent="0.3">
      <c r="A211" t="s">
        <v>224</v>
      </c>
      <c r="B211" s="4">
        <v>45567</v>
      </c>
      <c r="C211" s="4">
        <v>45588</v>
      </c>
      <c r="D211" s="7" t="s">
        <v>646</v>
      </c>
      <c r="E211" s="7" t="s">
        <v>661</v>
      </c>
      <c r="F211" s="7" t="s">
        <v>687</v>
      </c>
      <c r="G211" s="7" t="s">
        <v>701</v>
      </c>
      <c r="H211" s="7" t="s">
        <v>709</v>
      </c>
      <c r="I211" s="7" t="s">
        <v>720</v>
      </c>
      <c r="J211" s="7" t="s">
        <v>727</v>
      </c>
      <c r="K211" s="7" t="s">
        <v>943</v>
      </c>
      <c r="L211" s="9">
        <v>1095.6099999999999</v>
      </c>
      <c r="M211" s="9">
        <v>2366.5100000000002</v>
      </c>
      <c r="N211" s="11">
        <v>0.152</v>
      </c>
      <c r="O211" s="13">
        <v>9</v>
      </c>
    </row>
    <row r="212" spans="1:15" x14ac:dyDescent="0.3">
      <c r="A212" t="s">
        <v>225</v>
      </c>
      <c r="B212" s="4">
        <v>45852</v>
      </c>
      <c r="C212" s="4">
        <v>45873</v>
      </c>
      <c r="D212" s="7" t="s">
        <v>648</v>
      </c>
      <c r="E212" s="7" t="s">
        <v>653</v>
      </c>
      <c r="F212" s="7" t="s">
        <v>681</v>
      </c>
      <c r="G212" s="7" t="s">
        <v>704</v>
      </c>
      <c r="H212" s="7" t="s">
        <v>708</v>
      </c>
      <c r="I212" s="7" t="s">
        <v>722</v>
      </c>
      <c r="J212" s="7" t="s">
        <v>732</v>
      </c>
      <c r="K212" s="7" t="s">
        <v>944</v>
      </c>
      <c r="L212" s="9">
        <v>90.3</v>
      </c>
      <c r="M212" s="9">
        <v>131.76</v>
      </c>
      <c r="N212" s="11">
        <v>0.10199999999999999</v>
      </c>
      <c r="O212" s="13">
        <v>15</v>
      </c>
    </row>
    <row r="213" spans="1:15" x14ac:dyDescent="0.3">
      <c r="A213" t="s">
        <v>226</v>
      </c>
      <c r="B213" s="4">
        <v>45544</v>
      </c>
      <c r="C213" s="4">
        <v>45566</v>
      </c>
      <c r="D213" s="7" t="s">
        <v>647</v>
      </c>
      <c r="E213" s="7" t="s">
        <v>659</v>
      </c>
      <c r="F213" s="7" t="s">
        <v>676</v>
      </c>
      <c r="G213" s="7" t="s">
        <v>704</v>
      </c>
      <c r="H213" s="7" t="s">
        <v>711</v>
      </c>
      <c r="I213" s="7" t="s">
        <v>716</v>
      </c>
      <c r="J213" s="7" t="s">
        <v>728</v>
      </c>
      <c r="K213" s="7" t="s">
        <v>945</v>
      </c>
      <c r="L213" s="9">
        <v>1166.18</v>
      </c>
      <c r="M213" s="9">
        <v>1335.02</v>
      </c>
      <c r="N213" s="11">
        <v>0.128</v>
      </c>
      <c r="O213" s="13">
        <v>6</v>
      </c>
    </row>
    <row r="214" spans="1:15" x14ac:dyDescent="0.3">
      <c r="A214" t="s">
        <v>227</v>
      </c>
      <c r="B214" s="4">
        <v>45686</v>
      </c>
      <c r="C214" s="4">
        <v>45694</v>
      </c>
      <c r="D214" s="7" t="s">
        <v>646</v>
      </c>
      <c r="E214" s="7" t="s">
        <v>650</v>
      </c>
      <c r="F214" s="7" t="s">
        <v>662</v>
      </c>
      <c r="G214" s="7" t="s">
        <v>702</v>
      </c>
      <c r="H214" s="7" t="s">
        <v>707</v>
      </c>
      <c r="I214" s="7" t="s">
        <v>717</v>
      </c>
      <c r="J214" s="7" t="s">
        <v>730</v>
      </c>
      <c r="K214" s="7" t="s">
        <v>946</v>
      </c>
      <c r="L214" s="9">
        <v>1445.27</v>
      </c>
      <c r="M214" s="9">
        <v>2691.45</v>
      </c>
      <c r="N214" s="11">
        <v>0</v>
      </c>
      <c r="O214" s="13">
        <v>9</v>
      </c>
    </row>
    <row r="215" spans="1:15" x14ac:dyDescent="0.3">
      <c r="A215" t="s">
        <v>228</v>
      </c>
      <c r="B215" s="4">
        <v>45240</v>
      </c>
      <c r="C215" s="4">
        <v>45258</v>
      </c>
      <c r="D215" s="7" t="s">
        <v>648</v>
      </c>
      <c r="E215" s="7" t="s">
        <v>655</v>
      </c>
      <c r="F215" s="7" t="s">
        <v>672</v>
      </c>
      <c r="G215" s="7" t="s">
        <v>702</v>
      </c>
      <c r="H215" s="7" t="s">
        <v>709</v>
      </c>
      <c r="I215" s="7" t="s">
        <v>716</v>
      </c>
      <c r="J215" s="7" t="s">
        <v>733</v>
      </c>
      <c r="K215" s="7" t="s">
        <v>947</v>
      </c>
      <c r="L215" s="9">
        <v>388.51</v>
      </c>
      <c r="M215" s="9">
        <v>776.46</v>
      </c>
      <c r="N215" s="11">
        <v>0.157</v>
      </c>
      <c r="O215" s="13">
        <v>12</v>
      </c>
    </row>
    <row r="216" spans="1:15" x14ac:dyDescent="0.3">
      <c r="A216" t="s">
        <v>229</v>
      </c>
      <c r="B216" s="4">
        <v>45351</v>
      </c>
      <c r="C216" s="4">
        <v>45381</v>
      </c>
      <c r="D216" s="7" t="s">
        <v>647</v>
      </c>
      <c r="E216" s="7" t="s">
        <v>652</v>
      </c>
      <c r="F216" s="7" t="s">
        <v>694</v>
      </c>
      <c r="G216" s="7" t="s">
        <v>705</v>
      </c>
      <c r="H216" s="7" t="s">
        <v>711</v>
      </c>
      <c r="I216" s="7" t="s">
        <v>714</v>
      </c>
      <c r="J216" s="7" t="s">
        <v>729</v>
      </c>
      <c r="K216" s="7" t="s">
        <v>948</v>
      </c>
      <c r="L216" s="9">
        <v>231.11</v>
      </c>
      <c r="M216" s="9">
        <v>318.17</v>
      </c>
      <c r="N216" s="11">
        <v>0.20100000000000001</v>
      </c>
      <c r="O216" s="13">
        <v>60</v>
      </c>
    </row>
    <row r="217" spans="1:15" x14ac:dyDescent="0.3">
      <c r="A217" t="s">
        <v>230</v>
      </c>
      <c r="B217" s="4">
        <v>45280</v>
      </c>
      <c r="C217" s="4">
        <v>45305</v>
      </c>
      <c r="D217" s="7" t="s">
        <v>647</v>
      </c>
      <c r="E217" s="7" t="s">
        <v>654</v>
      </c>
      <c r="F217" s="7" t="s">
        <v>691</v>
      </c>
      <c r="G217" s="7" t="s">
        <v>703</v>
      </c>
      <c r="H217" s="7" t="s">
        <v>709</v>
      </c>
      <c r="I217" s="7" t="s">
        <v>716</v>
      </c>
      <c r="J217" s="7" t="s">
        <v>732</v>
      </c>
      <c r="K217" s="7" t="s">
        <v>949</v>
      </c>
      <c r="L217" s="9">
        <v>1085.6099999999999</v>
      </c>
      <c r="M217" s="9">
        <v>1246.4100000000001</v>
      </c>
      <c r="N217" s="11">
        <v>0.113</v>
      </c>
      <c r="O217" s="13">
        <v>7</v>
      </c>
    </row>
    <row r="218" spans="1:15" x14ac:dyDescent="0.3">
      <c r="A218" t="s">
        <v>231</v>
      </c>
      <c r="B218" s="4">
        <v>44948</v>
      </c>
      <c r="C218" s="4">
        <v>44947</v>
      </c>
      <c r="D218" s="7" t="s">
        <v>649</v>
      </c>
      <c r="E218" s="7" t="s">
        <v>656</v>
      </c>
      <c r="F218" s="7" t="s">
        <v>684</v>
      </c>
      <c r="G218" s="7" t="s">
        <v>701</v>
      </c>
      <c r="H218" s="7" t="s">
        <v>711</v>
      </c>
      <c r="I218" s="7" t="s">
        <v>721</v>
      </c>
      <c r="J218" s="7" t="s">
        <v>732</v>
      </c>
      <c r="K218" s="7" t="s">
        <v>950</v>
      </c>
      <c r="L218" s="9">
        <v>150.86000000000001</v>
      </c>
      <c r="M218" s="9">
        <v>346.96</v>
      </c>
      <c r="N218" s="11">
        <v>0.19600000000000001</v>
      </c>
      <c r="O218" s="13">
        <v>8</v>
      </c>
    </row>
    <row r="219" spans="1:15" x14ac:dyDescent="0.3">
      <c r="A219" t="s">
        <v>232</v>
      </c>
      <c r="B219" s="4">
        <v>45576</v>
      </c>
      <c r="C219" s="4">
        <v>45605</v>
      </c>
      <c r="D219" s="7" t="s">
        <v>647</v>
      </c>
      <c r="E219" s="7" t="s">
        <v>659</v>
      </c>
      <c r="F219" s="7" t="s">
        <v>685</v>
      </c>
      <c r="G219" s="7" t="s">
        <v>703</v>
      </c>
      <c r="H219" s="7" t="s">
        <v>708</v>
      </c>
      <c r="I219" s="7" t="s">
        <v>721</v>
      </c>
      <c r="J219" s="7" t="s">
        <v>728</v>
      </c>
      <c r="K219" s="7" t="s">
        <v>951</v>
      </c>
      <c r="L219" s="9">
        <v>391.64</v>
      </c>
      <c r="M219" s="9">
        <v>504.76</v>
      </c>
      <c r="N219" s="11">
        <v>4.0000000000000001E-3</v>
      </c>
      <c r="O219" s="13">
        <v>13</v>
      </c>
    </row>
    <row r="220" spans="1:15" x14ac:dyDescent="0.3">
      <c r="A220" t="s">
        <v>233</v>
      </c>
      <c r="B220" s="4">
        <v>45554</v>
      </c>
      <c r="C220" s="4">
        <v>45579</v>
      </c>
      <c r="D220" s="7" t="s">
        <v>648</v>
      </c>
      <c r="E220" s="7" t="s">
        <v>655</v>
      </c>
      <c r="F220" s="7" t="s">
        <v>692</v>
      </c>
      <c r="G220" s="7" t="s">
        <v>705</v>
      </c>
      <c r="H220" s="7" t="s">
        <v>707</v>
      </c>
      <c r="I220" s="7" t="s">
        <v>723</v>
      </c>
      <c r="J220" s="7" t="s">
        <v>728</v>
      </c>
      <c r="K220" s="7" t="s">
        <v>952</v>
      </c>
      <c r="L220" s="9">
        <v>386.96</v>
      </c>
      <c r="M220" s="9">
        <v>937.46</v>
      </c>
      <c r="N220" s="11">
        <v>0.26600000000000001</v>
      </c>
      <c r="O220" s="13">
        <v>41</v>
      </c>
    </row>
    <row r="221" spans="1:15" x14ac:dyDescent="0.3">
      <c r="A221" t="s">
        <v>234</v>
      </c>
      <c r="B221" s="4">
        <v>45894</v>
      </c>
      <c r="C221" s="4">
        <v>45924</v>
      </c>
      <c r="D221" s="7" t="s">
        <v>646</v>
      </c>
      <c r="E221" s="7" t="s">
        <v>650</v>
      </c>
      <c r="F221" s="7" t="s">
        <v>664</v>
      </c>
      <c r="G221" s="7" t="s">
        <v>704</v>
      </c>
      <c r="H221" s="7" t="s">
        <v>711</v>
      </c>
      <c r="I221" s="7" t="s">
        <v>717</v>
      </c>
      <c r="J221" s="7" t="s">
        <v>727</v>
      </c>
      <c r="K221" s="7" t="s">
        <v>953</v>
      </c>
      <c r="L221" s="9">
        <v>589.14</v>
      </c>
      <c r="M221" s="9">
        <v>1300.58</v>
      </c>
      <c r="N221" s="11">
        <v>5.5E-2</v>
      </c>
      <c r="O221" s="13">
        <v>11</v>
      </c>
    </row>
    <row r="222" spans="1:15" x14ac:dyDescent="0.3">
      <c r="A222" t="s">
        <v>235</v>
      </c>
      <c r="B222" s="4">
        <v>45194</v>
      </c>
      <c r="C222" s="4">
        <v>45201</v>
      </c>
      <c r="D222" s="7" t="s">
        <v>648</v>
      </c>
      <c r="E222" s="7" t="s">
        <v>660</v>
      </c>
      <c r="F222" s="7" t="s">
        <v>700</v>
      </c>
      <c r="G222" s="7" t="s">
        <v>702</v>
      </c>
      <c r="H222" s="7" t="s">
        <v>709</v>
      </c>
      <c r="I222" s="7" t="s">
        <v>714</v>
      </c>
      <c r="J222" s="7" t="s">
        <v>733</v>
      </c>
      <c r="K222" s="7" t="s">
        <v>954</v>
      </c>
      <c r="L222" s="9">
        <v>145.58000000000001</v>
      </c>
      <c r="M222" s="9">
        <v>228.15</v>
      </c>
      <c r="N222" s="11">
        <v>0.20399999999999999</v>
      </c>
      <c r="O222" s="13">
        <v>5</v>
      </c>
    </row>
    <row r="223" spans="1:15" x14ac:dyDescent="0.3">
      <c r="A223" t="s">
        <v>236</v>
      </c>
      <c r="B223" s="4">
        <v>45164</v>
      </c>
      <c r="C223" s="4">
        <v>45179</v>
      </c>
      <c r="D223" s="7" t="s">
        <v>646</v>
      </c>
      <c r="E223" s="7" t="s">
        <v>661</v>
      </c>
      <c r="F223" s="7" t="s">
        <v>695</v>
      </c>
      <c r="G223" s="7" t="s">
        <v>703</v>
      </c>
      <c r="H223" s="7" t="s">
        <v>711</v>
      </c>
      <c r="I223" s="7" t="s">
        <v>725</v>
      </c>
      <c r="J223" s="7" t="s">
        <v>727</v>
      </c>
      <c r="K223" s="7" t="s">
        <v>955</v>
      </c>
      <c r="L223" s="9">
        <v>241.14</v>
      </c>
      <c r="M223" s="9">
        <v>496.52</v>
      </c>
      <c r="N223" s="11">
        <v>9.2999999999999999E-2</v>
      </c>
      <c r="O223" s="13">
        <v>10</v>
      </c>
    </row>
    <row r="224" spans="1:15" x14ac:dyDescent="0.3">
      <c r="A224" t="s">
        <v>237</v>
      </c>
      <c r="B224" s="4">
        <v>45854</v>
      </c>
      <c r="C224" s="4">
        <v>45855</v>
      </c>
      <c r="D224" s="7" t="s">
        <v>646</v>
      </c>
      <c r="E224" s="7" t="s">
        <v>661</v>
      </c>
      <c r="F224" s="7" t="s">
        <v>687</v>
      </c>
      <c r="G224" s="7" t="s">
        <v>705</v>
      </c>
      <c r="H224" s="7" t="s">
        <v>710</v>
      </c>
      <c r="I224" s="7" t="s">
        <v>717</v>
      </c>
      <c r="J224" s="7" t="s">
        <v>729</v>
      </c>
      <c r="K224" s="7" t="s">
        <v>956</v>
      </c>
      <c r="L224" s="9">
        <v>1198.9000000000001</v>
      </c>
      <c r="M224" s="9">
        <v>2941.2</v>
      </c>
      <c r="N224" s="11">
        <v>5.0999999999999997E-2</v>
      </c>
      <c r="O224" s="13">
        <v>24</v>
      </c>
    </row>
    <row r="225" spans="1:15" x14ac:dyDescent="0.3">
      <c r="A225" t="s">
        <v>238</v>
      </c>
      <c r="B225" s="4">
        <v>45035</v>
      </c>
      <c r="C225" s="4">
        <v>45053</v>
      </c>
      <c r="D225" s="7" t="s">
        <v>649</v>
      </c>
      <c r="E225" s="7" t="s">
        <v>658</v>
      </c>
      <c r="F225" s="7" t="s">
        <v>674</v>
      </c>
      <c r="G225" s="7" t="s">
        <v>706</v>
      </c>
      <c r="H225" s="7" t="s">
        <v>707</v>
      </c>
      <c r="I225" s="7" t="s">
        <v>725</v>
      </c>
      <c r="J225" s="7" t="s">
        <v>731</v>
      </c>
      <c r="K225" s="7" t="s">
        <v>957</v>
      </c>
      <c r="L225" s="9">
        <v>1089.1500000000001</v>
      </c>
      <c r="M225" s="9">
        <v>1088.2</v>
      </c>
      <c r="N225" s="11">
        <v>5.0999999999999997E-2</v>
      </c>
      <c r="O225" s="13">
        <v>15</v>
      </c>
    </row>
    <row r="226" spans="1:15" x14ac:dyDescent="0.3">
      <c r="A226" t="s">
        <v>239</v>
      </c>
      <c r="B226" s="4">
        <v>45279</v>
      </c>
      <c r="C226" s="4">
        <v>45280</v>
      </c>
      <c r="D226" s="7" t="s">
        <v>648</v>
      </c>
      <c r="E226" s="7" t="s">
        <v>655</v>
      </c>
      <c r="F226" s="7" t="s">
        <v>692</v>
      </c>
      <c r="G226" s="7" t="s">
        <v>704</v>
      </c>
      <c r="H226" s="7" t="s">
        <v>710</v>
      </c>
      <c r="I226" s="7" t="s">
        <v>713</v>
      </c>
      <c r="J226" s="7" t="s">
        <v>730</v>
      </c>
      <c r="K226" s="7" t="s">
        <v>958</v>
      </c>
      <c r="L226" s="9">
        <v>1080.43</v>
      </c>
      <c r="M226" s="9">
        <v>2529.15</v>
      </c>
      <c r="N226" s="11">
        <v>0.14699999999999999</v>
      </c>
      <c r="O226" s="13">
        <v>10</v>
      </c>
    </row>
    <row r="227" spans="1:15" x14ac:dyDescent="0.3">
      <c r="A227" t="s">
        <v>240</v>
      </c>
      <c r="B227" s="4">
        <v>45137</v>
      </c>
      <c r="C227" s="4">
        <v>45145</v>
      </c>
      <c r="D227" s="7" t="s">
        <v>647</v>
      </c>
      <c r="E227" s="7" t="s">
        <v>652</v>
      </c>
      <c r="F227" s="7" t="s">
        <v>694</v>
      </c>
      <c r="G227" s="7" t="s">
        <v>702</v>
      </c>
      <c r="H227" s="7" t="s">
        <v>709</v>
      </c>
      <c r="I227" s="7" t="s">
        <v>720</v>
      </c>
      <c r="J227" s="7" t="s">
        <v>729</v>
      </c>
      <c r="K227" s="7" t="s">
        <v>959</v>
      </c>
      <c r="L227" s="9">
        <v>1352.44</v>
      </c>
      <c r="M227" s="9">
        <v>2698.01</v>
      </c>
      <c r="N227" s="11">
        <v>0.13100000000000001</v>
      </c>
      <c r="O227" s="13">
        <v>13</v>
      </c>
    </row>
    <row r="228" spans="1:15" x14ac:dyDescent="0.3">
      <c r="A228" t="s">
        <v>241</v>
      </c>
      <c r="B228" s="4">
        <v>45203</v>
      </c>
      <c r="C228" s="4">
        <v>45228</v>
      </c>
      <c r="D228" s="7" t="s">
        <v>648</v>
      </c>
      <c r="E228" s="7" t="s">
        <v>660</v>
      </c>
      <c r="F228" s="7" t="s">
        <v>686</v>
      </c>
      <c r="G228" s="7" t="s">
        <v>705</v>
      </c>
      <c r="H228" s="7" t="s">
        <v>710</v>
      </c>
      <c r="I228" s="7" t="s">
        <v>719</v>
      </c>
      <c r="J228" s="7" t="s">
        <v>733</v>
      </c>
      <c r="K228" s="7" t="s">
        <v>960</v>
      </c>
      <c r="L228" s="9">
        <v>1239.8399999999999</v>
      </c>
      <c r="M228" s="9">
        <v>1482.75</v>
      </c>
      <c r="N228" s="11">
        <v>6.7000000000000004E-2</v>
      </c>
      <c r="O228" s="13">
        <v>4</v>
      </c>
    </row>
    <row r="229" spans="1:15" x14ac:dyDescent="0.3">
      <c r="A229" t="s">
        <v>242</v>
      </c>
      <c r="B229" s="4">
        <v>45879</v>
      </c>
      <c r="C229" s="4">
        <v>45899</v>
      </c>
      <c r="D229" s="7" t="s">
        <v>648</v>
      </c>
      <c r="E229" s="7" t="s">
        <v>660</v>
      </c>
      <c r="F229" s="7" t="s">
        <v>686</v>
      </c>
      <c r="G229" s="7" t="s">
        <v>701</v>
      </c>
      <c r="H229" s="7" t="s">
        <v>709</v>
      </c>
      <c r="I229" s="7" t="s">
        <v>723</v>
      </c>
      <c r="J229" s="7" t="s">
        <v>728</v>
      </c>
      <c r="K229" s="7" t="s">
        <v>961</v>
      </c>
      <c r="L229" s="9">
        <v>933.29</v>
      </c>
      <c r="M229" s="9">
        <v>1456.81</v>
      </c>
      <c r="N229" s="11">
        <v>0.123</v>
      </c>
      <c r="O229" s="13">
        <v>13</v>
      </c>
    </row>
    <row r="230" spans="1:15" x14ac:dyDescent="0.3">
      <c r="A230" t="s">
        <v>243</v>
      </c>
      <c r="B230" s="4">
        <v>44992</v>
      </c>
      <c r="C230" s="4">
        <v>45017</v>
      </c>
      <c r="D230" s="7" t="s">
        <v>646</v>
      </c>
      <c r="E230" s="7" t="s">
        <v>650</v>
      </c>
      <c r="F230" s="7" t="s">
        <v>664</v>
      </c>
      <c r="G230" s="7" t="s">
        <v>704</v>
      </c>
      <c r="H230" s="7" t="s">
        <v>709</v>
      </c>
      <c r="I230" s="7" t="s">
        <v>726</v>
      </c>
      <c r="J230" s="7" t="s">
        <v>728</v>
      </c>
      <c r="K230" s="7" t="s">
        <v>962</v>
      </c>
      <c r="L230" s="9">
        <v>1024.0999999999999</v>
      </c>
      <c r="M230" s="9">
        <v>918.19</v>
      </c>
      <c r="N230" s="11">
        <v>0.189</v>
      </c>
      <c r="O230" s="13">
        <v>10</v>
      </c>
    </row>
    <row r="231" spans="1:15" x14ac:dyDescent="0.3">
      <c r="A231" t="s">
        <v>244</v>
      </c>
      <c r="B231" s="4">
        <v>45069</v>
      </c>
      <c r="C231" s="4">
        <v>45087</v>
      </c>
      <c r="D231" s="7" t="s">
        <v>647</v>
      </c>
      <c r="E231" s="7" t="s">
        <v>659</v>
      </c>
      <c r="F231" s="7" t="s">
        <v>685</v>
      </c>
      <c r="G231" s="7" t="s">
        <v>701</v>
      </c>
      <c r="H231" s="7" t="s">
        <v>710</v>
      </c>
      <c r="I231" s="7" t="s">
        <v>718</v>
      </c>
      <c r="J231" s="7" t="s">
        <v>727</v>
      </c>
      <c r="K231" s="7" t="s">
        <v>963</v>
      </c>
      <c r="L231" s="9">
        <v>54.62</v>
      </c>
      <c r="M231" s="9">
        <v>48.94</v>
      </c>
      <c r="N231" s="11">
        <v>0.14799999999999999</v>
      </c>
      <c r="O231" s="13">
        <v>16</v>
      </c>
    </row>
    <row r="232" spans="1:15" x14ac:dyDescent="0.3">
      <c r="A232" t="s">
        <v>245</v>
      </c>
      <c r="B232" s="4">
        <v>45771</v>
      </c>
      <c r="C232" s="4">
        <v>45783</v>
      </c>
      <c r="D232" s="7" t="s">
        <v>648</v>
      </c>
      <c r="E232" s="7" t="s">
        <v>655</v>
      </c>
      <c r="F232" s="7" t="s">
        <v>672</v>
      </c>
      <c r="G232" s="7" t="s">
        <v>704</v>
      </c>
      <c r="H232" s="7" t="s">
        <v>708</v>
      </c>
      <c r="I232" s="7" t="s">
        <v>712</v>
      </c>
      <c r="J232" s="7" t="s">
        <v>730</v>
      </c>
      <c r="K232" s="7" t="s">
        <v>964</v>
      </c>
      <c r="L232" s="9">
        <v>394.13</v>
      </c>
      <c r="M232" s="9">
        <v>932.29</v>
      </c>
      <c r="N232" s="11">
        <v>0.109</v>
      </c>
      <c r="O232" s="13">
        <v>7</v>
      </c>
    </row>
    <row r="233" spans="1:15" x14ac:dyDescent="0.3">
      <c r="A233" t="s">
        <v>246</v>
      </c>
      <c r="B233" s="4">
        <v>45538</v>
      </c>
      <c r="C233" s="4">
        <v>45543</v>
      </c>
      <c r="D233" s="7" t="s">
        <v>646</v>
      </c>
      <c r="E233" s="7" t="s">
        <v>651</v>
      </c>
      <c r="F233" s="7" t="s">
        <v>665</v>
      </c>
      <c r="G233" s="7" t="s">
        <v>705</v>
      </c>
      <c r="H233" s="7" t="s">
        <v>711</v>
      </c>
      <c r="I233" s="7" t="s">
        <v>723</v>
      </c>
      <c r="J233" s="7" t="s">
        <v>728</v>
      </c>
      <c r="K233" s="7" t="s">
        <v>965</v>
      </c>
      <c r="L233" s="9">
        <v>197.63</v>
      </c>
      <c r="M233" s="9">
        <v>325.79000000000002</v>
      </c>
      <c r="N233" s="11">
        <v>0.11600000000000001</v>
      </c>
      <c r="O233" s="13">
        <v>10</v>
      </c>
    </row>
    <row r="234" spans="1:15" x14ac:dyDescent="0.3">
      <c r="A234" t="s">
        <v>247</v>
      </c>
      <c r="B234" s="4">
        <v>45540</v>
      </c>
      <c r="C234" s="4">
        <v>45560</v>
      </c>
      <c r="D234" s="7" t="s">
        <v>647</v>
      </c>
      <c r="E234" s="7" t="s">
        <v>652</v>
      </c>
      <c r="F234" s="7" t="s">
        <v>666</v>
      </c>
      <c r="G234" s="7" t="s">
        <v>706</v>
      </c>
      <c r="H234" s="7" t="s">
        <v>710</v>
      </c>
      <c r="I234" s="7" t="s">
        <v>726</v>
      </c>
      <c r="J234" s="7" t="s">
        <v>732</v>
      </c>
      <c r="K234" s="7" t="s">
        <v>966</v>
      </c>
      <c r="L234" s="9">
        <v>195.54</v>
      </c>
      <c r="M234" s="9">
        <v>405.97</v>
      </c>
      <c r="N234" s="11">
        <v>0.187</v>
      </c>
      <c r="O234" s="13">
        <v>16</v>
      </c>
    </row>
    <row r="235" spans="1:15" x14ac:dyDescent="0.3">
      <c r="A235" t="s">
        <v>248</v>
      </c>
      <c r="B235" s="4">
        <v>44999</v>
      </c>
      <c r="C235" s="4">
        <v>45015</v>
      </c>
      <c r="D235" s="7" t="s">
        <v>646</v>
      </c>
      <c r="E235" s="7" t="s">
        <v>661</v>
      </c>
      <c r="F235" s="7" t="s">
        <v>695</v>
      </c>
      <c r="G235" s="7" t="s">
        <v>704</v>
      </c>
      <c r="H235" s="7" t="s">
        <v>710</v>
      </c>
      <c r="I235" s="7" t="s">
        <v>723</v>
      </c>
      <c r="J235" s="7" t="s">
        <v>727</v>
      </c>
      <c r="K235" s="7" t="s">
        <v>967</v>
      </c>
      <c r="L235" s="9">
        <v>1309.77</v>
      </c>
      <c r="M235" s="9">
        <v>1589.07</v>
      </c>
      <c r="N235" s="11">
        <v>0.10199999999999999</v>
      </c>
      <c r="O235" s="13">
        <v>10</v>
      </c>
    </row>
    <row r="236" spans="1:15" x14ac:dyDescent="0.3">
      <c r="A236" t="s">
        <v>249</v>
      </c>
      <c r="B236" s="4">
        <v>45302</v>
      </c>
      <c r="C236" s="4">
        <v>45324</v>
      </c>
      <c r="D236" s="7" t="s">
        <v>647</v>
      </c>
      <c r="E236" s="7" t="s">
        <v>652</v>
      </c>
      <c r="F236" s="7" t="s">
        <v>694</v>
      </c>
      <c r="G236" s="7" t="s">
        <v>705</v>
      </c>
      <c r="H236" s="7" t="s">
        <v>708</v>
      </c>
      <c r="J236" s="7" t="s">
        <v>728</v>
      </c>
      <c r="K236" s="7" t="s">
        <v>968</v>
      </c>
      <c r="L236" s="9">
        <v>1237.68</v>
      </c>
      <c r="M236" s="9">
        <v>1432.8</v>
      </c>
      <c r="N236" s="11">
        <v>6.8000000000000005E-2</v>
      </c>
      <c r="O236" s="13">
        <v>13</v>
      </c>
    </row>
    <row r="237" spans="1:15" x14ac:dyDescent="0.3">
      <c r="A237" t="s">
        <v>250</v>
      </c>
      <c r="B237" s="4">
        <v>45548</v>
      </c>
      <c r="C237" s="4">
        <v>45567</v>
      </c>
      <c r="D237" s="7" t="s">
        <v>646</v>
      </c>
      <c r="E237" s="7" t="s">
        <v>650</v>
      </c>
      <c r="F237" s="7" t="s">
        <v>675</v>
      </c>
      <c r="G237" s="7" t="s">
        <v>705</v>
      </c>
      <c r="H237" s="7" t="s">
        <v>707</v>
      </c>
      <c r="I237" s="7" t="s">
        <v>724</v>
      </c>
      <c r="J237" s="7" t="s">
        <v>730</v>
      </c>
      <c r="K237" s="7" t="s">
        <v>969</v>
      </c>
      <c r="L237" s="9">
        <v>1338.99</v>
      </c>
      <c r="M237" s="9">
        <v>1765.76</v>
      </c>
      <c r="N237" s="11">
        <v>0.126</v>
      </c>
      <c r="O237" s="13">
        <v>24</v>
      </c>
    </row>
    <row r="238" spans="1:15" x14ac:dyDescent="0.3">
      <c r="A238" t="s">
        <v>251</v>
      </c>
      <c r="B238" s="4">
        <v>45855</v>
      </c>
      <c r="C238" s="4">
        <v>45861</v>
      </c>
      <c r="D238" s="7" t="s">
        <v>648</v>
      </c>
      <c r="E238" s="7" t="s">
        <v>653</v>
      </c>
      <c r="F238" s="7" t="s">
        <v>688</v>
      </c>
      <c r="G238" s="7" t="s">
        <v>704</v>
      </c>
      <c r="H238" s="7" t="s">
        <v>708</v>
      </c>
      <c r="I238" s="7" t="s">
        <v>722</v>
      </c>
      <c r="J238" s="7" t="s">
        <v>727</v>
      </c>
      <c r="K238" s="7" t="s">
        <v>970</v>
      </c>
      <c r="L238" s="9">
        <v>1364.89</v>
      </c>
      <c r="M238" s="9">
        <v>2757.54</v>
      </c>
      <c r="N238" s="11">
        <v>0.17199999999999999</v>
      </c>
      <c r="O238" s="13">
        <v>61</v>
      </c>
    </row>
    <row r="239" spans="1:15" x14ac:dyDescent="0.3">
      <c r="A239" t="s">
        <v>252</v>
      </c>
      <c r="B239" s="4">
        <v>45258</v>
      </c>
      <c r="C239" s="4">
        <v>45267</v>
      </c>
      <c r="D239" s="7" t="s">
        <v>647</v>
      </c>
      <c r="E239" s="7" t="s">
        <v>654</v>
      </c>
      <c r="F239" s="7" t="s">
        <v>680</v>
      </c>
      <c r="G239" s="7" t="s">
        <v>706</v>
      </c>
      <c r="H239" s="7" t="s">
        <v>709</v>
      </c>
      <c r="I239" s="7" t="s">
        <v>716</v>
      </c>
      <c r="J239" s="7" t="s">
        <v>730</v>
      </c>
      <c r="K239" s="7" t="s">
        <v>971</v>
      </c>
      <c r="L239" s="9">
        <v>699.33</v>
      </c>
      <c r="M239" s="9">
        <v>873.75</v>
      </c>
      <c r="N239" s="11">
        <v>0.23499999999999999</v>
      </c>
      <c r="O239" s="13">
        <v>10</v>
      </c>
    </row>
    <row r="240" spans="1:15" x14ac:dyDescent="0.3">
      <c r="A240" t="s">
        <v>253</v>
      </c>
      <c r="B240" s="4">
        <v>45381</v>
      </c>
      <c r="C240" s="4">
        <v>45406</v>
      </c>
      <c r="D240" s="7" t="s">
        <v>648</v>
      </c>
      <c r="E240" s="7" t="s">
        <v>660</v>
      </c>
      <c r="F240" s="7" t="s">
        <v>697</v>
      </c>
      <c r="G240" s="7" t="s">
        <v>703</v>
      </c>
      <c r="H240" s="7" t="s">
        <v>708</v>
      </c>
      <c r="I240" s="7" t="s">
        <v>715</v>
      </c>
      <c r="J240" s="7" t="s">
        <v>731</v>
      </c>
      <c r="K240" s="7" t="s">
        <v>972</v>
      </c>
      <c r="L240" s="9">
        <v>160.82</v>
      </c>
      <c r="M240" s="9">
        <v>258.52</v>
      </c>
      <c r="N240" s="11">
        <v>0.13</v>
      </c>
      <c r="O240" s="13">
        <v>17</v>
      </c>
    </row>
    <row r="241" spans="1:15" x14ac:dyDescent="0.3">
      <c r="A241" t="s">
        <v>254</v>
      </c>
      <c r="B241" s="4">
        <v>45188</v>
      </c>
      <c r="C241" s="4">
        <v>45207</v>
      </c>
      <c r="D241" s="7" t="s">
        <v>647</v>
      </c>
      <c r="E241" s="7" t="s">
        <v>654</v>
      </c>
      <c r="F241" s="7" t="s">
        <v>668</v>
      </c>
      <c r="G241" s="7" t="s">
        <v>702</v>
      </c>
      <c r="H241" s="7" t="s">
        <v>711</v>
      </c>
      <c r="I241" s="7" t="s">
        <v>713</v>
      </c>
      <c r="J241" s="7" t="s">
        <v>728</v>
      </c>
      <c r="K241" s="7" t="s">
        <v>973</v>
      </c>
      <c r="L241" s="9">
        <v>385.32</v>
      </c>
      <c r="M241" s="9">
        <v>606.76</v>
      </c>
      <c r="N241" s="11">
        <v>8.5999999999999993E-2</v>
      </c>
      <c r="O241" s="13">
        <v>8</v>
      </c>
    </row>
    <row r="242" spans="1:15" x14ac:dyDescent="0.3">
      <c r="A242" t="s">
        <v>255</v>
      </c>
      <c r="B242" s="4">
        <v>45793</v>
      </c>
      <c r="C242" s="4">
        <v>45804</v>
      </c>
      <c r="D242" s="7" t="s">
        <v>647</v>
      </c>
      <c r="E242" s="7" t="s">
        <v>659</v>
      </c>
      <c r="F242" s="7" t="s">
        <v>699</v>
      </c>
      <c r="G242" s="7" t="s">
        <v>706</v>
      </c>
      <c r="H242" s="7" t="s">
        <v>708</v>
      </c>
      <c r="I242" s="7" t="s">
        <v>721</v>
      </c>
      <c r="J242" s="7" t="s">
        <v>730</v>
      </c>
      <c r="K242" s="7" t="s">
        <v>974</v>
      </c>
      <c r="L242" s="9">
        <v>918.12</v>
      </c>
      <c r="M242" s="9">
        <v>1337.69</v>
      </c>
      <c r="N242" s="11">
        <v>9.5000000000000001E-2</v>
      </c>
      <c r="O242" s="13">
        <v>8</v>
      </c>
    </row>
    <row r="243" spans="1:15" x14ac:dyDescent="0.3">
      <c r="A243" t="s">
        <v>256</v>
      </c>
      <c r="B243" s="4">
        <v>45871</v>
      </c>
      <c r="C243" s="4">
        <v>45877</v>
      </c>
      <c r="D243" s="7" t="s">
        <v>647</v>
      </c>
      <c r="E243" s="7" t="s">
        <v>652</v>
      </c>
      <c r="F243" s="7" t="s">
        <v>666</v>
      </c>
      <c r="G243" s="7" t="s">
        <v>704</v>
      </c>
      <c r="H243" s="7" t="s">
        <v>711</v>
      </c>
      <c r="I243" s="7" t="s">
        <v>725</v>
      </c>
      <c r="J243" s="7" t="s">
        <v>731</v>
      </c>
      <c r="K243" s="7" t="s">
        <v>975</v>
      </c>
      <c r="L243" s="9">
        <v>1225.94</v>
      </c>
      <c r="M243" s="9">
        <v>1793.08</v>
      </c>
      <c r="N243" s="11">
        <v>0.13600000000000001</v>
      </c>
      <c r="O243" s="13">
        <v>22</v>
      </c>
    </row>
    <row r="244" spans="1:15" x14ac:dyDescent="0.3">
      <c r="A244" t="s">
        <v>257</v>
      </c>
      <c r="B244" s="4">
        <v>45630</v>
      </c>
      <c r="C244" s="4">
        <v>45638</v>
      </c>
      <c r="D244" s="7" t="s">
        <v>649</v>
      </c>
      <c r="E244" s="7" t="s">
        <v>656</v>
      </c>
      <c r="F244" s="7" t="s">
        <v>698</v>
      </c>
      <c r="G244" s="7" t="s">
        <v>706</v>
      </c>
      <c r="H244" s="7" t="s">
        <v>709</v>
      </c>
      <c r="I244" s="7" t="s">
        <v>717</v>
      </c>
      <c r="J244" s="7" t="s">
        <v>728</v>
      </c>
      <c r="K244" s="7" t="s">
        <v>976</v>
      </c>
      <c r="L244" s="9">
        <v>72.06</v>
      </c>
      <c r="M244" s="9">
        <v>122.74</v>
      </c>
      <c r="N244" s="11">
        <v>0.23799999999999999</v>
      </c>
      <c r="O244" s="13">
        <v>8</v>
      </c>
    </row>
    <row r="245" spans="1:15" x14ac:dyDescent="0.3">
      <c r="A245" t="s">
        <v>258</v>
      </c>
      <c r="B245" s="4">
        <v>45035</v>
      </c>
      <c r="C245" s="4">
        <v>45044</v>
      </c>
      <c r="D245" s="7" t="s">
        <v>648</v>
      </c>
      <c r="E245" s="7" t="s">
        <v>655</v>
      </c>
      <c r="F245" s="7" t="s">
        <v>692</v>
      </c>
      <c r="G245" s="7" t="s">
        <v>701</v>
      </c>
      <c r="H245" s="7" t="s">
        <v>710</v>
      </c>
      <c r="I245" s="7" t="s">
        <v>724</v>
      </c>
      <c r="J245" s="7" t="s">
        <v>730</v>
      </c>
      <c r="K245" s="7" t="s">
        <v>977</v>
      </c>
      <c r="L245" s="9">
        <v>1013.54</v>
      </c>
      <c r="M245" s="9">
        <v>927.93</v>
      </c>
      <c r="N245" s="11">
        <v>0.17499999999999999</v>
      </c>
      <c r="O245" s="13">
        <v>16</v>
      </c>
    </row>
    <row r="246" spans="1:15" x14ac:dyDescent="0.3">
      <c r="A246" t="s">
        <v>259</v>
      </c>
      <c r="B246" s="4">
        <v>45357</v>
      </c>
      <c r="C246" s="4">
        <v>45377</v>
      </c>
      <c r="D246" s="7" t="s">
        <v>646</v>
      </c>
      <c r="E246" s="7" t="s">
        <v>651</v>
      </c>
      <c r="F246" s="7" t="s">
        <v>663</v>
      </c>
      <c r="G246" s="7" t="s">
        <v>704</v>
      </c>
      <c r="H246" s="7" t="s">
        <v>709</v>
      </c>
      <c r="I246" s="7" t="s">
        <v>714</v>
      </c>
      <c r="J246" s="7" t="s">
        <v>730</v>
      </c>
      <c r="K246" s="7" t="s">
        <v>978</v>
      </c>
      <c r="L246" s="9">
        <v>65.64</v>
      </c>
      <c r="M246" s="9">
        <v>151.88</v>
      </c>
      <c r="N246" s="11">
        <v>0.16700000000000001</v>
      </c>
      <c r="O246" s="13">
        <v>23</v>
      </c>
    </row>
    <row r="247" spans="1:15" x14ac:dyDescent="0.3">
      <c r="A247" t="s">
        <v>260</v>
      </c>
      <c r="B247" s="4">
        <v>45338</v>
      </c>
      <c r="C247" s="4">
        <v>45355</v>
      </c>
      <c r="D247" s="7" t="s">
        <v>648</v>
      </c>
      <c r="E247" s="7" t="s">
        <v>653</v>
      </c>
      <c r="F247" s="7" t="s">
        <v>681</v>
      </c>
      <c r="G247" s="7" t="s">
        <v>703</v>
      </c>
      <c r="H247" s="7" t="s">
        <v>707</v>
      </c>
      <c r="I247" s="7" t="s">
        <v>726</v>
      </c>
      <c r="J247" s="7" t="s">
        <v>731</v>
      </c>
      <c r="K247" s="7" t="s">
        <v>979</v>
      </c>
      <c r="L247" s="9">
        <v>1350.98</v>
      </c>
      <c r="M247" s="9">
        <v>2210.4</v>
      </c>
      <c r="N247" s="11">
        <v>0.26300000000000001</v>
      </c>
      <c r="O247" s="13">
        <v>6</v>
      </c>
    </row>
    <row r="248" spans="1:15" x14ac:dyDescent="0.3">
      <c r="A248" t="s">
        <v>261</v>
      </c>
      <c r="B248" s="4">
        <v>45769</v>
      </c>
      <c r="C248" s="4">
        <v>45779</v>
      </c>
      <c r="D248" s="7" t="s">
        <v>649</v>
      </c>
      <c r="E248" s="7" t="s">
        <v>656</v>
      </c>
      <c r="F248" s="7" t="s">
        <v>671</v>
      </c>
      <c r="G248" s="7" t="s">
        <v>701</v>
      </c>
      <c r="H248" s="7" t="s">
        <v>709</v>
      </c>
      <c r="I248" s="7" t="s">
        <v>712</v>
      </c>
      <c r="J248" s="7" t="s">
        <v>732</v>
      </c>
      <c r="K248" s="7" t="s">
        <v>980</v>
      </c>
      <c r="L248" s="9">
        <v>20.149999999999999</v>
      </c>
      <c r="M248" s="9">
        <v>39.74</v>
      </c>
      <c r="N248" s="11">
        <v>0.151</v>
      </c>
      <c r="O248" s="13">
        <v>18</v>
      </c>
    </row>
    <row r="249" spans="1:15" x14ac:dyDescent="0.3">
      <c r="A249" t="s">
        <v>262</v>
      </c>
      <c r="B249" s="4">
        <v>45604</v>
      </c>
      <c r="C249" s="4">
        <v>45604</v>
      </c>
      <c r="D249" s="7" t="s">
        <v>646</v>
      </c>
      <c r="E249" s="7" t="s">
        <v>650</v>
      </c>
      <c r="F249" s="7" t="s">
        <v>678</v>
      </c>
      <c r="G249" s="7" t="s">
        <v>706</v>
      </c>
      <c r="H249" s="7" t="s">
        <v>709</v>
      </c>
      <c r="I249" s="7" t="s">
        <v>724</v>
      </c>
      <c r="J249" s="7" t="s">
        <v>729</v>
      </c>
      <c r="K249" s="7" t="s">
        <v>981</v>
      </c>
      <c r="L249" s="9">
        <v>803.28</v>
      </c>
      <c r="M249" s="9">
        <v>1009</v>
      </c>
      <c r="N249" s="11">
        <v>0.11</v>
      </c>
      <c r="O249" s="13">
        <v>4</v>
      </c>
    </row>
    <row r="250" spans="1:15" x14ac:dyDescent="0.3">
      <c r="A250" t="s">
        <v>263</v>
      </c>
      <c r="B250" s="4">
        <v>45912</v>
      </c>
      <c r="C250" s="4">
        <v>45930</v>
      </c>
      <c r="D250" s="7" t="s">
        <v>647</v>
      </c>
      <c r="E250" s="7" t="s">
        <v>652</v>
      </c>
      <c r="F250" s="7" t="s">
        <v>694</v>
      </c>
      <c r="G250" s="7" t="s">
        <v>703</v>
      </c>
      <c r="H250" s="7" t="s">
        <v>709</v>
      </c>
      <c r="I250" s="7" t="s">
        <v>721</v>
      </c>
      <c r="J250" s="7" t="s">
        <v>732</v>
      </c>
      <c r="K250" s="7" t="s">
        <v>982</v>
      </c>
      <c r="L250" s="9">
        <v>1212.99</v>
      </c>
      <c r="M250" s="9">
        <v>1653.64</v>
      </c>
      <c r="N250" s="11">
        <v>0.107</v>
      </c>
      <c r="O250" s="13">
        <v>8</v>
      </c>
    </row>
    <row r="251" spans="1:15" x14ac:dyDescent="0.3">
      <c r="A251" t="s">
        <v>264</v>
      </c>
      <c r="B251" s="4">
        <v>45537</v>
      </c>
      <c r="C251" s="4">
        <v>45543</v>
      </c>
      <c r="D251" s="7" t="s">
        <v>648</v>
      </c>
      <c r="E251" s="7" t="s">
        <v>660</v>
      </c>
      <c r="F251" s="7" t="s">
        <v>697</v>
      </c>
      <c r="G251" s="7" t="s">
        <v>704</v>
      </c>
      <c r="H251" s="7" t="s">
        <v>711</v>
      </c>
      <c r="I251" s="7" t="s">
        <v>722</v>
      </c>
      <c r="J251" s="7" t="s">
        <v>727</v>
      </c>
      <c r="K251" s="7" t="s">
        <v>983</v>
      </c>
      <c r="L251" s="9">
        <v>462.94</v>
      </c>
      <c r="M251" s="9">
        <v>1015.7</v>
      </c>
      <c r="N251" s="11">
        <v>0.14299999999999999</v>
      </c>
      <c r="O251" s="13">
        <v>14</v>
      </c>
    </row>
    <row r="252" spans="1:15" x14ac:dyDescent="0.3">
      <c r="A252" t="s">
        <v>265</v>
      </c>
      <c r="B252" s="4">
        <v>44989</v>
      </c>
      <c r="C252" s="4">
        <v>45009</v>
      </c>
      <c r="D252" s="7" t="s">
        <v>648</v>
      </c>
      <c r="E252" s="7" t="s">
        <v>653</v>
      </c>
      <c r="F252" s="7" t="s">
        <v>681</v>
      </c>
      <c r="G252" s="7" t="s">
        <v>704</v>
      </c>
      <c r="H252" s="7" t="s">
        <v>710</v>
      </c>
      <c r="I252" s="7" t="s">
        <v>714</v>
      </c>
      <c r="J252" s="7" t="s">
        <v>731</v>
      </c>
      <c r="K252" s="7" t="s">
        <v>984</v>
      </c>
      <c r="L252" s="9">
        <v>481.71</v>
      </c>
      <c r="M252" s="9">
        <v>912.45</v>
      </c>
      <c r="N252" s="11">
        <v>0.20300000000000001</v>
      </c>
      <c r="O252" s="13">
        <v>24</v>
      </c>
    </row>
    <row r="253" spans="1:15" x14ac:dyDescent="0.3">
      <c r="A253" t="s">
        <v>266</v>
      </c>
      <c r="B253" s="4">
        <v>45366</v>
      </c>
      <c r="C253" s="4">
        <v>45391</v>
      </c>
      <c r="D253" s="7" t="s">
        <v>648</v>
      </c>
      <c r="E253" s="7" t="s">
        <v>653</v>
      </c>
      <c r="F253" s="7" t="s">
        <v>688</v>
      </c>
      <c r="G253" s="7" t="s">
        <v>704</v>
      </c>
      <c r="H253" s="7" t="s">
        <v>708</v>
      </c>
      <c r="I253" s="7" t="s">
        <v>721</v>
      </c>
      <c r="J253" s="7" t="s">
        <v>732</v>
      </c>
      <c r="K253" s="7" t="s">
        <v>985</v>
      </c>
      <c r="L253" s="9">
        <v>648.64</v>
      </c>
      <c r="M253" s="9">
        <v>815.19</v>
      </c>
      <c r="N253" s="11">
        <v>0.22500000000000001</v>
      </c>
      <c r="O253" s="13">
        <v>28</v>
      </c>
    </row>
    <row r="254" spans="1:15" x14ac:dyDescent="0.3">
      <c r="A254" t="s">
        <v>267</v>
      </c>
      <c r="B254" s="4">
        <v>45502</v>
      </c>
      <c r="C254" s="4">
        <v>45504</v>
      </c>
      <c r="D254" s="7" t="s">
        <v>648</v>
      </c>
      <c r="E254" s="7" t="s">
        <v>660</v>
      </c>
      <c r="F254" s="7" t="s">
        <v>700</v>
      </c>
      <c r="G254" s="7" t="s">
        <v>702</v>
      </c>
      <c r="H254" s="7" t="s">
        <v>709</v>
      </c>
      <c r="I254" s="7" t="s">
        <v>714</v>
      </c>
      <c r="J254" s="7" t="s">
        <v>728</v>
      </c>
      <c r="K254" s="7" t="s">
        <v>986</v>
      </c>
      <c r="L254" s="9">
        <v>798.97</v>
      </c>
      <c r="M254" s="9">
        <v>1814.06</v>
      </c>
      <c r="N254" s="11">
        <v>0.122</v>
      </c>
      <c r="O254" s="13">
        <v>16</v>
      </c>
    </row>
    <row r="255" spans="1:15" x14ac:dyDescent="0.3">
      <c r="A255" t="s">
        <v>268</v>
      </c>
      <c r="B255" s="4">
        <v>45592</v>
      </c>
      <c r="C255" s="4">
        <v>45616</v>
      </c>
      <c r="D255" s="7" t="s">
        <v>647</v>
      </c>
      <c r="E255" s="7" t="s">
        <v>652</v>
      </c>
      <c r="F255" s="7" t="s">
        <v>694</v>
      </c>
      <c r="G255" s="7" t="s">
        <v>703</v>
      </c>
      <c r="H255" s="7" t="s">
        <v>708</v>
      </c>
      <c r="I255" s="7" t="s">
        <v>722</v>
      </c>
      <c r="J255" s="7" t="s">
        <v>732</v>
      </c>
      <c r="K255" s="7" t="s">
        <v>987</v>
      </c>
      <c r="L255" s="9">
        <v>317.25</v>
      </c>
      <c r="M255" s="9">
        <v>758.92</v>
      </c>
      <c r="N255" s="11">
        <v>5.2999999999999999E-2</v>
      </c>
      <c r="O255" s="13">
        <v>9</v>
      </c>
    </row>
    <row r="256" spans="1:15" x14ac:dyDescent="0.3">
      <c r="A256" t="s">
        <v>269</v>
      </c>
      <c r="B256" s="4">
        <v>45411</v>
      </c>
      <c r="C256" s="4">
        <v>45431</v>
      </c>
      <c r="D256" s="7" t="s">
        <v>649</v>
      </c>
      <c r="E256" s="7" t="s">
        <v>656</v>
      </c>
      <c r="F256" s="7" t="s">
        <v>698</v>
      </c>
      <c r="G256" s="7" t="s">
        <v>706</v>
      </c>
      <c r="H256" s="7" t="s">
        <v>709</v>
      </c>
      <c r="I256" s="7" t="s">
        <v>712</v>
      </c>
      <c r="J256" s="7" t="s">
        <v>731</v>
      </c>
      <c r="K256" s="7" t="s">
        <v>988</v>
      </c>
      <c r="L256" s="9">
        <v>668.97</v>
      </c>
      <c r="M256" s="9">
        <v>1667.44</v>
      </c>
      <c r="N256" s="11">
        <v>3.4000000000000002E-2</v>
      </c>
      <c r="O256" s="13">
        <v>15</v>
      </c>
    </row>
    <row r="257" spans="1:15" x14ac:dyDescent="0.3">
      <c r="A257" t="s">
        <v>270</v>
      </c>
      <c r="B257" s="4">
        <v>45204</v>
      </c>
      <c r="C257" s="4">
        <v>45205</v>
      </c>
      <c r="D257" s="7" t="s">
        <v>647</v>
      </c>
      <c r="E257" s="7" t="s">
        <v>654</v>
      </c>
      <c r="F257" s="7" t="s">
        <v>668</v>
      </c>
      <c r="G257" s="7" t="s">
        <v>703</v>
      </c>
      <c r="H257" s="7" t="s">
        <v>708</v>
      </c>
      <c r="I257" s="7" t="s">
        <v>714</v>
      </c>
      <c r="J257" s="7" t="s">
        <v>727</v>
      </c>
      <c r="K257" s="7" t="s">
        <v>989</v>
      </c>
      <c r="L257" s="9">
        <v>1470.26</v>
      </c>
      <c r="M257" s="9">
        <v>2562.5500000000002</v>
      </c>
      <c r="N257" s="11">
        <v>0.17299999999999999</v>
      </c>
      <c r="O257" s="13">
        <v>9</v>
      </c>
    </row>
    <row r="258" spans="1:15" x14ac:dyDescent="0.3">
      <c r="A258" t="s">
        <v>271</v>
      </c>
      <c r="B258" s="4">
        <v>45035</v>
      </c>
      <c r="C258" s="4">
        <v>45053</v>
      </c>
      <c r="D258" s="7" t="s">
        <v>649</v>
      </c>
      <c r="E258" s="7" t="s">
        <v>658</v>
      </c>
      <c r="F258" s="7" t="s">
        <v>683</v>
      </c>
      <c r="G258" s="7" t="s">
        <v>703</v>
      </c>
      <c r="H258" s="7" t="s">
        <v>711</v>
      </c>
      <c r="I258" s="7" t="s">
        <v>722</v>
      </c>
      <c r="J258" s="7" t="s">
        <v>729</v>
      </c>
      <c r="K258" s="7" t="s">
        <v>990</v>
      </c>
      <c r="L258" s="9">
        <v>516.96</v>
      </c>
      <c r="M258" s="9">
        <v>745.38</v>
      </c>
      <c r="N258" s="11">
        <v>0.19700000000000001</v>
      </c>
      <c r="O258" s="13">
        <v>4</v>
      </c>
    </row>
    <row r="259" spans="1:15" x14ac:dyDescent="0.3">
      <c r="A259" t="s">
        <v>272</v>
      </c>
      <c r="B259" s="4">
        <v>45835</v>
      </c>
      <c r="C259" s="4">
        <v>45843</v>
      </c>
      <c r="D259" s="7" t="s">
        <v>649</v>
      </c>
      <c r="E259" s="7" t="s">
        <v>656</v>
      </c>
      <c r="F259" s="7" t="s">
        <v>684</v>
      </c>
      <c r="G259" s="7" t="s">
        <v>705</v>
      </c>
      <c r="H259" s="7" t="s">
        <v>711</v>
      </c>
      <c r="I259" s="7" t="s">
        <v>715</v>
      </c>
      <c r="J259" s="7" t="s">
        <v>732</v>
      </c>
      <c r="K259" s="7" t="s">
        <v>991</v>
      </c>
      <c r="L259" s="9">
        <v>314.93</v>
      </c>
      <c r="M259" s="9">
        <v>687.95</v>
      </c>
      <c r="N259" s="11">
        <v>0.20499999999999999</v>
      </c>
      <c r="O259" s="13">
        <v>8</v>
      </c>
    </row>
    <row r="260" spans="1:15" x14ac:dyDescent="0.3">
      <c r="A260" t="s">
        <v>273</v>
      </c>
      <c r="B260" s="4">
        <v>45210</v>
      </c>
      <c r="C260" s="4">
        <v>45212</v>
      </c>
      <c r="D260" s="7" t="s">
        <v>648</v>
      </c>
      <c r="E260" s="7" t="s">
        <v>655</v>
      </c>
      <c r="F260" s="7" t="s">
        <v>672</v>
      </c>
      <c r="G260" s="7" t="s">
        <v>704</v>
      </c>
      <c r="H260" s="7" t="s">
        <v>710</v>
      </c>
      <c r="J260" s="7" t="s">
        <v>733</v>
      </c>
      <c r="K260" s="7" t="s">
        <v>992</v>
      </c>
      <c r="L260" s="9">
        <v>715.94</v>
      </c>
      <c r="M260" s="9">
        <v>550.07000000000005</v>
      </c>
      <c r="N260" s="11">
        <v>0.14000000000000001</v>
      </c>
      <c r="O260" s="13">
        <v>16</v>
      </c>
    </row>
    <row r="261" spans="1:15" x14ac:dyDescent="0.3">
      <c r="A261" t="s">
        <v>274</v>
      </c>
      <c r="B261" s="4">
        <v>45066</v>
      </c>
      <c r="C261" s="4">
        <v>45084</v>
      </c>
      <c r="D261" s="7" t="s">
        <v>646</v>
      </c>
      <c r="E261" s="7" t="s">
        <v>651</v>
      </c>
      <c r="F261" s="7" t="s">
        <v>663</v>
      </c>
      <c r="G261" s="7" t="s">
        <v>706</v>
      </c>
      <c r="H261" s="7" t="s">
        <v>710</v>
      </c>
      <c r="I261" s="7" t="s">
        <v>718</v>
      </c>
      <c r="J261" s="7" t="s">
        <v>727</v>
      </c>
      <c r="K261" s="7" t="s">
        <v>993</v>
      </c>
      <c r="L261" s="9">
        <v>1120.06</v>
      </c>
      <c r="M261" s="9">
        <v>2068.21</v>
      </c>
      <c r="N261" s="11">
        <v>7.8E-2</v>
      </c>
      <c r="O261" s="13">
        <v>12</v>
      </c>
    </row>
    <row r="262" spans="1:15" x14ac:dyDescent="0.3">
      <c r="A262" t="s">
        <v>275</v>
      </c>
      <c r="B262" s="4">
        <v>45073</v>
      </c>
      <c r="C262" s="4">
        <v>45096</v>
      </c>
      <c r="D262" s="7" t="s">
        <v>649</v>
      </c>
      <c r="E262" s="7" t="s">
        <v>656</v>
      </c>
      <c r="F262" s="7" t="s">
        <v>671</v>
      </c>
      <c r="G262" s="7" t="s">
        <v>702</v>
      </c>
      <c r="H262" s="7" t="s">
        <v>707</v>
      </c>
      <c r="I262" s="7" t="s">
        <v>719</v>
      </c>
      <c r="J262" s="7" t="s">
        <v>733</v>
      </c>
      <c r="K262" s="7" t="s">
        <v>994</v>
      </c>
      <c r="L262" s="9">
        <v>1471.58</v>
      </c>
      <c r="M262" s="9">
        <v>2576.65</v>
      </c>
      <c r="N262" s="11">
        <v>4.0000000000000001E-3</v>
      </c>
      <c r="O262" s="13">
        <v>7</v>
      </c>
    </row>
    <row r="263" spans="1:15" x14ac:dyDescent="0.3">
      <c r="A263" t="s">
        <v>276</v>
      </c>
      <c r="B263" s="4">
        <v>45142</v>
      </c>
      <c r="C263" s="4">
        <v>45162</v>
      </c>
      <c r="D263" s="7" t="s">
        <v>648</v>
      </c>
      <c r="E263" s="7" t="s">
        <v>655</v>
      </c>
      <c r="F263" s="7" t="s">
        <v>672</v>
      </c>
      <c r="G263" s="7" t="s">
        <v>703</v>
      </c>
      <c r="H263" s="7" t="s">
        <v>711</v>
      </c>
      <c r="J263" s="7" t="s">
        <v>729</v>
      </c>
      <c r="K263" s="7" t="s">
        <v>995</v>
      </c>
      <c r="L263" s="9">
        <v>582.88</v>
      </c>
      <c r="M263" s="9">
        <v>1044.1400000000001</v>
      </c>
      <c r="N263" s="11">
        <v>0.216</v>
      </c>
      <c r="O263" s="13">
        <v>10</v>
      </c>
    </row>
    <row r="264" spans="1:15" x14ac:dyDescent="0.3">
      <c r="A264" t="s">
        <v>277</v>
      </c>
      <c r="B264" s="4">
        <v>45829</v>
      </c>
      <c r="C264" s="4">
        <v>45835</v>
      </c>
      <c r="D264" s="7" t="s">
        <v>646</v>
      </c>
      <c r="E264" s="7" t="s">
        <v>661</v>
      </c>
      <c r="F264" s="7" t="s">
        <v>687</v>
      </c>
      <c r="G264" s="7" t="s">
        <v>706</v>
      </c>
      <c r="H264" s="7" t="s">
        <v>710</v>
      </c>
      <c r="I264" s="7" t="s">
        <v>725</v>
      </c>
      <c r="J264" s="7" t="s">
        <v>730</v>
      </c>
      <c r="K264" s="7" t="s">
        <v>996</v>
      </c>
      <c r="L264" s="9">
        <v>93.91</v>
      </c>
      <c r="M264" s="9">
        <v>99.04</v>
      </c>
      <c r="N264" s="11">
        <v>5.7000000000000002E-2</v>
      </c>
      <c r="O264" s="13">
        <v>6</v>
      </c>
    </row>
    <row r="265" spans="1:15" x14ac:dyDescent="0.3">
      <c r="A265" t="s">
        <v>278</v>
      </c>
      <c r="B265" s="4">
        <v>45763</v>
      </c>
      <c r="C265" s="4">
        <v>45773</v>
      </c>
      <c r="D265" s="7" t="s">
        <v>646</v>
      </c>
      <c r="E265" s="7" t="s">
        <v>651</v>
      </c>
      <c r="F265" s="7" t="s">
        <v>663</v>
      </c>
      <c r="G265" s="7" t="s">
        <v>706</v>
      </c>
      <c r="H265" s="7" t="s">
        <v>709</v>
      </c>
      <c r="I265" s="7" t="s">
        <v>721</v>
      </c>
      <c r="J265" s="7" t="s">
        <v>731</v>
      </c>
      <c r="K265" s="7" t="s">
        <v>997</v>
      </c>
      <c r="L265" s="9">
        <v>1457.44</v>
      </c>
      <c r="M265" s="9">
        <v>1996.81</v>
      </c>
      <c r="N265" s="11">
        <v>0.126</v>
      </c>
      <c r="O265" s="13">
        <v>23</v>
      </c>
    </row>
    <row r="266" spans="1:15" x14ac:dyDescent="0.3">
      <c r="A266" t="s">
        <v>279</v>
      </c>
      <c r="B266" s="4">
        <v>45902</v>
      </c>
      <c r="C266" s="4">
        <v>45911</v>
      </c>
      <c r="D266" s="7" t="s">
        <v>648</v>
      </c>
      <c r="E266" s="7" t="s">
        <v>653</v>
      </c>
      <c r="F266" s="7" t="s">
        <v>667</v>
      </c>
      <c r="G266" s="7" t="s">
        <v>701</v>
      </c>
      <c r="H266" s="7" t="s">
        <v>710</v>
      </c>
      <c r="I266" s="7" t="s">
        <v>724</v>
      </c>
      <c r="J266" s="7" t="s">
        <v>728</v>
      </c>
      <c r="K266" s="7" t="s">
        <v>998</v>
      </c>
      <c r="L266" s="9">
        <v>1207.6300000000001</v>
      </c>
      <c r="M266" s="9">
        <v>921.68</v>
      </c>
      <c r="N266" s="11">
        <v>0.19600000000000001</v>
      </c>
      <c r="O266" s="13">
        <v>17</v>
      </c>
    </row>
    <row r="267" spans="1:15" x14ac:dyDescent="0.3">
      <c r="A267" t="s">
        <v>280</v>
      </c>
      <c r="B267" s="4">
        <v>45573</v>
      </c>
      <c r="C267" s="4">
        <v>45573</v>
      </c>
      <c r="D267" s="7" t="s">
        <v>649</v>
      </c>
      <c r="E267" s="7" t="s">
        <v>658</v>
      </c>
      <c r="F267" s="7" t="s">
        <v>683</v>
      </c>
      <c r="G267" s="7" t="s">
        <v>701</v>
      </c>
      <c r="H267" s="7" t="s">
        <v>708</v>
      </c>
      <c r="I267" s="7" t="s">
        <v>718</v>
      </c>
      <c r="J267" s="7" t="s">
        <v>732</v>
      </c>
      <c r="K267" s="7" t="s">
        <v>999</v>
      </c>
      <c r="L267" s="9">
        <v>1108.1099999999999</v>
      </c>
      <c r="M267" s="9">
        <v>2503.79</v>
      </c>
      <c r="N267" s="11">
        <v>0.184</v>
      </c>
      <c r="O267" s="13">
        <v>19</v>
      </c>
    </row>
    <row r="268" spans="1:15" x14ac:dyDescent="0.3">
      <c r="A268" t="s">
        <v>281</v>
      </c>
      <c r="B268" s="4">
        <v>45053</v>
      </c>
      <c r="C268" s="4">
        <v>45051</v>
      </c>
      <c r="D268" s="7" t="s">
        <v>646</v>
      </c>
      <c r="E268" s="7" t="s">
        <v>651</v>
      </c>
      <c r="F268" s="7" t="s">
        <v>663</v>
      </c>
      <c r="G268" s="7" t="s">
        <v>703</v>
      </c>
      <c r="H268" s="7" t="s">
        <v>709</v>
      </c>
      <c r="I268" s="7" t="s">
        <v>720</v>
      </c>
      <c r="J268" s="7" t="s">
        <v>727</v>
      </c>
      <c r="K268" s="7" t="s">
        <v>1000</v>
      </c>
      <c r="L268" s="9">
        <v>1269.6500000000001</v>
      </c>
      <c r="M268" s="9">
        <v>2462.77</v>
      </c>
      <c r="N268" s="11">
        <v>0.107</v>
      </c>
      <c r="O268" s="13">
        <v>8</v>
      </c>
    </row>
    <row r="269" spans="1:15" x14ac:dyDescent="0.3">
      <c r="A269" t="s">
        <v>282</v>
      </c>
      <c r="B269" s="4">
        <v>45284</v>
      </c>
      <c r="C269" s="4">
        <v>45292</v>
      </c>
      <c r="D269" s="7" t="s">
        <v>648</v>
      </c>
      <c r="E269" s="7" t="s">
        <v>655</v>
      </c>
      <c r="F269" s="7" t="s">
        <v>670</v>
      </c>
      <c r="G269" s="7" t="s">
        <v>702</v>
      </c>
      <c r="H269" s="7" t="s">
        <v>711</v>
      </c>
      <c r="I269" s="7" t="s">
        <v>712</v>
      </c>
      <c r="J269" s="7" t="s">
        <v>730</v>
      </c>
      <c r="K269" s="7" t="s">
        <v>1001</v>
      </c>
      <c r="L269" s="9">
        <v>526.49</v>
      </c>
      <c r="M269" s="9">
        <v>496.2</v>
      </c>
      <c r="N269" s="11">
        <v>0</v>
      </c>
      <c r="O269" s="13">
        <v>14</v>
      </c>
    </row>
    <row r="270" spans="1:15" x14ac:dyDescent="0.3">
      <c r="A270" t="s">
        <v>283</v>
      </c>
      <c r="B270" s="4">
        <v>45301</v>
      </c>
      <c r="C270" s="4">
        <v>45314</v>
      </c>
      <c r="D270" s="7" t="s">
        <v>649</v>
      </c>
      <c r="E270" s="7" t="s">
        <v>657</v>
      </c>
      <c r="F270" s="7" t="s">
        <v>673</v>
      </c>
      <c r="G270" s="7" t="s">
        <v>701</v>
      </c>
      <c r="H270" s="7" t="s">
        <v>711</v>
      </c>
      <c r="I270" s="7" t="s">
        <v>720</v>
      </c>
      <c r="J270" s="7" t="s">
        <v>728</v>
      </c>
      <c r="K270" s="7" t="s">
        <v>1002</v>
      </c>
      <c r="L270" s="9">
        <v>720</v>
      </c>
      <c r="M270" s="9">
        <v>907.59</v>
      </c>
      <c r="N270" s="11">
        <v>0.154</v>
      </c>
      <c r="O270" s="13">
        <v>10</v>
      </c>
    </row>
    <row r="271" spans="1:15" x14ac:dyDescent="0.3">
      <c r="A271" t="s">
        <v>284</v>
      </c>
      <c r="B271" s="4">
        <v>45141</v>
      </c>
      <c r="C271" s="4">
        <v>45152</v>
      </c>
      <c r="D271" s="7" t="s">
        <v>648</v>
      </c>
      <c r="E271" s="7" t="s">
        <v>655</v>
      </c>
      <c r="F271" s="7" t="s">
        <v>672</v>
      </c>
      <c r="G271" s="7" t="s">
        <v>701</v>
      </c>
      <c r="H271" s="7" t="s">
        <v>711</v>
      </c>
      <c r="I271" s="7" t="s">
        <v>713</v>
      </c>
      <c r="J271" s="7" t="s">
        <v>733</v>
      </c>
      <c r="K271" s="7" t="s">
        <v>1003</v>
      </c>
      <c r="L271" s="9">
        <v>232.73</v>
      </c>
      <c r="M271" s="9">
        <v>334.19</v>
      </c>
      <c r="N271" s="11">
        <v>0.13400000000000001</v>
      </c>
      <c r="O271" s="13">
        <v>25</v>
      </c>
    </row>
    <row r="272" spans="1:15" x14ac:dyDescent="0.3">
      <c r="A272" t="s">
        <v>285</v>
      </c>
      <c r="B272" s="4">
        <v>45707</v>
      </c>
      <c r="C272" s="4">
        <v>45725</v>
      </c>
      <c r="D272" s="7" t="s">
        <v>647</v>
      </c>
      <c r="E272" s="7" t="s">
        <v>654</v>
      </c>
      <c r="F272" s="7" t="s">
        <v>680</v>
      </c>
      <c r="G272" s="7" t="s">
        <v>705</v>
      </c>
      <c r="H272" s="7" t="s">
        <v>711</v>
      </c>
      <c r="I272" s="7" t="s">
        <v>719</v>
      </c>
      <c r="J272" s="7" t="s">
        <v>732</v>
      </c>
      <c r="K272" s="7" t="s">
        <v>1004</v>
      </c>
      <c r="L272" s="9">
        <v>325.87</v>
      </c>
      <c r="M272" s="9">
        <v>538.79</v>
      </c>
      <c r="N272" s="11">
        <v>0.17399999999999999</v>
      </c>
      <c r="O272" s="13">
        <v>16</v>
      </c>
    </row>
    <row r="273" spans="1:15" x14ac:dyDescent="0.3">
      <c r="A273" t="s">
        <v>286</v>
      </c>
      <c r="B273" s="4">
        <v>45382</v>
      </c>
      <c r="C273" s="4">
        <v>45399</v>
      </c>
      <c r="D273" s="7" t="s">
        <v>649</v>
      </c>
      <c r="E273" s="7" t="s">
        <v>656</v>
      </c>
      <c r="F273" s="7" t="s">
        <v>698</v>
      </c>
      <c r="G273" s="7" t="s">
        <v>702</v>
      </c>
      <c r="H273" s="7" t="s">
        <v>711</v>
      </c>
      <c r="I273" s="7" t="s">
        <v>722</v>
      </c>
      <c r="J273" s="7" t="s">
        <v>732</v>
      </c>
      <c r="K273" s="7" t="s">
        <v>1005</v>
      </c>
      <c r="L273" s="9">
        <v>1025.51</v>
      </c>
      <c r="M273" s="9">
        <v>1436.54</v>
      </c>
      <c r="N273" s="11">
        <v>0.13900000000000001</v>
      </c>
      <c r="O273" s="13">
        <v>28</v>
      </c>
    </row>
    <row r="274" spans="1:15" x14ac:dyDescent="0.3">
      <c r="A274" t="s">
        <v>287</v>
      </c>
      <c r="B274" s="4">
        <v>45131</v>
      </c>
      <c r="C274" s="4">
        <v>45151</v>
      </c>
      <c r="D274" s="7" t="s">
        <v>648</v>
      </c>
      <c r="E274" s="7" t="s">
        <v>653</v>
      </c>
      <c r="F274" s="7" t="s">
        <v>681</v>
      </c>
      <c r="G274" s="7" t="s">
        <v>702</v>
      </c>
      <c r="H274" s="7" t="s">
        <v>711</v>
      </c>
      <c r="I274" s="7" t="s">
        <v>712</v>
      </c>
      <c r="J274" s="7" t="s">
        <v>732</v>
      </c>
      <c r="K274" s="7" t="s">
        <v>1006</v>
      </c>
      <c r="L274" s="9">
        <v>1082.3800000000001</v>
      </c>
      <c r="M274" s="9">
        <v>1766.55</v>
      </c>
      <c r="N274" s="11">
        <v>0.16400000000000001</v>
      </c>
      <c r="O274" s="13">
        <v>20</v>
      </c>
    </row>
    <row r="275" spans="1:15" x14ac:dyDescent="0.3">
      <c r="A275" t="s">
        <v>288</v>
      </c>
      <c r="B275" s="4">
        <v>45367</v>
      </c>
      <c r="C275" s="4">
        <v>45395</v>
      </c>
      <c r="D275" s="7" t="s">
        <v>649</v>
      </c>
      <c r="E275" s="7" t="s">
        <v>657</v>
      </c>
      <c r="F275" s="7" t="s">
        <v>690</v>
      </c>
      <c r="G275" s="7" t="s">
        <v>705</v>
      </c>
      <c r="H275" s="7" t="s">
        <v>708</v>
      </c>
      <c r="I275" s="7" t="s">
        <v>723</v>
      </c>
      <c r="J275" s="7" t="s">
        <v>728</v>
      </c>
      <c r="K275" s="7" t="s">
        <v>1007</v>
      </c>
      <c r="L275" s="9">
        <v>287.61</v>
      </c>
      <c r="M275" s="9">
        <v>628.54</v>
      </c>
      <c r="N275" s="11">
        <v>0.13500000000000001</v>
      </c>
      <c r="O275" s="13">
        <v>21</v>
      </c>
    </row>
    <row r="276" spans="1:15" x14ac:dyDescent="0.3">
      <c r="A276" t="s">
        <v>289</v>
      </c>
      <c r="B276" s="4">
        <v>45316</v>
      </c>
      <c r="C276" s="4">
        <v>45318</v>
      </c>
      <c r="D276" s="7" t="s">
        <v>648</v>
      </c>
      <c r="E276" s="7" t="s">
        <v>655</v>
      </c>
      <c r="F276" s="7" t="s">
        <v>670</v>
      </c>
      <c r="G276" s="7" t="s">
        <v>703</v>
      </c>
      <c r="H276" s="7" t="s">
        <v>709</v>
      </c>
      <c r="I276" s="7" t="s">
        <v>725</v>
      </c>
      <c r="J276" s="7" t="s">
        <v>731</v>
      </c>
      <c r="K276" s="7" t="s">
        <v>1008</v>
      </c>
      <c r="L276" s="9">
        <v>1410.97</v>
      </c>
      <c r="M276" s="9">
        <v>1650.75</v>
      </c>
      <c r="N276" s="11">
        <v>0.13500000000000001</v>
      </c>
      <c r="O276" s="13">
        <v>6</v>
      </c>
    </row>
    <row r="277" spans="1:15" x14ac:dyDescent="0.3">
      <c r="A277" t="s">
        <v>290</v>
      </c>
      <c r="B277" s="4">
        <v>45378</v>
      </c>
      <c r="C277" s="4">
        <v>45393</v>
      </c>
      <c r="D277" s="7" t="s">
        <v>648</v>
      </c>
      <c r="E277" s="7" t="s">
        <v>660</v>
      </c>
      <c r="F277" s="7" t="s">
        <v>686</v>
      </c>
      <c r="G277" s="7" t="s">
        <v>705</v>
      </c>
      <c r="H277" s="7" t="s">
        <v>711</v>
      </c>
      <c r="I277" s="7" t="s">
        <v>719</v>
      </c>
      <c r="J277" s="7" t="s">
        <v>729</v>
      </c>
      <c r="K277" s="7" t="s">
        <v>1009</v>
      </c>
      <c r="L277" s="9">
        <v>1338.35</v>
      </c>
      <c r="M277" s="9">
        <v>2247.14</v>
      </c>
      <c r="N277" s="11">
        <v>0.115</v>
      </c>
      <c r="O277" s="13">
        <v>40</v>
      </c>
    </row>
    <row r="278" spans="1:15" x14ac:dyDescent="0.3">
      <c r="A278" t="s">
        <v>291</v>
      </c>
      <c r="B278" s="4">
        <v>45832</v>
      </c>
      <c r="C278" s="4">
        <v>45852</v>
      </c>
      <c r="D278" s="7" t="s">
        <v>649</v>
      </c>
      <c r="E278" s="7" t="s">
        <v>656</v>
      </c>
      <c r="F278" s="7" t="s">
        <v>671</v>
      </c>
      <c r="G278" s="7" t="s">
        <v>701</v>
      </c>
      <c r="H278" s="7" t="s">
        <v>711</v>
      </c>
      <c r="I278" s="7" t="s">
        <v>719</v>
      </c>
      <c r="J278" s="7" t="s">
        <v>733</v>
      </c>
      <c r="K278" s="7" t="s">
        <v>1010</v>
      </c>
      <c r="L278" s="9">
        <v>385.08</v>
      </c>
      <c r="M278" s="9">
        <v>893.19</v>
      </c>
      <c r="N278" s="11">
        <v>0.151</v>
      </c>
      <c r="O278" s="13">
        <v>8</v>
      </c>
    </row>
    <row r="279" spans="1:15" x14ac:dyDescent="0.3">
      <c r="A279" t="s">
        <v>292</v>
      </c>
      <c r="B279" s="4">
        <v>45459</v>
      </c>
      <c r="C279" s="4">
        <v>45476</v>
      </c>
      <c r="D279" s="7" t="s">
        <v>646</v>
      </c>
      <c r="E279" s="7" t="s">
        <v>661</v>
      </c>
      <c r="F279" s="7" t="s">
        <v>682</v>
      </c>
      <c r="G279" s="7" t="s">
        <v>706</v>
      </c>
      <c r="H279" s="7" t="s">
        <v>709</v>
      </c>
      <c r="I279" s="7" t="s">
        <v>721</v>
      </c>
      <c r="J279" s="7" t="s">
        <v>730</v>
      </c>
      <c r="K279" s="7" t="s">
        <v>1011</v>
      </c>
      <c r="L279" s="9">
        <v>1173.83</v>
      </c>
      <c r="M279" s="9">
        <v>2328.9</v>
      </c>
      <c r="N279" s="11">
        <v>0.12</v>
      </c>
      <c r="O279" s="13">
        <v>17</v>
      </c>
    </row>
    <row r="280" spans="1:15" x14ac:dyDescent="0.3">
      <c r="A280" t="s">
        <v>293</v>
      </c>
      <c r="B280" s="4">
        <v>45229</v>
      </c>
      <c r="C280" s="4">
        <v>45244</v>
      </c>
      <c r="D280" s="7" t="s">
        <v>647</v>
      </c>
      <c r="E280" s="7" t="s">
        <v>654</v>
      </c>
      <c r="F280" s="7" t="s">
        <v>668</v>
      </c>
      <c r="G280" s="7" t="s">
        <v>701</v>
      </c>
      <c r="H280" s="7" t="s">
        <v>708</v>
      </c>
      <c r="I280" s="7" t="s">
        <v>721</v>
      </c>
      <c r="J280" s="7" t="s">
        <v>731</v>
      </c>
      <c r="K280" s="7" t="s">
        <v>1012</v>
      </c>
      <c r="L280" s="9">
        <v>953.46</v>
      </c>
      <c r="M280" s="9">
        <v>2066.75</v>
      </c>
      <c r="N280" s="11">
        <v>0.13800000000000001</v>
      </c>
      <c r="O280" s="13">
        <v>5</v>
      </c>
    </row>
    <row r="281" spans="1:15" x14ac:dyDescent="0.3">
      <c r="A281" t="s">
        <v>294</v>
      </c>
      <c r="B281" s="4">
        <v>45092</v>
      </c>
      <c r="C281" s="4">
        <v>45100</v>
      </c>
      <c r="D281" s="7" t="s">
        <v>648</v>
      </c>
      <c r="E281" s="7" t="s">
        <v>660</v>
      </c>
      <c r="F281" s="7" t="s">
        <v>686</v>
      </c>
      <c r="G281" s="7" t="s">
        <v>704</v>
      </c>
      <c r="H281" s="7" t="s">
        <v>710</v>
      </c>
      <c r="I281" s="7" t="s">
        <v>719</v>
      </c>
      <c r="J281" s="7" t="s">
        <v>732</v>
      </c>
      <c r="K281" s="7" t="s">
        <v>1013</v>
      </c>
      <c r="L281" s="9">
        <v>1097.0899999999999</v>
      </c>
      <c r="M281" s="9">
        <v>2182.31</v>
      </c>
      <c r="N281" s="11">
        <v>0.112</v>
      </c>
      <c r="O281" s="13">
        <v>9</v>
      </c>
    </row>
    <row r="282" spans="1:15" x14ac:dyDescent="0.3">
      <c r="A282" t="s">
        <v>295</v>
      </c>
      <c r="B282" s="4">
        <v>45730</v>
      </c>
      <c r="C282" s="4">
        <v>45745</v>
      </c>
      <c r="D282" s="7" t="s">
        <v>647</v>
      </c>
      <c r="E282" s="7" t="s">
        <v>652</v>
      </c>
      <c r="F282" s="7" t="s">
        <v>689</v>
      </c>
      <c r="G282" s="7" t="s">
        <v>703</v>
      </c>
      <c r="H282" s="7" t="s">
        <v>711</v>
      </c>
      <c r="I282" s="7" t="s">
        <v>722</v>
      </c>
      <c r="J282" s="7" t="s">
        <v>729</v>
      </c>
      <c r="K282" s="7" t="s">
        <v>1014</v>
      </c>
      <c r="L282" s="9">
        <v>1106.96</v>
      </c>
      <c r="M282" s="9">
        <v>2726.62</v>
      </c>
      <c r="N282" s="11">
        <v>0.317</v>
      </c>
      <c r="O282" s="13">
        <v>7</v>
      </c>
    </row>
    <row r="283" spans="1:15" x14ac:dyDescent="0.3">
      <c r="A283" t="s">
        <v>296</v>
      </c>
      <c r="B283" s="4">
        <v>45153</v>
      </c>
      <c r="C283" s="4">
        <v>45163</v>
      </c>
      <c r="D283" s="7" t="s">
        <v>646</v>
      </c>
      <c r="E283" s="7" t="s">
        <v>650</v>
      </c>
      <c r="F283" s="7" t="s">
        <v>664</v>
      </c>
      <c r="G283" s="7" t="s">
        <v>705</v>
      </c>
      <c r="H283" s="7" t="s">
        <v>707</v>
      </c>
      <c r="I283" s="7" t="s">
        <v>725</v>
      </c>
      <c r="J283" s="7" t="s">
        <v>730</v>
      </c>
      <c r="K283" s="7" t="s">
        <v>1015</v>
      </c>
      <c r="L283" s="9">
        <v>91.85</v>
      </c>
      <c r="M283" s="9">
        <v>111.29</v>
      </c>
      <c r="N283" s="11">
        <v>0</v>
      </c>
      <c r="O283" s="13">
        <v>6</v>
      </c>
    </row>
    <row r="284" spans="1:15" x14ac:dyDescent="0.3">
      <c r="A284" t="s">
        <v>297</v>
      </c>
      <c r="B284" s="4">
        <v>45794</v>
      </c>
      <c r="C284" s="4">
        <v>45805</v>
      </c>
      <c r="D284" s="7" t="s">
        <v>647</v>
      </c>
      <c r="E284" s="7" t="s">
        <v>654</v>
      </c>
      <c r="F284" s="7" t="s">
        <v>668</v>
      </c>
      <c r="G284" s="7" t="s">
        <v>701</v>
      </c>
      <c r="H284" s="7" t="s">
        <v>710</v>
      </c>
      <c r="I284" s="7" t="s">
        <v>717</v>
      </c>
      <c r="J284" s="7" t="s">
        <v>731</v>
      </c>
      <c r="K284" s="7" t="s">
        <v>1016</v>
      </c>
      <c r="L284" s="9">
        <v>623.4</v>
      </c>
      <c r="M284" s="9">
        <v>1100.0899999999999</v>
      </c>
      <c r="N284" s="11">
        <v>0.114</v>
      </c>
      <c r="O284" s="13">
        <v>12</v>
      </c>
    </row>
    <row r="285" spans="1:15" x14ac:dyDescent="0.3">
      <c r="A285" t="s">
        <v>298</v>
      </c>
      <c r="B285" s="4">
        <v>45304</v>
      </c>
      <c r="C285" s="4">
        <v>45327</v>
      </c>
      <c r="D285" s="7" t="s">
        <v>649</v>
      </c>
      <c r="E285" s="7" t="s">
        <v>656</v>
      </c>
      <c r="F285" s="7" t="s">
        <v>698</v>
      </c>
      <c r="G285" s="7" t="s">
        <v>702</v>
      </c>
      <c r="H285" s="7" t="s">
        <v>711</v>
      </c>
      <c r="I285" s="7" t="s">
        <v>717</v>
      </c>
      <c r="J285" s="7" t="s">
        <v>731</v>
      </c>
      <c r="K285" s="7" t="s">
        <v>1017</v>
      </c>
      <c r="L285" s="9">
        <v>1017.93</v>
      </c>
      <c r="M285" s="9">
        <v>1529.14</v>
      </c>
      <c r="N285" s="11">
        <v>0.155</v>
      </c>
      <c r="O285" s="13">
        <v>12</v>
      </c>
    </row>
    <row r="286" spans="1:15" x14ac:dyDescent="0.3">
      <c r="A286" t="s">
        <v>299</v>
      </c>
      <c r="B286" s="4">
        <v>45101</v>
      </c>
      <c r="C286" s="4">
        <v>45128</v>
      </c>
      <c r="D286" s="7" t="s">
        <v>647</v>
      </c>
      <c r="E286" s="7" t="s">
        <v>652</v>
      </c>
      <c r="F286" s="7" t="s">
        <v>694</v>
      </c>
      <c r="G286" s="7" t="s">
        <v>704</v>
      </c>
      <c r="H286" s="7" t="s">
        <v>709</v>
      </c>
      <c r="I286" s="7" t="s">
        <v>713</v>
      </c>
      <c r="J286" s="7" t="s">
        <v>730</v>
      </c>
      <c r="K286" s="7" t="s">
        <v>1018</v>
      </c>
      <c r="L286" s="9">
        <v>554.76</v>
      </c>
      <c r="M286" s="9">
        <v>728.69</v>
      </c>
      <c r="N286" s="11">
        <v>0.22</v>
      </c>
      <c r="O286" s="13">
        <v>7</v>
      </c>
    </row>
    <row r="287" spans="1:15" x14ac:dyDescent="0.3">
      <c r="A287" t="s">
        <v>300</v>
      </c>
      <c r="B287" s="4">
        <v>45751</v>
      </c>
      <c r="C287" s="4">
        <v>45760</v>
      </c>
      <c r="D287" s="7" t="s">
        <v>649</v>
      </c>
      <c r="E287" s="7" t="s">
        <v>656</v>
      </c>
      <c r="F287" s="7" t="s">
        <v>684</v>
      </c>
      <c r="G287" s="7" t="s">
        <v>704</v>
      </c>
      <c r="H287" s="7" t="s">
        <v>709</v>
      </c>
      <c r="I287" s="7" t="s">
        <v>721</v>
      </c>
      <c r="J287" s="7" t="s">
        <v>730</v>
      </c>
      <c r="K287" s="7" t="s">
        <v>1019</v>
      </c>
      <c r="L287" s="9">
        <v>7.02</v>
      </c>
      <c r="M287" s="9">
        <v>6.28</v>
      </c>
      <c r="N287" s="11">
        <v>0.13400000000000001</v>
      </c>
      <c r="O287" s="13">
        <v>14</v>
      </c>
    </row>
    <row r="288" spans="1:15" x14ac:dyDescent="0.3">
      <c r="A288" t="s">
        <v>301</v>
      </c>
      <c r="B288" s="4">
        <v>45542</v>
      </c>
      <c r="C288" s="4">
        <v>45542</v>
      </c>
      <c r="D288" s="7" t="s">
        <v>647</v>
      </c>
      <c r="E288" s="7" t="s">
        <v>654</v>
      </c>
      <c r="F288" s="7" t="s">
        <v>691</v>
      </c>
      <c r="G288" s="7" t="s">
        <v>702</v>
      </c>
      <c r="H288" s="7" t="s">
        <v>710</v>
      </c>
      <c r="I288" s="7" t="s">
        <v>717</v>
      </c>
      <c r="J288" s="7" t="s">
        <v>729</v>
      </c>
      <c r="K288" s="7" t="s">
        <v>1020</v>
      </c>
      <c r="L288" s="9">
        <v>1066.6500000000001</v>
      </c>
      <c r="M288" s="9">
        <v>2569.77</v>
      </c>
      <c r="N288" s="11">
        <v>0.13400000000000001</v>
      </c>
      <c r="O288" s="13">
        <v>9</v>
      </c>
    </row>
    <row r="289" spans="1:15" x14ac:dyDescent="0.3">
      <c r="A289" t="s">
        <v>302</v>
      </c>
      <c r="B289" s="4">
        <v>45319</v>
      </c>
      <c r="C289" s="4">
        <v>45321</v>
      </c>
      <c r="D289" s="7" t="s">
        <v>646</v>
      </c>
      <c r="E289" s="7" t="s">
        <v>661</v>
      </c>
      <c r="F289" s="7" t="s">
        <v>695</v>
      </c>
      <c r="G289" s="7" t="s">
        <v>704</v>
      </c>
      <c r="H289" s="7" t="s">
        <v>711</v>
      </c>
      <c r="I289" s="7" t="s">
        <v>721</v>
      </c>
      <c r="J289" s="7" t="s">
        <v>733</v>
      </c>
      <c r="K289" s="7" t="s">
        <v>1021</v>
      </c>
      <c r="L289" s="9">
        <v>798.45</v>
      </c>
      <c r="M289" s="9">
        <v>1592.02</v>
      </c>
      <c r="N289" s="11">
        <v>6.6000000000000003E-2</v>
      </c>
      <c r="O289" s="13">
        <v>18</v>
      </c>
    </row>
    <row r="290" spans="1:15" x14ac:dyDescent="0.3">
      <c r="A290" t="s">
        <v>303</v>
      </c>
      <c r="B290" s="4">
        <v>45125</v>
      </c>
      <c r="C290" s="4">
        <v>45148</v>
      </c>
      <c r="D290" s="7" t="s">
        <v>646</v>
      </c>
      <c r="E290" s="7" t="s">
        <v>661</v>
      </c>
      <c r="F290" s="7" t="s">
        <v>682</v>
      </c>
      <c r="G290" s="7" t="s">
        <v>705</v>
      </c>
      <c r="H290" s="7" t="s">
        <v>707</v>
      </c>
      <c r="I290" s="7" t="s">
        <v>716</v>
      </c>
      <c r="J290" s="7" t="s">
        <v>727</v>
      </c>
      <c r="K290" s="7" t="s">
        <v>1022</v>
      </c>
      <c r="L290" s="9">
        <v>1271.56</v>
      </c>
      <c r="M290" s="9">
        <v>995.47</v>
      </c>
      <c r="N290" s="11">
        <v>0.192</v>
      </c>
      <c r="O290" s="13">
        <v>13</v>
      </c>
    </row>
    <row r="291" spans="1:15" x14ac:dyDescent="0.3">
      <c r="A291" t="s">
        <v>304</v>
      </c>
      <c r="B291" s="4">
        <v>45897</v>
      </c>
      <c r="C291" s="4">
        <v>45895</v>
      </c>
      <c r="D291" s="7" t="s">
        <v>646</v>
      </c>
      <c r="E291" s="7" t="s">
        <v>651</v>
      </c>
      <c r="F291" s="7" t="s">
        <v>663</v>
      </c>
      <c r="G291" s="7" t="s">
        <v>705</v>
      </c>
      <c r="H291" s="7" t="s">
        <v>707</v>
      </c>
      <c r="I291" s="7" t="s">
        <v>720</v>
      </c>
      <c r="J291" s="7" t="s">
        <v>733</v>
      </c>
      <c r="K291" s="7" t="s">
        <v>1023</v>
      </c>
      <c r="L291" s="9">
        <v>521.05999999999995</v>
      </c>
      <c r="M291" s="9">
        <v>1240.31</v>
      </c>
      <c r="N291" s="11">
        <v>0.14599999999999999</v>
      </c>
      <c r="O291" s="13">
        <v>18</v>
      </c>
    </row>
    <row r="292" spans="1:15" x14ac:dyDescent="0.3">
      <c r="A292" t="s">
        <v>305</v>
      </c>
      <c r="B292" s="4">
        <v>45746</v>
      </c>
      <c r="C292" s="4">
        <v>45754</v>
      </c>
      <c r="D292" s="7" t="s">
        <v>648</v>
      </c>
      <c r="E292" s="7" t="s">
        <v>655</v>
      </c>
      <c r="F292" s="7" t="s">
        <v>670</v>
      </c>
      <c r="G292" s="7" t="s">
        <v>703</v>
      </c>
      <c r="H292" s="7" t="s">
        <v>711</v>
      </c>
      <c r="I292" s="7" t="s">
        <v>716</v>
      </c>
      <c r="J292" s="7" t="s">
        <v>728</v>
      </c>
      <c r="K292" s="7" t="s">
        <v>1024</v>
      </c>
      <c r="L292" s="9">
        <v>71.62</v>
      </c>
      <c r="M292" s="9">
        <v>118.37</v>
      </c>
      <c r="N292" s="11">
        <v>0.156</v>
      </c>
      <c r="O292" s="13">
        <v>11</v>
      </c>
    </row>
    <row r="293" spans="1:15" x14ac:dyDescent="0.3">
      <c r="A293" t="s">
        <v>306</v>
      </c>
      <c r="B293" s="4">
        <v>45220</v>
      </c>
      <c r="C293" s="4">
        <v>45239</v>
      </c>
      <c r="D293" s="7" t="s">
        <v>649</v>
      </c>
      <c r="E293" s="7" t="s">
        <v>658</v>
      </c>
      <c r="F293" s="7" t="s">
        <v>683</v>
      </c>
      <c r="G293" s="7" t="s">
        <v>703</v>
      </c>
      <c r="H293" s="7" t="s">
        <v>711</v>
      </c>
      <c r="I293" s="7" t="s">
        <v>720</v>
      </c>
      <c r="J293" s="7" t="s">
        <v>733</v>
      </c>
      <c r="K293" s="7" t="s">
        <v>1025</v>
      </c>
      <c r="L293" s="9">
        <v>1142.48</v>
      </c>
      <c r="M293" s="9">
        <v>2105.5300000000002</v>
      </c>
      <c r="N293" s="11">
        <v>0.20699999999999999</v>
      </c>
      <c r="O293" s="13">
        <v>14</v>
      </c>
    </row>
    <row r="294" spans="1:15" x14ac:dyDescent="0.3">
      <c r="A294" t="s">
        <v>307</v>
      </c>
      <c r="B294" s="4">
        <v>45161</v>
      </c>
      <c r="C294" s="4">
        <v>45191</v>
      </c>
      <c r="D294" s="7" t="s">
        <v>649</v>
      </c>
      <c r="E294" s="7" t="s">
        <v>658</v>
      </c>
      <c r="F294" s="7" t="s">
        <v>683</v>
      </c>
      <c r="G294" s="7" t="s">
        <v>704</v>
      </c>
      <c r="H294" s="7" t="s">
        <v>710</v>
      </c>
      <c r="I294" s="7" t="s">
        <v>719</v>
      </c>
      <c r="J294" s="7" t="s">
        <v>733</v>
      </c>
      <c r="K294" s="7" t="s">
        <v>1026</v>
      </c>
      <c r="L294" s="9">
        <v>209.81</v>
      </c>
      <c r="M294" s="9">
        <v>523</v>
      </c>
      <c r="N294" s="11">
        <v>5.8999999999999997E-2</v>
      </c>
      <c r="O294" s="13">
        <v>15</v>
      </c>
    </row>
    <row r="295" spans="1:15" x14ac:dyDescent="0.3">
      <c r="A295" t="s">
        <v>308</v>
      </c>
      <c r="B295" s="4">
        <v>45758</v>
      </c>
      <c r="C295" s="4">
        <v>45781</v>
      </c>
      <c r="D295" s="7" t="s">
        <v>647</v>
      </c>
      <c r="E295" s="7" t="s">
        <v>652</v>
      </c>
      <c r="F295" s="7" t="s">
        <v>666</v>
      </c>
      <c r="G295" s="7" t="s">
        <v>705</v>
      </c>
      <c r="H295" s="7" t="s">
        <v>708</v>
      </c>
      <c r="I295" s="7" t="s">
        <v>724</v>
      </c>
      <c r="J295" s="7" t="s">
        <v>727</v>
      </c>
      <c r="K295" s="7" t="s">
        <v>1027</v>
      </c>
      <c r="L295" s="9">
        <v>786.2</v>
      </c>
      <c r="M295" s="9">
        <v>1075.3</v>
      </c>
      <c r="N295" s="11">
        <v>0.08</v>
      </c>
      <c r="O295" s="13">
        <v>9</v>
      </c>
    </row>
    <row r="296" spans="1:15" x14ac:dyDescent="0.3">
      <c r="A296" t="s">
        <v>309</v>
      </c>
      <c r="B296" s="4">
        <v>45809</v>
      </c>
      <c r="C296" s="4">
        <v>45835</v>
      </c>
      <c r="D296" s="7" t="s">
        <v>649</v>
      </c>
      <c r="E296" s="7" t="s">
        <v>656</v>
      </c>
      <c r="F296" s="7" t="s">
        <v>684</v>
      </c>
      <c r="G296" s="7" t="s">
        <v>704</v>
      </c>
      <c r="H296" s="7" t="s">
        <v>710</v>
      </c>
      <c r="I296" s="7" t="s">
        <v>718</v>
      </c>
      <c r="J296" s="7" t="s">
        <v>731</v>
      </c>
      <c r="K296" s="7" t="s">
        <v>1028</v>
      </c>
      <c r="L296" s="9">
        <v>1362.31</v>
      </c>
      <c r="M296" s="9">
        <v>3294.57</v>
      </c>
      <c r="N296" s="11">
        <v>0.113</v>
      </c>
      <c r="O296" s="13">
        <v>7</v>
      </c>
    </row>
    <row r="297" spans="1:15" x14ac:dyDescent="0.3">
      <c r="A297" t="s">
        <v>310</v>
      </c>
      <c r="B297" s="4">
        <v>45353</v>
      </c>
      <c r="C297" s="4">
        <v>45367</v>
      </c>
      <c r="D297" s="7" t="s">
        <v>648</v>
      </c>
      <c r="E297" s="7" t="s">
        <v>653</v>
      </c>
      <c r="F297" s="7" t="s">
        <v>688</v>
      </c>
      <c r="G297" s="7" t="s">
        <v>703</v>
      </c>
      <c r="H297" s="7" t="s">
        <v>711</v>
      </c>
      <c r="I297" s="7" t="s">
        <v>719</v>
      </c>
      <c r="J297" s="7" t="s">
        <v>728</v>
      </c>
      <c r="K297" s="7" t="s">
        <v>1029</v>
      </c>
      <c r="L297" s="9">
        <v>248.24</v>
      </c>
      <c r="M297" s="9">
        <v>464.05</v>
      </c>
      <c r="N297" s="11">
        <v>0.16900000000000001</v>
      </c>
      <c r="O297" s="13">
        <v>11</v>
      </c>
    </row>
    <row r="298" spans="1:15" x14ac:dyDescent="0.3">
      <c r="A298" t="s">
        <v>311</v>
      </c>
      <c r="B298" s="4">
        <v>45097</v>
      </c>
      <c r="C298" s="4">
        <v>45115</v>
      </c>
      <c r="D298" s="7" t="s">
        <v>648</v>
      </c>
      <c r="E298" s="7" t="s">
        <v>660</v>
      </c>
      <c r="F298" s="7" t="s">
        <v>697</v>
      </c>
      <c r="G298" s="7" t="s">
        <v>703</v>
      </c>
      <c r="H298" s="7" t="s">
        <v>711</v>
      </c>
      <c r="I298" s="7" t="s">
        <v>721</v>
      </c>
      <c r="J298" s="7" t="s">
        <v>732</v>
      </c>
      <c r="K298" s="7" t="s">
        <v>1030</v>
      </c>
      <c r="L298" s="9">
        <v>337</v>
      </c>
      <c r="M298" s="9">
        <v>511.03</v>
      </c>
      <c r="N298" s="11">
        <v>0.108</v>
      </c>
      <c r="O298" s="13">
        <v>7</v>
      </c>
    </row>
    <row r="299" spans="1:15" x14ac:dyDescent="0.3">
      <c r="A299" t="s">
        <v>312</v>
      </c>
      <c r="B299" s="4">
        <v>45377</v>
      </c>
      <c r="C299" s="4">
        <v>45387</v>
      </c>
      <c r="D299" s="7" t="s">
        <v>648</v>
      </c>
      <c r="E299" s="7" t="s">
        <v>660</v>
      </c>
      <c r="F299" s="7" t="s">
        <v>697</v>
      </c>
      <c r="G299" s="7" t="s">
        <v>704</v>
      </c>
      <c r="H299" s="7" t="s">
        <v>711</v>
      </c>
      <c r="I299" s="7" t="s">
        <v>713</v>
      </c>
      <c r="J299" s="7" t="s">
        <v>732</v>
      </c>
      <c r="K299" s="7" t="s">
        <v>1031</v>
      </c>
      <c r="L299" s="9">
        <v>5.66</v>
      </c>
      <c r="M299" s="9">
        <v>4.22</v>
      </c>
      <c r="N299" s="11">
        <v>0.11899999999999999</v>
      </c>
      <c r="O299" s="13">
        <v>18</v>
      </c>
    </row>
    <row r="300" spans="1:15" x14ac:dyDescent="0.3">
      <c r="A300" t="s">
        <v>313</v>
      </c>
      <c r="B300" s="4">
        <v>45679</v>
      </c>
      <c r="C300" s="4">
        <v>45679</v>
      </c>
      <c r="D300" s="7" t="s">
        <v>649</v>
      </c>
      <c r="E300" s="7" t="s">
        <v>657</v>
      </c>
      <c r="F300" s="7" t="s">
        <v>679</v>
      </c>
      <c r="G300" s="7" t="s">
        <v>705</v>
      </c>
      <c r="H300" s="7" t="s">
        <v>708</v>
      </c>
      <c r="I300" s="7" t="s">
        <v>717</v>
      </c>
      <c r="J300" s="7" t="s">
        <v>733</v>
      </c>
      <c r="K300" s="7" t="s">
        <v>1032</v>
      </c>
      <c r="L300" s="9">
        <v>591.72</v>
      </c>
      <c r="M300" s="9">
        <v>577.24</v>
      </c>
      <c r="N300" s="11">
        <v>0</v>
      </c>
      <c r="O300" s="13">
        <v>22</v>
      </c>
    </row>
    <row r="301" spans="1:15" x14ac:dyDescent="0.3">
      <c r="A301" t="s">
        <v>314</v>
      </c>
      <c r="B301" s="4">
        <v>45787</v>
      </c>
      <c r="C301" s="4">
        <v>45804</v>
      </c>
      <c r="D301" s="7" t="s">
        <v>648</v>
      </c>
      <c r="E301" s="7" t="s">
        <v>653</v>
      </c>
      <c r="F301" s="7" t="s">
        <v>688</v>
      </c>
      <c r="G301" s="7" t="s">
        <v>702</v>
      </c>
      <c r="H301" s="7" t="s">
        <v>711</v>
      </c>
      <c r="I301" s="7" t="s">
        <v>712</v>
      </c>
      <c r="J301" s="7" t="s">
        <v>727</v>
      </c>
      <c r="K301" s="7" t="s">
        <v>1033</v>
      </c>
      <c r="L301" s="9">
        <v>862.89</v>
      </c>
      <c r="M301" s="9">
        <v>1426.03</v>
      </c>
      <c r="N301" s="11">
        <v>5.6000000000000001E-2</v>
      </c>
      <c r="O301" s="13">
        <v>19</v>
      </c>
    </row>
    <row r="302" spans="1:15" x14ac:dyDescent="0.3">
      <c r="A302" t="s">
        <v>315</v>
      </c>
      <c r="B302" s="4">
        <v>45204</v>
      </c>
      <c r="C302" s="4">
        <v>45230</v>
      </c>
      <c r="D302" s="7" t="s">
        <v>647</v>
      </c>
      <c r="E302" s="7" t="s">
        <v>659</v>
      </c>
      <c r="F302" s="7" t="s">
        <v>685</v>
      </c>
      <c r="G302" s="7" t="s">
        <v>704</v>
      </c>
      <c r="I302" s="7" t="s">
        <v>713</v>
      </c>
      <c r="J302" s="7" t="s">
        <v>728</v>
      </c>
      <c r="K302" s="7" t="s">
        <v>1034</v>
      </c>
      <c r="L302" s="9">
        <v>649.91</v>
      </c>
      <c r="M302" s="9">
        <v>1360.12</v>
      </c>
      <c r="N302" s="11">
        <v>0.19400000000000001</v>
      </c>
      <c r="O302" s="13">
        <v>9</v>
      </c>
    </row>
    <row r="303" spans="1:15" x14ac:dyDescent="0.3">
      <c r="A303" t="s">
        <v>316</v>
      </c>
      <c r="B303" s="4">
        <v>45125</v>
      </c>
      <c r="C303" s="4">
        <v>45129</v>
      </c>
      <c r="D303" s="7" t="s">
        <v>648</v>
      </c>
      <c r="E303" s="7" t="s">
        <v>655</v>
      </c>
      <c r="F303" s="7" t="s">
        <v>670</v>
      </c>
      <c r="G303" s="7" t="s">
        <v>704</v>
      </c>
      <c r="H303" s="7" t="s">
        <v>711</v>
      </c>
      <c r="I303" s="7" t="s">
        <v>721</v>
      </c>
      <c r="J303" s="7" t="s">
        <v>729</v>
      </c>
      <c r="K303" s="7" t="s">
        <v>1035</v>
      </c>
      <c r="L303" s="9">
        <v>1269.55</v>
      </c>
      <c r="M303" s="9">
        <v>2071.1</v>
      </c>
      <c r="N303" s="11">
        <v>0.129</v>
      </c>
      <c r="O303" s="13">
        <v>22</v>
      </c>
    </row>
    <row r="304" spans="1:15" x14ac:dyDescent="0.3">
      <c r="A304" t="s">
        <v>317</v>
      </c>
      <c r="B304" s="4">
        <v>45830</v>
      </c>
      <c r="C304" s="4">
        <v>45846</v>
      </c>
      <c r="D304" s="7" t="s">
        <v>649</v>
      </c>
      <c r="E304" s="7" t="s">
        <v>658</v>
      </c>
      <c r="F304" s="7" t="s">
        <v>683</v>
      </c>
      <c r="G304" s="7" t="s">
        <v>702</v>
      </c>
      <c r="H304" s="7" t="s">
        <v>711</v>
      </c>
      <c r="I304" s="7" t="s">
        <v>720</v>
      </c>
      <c r="J304" s="7" t="s">
        <v>730</v>
      </c>
      <c r="K304" s="7" t="s">
        <v>1036</v>
      </c>
      <c r="L304" s="9">
        <v>892.73</v>
      </c>
      <c r="M304" s="9">
        <v>979.84</v>
      </c>
      <c r="N304" s="11">
        <v>0.17399999999999999</v>
      </c>
      <c r="O304" s="13">
        <v>10</v>
      </c>
    </row>
    <row r="305" spans="1:15" x14ac:dyDescent="0.3">
      <c r="A305" t="s">
        <v>318</v>
      </c>
      <c r="B305" s="4">
        <v>45462</v>
      </c>
      <c r="C305" s="4">
        <v>45463</v>
      </c>
      <c r="D305" s="7" t="s">
        <v>646</v>
      </c>
      <c r="E305" s="7" t="s">
        <v>650</v>
      </c>
      <c r="F305" s="7" t="s">
        <v>662</v>
      </c>
      <c r="G305" s="7" t="s">
        <v>705</v>
      </c>
      <c r="H305" s="7" t="s">
        <v>711</v>
      </c>
      <c r="I305" s="7" t="s">
        <v>713</v>
      </c>
      <c r="J305" s="7" t="s">
        <v>731</v>
      </c>
      <c r="K305" s="7" t="s">
        <v>1037</v>
      </c>
      <c r="L305" s="9">
        <v>231.63</v>
      </c>
      <c r="M305" s="9">
        <v>537.39</v>
      </c>
      <c r="N305" s="11">
        <v>0.08</v>
      </c>
      <c r="O305" s="13">
        <v>12</v>
      </c>
    </row>
    <row r="306" spans="1:15" x14ac:dyDescent="0.3">
      <c r="A306" t="s">
        <v>319</v>
      </c>
      <c r="B306" s="4">
        <v>45756</v>
      </c>
      <c r="C306" s="4">
        <v>45759</v>
      </c>
      <c r="D306" s="7" t="s">
        <v>649</v>
      </c>
      <c r="E306" s="7" t="s">
        <v>657</v>
      </c>
      <c r="F306" s="7" t="s">
        <v>679</v>
      </c>
      <c r="G306" s="7" t="s">
        <v>705</v>
      </c>
      <c r="H306" s="7" t="s">
        <v>710</v>
      </c>
      <c r="I306" s="7" t="s">
        <v>722</v>
      </c>
      <c r="J306" s="7" t="s">
        <v>732</v>
      </c>
      <c r="K306" s="7" t="s">
        <v>1038</v>
      </c>
      <c r="L306" s="9">
        <v>86.68</v>
      </c>
      <c r="M306" s="9">
        <v>213.32</v>
      </c>
      <c r="N306" s="11">
        <v>3.7999999999999999E-2</v>
      </c>
      <c r="O306" s="13">
        <v>8</v>
      </c>
    </row>
    <row r="307" spans="1:15" x14ac:dyDescent="0.3">
      <c r="A307" t="s">
        <v>320</v>
      </c>
      <c r="B307" s="4">
        <v>45741</v>
      </c>
      <c r="C307" s="4">
        <v>45742</v>
      </c>
      <c r="D307" s="7" t="s">
        <v>646</v>
      </c>
      <c r="E307" s="7" t="s">
        <v>651</v>
      </c>
      <c r="F307" s="7" t="s">
        <v>665</v>
      </c>
      <c r="G307" s="7" t="s">
        <v>702</v>
      </c>
      <c r="H307" s="7" t="s">
        <v>710</v>
      </c>
      <c r="I307" s="7" t="s">
        <v>715</v>
      </c>
      <c r="J307" s="7" t="s">
        <v>733</v>
      </c>
      <c r="K307" s="7" t="s">
        <v>1039</v>
      </c>
      <c r="L307" s="9">
        <v>1450.43</v>
      </c>
      <c r="M307" s="9">
        <v>1994.67</v>
      </c>
      <c r="N307" s="11">
        <v>0.1</v>
      </c>
      <c r="O307" s="13">
        <v>24</v>
      </c>
    </row>
    <row r="308" spans="1:15" x14ac:dyDescent="0.3">
      <c r="A308" t="s">
        <v>321</v>
      </c>
      <c r="B308" s="4">
        <v>45795</v>
      </c>
      <c r="C308" s="4">
        <v>45817</v>
      </c>
      <c r="D308" s="7" t="s">
        <v>648</v>
      </c>
      <c r="E308" s="7" t="s">
        <v>660</v>
      </c>
      <c r="F308" s="7" t="s">
        <v>700</v>
      </c>
      <c r="G308" s="7" t="s">
        <v>704</v>
      </c>
      <c r="H308" s="7" t="s">
        <v>707</v>
      </c>
      <c r="I308" s="7" t="s">
        <v>722</v>
      </c>
      <c r="J308" s="7" t="s">
        <v>729</v>
      </c>
      <c r="K308" s="7" t="s">
        <v>1040</v>
      </c>
      <c r="L308" s="9">
        <v>382.96</v>
      </c>
      <c r="M308" s="9">
        <v>552.84</v>
      </c>
      <c r="N308" s="11">
        <v>0.17599999999999999</v>
      </c>
      <c r="O308" s="13">
        <v>8</v>
      </c>
    </row>
    <row r="309" spans="1:15" x14ac:dyDescent="0.3">
      <c r="A309" t="s">
        <v>322</v>
      </c>
      <c r="B309" s="4">
        <v>45679</v>
      </c>
      <c r="C309" s="4">
        <v>45692</v>
      </c>
      <c r="D309" s="7" t="s">
        <v>647</v>
      </c>
      <c r="E309" s="7" t="s">
        <v>652</v>
      </c>
      <c r="F309" s="7" t="s">
        <v>689</v>
      </c>
      <c r="G309" s="7" t="s">
        <v>705</v>
      </c>
      <c r="H309" s="7" t="s">
        <v>710</v>
      </c>
      <c r="I309" s="7" t="s">
        <v>716</v>
      </c>
      <c r="J309" s="7" t="s">
        <v>728</v>
      </c>
      <c r="K309" s="7" t="s">
        <v>1041</v>
      </c>
      <c r="L309" s="9">
        <v>122.29</v>
      </c>
      <c r="M309" s="9">
        <v>224.95</v>
      </c>
      <c r="N309" s="11">
        <v>0.153</v>
      </c>
      <c r="O309" s="13">
        <v>28</v>
      </c>
    </row>
    <row r="310" spans="1:15" x14ac:dyDescent="0.3">
      <c r="A310" t="s">
        <v>323</v>
      </c>
      <c r="B310" s="4">
        <v>44936</v>
      </c>
      <c r="C310" s="4">
        <v>44955</v>
      </c>
      <c r="D310" s="7" t="s">
        <v>649</v>
      </c>
      <c r="E310" s="7" t="s">
        <v>657</v>
      </c>
      <c r="F310" s="7" t="s">
        <v>679</v>
      </c>
      <c r="G310" s="7" t="s">
        <v>703</v>
      </c>
      <c r="H310" s="7" t="s">
        <v>711</v>
      </c>
      <c r="I310" s="7" t="s">
        <v>726</v>
      </c>
      <c r="J310" s="7" t="s">
        <v>731</v>
      </c>
      <c r="K310" s="7" t="s">
        <v>1042</v>
      </c>
      <c r="L310" s="9">
        <v>401.66</v>
      </c>
      <c r="M310" s="9">
        <v>772.09</v>
      </c>
      <c r="N310" s="11">
        <v>8.8999999999999996E-2</v>
      </c>
      <c r="O310" s="13">
        <v>14</v>
      </c>
    </row>
    <row r="311" spans="1:15" x14ac:dyDescent="0.3">
      <c r="A311" t="s">
        <v>324</v>
      </c>
      <c r="B311" s="4">
        <v>45655</v>
      </c>
      <c r="C311" s="4">
        <v>45669</v>
      </c>
      <c r="D311" s="7" t="s">
        <v>649</v>
      </c>
      <c r="E311" s="7" t="s">
        <v>658</v>
      </c>
      <c r="F311" s="7" t="s">
        <v>693</v>
      </c>
      <c r="G311" s="7" t="s">
        <v>701</v>
      </c>
      <c r="H311" s="7" t="s">
        <v>711</v>
      </c>
      <c r="I311" s="7" t="s">
        <v>717</v>
      </c>
      <c r="J311" s="7" t="s">
        <v>732</v>
      </c>
      <c r="K311" s="7" t="s">
        <v>1043</v>
      </c>
      <c r="L311" s="9">
        <v>1399.72</v>
      </c>
      <c r="M311" s="9">
        <v>3149.21</v>
      </c>
      <c r="N311" s="11">
        <v>0.185</v>
      </c>
      <c r="O311" s="13">
        <v>12</v>
      </c>
    </row>
    <row r="312" spans="1:15" x14ac:dyDescent="0.3">
      <c r="A312" t="s">
        <v>325</v>
      </c>
      <c r="B312" s="4">
        <v>45435</v>
      </c>
      <c r="C312" s="4">
        <v>45449</v>
      </c>
      <c r="D312" s="7" t="s">
        <v>648</v>
      </c>
      <c r="E312" s="7" t="s">
        <v>655</v>
      </c>
      <c r="F312" s="7" t="s">
        <v>692</v>
      </c>
      <c r="G312" s="7" t="s">
        <v>703</v>
      </c>
      <c r="H312" s="7" t="s">
        <v>708</v>
      </c>
      <c r="I312" s="7" t="s">
        <v>714</v>
      </c>
      <c r="J312" s="7" t="s">
        <v>729</v>
      </c>
      <c r="K312" s="7" t="s">
        <v>1044</v>
      </c>
      <c r="L312" s="9">
        <v>51.13</v>
      </c>
      <c r="M312" s="9">
        <v>57.53</v>
      </c>
      <c r="N312" s="11">
        <v>4.4999999999999998E-2</v>
      </c>
      <c r="O312" s="13">
        <v>16</v>
      </c>
    </row>
    <row r="313" spans="1:15" x14ac:dyDescent="0.3">
      <c r="A313" t="s">
        <v>326</v>
      </c>
      <c r="B313" s="4">
        <v>45101</v>
      </c>
      <c r="C313" s="4">
        <v>45099</v>
      </c>
      <c r="D313" s="7" t="s">
        <v>648</v>
      </c>
      <c r="E313" s="7" t="s">
        <v>653</v>
      </c>
      <c r="F313" s="7" t="s">
        <v>667</v>
      </c>
      <c r="G313" s="7" t="s">
        <v>703</v>
      </c>
      <c r="H313" s="7" t="s">
        <v>707</v>
      </c>
      <c r="I313" s="7" t="s">
        <v>724</v>
      </c>
      <c r="J313" s="7" t="s">
        <v>733</v>
      </c>
      <c r="K313" s="7" t="s">
        <v>1045</v>
      </c>
      <c r="L313" s="9">
        <v>471.42</v>
      </c>
      <c r="M313" s="9">
        <v>824.81</v>
      </c>
      <c r="N313" s="11">
        <v>8.7999999999999995E-2</v>
      </c>
      <c r="O313" s="13">
        <v>15</v>
      </c>
    </row>
    <row r="314" spans="1:15" x14ac:dyDescent="0.3">
      <c r="A314" t="s">
        <v>327</v>
      </c>
      <c r="B314" s="4">
        <v>45600</v>
      </c>
      <c r="C314" s="4">
        <v>45601</v>
      </c>
      <c r="D314" s="7" t="s">
        <v>649</v>
      </c>
      <c r="E314" s="7" t="s">
        <v>658</v>
      </c>
      <c r="F314" s="7" t="s">
        <v>683</v>
      </c>
      <c r="G314" s="7" t="s">
        <v>701</v>
      </c>
      <c r="H314" s="7" t="s">
        <v>707</v>
      </c>
      <c r="I314" s="7" t="s">
        <v>724</v>
      </c>
      <c r="J314" s="7" t="s">
        <v>728</v>
      </c>
      <c r="K314" s="7" t="s">
        <v>1046</v>
      </c>
      <c r="L314" s="9">
        <v>840.68</v>
      </c>
      <c r="M314" s="9">
        <v>1493.53</v>
      </c>
      <c r="N314" s="11">
        <v>0</v>
      </c>
      <c r="O314" s="13">
        <v>27</v>
      </c>
    </row>
    <row r="315" spans="1:15" x14ac:dyDescent="0.3">
      <c r="A315" t="s">
        <v>328</v>
      </c>
      <c r="B315" s="4">
        <v>45451</v>
      </c>
      <c r="C315" s="4">
        <v>45467</v>
      </c>
      <c r="D315" s="7" t="s">
        <v>646</v>
      </c>
      <c r="E315" s="7" t="s">
        <v>661</v>
      </c>
      <c r="F315" s="7" t="s">
        <v>687</v>
      </c>
      <c r="G315" s="7" t="s">
        <v>702</v>
      </c>
      <c r="H315" s="7" t="s">
        <v>710</v>
      </c>
      <c r="I315" s="7" t="s">
        <v>722</v>
      </c>
      <c r="J315" s="7" t="s">
        <v>732</v>
      </c>
      <c r="K315" s="7" t="s">
        <v>1047</v>
      </c>
      <c r="L315" s="9">
        <v>597.85</v>
      </c>
      <c r="M315" s="9">
        <v>741.92</v>
      </c>
      <c r="N315" s="11">
        <v>3.1E-2</v>
      </c>
      <c r="O315" s="13">
        <v>7</v>
      </c>
    </row>
    <row r="316" spans="1:15" x14ac:dyDescent="0.3">
      <c r="A316" t="s">
        <v>329</v>
      </c>
      <c r="B316" s="4">
        <v>45809</v>
      </c>
      <c r="C316" s="4">
        <v>45814</v>
      </c>
      <c r="D316" s="7" t="s">
        <v>649</v>
      </c>
      <c r="E316" s="7" t="s">
        <v>657</v>
      </c>
      <c r="F316" s="7" t="s">
        <v>690</v>
      </c>
      <c r="G316" s="7" t="s">
        <v>704</v>
      </c>
      <c r="H316" s="7" t="s">
        <v>710</v>
      </c>
      <c r="I316" s="7" t="s">
        <v>715</v>
      </c>
      <c r="J316" s="7" t="s">
        <v>727</v>
      </c>
      <c r="K316" s="7" t="s">
        <v>1048</v>
      </c>
      <c r="L316" s="9">
        <v>379.45</v>
      </c>
      <c r="M316" s="9">
        <v>742.23</v>
      </c>
      <c r="N316" s="11">
        <v>0.09</v>
      </c>
      <c r="O316" s="13">
        <v>13</v>
      </c>
    </row>
    <row r="317" spans="1:15" x14ac:dyDescent="0.3">
      <c r="A317" t="s">
        <v>330</v>
      </c>
      <c r="B317" s="4">
        <v>45052</v>
      </c>
      <c r="C317" s="4">
        <v>45060</v>
      </c>
      <c r="D317" s="7" t="s">
        <v>647</v>
      </c>
      <c r="E317" s="7" t="s">
        <v>652</v>
      </c>
      <c r="F317" s="7" t="s">
        <v>666</v>
      </c>
      <c r="G317" s="7" t="s">
        <v>706</v>
      </c>
      <c r="H317" s="7" t="s">
        <v>709</v>
      </c>
      <c r="I317" s="7" t="s">
        <v>717</v>
      </c>
      <c r="J317" s="7" t="s">
        <v>730</v>
      </c>
      <c r="K317" s="7" t="s">
        <v>1049</v>
      </c>
      <c r="L317" s="9">
        <v>291.18</v>
      </c>
      <c r="M317" s="9">
        <v>479.54</v>
      </c>
      <c r="N317" s="11">
        <v>0.14099999999999999</v>
      </c>
      <c r="O317" s="13">
        <v>22</v>
      </c>
    </row>
    <row r="318" spans="1:15" x14ac:dyDescent="0.3">
      <c r="A318" t="s">
        <v>331</v>
      </c>
      <c r="B318" s="4">
        <v>45244</v>
      </c>
      <c r="C318" s="4">
        <v>45260</v>
      </c>
      <c r="D318" s="7" t="s">
        <v>648</v>
      </c>
      <c r="E318" s="7" t="s">
        <v>655</v>
      </c>
      <c r="F318" s="7" t="s">
        <v>670</v>
      </c>
      <c r="G318" s="7" t="s">
        <v>706</v>
      </c>
      <c r="H318" s="7" t="s">
        <v>711</v>
      </c>
      <c r="I318" s="7" t="s">
        <v>723</v>
      </c>
      <c r="J318" s="7" t="s">
        <v>729</v>
      </c>
      <c r="K318" s="7" t="s">
        <v>1050</v>
      </c>
      <c r="L318" s="9">
        <v>1017.92</v>
      </c>
      <c r="M318" s="9">
        <v>1175.25</v>
      </c>
      <c r="N318" s="11">
        <v>7.4999999999999997E-2</v>
      </c>
      <c r="O318" s="13">
        <v>15</v>
      </c>
    </row>
    <row r="319" spans="1:15" x14ac:dyDescent="0.3">
      <c r="A319" t="s">
        <v>332</v>
      </c>
      <c r="B319" s="4">
        <v>45748</v>
      </c>
      <c r="C319" s="4">
        <v>45774</v>
      </c>
      <c r="D319" s="7" t="s">
        <v>648</v>
      </c>
      <c r="E319" s="7" t="s">
        <v>660</v>
      </c>
      <c r="F319" s="7" t="s">
        <v>686</v>
      </c>
      <c r="G319" s="7" t="s">
        <v>701</v>
      </c>
      <c r="H319" s="7" t="s">
        <v>711</v>
      </c>
      <c r="I319" s="7" t="s">
        <v>714</v>
      </c>
      <c r="J319" s="7" t="s">
        <v>732</v>
      </c>
      <c r="K319" s="7" t="s">
        <v>1051</v>
      </c>
      <c r="L319" s="9">
        <v>156.55000000000001</v>
      </c>
      <c r="M319" s="9">
        <v>227.45</v>
      </c>
      <c r="N319" s="11">
        <v>1.4E-2</v>
      </c>
      <c r="O319" s="13">
        <v>13</v>
      </c>
    </row>
    <row r="320" spans="1:15" x14ac:dyDescent="0.3">
      <c r="A320" t="s">
        <v>333</v>
      </c>
      <c r="B320" s="4">
        <v>45008</v>
      </c>
      <c r="C320" s="4">
        <v>45031</v>
      </c>
      <c r="D320" s="7" t="s">
        <v>646</v>
      </c>
      <c r="E320" s="7" t="s">
        <v>650</v>
      </c>
      <c r="F320" s="7" t="s">
        <v>675</v>
      </c>
      <c r="G320" s="7" t="s">
        <v>705</v>
      </c>
      <c r="H320" s="7" t="s">
        <v>707</v>
      </c>
      <c r="I320" s="7" t="s">
        <v>712</v>
      </c>
      <c r="J320" s="7" t="s">
        <v>733</v>
      </c>
      <c r="K320" s="7" t="s">
        <v>1052</v>
      </c>
      <c r="L320" s="9">
        <v>875.36</v>
      </c>
      <c r="M320" s="9">
        <v>1178.6199999999999</v>
      </c>
      <c r="N320" s="11">
        <v>0.151</v>
      </c>
      <c r="O320" s="13">
        <v>53</v>
      </c>
    </row>
    <row r="321" spans="1:15" x14ac:dyDescent="0.3">
      <c r="A321" t="s">
        <v>334</v>
      </c>
      <c r="B321" s="4">
        <v>45440</v>
      </c>
      <c r="C321" s="4">
        <v>45461</v>
      </c>
      <c r="D321" s="7" t="s">
        <v>649</v>
      </c>
      <c r="E321" s="7" t="s">
        <v>656</v>
      </c>
      <c r="F321" s="7" t="s">
        <v>698</v>
      </c>
      <c r="G321" s="7" t="s">
        <v>705</v>
      </c>
      <c r="H321" s="7" t="s">
        <v>708</v>
      </c>
      <c r="I321" s="7" t="s">
        <v>718</v>
      </c>
      <c r="J321" s="7" t="s">
        <v>730</v>
      </c>
      <c r="K321" s="7" t="s">
        <v>1053</v>
      </c>
      <c r="L321" s="9">
        <v>986.85</v>
      </c>
      <c r="M321" s="9">
        <v>2422.1</v>
      </c>
      <c r="N321" s="11">
        <v>7.5999999999999998E-2</v>
      </c>
      <c r="O321" s="13">
        <v>10</v>
      </c>
    </row>
    <row r="322" spans="1:15" x14ac:dyDescent="0.3">
      <c r="A322" t="s">
        <v>335</v>
      </c>
      <c r="B322" s="4">
        <v>45293</v>
      </c>
      <c r="C322" s="4">
        <v>45292</v>
      </c>
      <c r="D322" s="7" t="s">
        <v>648</v>
      </c>
      <c r="E322" s="7" t="s">
        <v>660</v>
      </c>
      <c r="F322" s="7" t="s">
        <v>677</v>
      </c>
      <c r="G322" s="7" t="s">
        <v>702</v>
      </c>
      <c r="H322" s="7" t="s">
        <v>709</v>
      </c>
      <c r="I322" s="7" t="s">
        <v>717</v>
      </c>
      <c r="J322" s="7" t="s">
        <v>729</v>
      </c>
      <c r="K322" s="7" t="s">
        <v>1054</v>
      </c>
      <c r="L322" s="9">
        <v>404.77</v>
      </c>
      <c r="M322" s="9">
        <v>433.88</v>
      </c>
      <c r="N322" s="11">
        <v>0.215</v>
      </c>
      <c r="O322" s="13">
        <v>22</v>
      </c>
    </row>
    <row r="323" spans="1:15" x14ac:dyDescent="0.3">
      <c r="A323" t="s">
        <v>336</v>
      </c>
      <c r="B323" s="4">
        <v>44985</v>
      </c>
      <c r="C323" s="4">
        <v>44984</v>
      </c>
      <c r="D323" s="7" t="s">
        <v>649</v>
      </c>
      <c r="E323" s="7" t="s">
        <v>657</v>
      </c>
      <c r="F323" s="7" t="s">
        <v>673</v>
      </c>
      <c r="G323" s="7" t="s">
        <v>701</v>
      </c>
      <c r="H323" s="7" t="s">
        <v>707</v>
      </c>
      <c r="I323" s="7" t="s">
        <v>723</v>
      </c>
      <c r="J323" s="7" t="s">
        <v>729</v>
      </c>
      <c r="K323" s="7" t="s">
        <v>1055</v>
      </c>
      <c r="L323" s="9">
        <v>1299.81</v>
      </c>
      <c r="M323" s="9">
        <v>3149.13</v>
      </c>
      <c r="N323" s="11">
        <v>0.10299999999999999</v>
      </c>
      <c r="O323" s="13">
        <v>14</v>
      </c>
    </row>
    <row r="324" spans="1:15" x14ac:dyDescent="0.3">
      <c r="A324" t="s">
        <v>337</v>
      </c>
      <c r="B324" s="4">
        <v>45340</v>
      </c>
      <c r="C324" s="4">
        <v>45362</v>
      </c>
      <c r="D324" s="7" t="s">
        <v>648</v>
      </c>
      <c r="E324" s="7" t="s">
        <v>655</v>
      </c>
      <c r="F324" s="7" t="s">
        <v>670</v>
      </c>
      <c r="G324" s="7" t="s">
        <v>704</v>
      </c>
      <c r="H324" s="7" t="s">
        <v>708</v>
      </c>
      <c r="I324" s="7" t="s">
        <v>720</v>
      </c>
      <c r="J324" s="7" t="s">
        <v>727</v>
      </c>
      <c r="K324" s="7" t="s">
        <v>1056</v>
      </c>
      <c r="L324" s="9">
        <v>80.48</v>
      </c>
      <c r="M324" s="9">
        <v>65.650000000000006</v>
      </c>
      <c r="N324" s="11">
        <v>0.17599999999999999</v>
      </c>
      <c r="O324" s="13">
        <v>13</v>
      </c>
    </row>
    <row r="325" spans="1:15" x14ac:dyDescent="0.3">
      <c r="A325" t="s">
        <v>338</v>
      </c>
      <c r="B325" s="4">
        <v>45544</v>
      </c>
      <c r="C325" s="4">
        <v>45573</v>
      </c>
      <c r="D325" s="7" t="s">
        <v>648</v>
      </c>
      <c r="E325" s="7" t="s">
        <v>655</v>
      </c>
      <c r="F325" s="7" t="s">
        <v>670</v>
      </c>
      <c r="G325" s="7" t="s">
        <v>702</v>
      </c>
      <c r="H325" s="7" t="s">
        <v>711</v>
      </c>
      <c r="I325" s="7" t="s">
        <v>713</v>
      </c>
      <c r="J325" s="7" t="s">
        <v>727</v>
      </c>
      <c r="K325" s="7" t="s">
        <v>1057</v>
      </c>
      <c r="L325" s="9">
        <v>1010.33</v>
      </c>
      <c r="M325" s="9">
        <v>2492.14</v>
      </c>
      <c r="N325" s="11">
        <v>5.0999999999999997E-2</v>
      </c>
      <c r="O325" s="13">
        <v>11</v>
      </c>
    </row>
    <row r="326" spans="1:15" x14ac:dyDescent="0.3">
      <c r="A326" t="s">
        <v>339</v>
      </c>
      <c r="B326" s="4">
        <v>45053</v>
      </c>
      <c r="C326" s="4">
        <v>45075</v>
      </c>
      <c r="D326" s="7" t="s">
        <v>646</v>
      </c>
      <c r="E326" s="7" t="s">
        <v>661</v>
      </c>
      <c r="F326" s="7" t="s">
        <v>687</v>
      </c>
      <c r="G326" s="7" t="s">
        <v>702</v>
      </c>
      <c r="H326" s="7" t="s">
        <v>710</v>
      </c>
      <c r="I326" s="7" t="s">
        <v>723</v>
      </c>
      <c r="J326" s="7" t="s">
        <v>733</v>
      </c>
      <c r="K326" s="7" t="s">
        <v>1058</v>
      </c>
      <c r="L326" s="9">
        <v>653.86</v>
      </c>
      <c r="M326" s="9">
        <v>931.84</v>
      </c>
      <c r="N326" s="11">
        <v>0.121</v>
      </c>
      <c r="O326" s="13">
        <v>12</v>
      </c>
    </row>
    <row r="327" spans="1:15" x14ac:dyDescent="0.3">
      <c r="A327" t="s">
        <v>340</v>
      </c>
      <c r="B327" s="4">
        <v>45303</v>
      </c>
      <c r="C327" s="4">
        <v>45320</v>
      </c>
      <c r="D327" s="7" t="s">
        <v>647</v>
      </c>
      <c r="E327" s="7" t="s">
        <v>654</v>
      </c>
      <c r="F327" s="7" t="s">
        <v>696</v>
      </c>
      <c r="G327" s="7" t="s">
        <v>705</v>
      </c>
      <c r="H327" s="7" t="s">
        <v>711</v>
      </c>
      <c r="I327" s="7" t="s">
        <v>717</v>
      </c>
      <c r="J327" s="7" t="s">
        <v>727</v>
      </c>
      <c r="K327" s="7" t="s">
        <v>1059</v>
      </c>
      <c r="L327" s="9">
        <v>310.02</v>
      </c>
      <c r="M327" s="9">
        <v>619.51</v>
      </c>
      <c r="N327" s="11">
        <v>4.2000000000000003E-2</v>
      </c>
      <c r="O327" s="13">
        <v>4</v>
      </c>
    </row>
    <row r="328" spans="1:15" x14ac:dyDescent="0.3">
      <c r="A328" t="s">
        <v>341</v>
      </c>
      <c r="B328" s="4">
        <v>45087</v>
      </c>
      <c r="C328" s="4">
        <v>45095</v>
      </c>
      <c r="D328" s="7" t="s">
        <v>646</v>
      </c>
      <c r="E328" s="7" t="s">
        <v>650</v>
      </c>
      <c r="F328" s="7" t="s">
        <v>678</v>
      </c>
      <c r="G328" s="7" t="s">
        <v>706</v>
      </c>
      <c r="H328" s="7" t="s">
        <v>711</v>
      </c>
      <c r="I328" s="7" t="s">
        <v>722</v>
      </c>
      <c r="J328" s="7" t="s">
        <v>730</v>
      </c>
      <c r="K328" s="7" t="s">
        <v>1060</v>
      </c>
      <c r="L328" s="9">
        <v>894.23</v>
      </c>
      <c r="M328" s="9">
        <v>1421.55</v>
      </c>
      <c r="N328" s="11">
        <v>0.109</v>
      </c>
      <c r="O328" s="13">
        <v>3</v>
      </c>
    </row>
    <row r="329" spans="1:15" x14ac:dyDescent="0.3">
      <c r="A329" t="s">
        <v>342</v>
      </c>
      <c r="B329" s="4">
        <v>45796</v>
      </c>
      <c r="C329" s="4">
        <v>45794</v>
      </c>
      <c r="D329" s="7" t="s">
        <v>648</v>
      </c>
      <c r="E329" s="7" t="s">
        <v>655</v>
      </c>
      <c r="F329" s="7" t="s">
        <v>670</v>
      </c>
      <c r="G329" s="7" t="s">
        <v>705</v>
      </c>
      <c r="H329" s="7" t="s">
        <v>710</v>
      </c>
      <c r="I329" s="7" t="s">
        <v>716</v>
      </c>
      <c r="J329" s="7" t="s">
        <v>732</v>
      </c>
      <c r="K329" s="7" t="s">
        <v>1061</v>
      </c>
      <c r="L329" s="9">
        <v>383.77</v>
      </c>
      <c r="M329" s="9">
        <v>952.56</v>
      </c>
      <c r="N329" s="11">
        <v>0.34599999999999997</v>
      </c>
      <c r="O329" s="13">
        <v>10</v>
      </c>
    </row>
    <row r="330" spans="1:15" x14ac:dyDescent="0.3">
      <c r="A330" t="s">
        <v>343</v>
      </c>
      <c r="B330" s="4">
        <v>45221</v>
      </c>
      <c r="C330" s="4">
        <v>45246</v>
      </c>
      <c r="D330" s="7" t="s">
        <v>648</v>
      </c>
      <c r="E330" s="7" t="s">
        <v>653</v>
      </c>
      <c r="F330" s="7" t="s">
        <v>667</v>
      </c>
      <c r="G330" s="7" t="s">
        <v>705</v>
      </c>
      <c r="H330" s="7" t="s">
        <v>709</v>
      </c>
      <c r="I330" s="7" t="s">
        <v>714</v>
      </c>
      <c r="J330" s="7" t="s">
        <v>731</v>
      </c>
      <c r="K330" s="7" t="s">
        <v>1062</v>
      </c>
      <c r="L330" s="9">
        <v>1373.31</v>
      </c>
      <c r="M330" s="9">
        <v>3154.14</v>
      </c>
      <c r="N330" s="11">
        <v>0.2</v>
      </c>
      <c r="O330" s="13">
        <v>11</v>
      </c>
    </row>
    <row r="331" spans="1:15" x14ac:dyDescent="0.3">
      <c r="A331" t="s">
        <v>344</v>
      </c>
      <c r="B331" s="4">
        <v>45668</v>
      </c>
      <c r="C331" s="4">
        <v>45680</v>
      </c>
      <c r="D331" s="7" t="s">
        <v>648</v>
      </c>
      <c r="E331" s="7" t="s">
        <v>660</v>
      </c>
      <c r="F331" s="7" t="s">
        <v>697</v>
      </c>
      <c r="G331" s="7" t="s">
        <v>704</v>
      </c>
      <c r="H331" s="7" t="s">
        <v>710</v>
      </c>
      <c r="I331" s="7" t="s">
        <v>722</v>
      </c>
      <c r="J331" s="7" t="s">
        <v>730</v>
      </c>
      <c r="K331" s="7" t="s">
        <v>1063</v>
      </c>
      <c r="L331" s="9">
        <v>100.69</v>
      </c>
      <c r="M331" s="9">
        <v>226.14</v>
      </c>
      <c r="N331" s="11">
        <v>6.5000000000000002E-2</v>
      </c>
      <c r="O331" s="13">
        <v>12</v>
      </c>
    </row>
    <row r="332" spans="1:15" x14ac:dyDescent="0.3">
      <c r="A332" t="s">
        <v>345</v>
      </c>
      <c r="B332" s="4">
        <v>45914</v>
      </c>
      <c r="C332" s="4">
        <v>45926</v>
      </c>
      <c r="D332" s="7" t="s">
        <v>649</v>
      </c>
      <c r="E332" s="7" t="s">
        <v>658</v>
      </c>
      <c r="F332" s="7" t="s">
        <v>683</v>
      </c>
      <c r="G332" s="7" t="s">
        <v>705</v>
      </c>
      <c r="H332" s="7" t="s">
        <v>711</v>
      </c>
      <c r="I332" s="7" t="s">
        <v>725</v>
      </c>
      <c r="J332" s="7" t="s">
        <v>729</v>
      </c>
      <c r="K332" s="7" t="s">
        <v>1064</v>
      </c>
      <c r="L332" s="9">
        <v>425.15</v>
      </c>
      <c r="M332" s="9">
        <v>885.92</v>
      </c>
      <c r="N332" s="11">
        <v>0.23899999999999999</v>
      </c>
      <c r="O332" s="13">
        <v>13</v>
      </c>
    </row>
    <row r="333" spans="1:15" x14ac:dyDescent="0.3">
      <c r="A333" t="s">
        <v>346</v>
      </c>
      <c r="B333" s="4">
        <v>45168</v>
      </c>
      <c r="C333" s="4">
        <v>45172</v>
      </c>
      <c r="D333" s="7" t="s">
        <v>647</v>
      </c>
      <c r="E333" s="7" t="s">
        <v>654</v>
      </c>
      <c r="F333" s="7" t="s">
        <v>680</v>
      </c>
      <c r="G333" s="7" t="s">
        <v>705</v>
      </c>
      <c r="H333" s="7" t="s">
        <v>709</v>
      </c>
      <c r="I333" s="7" t="s">
        <v>716</v>
      </c>
      <c r="J333" s="7" t="s">
        <v>733</v>
      </c>
      <c r="K333" s="7" t="s">
        <v>1065</v>
      </c>
      <c r="L333" s="9">
        <v>1082.25</v>
      </c>
      <c r="M333" s="9">
        <v>2433.34</v>
      </c>
      <c r="N333" s="11">
        <v>0.27</v>
      </c>
      <c r="O333" s="13">
        <v>4</v>
      </c>
    </row>
    <row r="334" spans="1:15" x14ac:dyDescent="0.3">
      <c r="A334" t="s">
        <v>347</v>
      </c>
      <c r="B334" s="4">
        <v>45245</v>
      </c>
      <c r="C334" s="4">
        <v>45266</v>
      </c>
      <c r="D334" s="7" t="s">
        <v>649</v>
      </c>
      <c r="E334" s="7" t="s">
        <v>658</v>
      </c>
      <c r="F334" s="7" t="s">
        <v>693</v>
      </c>
      <c r="G334" s="7" t="s">
        <v>702</v>
      </c>
      <c r="H334" s="7" t="s">
        <v>711</v>
      </c>
      <c r="I334" s="7" t="s">
        <v>722</v>
      </c>
      <c r="J334" s="7" t="s">
        <v>733</v>
      </c>
      <c r="K334" s="7" t="s">
        <v>1066</v>
      </c>
      <c r="L334" s="9">
        <v>1184.99</v>
      </c>
      <c r="M334" s="9">
        <v>1154.3399999999999</v>
      </c>
      <c r="N334" s="11">
        <v>2.8000000000000001E-2</v>
      </c>
      <c r="O334" s="13">
        <v>5</v>
      </c>
    </row>
    <row r="335" spans="1:15" x14ac:dyDescent="0.3">
      <c r="A335" t="s">
        <v>348</v>
      </c>
      <c r="B335" s="4">
        <v>45774</v>
      </c>
      <c r="C335" s="4">
        <v>45804</v>
      </c>
      <c r="D335" s="7" t="s">
        <v>647</v>
      </c>
      <c r="E335" s="7" t="s">
        <v>654</v>
      </c>
      <c r="G335" s="7" t="s">
        <v>706</v>
      </c>
      <c r="H335" s="7" t="s">
        <v>709</v>
      </c>
      <c r="I335" s="7" t="s">
        <v>722</v>
      </c>
      <c r="J335" s="7" t="s">
        <v>730</v>
      </c>
      <c r="K335" s="7" t="s">
        <v>1067</v>
      </c>
      <c r="L335" s="9">
        <v>481.32</v>
      </c>
      <c r="M335" s="9">
        <v>1135.99</v>
      </c>
      <c r="N335" s="11">
        <v>0.14499999999999999</v>
      </c>
      <c r="O335" s="13">
        <v>5</v>
      </c>
    </row>
    <row r="336" spans="1:15" x14ac:dyDescent="0.3">
      <c r="A336" t="s">
        <v>349</v>
      </c>
      <c r="B336" s="4">
        <v>45391</v>
      </c>
      <c r="C336" s="4">
        <v>45400</v>
      </c>
      <c r="D336" s="7" t="s">
        <v>649</v>
      </c>
      <c r="E336" s="7" t="s">
        <v>657</v>
      </c>
      <c r="F336" s="7" t="s">
        <v>679</v>
      </c>
      <c r="G336" s="7" t="s">
        <v>704</v>
      </c>
      <c r="H336" s="7" t="s">
        <v>708</v>
      </c>
      <c r="I336" s="7" t="s">
        <v>718</v>
      </c>
      <c r="J336" s="7" t="s">
        <v>728</v>
      </c>
      <c r="K336" s="7" t="s">
        <v>1068</v>
      </c>
      <c r="L336" s="9">
        <v>1288.8499999999999</v>
      </c>
      <c r="M336" s="9">
        <v>2751.84</v>
      </c>
      <c r="N336" s="11">
        <v>0.158</v>
      </c>
      <c r="O336" s="13">
        <v>7</v>
      </c>
    </row>
    <row r="337" spans="1:15" x14ac:dyDescent="0.3">
      <c r="A337" t="s">
        <v>350</v>
      </c>
      <c r="B337" s="4">
        <v>45484</v>
      </c>
      <c r="C337" s="4">
        <v>45504</v>
      </c>
      <c r="D337" s="7" t="s">
        <v>647</v>
      </c>
      <c r="E337" s="7" t="s">
        <v>659</v>
      </c>
      <c r="F337" s="7" t="s">
        <v>676</v>
      </c>
      <c r="G337" s="7" t="s">
        <v>704</v>
      </c>
      <c r="H337" s="7" t="s">
        <v>708</v>
      </c>
      <c r="I337" s="7" t="s">
        <v>715</v>
      </c>
      <c r="J337" s="7" t="s">
        <v>730</v>
      </c>
      <c r="K337" s="7" t="s">
        <v>1069</v>
      </c>
      <c r="L337" s="9">
        <v>647.26</v>
      </c>
      <c r="M337" s="9">
        <v>1374.72</v>
      </c>
      <c r="N337" s="11">
        <v>6.6000000000000003E-2</v>
      </c>
      <c r="O337" s="13">
        <v>22</v>
      </c>
    </row>
    <row r="338" spans="1:15" x14ac:dyDescent="0.3">
      <c r="A338" t="s">
        <v>351</v>
      </c>
      <c r="B338" s="4">
        <v>45340</v>
      </c>
      <c r="C338" s="4">
        <v>45354</v>
      </c>
      <c r="D338" s="7" t="s">
        <v>648</v>
      </c>
      <c r="E338" s="7" t="s">
        <v>655</v>
      </c>
      <c r="G338" s="7" t="s">
        <v>706</v>
      </c>
      <c r="H338" s="7" t="s">
        <v>710</v>
      </c>
      <c r="I338" s="7" t="s">
        <v>720</v>
      </c>
      <c r="J338" s="7" t="s">
        <v>728</v>
      </c>
      <c r="K338" s="7" t="s">
        <v>1070</v>
      </c>
      <c r="L338" s="9">
        <v>624.23</v>
      </c>
      <c r="M338" s="9">
        <v>1318.37</v>
      </c>
      <c r="N338" s="11">
        <v>0.21</v>
      </c>
      <c r="O338" s="13">
        <v>37</v>
      </c>
    </row>
    <row r="339" spans="1:15" x14ac:dyDescent="0.3">
      <c r="A339" t="s">
        <v>352</v>
      </c>
      <c r="B339" s="4">
        <v>45132</v>
      </c>
      <c r="C339" s="4">
        <v>45148</v>
      </c>
      <c r="D339" s="7" t="s">
        <v>646</v>
      </c>
      <c r="E339" s="7" t="s">
        <v>651</v>
      </c>
      <c r="F339" s="7" t="s">
        <v>663</v>
      </c>
      <c r="G339" s="7" t="s">
        <v>701</v>
      </c>
      <c r="H339" s="7" t="s">
        <v>710</v>
      </c>
      <c r="I339" s="7" t="s">
        <v>714</v>
      </c>
      <c r="J339" s="7" t="s">
        <v>733</v>
      </c>
      <c r="K339" s="7" t="s">
        <v>1071</v>
      </c>
      <c r="L339" s="9">
        <v>506.83</v>
      </c>
      <c r="M339" s="9">
        <v>441.74</v>
      </c>
      <c r="N339" s="11">
        <v>0.24</v>
      </c>
      <c r="O339" s="13">
        <v>9</v>
      </c>
    </row>
    <row r="340" spans="1:15" x14ac:dyDescent="0.3">
      <c r="A340" t="s">
        <v>353</v>
      </c>
      <c r="B340" s="4">
        <v>45121</v>
      </c>
      <c r="C340" s="4">
        <v>45128</v>
      </c>
      <c r="D340" s="7" t="s">
        <v>646</v>
      </c>
      <c r="E340" s="7" t="s">
        <v>661</v>
      </c>
      <c r="F340" s="7" t="s">
        <v>687</v>
      </c>
      <c r="G340" s="7" t="s">
        <v>706</v>
      </c>
      <c r="H340" s="7" t="s">
        <v>709</v>
      </c>
      <c r="J340" s="7" t="s">
        <v>732</v>
      </c>
      <c r="K340" s="7" t="s">
        <v>1072</v>
      </c>
      <c r="L340" s="9">
        <v>620.74</v>
      </c>
      <c r="M340" s="9">
        <v>1330.07</v>
      </c>
      <c r="N340" s="11">
        <v>0.29899999999999999</v>
      </c>
      <c r="O340" s="13">
        <v>28</v>
      </c>
    </row>
    <row r="341" spans="1:15" x14ac:dyDescent="0.3">
      <c r="A341" t="s">
        <v>354</v>
      </c>
      <c r="B341" s="4">
        <v>45131</v>
      </c>
      <c r="C341" s="4">
        <v>45157</v>
      </c>
      <c r="D341" s="7" t="s">
        <v>646</v>
      </c>
      <c r="E341" s="7" t="s">
        <v>650</v>
      </c>
      <c r="F341" s="7" t="s">
        <v>664</v>
      </c>
      <c r="G341" s="7" t="s">
        <v>706</v>
      </c>
      <c r="H341" s="7" t="s">
        <v>710</v>
      </c>
      <c r="I341" s="7" t="s">
        <v>724</v>
      </c>
      <c r="J341" s="7" t="s">
        <v>733</v>
      </c>
      <c r="K341" s="7" t="s">
        <v>1073</v>
      </c>
      <c r="L341" s="9">
        <v>661.45</v>
      </c>
      <c r="M341" s="9">
        <v>1634.86</v>
      </c>
      <c r="N341" s="11">
        <v>0.56499999999999995</v>
      </c>
      <c r="O341" s="13">
        <v>24</v>
      </c>
    </row>
    <row r="342" spans="1:15" x14ac:dyDescent="0.3">
      <c r="A342" t="s">
        <v>355</v>
      </c>
      <c r="B342" s="4">
        <v>45029</v>
      </c>
      <c r="C342" s="4">
        <v>45027</v>
      </c>
      <c r="D342" s="7" t="s">
        <v>648</v>
      </c>
      <c r="E342" s="7" t="s">
        <v>660</v>
      </c>
      <c r="F342" s="7" t="s">
        <v>686</v>
      </c>
      <c r="G342" s="7" t="s">
        <v>702</v>
      </c>
      <c r="H342" s="7" t="s">
        <v>709</v>
      </c>
      <c r="I342" s="7" t="s">
        <v>715</v>
      </c>
      <c r="J342" s="7" t="s">
        <v>729</v>
      </c>
      <c r="K342" s="7" t="s">
        <v>1074</v>
      </c>
      <c r="L342" s="9">
        <v>32.1</v>
      </c>
      <c r="M342" s="9">
        <v>70.599999999999994</v>
      </c>
      <c r="N342" s="11">
        <v>0.28199999999999997</v>
      </c>
      <c r="O342" s="13">
        <v>22</v>
      </c>
    </row>
    <row r="343" spans="1:15" x14ac:dyDescent="0.3">
      <c r="A343" t="s">
        <v>356</v>
      </c>
      <c r="B343" s="4">
        <v>45594</v>
      </c>
      <c r="C343" s="4">
        <v>45600</v>
      </c>
      <c r="D343" s="7" t="s">
        <v>646</v>
      </c>
      <c r="E343" s="7" t="s">
        <v>650</v>
      </c>
      <c r="F343" s="7" t="s">
        <v>664</v>
      </c>
      <c r="G343" s="7" t="s">
        <v>701</v>
      </c>
      <c r="H343" s="7" t="s">
        <v>710</v>
      </c>
      <c r="I343" s="7" t="s">
        <v>724</v>
      </c>
      <c r="J343" s="7" t="s">
        <v>728</v>
      </c>
      <c r="K343" s="7" t="s">
        <v>1075</v>
      </c>
      <c r="L343" s="9">
        <v>805.81</v>
      </c>
      <c r="M343" s="9">
        <v>1823.04</v>
      </c>
      <c r="N343" s="11">
        <v>0</v>
      </c>
      <c r="O343" s="13">
        <v>11</v>
      </c>
    </row>
    <row r="344" spans="1:15" x14ac:dyDescent="0.3">
      <c r="A344" t="s">
        <v>357</v>
      </c>
      <c r="B344" s="4">
        <v>45339</v>
      </c>
      <c r="C344" s="4">
        <v>45355</v>
      </c>
      <c r="D344" s="7" t="s">
        <v>647</v>
      </c>
      <c r="E344" s="7" t="s">
        <v>654</v>
      </c>
      <c r="F344" s="7" t="s">
        <v>680</v>
      </c>
      <c r="G344" s="7" t="s">
        <v>705</v>
      </c>
      <c r="H344" s="7" t="s">
        <v>709</v>
      </c>
      <c r="I344" s="7" t="s">
        <v>721</v>
      </c>
      <c r="J344" s="7" t="s">
        <v>730</v>
      </c>
      <c r="K344" s="7" t="s">
        <v>1076</v>
      </c>
      <c r="L344" s="9">
        <v>1231.8</v>
      </c>
      <c r="M344" s="9">
        <v>2015.99</v>
      </c>
      <c r="N344" s="11">
        <v>0.26100000000000001</v>
      </c>
      <c r="O344" s="13">
        <v>6</v>
      </c>
    </row>
    <row r="345" spans="1:15" x14ac:dyDescent="0.3">
      <c r="A345" t="s">
        <v>358</v>
      </c>
      <c r="B345" s="4">
        <v>45486</v>
      </c>
      <c r="C345" s="4">
        <v>45485</v>
      </c>
      <c r="D345" s="7" t="s">
        <v>647</v>
      </c>
      <c r="E345" s="7" t="s">
        <v>652</v>
      </c>
      <c r="F345" s="7" t="s">
        <v>694</v>
      </c>
      <c r="G345" s="7" t="s">
        <v>705</v>
      </c>
      <c r="H345" s="7" t="s">
        <v>709</v>
      </c>
      <c r="I345" s="7" t="s">
        <v>721</v>
      </c>
      <c r="J345" s="7" t="s">
        <v>729</v>
      </c>
      <c r="K345" s="7" t="s">
        <v>1077</v>
      </c>
      <c r="L345" s="9">
        <v>105.13</v>
      </c>
      <c r="M345" s="9">
        <v>244.13</v>
      </c>
      <c r="N345" s="11">
        <v>7.0999999999999994E-2</v>
      </c>
      <c r="O345" s="13">
        <v>14</v>
      </c>
    </row>
    <row r="346" spans="1:15" x14ac:dyDescent="0.3">
      <c r="A346" t="s">
        <v>359</v>
      </c>
      <c r="B346" s="4">
        <v>45261</v>
      </c>
      <c r="C346" s="4">
        <v>45278</v>
      </c>
      <c r="D346" s="7" t="s">
        <v>647</v>
      </c>
      <c r="E346" s="7" t="s">
        <v>652</v>
      </c>
      <c r="F346" s="7" t="s">
        <v>694</v>
      </c>
      <c r="G346" s="7" t="s">
        <v>705</v>
      </c>
      <c r="H346" s="7" t="s">
        <v>711</v>
      </c>
      <c r="I346" s="7" t="s">
        <v>725</v>
      </c>
      <c r="J346" s="7" t="s">
        <v>731</v>
      </c>
      <c r="K346" s="7" t="s">
        <v>1078</v>
      </c>
      <c r="L346" s="9">
        <v>1495.79</v>
      </c>
      <c r="M346" s="9">
        <v>2783.12</v>
      </c>
      <c r="N346" s="11">
        <v>0.02</v>
      </c>
      <c r="O346" s="13">
        <v>5</v>
      </c>
    </row>
    <row r="347" spans="1:15" x14ac:dyDescent="0.3">
      <c r="A347" t="s">
        <v>360</v>
      </c>
      <c r="B347" s="4">
        <v>45498</v>
      </c>
      <c r="C347" s="4">
        <v>45506</v>
      </c>
      <c r="D347" s="7" t="s">
        <v>648</v>
      </c>
      <c r="E347" s="7" t="s">
        <v>653</v>
      </c>
      <c r="F347" s="7" t="s">
        <v>681</v>
      </c>
      <c r="G347" s="7" t="s">
        <v>704</v>
      </c>
      <c r="H347" s="7" t="s">
        <v>711</v>
      </c>
      <c r="I347" s="7" t="s">
        <v>713</v>
      </c>
      <c r="J347" s="7" t="s">
        <v>733</v>
      </c>
      <c r="K347" s="7" t="s">
        <v>1079</v>
      </c>
      <c r="L347" s="9">
        <v>986.81</v>
      </c>
      <c r="M347" s="9">
        <v>2050.31</v>
      </c>
      <c r="N347" s="11">
        <v>0.10299999999999999</v>
      </c>
      <c r="O347" s="13">
        <v>43</v>
      </c>
    </row>
    <row r="348" spans="1:15" x14ac:dyDescent="0.3">
      <c r="A348" t="s">
        <v>361</v>
      </c>
      <c r="B348" s="4">
        <v>45050</v>
      </c>
      <c r="C348" s="4">
        <v>45062</v>
      </c>
      <c r="D348" s="7" t="s">
        <v>646</v>
      </c>
      <c r="E348" s="7" t="s">
        <v>651</v>
      </c>
      <c r="F348" s="7" t="s">
        <v>669</v>
      </c>
      <c r="G348" s="7" t="s">
        <v>705</v>
      </c>
      <c r="H348" s="7" t="s">
        <v>709</v>
      </c>
      <c r="I348" s="7" t="s">
        <v>713</v>
      </c>
      <c r="J348" s="7" t="s">
        <v>730</v>
      </c>
      <c r="K348" s="7" t="s">
        <v>1080</v>
      </c>
      <c r="L348" s="9">
        <v>77.739999999999995</v>
      </c>
      <c r="M348" s="9">
        <v>147.12</v>
      </c>
      <c r="N348" s="11">
        <v>0</v>
      </c>
      <c r="O348" s="13">
        <v>15</v>
      </c>
    </row>
    <row r="349" spans="1:15" x14ac:dyDescent="0.3">
      <c r="A349" t="s">
        <v>362</v>
      </c>
      <c r="B349" s="4">
        <v>45281</v>
      </c>
      <c r="C349" s="4">
        <v>45297</v>
      </c>
      <c r="D349" s="7" t="s">
        <v>646</v>
      </c>
      <c r="E349" s="7" t="s">
        <v>651</v>
      </c>
      <c r="G349" s="7" t="s">
        <v>701</v>
      </c>
      <c r="H349" s="7" t="s">
        <v>709</v>
      </c>
      <c r="I349" s="7" t="s">
        <v>723</v>
      </c>
      <c r="J349" s="7" t="s">
        <v>727</v>
      </c>
      <c r="K349" s="7" t="s">
        <v>1081</v>
      </c>
      <c r="L349" s="9">
        <v>932.61</v>
      </c>
      <c r="M349" s="9">
        <v>1982.98</v>
      </c>
      <c r="N349" s="11">
        <v>0.14399999999999999</v>
      </c>
      <c r="O349" s="13">
        <v>16</v>
      </c>
    </row>
    <row r="350" spans="1:15" x14ac:dyDescent="0.3">
      <c r="A350" t="s">
        <v>363</v>
      </c>
      <c r="B350" s="4">
        <v>45825</v>
      </c>
      <c r="C350" s="4">
        <v>45843</v>
      </c>
      <c r="D350" s="7" t="s">
        <v>647</v>
      </c>
      <c r="E350" s="7" t="s">
        <v>654</v>
      </c>
      <c r="F350" s="7" t="s">
        <v>680</v>
      </c>
      <c r="G350" s="7" t="s">
        <v>704</v>
      </c>
      <c r="H350" s="7" t="s">
        <v>709</v>
      </c>
      <c r="I350" s="7" t="s">
        <v>716</v>
      </c>
      <c r="J350" s="7" t="s">
        <v>731</v>
      </c>
      <c r="K350" s="7" t="s">
        <v>1082</v>
      </c>
      <c r="L350" s="9">
        <v>982.93</v>
      </c>
      <c r="M350" s="9">
        <v>2299.3000000000002</v>
      </c>
      <c r="N350" s="11">
        <v>0.113</v>
      </c>
      <c r="O350" s="13">
        <v>6</v>
      </c>
    </row>
    <row r="351" spans="1:15" x14ac:dyDescent="0.3">
      <c r="A351" t="s">
        <v>364</v>
      </c>
      <c r="B351" s="4">
        <v>44980</v>
      </c>
      <c r="C351" s="4">
        <v>44993</v>
      </c>
      <c r="D351" s="7" t="s">
        <v>649</v>
      </c>
      <c r="E351" s="7" t="s">
        <v>658</v>
      </c>
      <c r="F351" s="7" t="s">
        <v>693</v>
      </c>
      <c r="G351" s="7" t="s">
        <v>705</v>
      </c>
      <c r="H351" s="7" t="s">
        <v>711</v>
      </c>
      <c r="I351" s="7" t="s">
        <v>712</v>
      </c>
      <c r="J351" s="7" t="s">
        <v>728</v>
      </c>
      <c r="K351" s="7" t="s">
        <v>1083</v>
      </c>
      <c r="L351" s="9">
        <v>307.37</v>
      </c>
      <c r="M351" s="9">
        <v>462.61</v>
      </c>
      <c r="N351" s="11">
        <v>0.188</v>
      </c>
      <c r="O351" s="13">
        <v>11</v>
      </c>
    </row>
    <row r="352" spans="1:15" x14ac:dyDescent="0.3">
      <c r="A352" t="s">
        <v>365</v>
      </c>
      <c r="B352" s="4">
        <v>45262</v>
      </c>
      <c r="C352" s="4">
        <v>45276</v>
      </c>
      <c r="D352" s="7" t="s">
        <v>649</v>
      </c>
      <c r="E352" s="7" t="s">
        <v>656</v>
      </c>
      <c r="F352" s="7" t="s">
        <v>698</v>
      </c>
      <c r="G352" s="7" t="s">
        <v>702</v>
      </c>
      <c r="H352" s="7" t="s">
        <v>711</v>
      </c>
      <c r="I352" s="7" t="s">
        <v>725</v>
      </c>
      <c r="J352" s="7" t="s">
        <v>732</v>
      </c>
      <c r="K352" s="7" t="s">
        <v>1084</v>
      </c>
      <c r="L352" s="9">
        <v>879.08</v>
      </c>
      <c r="M352" s="9">
        <v>1093.3900000000001</v>
      </c>
      <c r="N352" s="11">
        <v>0.113</v>
      </c>
      <c r="O352" s="13">
        <v>17</v>
      </c>
    </row>
    <row r="353" spans="1:15" x14ac:dyDescent="0.3">
      <c r="A353" t="s">
        <v>366</v>
      </c>
      <c r="B353" s="4">
        <v>45121</v>
      </c>
      <c r="C353" s="4">
        <v>45121</v>
      </c>
      <c r="D353" s="7" t="s">
        <v>646</v>
      </c>
      <c r="E353" s="7" t="s">
        <v>651</v>
      </c>
      <c r="F353" s="7" t="s">
        <v>665</v>
      </c>
      <c r="G353" s="7" t="s">
        <v>702</v>
      </c>
      <c r="H353" s="7" t="s">
        <v>707</v>
      </c>
      <c r="I353" s="7" t="s">
        <v>714</v>
      </c>
      <c r="J353" s="7" t="s">
        <v>733</v>
      </c>
      <c r="K353" s="7" t="s">
        <v>1085</v>
      </c>
      <c r="L353" s="9">
        <v>956.38</v>
      </c>
      <c r="M353" s="9">
        <v>1454.22</v>
      </c>
      <c r="N353" s="11">
        <v>3.9E-2</v>
      </c>
      <c r="O353" s="13">
        <v>19</v>
      </c>
    </row>
    <row r="354" spans="1:15" x14ac:dyDescent="0.3">
      <c r="A354" t="s">
        <v>367</v>
      </c>
      <c r="B354" s="4">
        <v>45512</v>
      </c>
      <c r="C354" s="4">
        <v>45524</v>
      </c>
      <c r="D354" s="7" t="s">
        <v>647</v>
      </c>
      <c r="E354" s="7" t="s">
        <v>652</v>
      </c>
      <c r="F354" s="7" t="s">
        <v>666</v>
      </c>
      <c r="G354" s="7" t="s">
        <v>705</v>
      </c>
      <c r="H354" s="7" t="s">
        <v>707</v>
      </c>
      <c r="I354" s="7" t="s">
        <v>722</v>
      </c>
      <c r="J354" s="7" t="s">
        <v>729</v>
      </c>
      <c r="K354" s="7" t="s">
        <v>1086</v>
      </c>
      <c r="L354" s="9">
        <v>1233.3599999999999</v>
      </c>
      <c r="M354" s="9">
        <v>2120.4</v>
      </c>
      <c r="N354" s="11">
        <v>0.17899999999999999</v>
      </c>
      <c r="O354" s="13">
        <v>20</v>
      </c>
    </row>
    <row r="355" spans="1:15" x14ac:dyDescent="0.3">
      <c r="A355" t="s">
        <v>368</v>
      </c>
      <c r="B355" s="4">
        <v>45603</v>
      </c>
      <c r="C355" s="4">
        <v>45622</v>
      </c>
      <c r="D355" s="7" t="s">
        <v>648</v>
      </c>
      <c r="E355" s="7" t="s">
        <v>655</v>
      </c>
      <c r="F355" s="7" t="s">
        <v>692</v>
      </c>
      <c r="G355" s="7" t="s">
        <v>703</v>
      </c>
      <c r="H355" s="7" t="s">
        <v>710</v>
      </c>
      <c r="I355" s="7" t="s">
        <v>713</v>
      </c>
      <c r="J355" s="7" t="s">
        <v>728</v>
      </c>
      <c r="K355" s="7" t="s">
        <v>1087</v>
      </c>
      <c r="L355" s="9">
        <v>55.35</v>
      </c>
      <c r="M355" s="9">
        <v>128.68</v>
      </c>
      <c r="N355" s="11">
        <v>0.128</v>
      </c>
      <c r="O355" s="13">
        <v>10</v>
      </c>
    </row>
    <row r="356" spans="1:15" x14ac:dyDescent="0.3">
      <c r="A356" t="s">
        <v>369</v>
      </c>
      <c r="B356" s="4">
        <v>45292</v>
      </c>
      <c r="C356" s="4">
        <v>45318</v>
      </c>
      <c r="D356" s="7" t="s">
        <v>649</v>
      </c>
      <c r="E356" s="7" t="s">
        <v>658</v>
      </c>
      <c r="F356" s="7" t="s">
        <v>693</v>
      </c>
      <c r="G356" s="7" t="s">
        <v>702</v>
      </c>
      <c r="H356" s="7" t="s">
        <v>710</v>
      </c>
      <c r="I356" s="7" t="s">
        <v>726</v>
      </c>
      <c r="J356" s="7" t="s">
        <v>733</v>
      </c>
      <c r="K356" s="7" t="s">
        <v>1088</v>
      </c>
      <c r="L356" s="9">
        <v>657.45</v>
      </c>
      <c r="M356" s="9">
        <v>1325.96</v>
      </c>
      <c r="N356" s="11">
        <v>0.16700000000000001</v>
      </c>
      <c r="O356" s="13">
        <v>21</v>
      </c>
    </row>
    <row r="357" spans="1:15" x14ac:dyDescent="0.3">
      <c r="A357" t="s">
        <v>370</v>
      </c>
      <c r="B357" s="4">
        <v>45883</v>
      </c>
      <c r="C357" s="4">
        <v>45911</v>
      </c>
      <c r="D357" s="7" t="s">
        <v>648</v>
      </c>
      <c r="E357" s="7" t="s">
        <v>655</v>
      </c>
      <c r="F357" s="7" t="s">
        <v>670</v>
      </c>
      <c r="G357" s="7" t="s">
        <v>703</v>
      </c>
      <c r="H357" s="7" t="s">
        <v>711</v>
      </c>
      <c r="I357" s="7" t="s">
        <v>721</v>
      </c>
      <c r="J357" s="7" t="s">
        <v>728</v>
      </c>
      <c r="K357" s="7" t="s">
        <v>1089</v>
      </c>
      <c r="L357" s="9">
        <v>1203.02</v>
      </c>
      <c r="M357" s="9">
        <v>2439.33</v>
      </c>
      <c r="N357" s="11">
        <v>0</v>
      </c>
      <c r="O357" s="13">
        <v>18</v>
      </c>
    </row>
    <row r="358" spans="1:15" x14ac:dyDescent="0.3">
      <c r="A358" t="s">
        <v>371</v>
      </c>
      <c r="B358" s="4">
        <v>45385</v>
      </c>
      <c r="C358" s="4">
        <v>45403</v>
      </c>
      <c r="D358" s="7" t="s">
        <v>648</v>
      </c>
      <c r="E358" s="7" t="s">
        <v>655</v>
      </c>
      <c r="F358" s="7" t="s">
        <v>672</v>
      </c>
      <c r="G358" s="7" t="s">
        <v>705</v>
      </c>
      <c r="H358" s="7" t="s">
        <v>710</v>
      </c>
      <c r="I358" s="7" t="s">
        <v>717</v>
      </c>
      <c r="J358" s="7" t="s">
        <v>729</v>
      </c>
      <c r="K358" s="7" t="s">
        <v>1090</v>
      </c>
      <c r="L358" s="9">
        <v>1176.69</v>
      </c>
      <c r="M358" s="9">
        <v>2201.54</v>
      </c>
      <c r="N358" s="11">
        <v>0.17</v>
      </c>
      <c r="O358" s="13">
        <v>27</v>
      </c>
    </row>
    <row r="359" spans="1:15" x14ac:dyDescent="0.3">
      <c r="A359" t="s">
        <v>372</v>
      </c>
      <c r="B359" s="4">
        <v>45621</v>
      </c>
      <c r="C359" s="4">
        <v>45633</v>
      </c>
      <c r="D359" s="7" t="s">
        <v>647</v>
      </c>
      <c r="E359" s="7" t="s">
        <v>659</v>
      </c>
      <c r="F359" s="7" t="s">
        <v>685</v>
      </c>
      <c r="G359" s="7" t="s">
        <v>701</v>
      </c>
      <c r="H359" s="7" t="s">
        <v>710</v>
      </c>
      <c r="I359" s="7" t="s">
        <v>720</v>
      </c>
      <c r="J359" s="7" t="s">
        <v>733</v>
      </c>
      <c r="K359" s="7" t="s">
        <v>1091</v>
      </c>
      <c r="L359" s="9">
        <v>769.9</v>
      </c>
      <c r="M359" s="9">
        <v>814.36</v>
      </c>
      <c r="N359" s="11">
        <v>0</v>
      </c>
      <c r="O359" s="13">
        <v>5</v>
      </c>
    </row>
    <row r="360" spans="1:15" x14ac:dyDescent="0.3">
      <c r="A360" t="s">
        <v>373</v>
      </c>
      <c r="B360" s="4">
        <v>45309</v>
      </c>
      <c r="C360" s="4">
        <v>45325</v>
      </c>
      <c r="D360" s="7" t="s">
        <v>646</v>
      </c>
      <c r="E360" s="7" t="s">
        <v>661</v>
      </c>
      <c r="F360" s="7" t="s">
        <v>695</v>
      </c>
      <c r="G360" s="7" t="s">
        <v>703</v>
      </c>
      <c r="H360" s="7" t="s">
        <v>710</v>
      </c>
      <c r="I360" s="7" t="s">
        <v>716</v>
      </c>
      <c r="J360" s="7" t="s">
        <v>728</v>
      </c>
      <c r="K360" s="7" t="s">
        <v>1092</v>
      </c>
      <c r="L360" s="9">
        <v>666.23</v>
      </c>
      <c r="M360" s="9">
        <v>1382.91</v>
      </c>
      <c r="N360" s="11">
        <v>0.17599999999999999</v>
      </c>
      <c r="O360" s="13">
        <v>13</v>
      </c>
    </row>
    <row r="361" spans="1:15" x14ac:dyDescent="0.3">
      <c r="A361" t="s">
        <v>374</v>
      </c>
      <c r="B361" s="4">
        <v>45466</v>
      </c>
      <c r="C361" s="4">
        <v>45468</v>
      </c>
      <c r="D361" s="7" t="s">
        <v>649</v>
      </c>
      <c r="E361" s="7" t="s">
        <v>658</v>
      </c>
      <c r="F361" s="7" t="s">
        <v>674</v>
      </c>
      <c r="G361" s="7" t="s">
        <v>705</v>
      </c>
      <c r="H361" s="7" t="s">
        <v>709</v>
      </c>
      <c r="I361" s="7" t="s">
        <v>716</v>
      </c>
      <c r="J361" s="7" t="s">
        <v>733</v>
      </c>
      <c r="K361" s="7" t="s">
        <v>1093</v>
      </c>
      <c r="L361" s="9">
        <v>951.44</v>
      </c>
      <c r="M361" s="9">
        <v>1646.43</v>
      </c>
      <c r="N361" s="11">
        <v>0.11</v>
      </c>
      <c r="O361" s="13">
        <v>24</v>
      </c>
    </row>
    <row r="362" spans="1:15" x14ac:dyDescent="0.3">
      <c r="A362" t="s">
        <v>375</v>
      </c>
      <c r="B362" s="4">
        <v>45833</v>
      </c>
      <c r="C362" s="4">
        <v>45848</v>
      </c>
      <c r="D362" s="7" t="s">
        <v>649</v>
      </c>
      <c r="E362" s="7" t="s">
        <v>658</v>
      </c>
      <c r="F362" s="7" t="s">
        <v>674</v>
      </c>
      <c r="G362" s="7" t="s">
        <v>703</v>
      </c>
      <c r="H362" s="7" t="s">
        <v>709</v>
      </c>
      <c r="I362" s="7" t="s">
        <v>726</v>
      </c>
      <c r="J362" s="7" t="s">
        <v>730</v>
      </c>
      <c r="K362" s="7" t="s">
        <v>1094</v>
      </c>
      <c r="L362" s="9">
        <v>546.83000000000004</v>
      </c>
      <c r="M362" s="9">
        <v>400.84</v>
      </c>
      <c r="N362" s="11">
        <v>7.8E-2</v>
      </c>
      <c r="O362" s="13">
        <v>13</v>
      </c>
    </row>
    <row r="363" spans="1:15" x14ac:dyDescent="0.3">
      <c r="A363" t="s">
        <v>376</v>
      </c>
      <c r="B363" s="4">
        <v>45108</v>
      </c>
      <c r="C363" s="4">
        <v>45115</v>
      </c>
      <c r="D363" s="7" t="s">
        <v>646</v>
      </c>
      <c r="E363" s="7" t="s">
        <v>651</v>
      </c>
      <c r="F363" s="7" t="s">
        <v>663</v>
      </c>
      <c r="G363" s="7" t="s">
        <v>701</v>
      </c>
      <c r="H363" s="7" t="s">
        <v>707</v>
      </c>
      <c r="I363" s="7" t="s">
        <v>720</v>
      </c>
      <c r="J363" s="7" t="s">
        <v>731</v>
      </c>
      <c r="K363" s="7" t="s">
        <v>1095</v>
      </c>
      <c r="L363" s="9">
        <v>834.26</v>
      </c>
      <c r="M363" s="9">
        <v>1780.56</v>
      </c>
      <c r="N363" s="11">
        <v>1.4E-2</v>
      </c>
      <c r="O363" s="13">
        <v>47</v>
      </c>
    </row>
    <row r="364" spans="1:15" x14ac:dyDescent="0.3">
      <c r="A364" t="s">
        <v>377</v>
      </c>
      <c r="B364" s="4">
        <v>45360</v>
      </c>
      <c r="C364" s="4">
        <v>45377</v>
      </c>
      <c r="D364" s="7" t="s">
        <v>647</v>
      </c>
      <c r="E364" s="7" t="s">
        <v>659</v>
      </c>
      <c r="F364" s="7" t="s">
        <v>676</v>
      </c>
      <c r="G364" s="7" t="s">
        <v>706</v>
      </c>
      <c r="H364" s="7" t="s">
        <v>708</v>
      </c>
      <c r="I364" s="7" t="s">
        <v>723</v>
      </c>
      <c r="J364" s="7" t="s">
        <v>732</v>
      </c>
      <c r="K364" s="7" t="s">
        <v>1096</v>
      </c>
      <c r="L364" s="9">
        <v>1029.67</v>
      </c>
      <c r="M364" s="9">
        <v>1118.43</v>
      </c>
      <c r="N364" s="11">
        <v>0.27200000000000002</v>
      </c>
      <c r="O364" s="13">
        <v>9</v>
      </c>
    </row>
    <row r="365" spans="1:15" x14ac:dyDescent="0.3">
      <c r="A365" t="s">
        <v>378</v>
      </c>
      <c r="B365" s="4">
        <v>45082</v>
      </c>
      <c r="C365" s="4">
        <v>45105</v>
      </c>
      <c r="D365" s="7" t="s">
        <v>649</v>
      </c>
      <c r="E365" s="7" t="s">
        <v>658</v>
      </c>
      <c r="F365" s="7" t="s">
        <v>674</v>
      </c>
      <c r="G365" s="7" t="s">
        <v>701</v>
      </c>
      <c r="H365" s="7" t="s">
        <v>711</v>
      </c>
      <c r="I365" s="7" t="s">
        <v>723</v>
      </c>
      <c r="J365" s="7" t="s">
        <v>728</v>
      </c>
      <c r="K365" s="7" t="s">
        <v>1097</v>
      </c>
      <c r="L365" s="9">
        <v>605.82000000000005</v>
      </c>
      <c r="M365" s="9">
        <v>771.12</v>
      </c>
      <c r="N365" s="11">
        <v>0.13200000000000001</v>
      </c>
      <c r="O365" s="13">
        <v>19</v>
      </c>
    </row>
    <row r="366" spans="1:15" x14ac:dyDescent="0.3">
      <c r="A366" t="s">
        <v>379</v>
      </c>
      <c r="B366" s="4">
        <v>45737</v>
      </c>
      <c r="C366" s="4">
        <v>45756</v>
      </c>
      <c r="D366" s="7" t="s">
        <v>647</v>
      </c>
      <c r="E366" s="7" t="s">
        <v>652</v>
      </c>
      <c r="F366" s="7" t="s">
        <v>689</v>
      </c>
      <c r="G366" s="7" t="s">
        <v>705</v>
      </c>
      <c r="H366" s="7" t="s">
        <v>710</v>
      </c>
      <c r="I366" s="7" t="s">
        <v>718</v>
      </c>
      <c r="J366" s="7" t="s">
        <v>727</v>
      </c>
      <c r="K366" s="7" t="s">
        <v>1098</v>
      </c>
      <c r="L366" s="9">
        <v>1055.45</v>
      </c>
      <c r="M366" s="9">
        <v>1210.04</v>
      </c>
      <c r="N366" s="11">
        <v>8.9999999999999993E-3</v>
      </c>
      <c r="O366" s="13">
        <v>18</v>
      </c>
    </row>
    <row r="367" spans="1:15" x14ac:dyDescent="0.3">
      <c r="A367" t="s">
        <v>380</v>
      </c>
      <c r="B367" s="4">
        <v>45445</v>
      </c>
      <c r="C367" s="4">
        <v>45458</v>
      </c>
      <c r="D367" s="7" t="s">
        <v>646</v>
      </c>
      <c r="E367" s="7" t="s">
        <v>650</v>
      </c>
      <c r="F367" s="7" t="s">
        <v>675</v>
      </c>
      <c r="G367" s="7" t="s">
        <v>702</v>
      </c>
      <c r="H367" s="7" t="s">
        <v>708</v>
      </c>
      <c r="I367" s="7" t="s">
        <v>719</v>
      </c>
      <c r="J367" s="7" t="s">
        <v>730</v>
      </c>
      <c r="K367" s="7" t="s">
        <v>1099</v>
      </c>
      <c r="L367" s="9">
        <v>1295.18</v>
      </c>
      <c r="M367" s="9">
        <v>3024.03</v>
      </c>
      <c r="N367" s="11">
        <v>0.192</v>
      </c>
      <c r="O367" s="13">
        <v>8</v>
      </c>
    </row>
    <row r="368" spans="1:15" x14ac:dyDescent="0.3">
      <c r="A368" t="s">
        <v>381</v>
      </c>
      <c r="B368" s="4">
        <v>45731</v>
      </c>
      <c r="C368" s="4">
        <v>45745</v>
      </c>
      <c r="D368" s="7" t="s">
        <v>647</v>
      </c>
      <c r="E368" s="7" t="s">
        <v>654</v>
      </c>
      <c r="F368" s="7" t="s">
        <v>691</v>
      </c>
      <c r="G368" s="7" t="s">
        <v>706</v>
      </c>
      <c r="H368" s="7" t="s">
        <v>711</v>
      </c>
      <c r="I368" s="7" t="s">
        <v>712</v>
      </c>
      <c r="J368" s="7" t="s">
        <v>727</v>
      </c>
      <c r="K368" s="7" t="s">
        <v>1100</v>
      </c>
      <c r="L368" s="9">
        <v>935.83</v>
      </c>
      <c r="M368" s="9">
        <v>2303.46</v>
      </c>
      <c r="N368" s="11">
        <v>0.105</v>
      </c>
      <c r="O368" s="13">
        <v>9</v>
      </c>
    </row>
    <row r="369" spans="1:15" x14ac:dyDescent="0.3">
      <c r="A369" t="s">
        <v>382</v>
      </c>
      <c r="B369" s="4">
        <v>45194</v>
      </c>
      <c r="C369" s="4">
        <v>45208</v>
      </c>
      <c r="D369" s="7" t="s">
        <v>648</v>
      </c>
      <c r="E369" s="7" t="s">
        <v>660</v>
      </c>
      <c r="F369" s="7" t="s">
        <v>700</v>
      </c>
      <c r="G369" s="7" t="s">
        <v>705</v>
      </c>
      <c r="H369" s="7" t="s">
        <v>709</v>
      </c>
      <c r="I369" s="7" t="s">
        <v>713</v>
      </c>
      <c r="J369" s="7" t="s">
        <v>731</v>
      </c>
      <c r="K369" s="7" t="s">
        <v>1101</v>
      </c>
      <c r="L369" s="9">
        <v>1279.56</v>
      </c>
      <c r="M369" s="9">
        <v>3083.8</v>
      </c>
      <c r="N369" s="11">
        <v>0.106</v>
      </c>
      <c r="O369" s="13">
        <v>5</v>
      </c>
    </row>
    <row r="370" spans="1:15" x14ac:dyDescent="0.3">
      <c r="A370" t="s">
        <v>383</v>
      </c>
      <c r="B370" s="4">
        <v>45832</v>
      </c>
      <c r="C370" s="4">
        <v>45861</v>
      </c>
      <c r="D370" s="7" t="s">
        <v>648</v>
      </c>
      <c r="E370" s="7" t="s">
        <v>653</v>
      </c>
      <c r="F370" s="7" t="s">
        <v>688</v>
      </c>
      <c r="G370" s="7" t="s">
        <v>703</v>
      </c>
      <c r="H370" s="7" t="s">
        <v>709</v>
      </c>
      <c r="I370" s="7" t="s">
        <v>714</v>
      </c>
      <c r="J370" s="7" t="s">
        <v>728</v>
      </c>
      <c r="K370" s="7" t="s">
        <v>1102</v>
      </c>
      <c r="L370" s="9">
        <v>255.4</v>
      </c>
      <c r="M370" s="9">
        <v>322.70999999999998</v>
      </c>
      <c r="N370" s="11">
        <v>0.115</v>
      </c>
      <c r="O370" s="13">
        <v>16</v>
      </c>
    </row>
    <row r="371" spans="1:15" x14ac:dyDescent="0.3">
      <c r="A371" t="s">
        <v>384</v>
      </c>
      <c r="B371" s="4">
        <v>45286</v>
      </c>
      <c r="C371" s="4">
        <v>45294</v>
      </c>
      <c r="D371" s="7" t="s">
        <v>649</v>
      </c>
      <c r="E371" s="7" t="s">
        <v>657</v>
      </c>
      <c r="F371" s="7" t="s">
        <v>679</v>
      </c>
      <c r="G371" s="7" t="s">
        <v>705</v>
      </c>
      <c r="H371" s="7" t="s">
        <v>707</v>
      </c>
      <c r="I371" s="7" t="s">
        <v>724</v>
      </c>
      <c r="J371" s="7" t="s">
        <v>731</v>
      </c>
      <c r="K371" s="7" t="s">
        <v>1103</v>
      </c>
      <c r="L371" s="9">
        <v>492.75</v>
      </c>
      <c r="M371" s="9">
        <v>731.29</v>
      </c>
      <c r="N371" s="11">
        <v>5.8000000000000003E-2</v>
      </c>
      <c r="O371" s="13">
        <v>6</v>
      </c>
    </row>
    <row r="372" spans="1:15" x14ac:dyDescent="0.3">
      <c r="A372" t="s">
        <v>385</v>
      </c>
      <c r="B372" s="4">
        <v>44962</v>
      </c>
      <c r="C372" s="4">
        <v>44985</v>
      </c>
      <c r="D372" s="7" t="s">
        <v>648</v>
      </c>
      <c r="E372" s="7" t="s">
        <v>660</v>
      </c>
      <c r="F372" s="7" t="s">
        <v>697</v>
      </c>
      <c r="G372" s="7" t="s">
        <v>703</v>
      </c>
      <c r="H372" s="7" t="s">
        <v>710</v>
      </c>
      <c r="I372" s="7" t="s">
        <v>716</v>
      </c>
      <c r="J372" s="7" t="s">
        <v>730</v>
      </c>
      <c r="K372" s="7" t="s">
        <v>1104</v>
      </c>
      <c r="L372" s="9">
        <v>1214.49</v>
      </c>
      <c r="M372" s="9">
        <v>1533.95</v>
      </c>
      <c r="N372" s="11">
        <v>0</v>
      </c>
      <c r="O372" s="13">
        <v>11</v>
      </c>
    </row>
    <row r="373" spans="1:15" x14ac:dyDescent="0.3">
      <c r="A373" t="s">
        <v>386</v>
      </c>
      <c r="B373" s="4">
        <v>45022</v>
      </c>
      <c r="C373" s="4">
        <v>45024</v>
      </c>
      <c r="D373" s="7" t="s">
        <v>646</v>
      </c>
      <c r="E373" s="7" t="s">
        <v>651</v>
      </c>
      <c r="F373" s="7" t="s">
        <v>669</v>
      </c>
      <c r="G373" s="7" t="s">
        <v>705</v>
      </c>
      <c r="H373" s="7" t="s">
        <v>709</v>
      </c>
      <c r="I373" s="7" t="s">
        <v>723</v>
      </c>
      <c r="J373" s="7" t="s">
        <v>732</v>
      </c>
      <c r="K373" s="7" t="s">
        <v>1105</v>
      </c>
      <c r="L373" s="9">
        <v>720.35</v>
      </c>
      <c r="M373" s="9">
        <v>1571.66</v>
      </c>
      <c r="N373" s="11">
        <v>0.107</v>
      </c>
      <c r="O373" s="13">
        <v>23</v>
      </c>
    </row>
    <row r="374" spans="1:15" x14ac:dyDescent="0.3">
      <c r="A374" t="s">
        <v>387</v>
      </c>
      <c r="B374" s="4">
        <v>45751</v>
      </c>
      <c r="C374" s="4">
        <v>45757</v>
      </c>
      <c r="D374" s="7" t="s">
        <v>649</v>
      </c>
      <c r="E374" s="7" t="s">
        <v>658</v>
      </c>
      <c r="F374" s="7" t="s">
        <v>674</v>
      </c>
      <c r="G374" s="7" t="s">
        <v>703</v>
      </c>
      <c r="H374" s="7" t="s">
        <v>711</v>
      </c>
      <c r="I374" s="7" t="s">
        <v>725</v>
      </c>
      <c r="J374" s="7" t="s">
        <v>728</v>
      </c>
      <c r="K374" s="7" t="s">
        <v>1106</v>
      </c>
      <c r="L374" s="9">
        <v>290.14</v>
      </c>
      <c r="M374" s="9">
        <v>250.73</v>
      </c>
      <c r="N374" s="11">
        <v>3.4000000000000002E-2</v>
      </c>
      <c r="O374" s="13">
        <v>17</v>
      </c>
    </row>
    <row r="375" spans="1:15" x14ac:dyDescent="0.3">
      <c r="A375" t="s">
        <v>388</v>
      </c>
      <c r="B375" s="4">
        <v>45429</v>
      </c>
      <c r="C375" s="4">
        <v>45439</v>
      </c>
      <c r="D375" s="7" t="s">
        <v>648</v>
      </c>
      <c r="E375" s="7" t="s">
        <v>660</v>
      </c>
      <c r="F375" s="7" t="s">
        <v>697</v>
      </c>
      <c r="G375" s="7" t="s">
        <v>703</v>
      </c>
      <c r="H375" s="7" t="s">
        <v>708</v>
      </c>
      <c r="I375" s="7" t="s">
        <v>712</v>
      </c>
      <c r="J375" s="7" t="s">
        <v>730</v>
      </c>
      <c r="K375" s="7" t="s">
        <v>1107</v>
      </c>
      <c r="L375" s="9">
        <v>1484.23</v>
      </c>
      <c r="M375" s="9">
        <v>3472.81</v>
      </c>
      <c r="N375" s="11">
        <v>0.25600000000000001</v>
      </c>
      <c r="O375" s="13">
        <v>12</v>
      </c>
    </row>
    <row r="376" spans="1:15" x14ac:dyDescent="0.3">
      <c r="A376" t="s">
        <v>389</v>
      </c>
      <c r="B376" s="4">
        <v>45354</v>
      </c>
      <c r="C376" s="4">
        <v>45370</v>
      </c>
      <c r="D376" s="7" t="s">
        <v>647</v>
      </c>
      <c r="E376" s="7" t="s">
        <v>659</v>
      </c>
      <c r="F376" s="7" t="s">
        <v>699</v>
      </c>
      <c r="G376" s="7" t="s">
        <v>704</v>
      </c>
      <c r="H376" s="7" t="s">
        <v>710</v>
      </c>
      <c r="I376" s="7" t="s">
        <v>715</v>
      </c>
      <c r="J376" s="7" t="s">
        <v>730</v>
      </c>
      <c r="K376" s="7" t="s">
        <v>1108</v>
      </c>
      <c r="L376" s="9">
        <v>988.83</v>
      </c>
      <c r="M376" s="9">
        <v>1206.04</v>
      </c>
      <c r="N376" s="11">
        <v>6.3E-2</v>
      </c>
      <c r="O376" s="13">
        <v>34</v>
      </c>
    </row>
    <row r="377" spans="1:15" x14ac:dyDescent="0.3">
      <c r="A377" t="s">
        <v>390</v>
      </c>
      <c r="B377" s="4">
        <v>45835</v>
      </c>
      <c r="C377" s="4">
        <v>45849</v>
      </c>
      <c r="D377" s="7" t="s">
        <v>647</v>
      </c>
      <c r="E377" s="7" t="s">
        <v>659</v>
      </c>
      <c r="F377" s="7" t="s">
        <v>685</v>
      </c>
      <c r="G377" s="7" t="s">
        <v>705</v>
      </c>
      <c r="H377" s="7" t="s">
        <v>709</v>
      </c>
      <c r="I377" s="7" t="s">
        <v>716</v>
      </c>
      <c r="J377" s="7" t="s">
        <v>729</v>
      </c>
      <c r="K377" s="7" t="s">
        <v>1109</v>
      </c>
      <c r="L377" s="9">
        <v>1227.7</v>
      </c>
      <c r="M377" s="9">
        <v>2197.23</v>
      </c>
      <c r="N377" s="11">
        <v>9.9000000000000005E-2</v>
      </c>
      <c r="O377" s="13">
        <v>22</v>
      </c>
    </row>
    <row r="378" spans="1:15" x14ac:dyDescent="0.3">
      <c r="A378" t="s">
        <v>391</v>
      </c>
      <c r="B378" s="4">
        <v>44998</v>
      </c>
      <c r="C378" s="4">
        <v>45020</v>
      </c>
      <c r="D378" s="7" t="s">
        <v>646</v>
      </c>
      <c r="E378" s="7" t="s">
        <v>661</v>
      </c>
      <c r="F378" s="7" t="s">
        <v>687</v>
      </c>
      <c r="G378" s="7" t="s">
        <v>705</v>
      </c>
      <c r="H378" s="7" t="s">
        <v>707</v>
      </c>
      <c r="I378" s="7" t="s">
        <v>720</v>
      </c>
      <c r="J378" s="7" t="s">
        <v>727</v>
      </c>
      <c r="K378" s="7" t="s">
        <v>1110</v>
      </c>
      <c r="L378" s="9">
        <v>1113.7</v>
      </c>
      <c r="M378" s="9">
        <v>1620.6</v>
      </c>
      <c r="N378" s="11">
        <v>0.13900000000000001</v>
      </c>
      <c r="O378" s="13">
        <v>11</v>
      </c>
    </row>
    <row r="379" spans="1:15" x14ac:dyDescent="0.3">
      <c r="A379" t="s">
        <v>392</v>
      </c>
      <c r="B379" s="4">
        <v>45664</v>
      </c>
      <c r="C379" s="4">
        <v>45677</v>
      </c>
      <c r="D379" s="7" t="s">
        <v>646</v>
      </c>
      <c r="E379" s="7" t="s">
        <v>661</v>
      </c>
      <c r="F379" s="7" t="s">
        <v>695</v>
      </c>
      <c r="G379" s="7" t="s">
        <v>701</v>
      </c>
      <c r="H379" s="7" t="s">
        <v>711</v>
      </c>
      <c r="I379" s="7" t="s">
        <v>723</v>
      </c>
      <c r="J379" s="7" t="s">
        <v>729</v>
      </c>
      <c r="K379" s="7" t="s">
        <v>1111</v>
      </c>
      <c r="L379" s="9">
        <v>432.13</v>
      </c>
      <c r="M379" s="9">
        <v>1034.6600000000001</v>
      </c>
      <c r="N379" s="11">
        <v>9.1999999999999998E-2</v>
      </c>
      <c r="O379" s="13">
        <v>7</v>
      </c>
    </row>
    <row r="380" spans="1:15" x14ac:dyDescent="0.3">
      <c r="A380" t="s">
        <v>393</v>
      </c>
      <c r="B380" s="4">
        <v>45694</v>
      </c>
      <c r="C380" s="4">
        <v>45703</v>
      </c>
      <c r="D380" s="7" t="s">
        <v>648</v>
      </c>
      <c r="E380" s="7" t="s">
        <v>655</v>
      </c>
      <c r="F380" s="7" t="s">
        <v>670</v>
      </c>
      <c r="G380" s="7" t="s">
        <v>703</v>
      </c>
      <c r="H380" s="7" t="s">
        <v>710</v>
      </c>
      <c r="I380" s="7" t="s">
        <v>721</v>
      </c>
      <c r="J380" s="7" t="s">
        <v>729</v>
      </c>
      <c r="K380" s="7" t="s">
        <v>1112</v>
      </c>
      <c r="L380" s="9">
        <v>837.39</v>
      </c>
      <c r="M380" s="9">
        <v>1905.42</v>
      </c>
      <c r="N380" s="11">
        <v>3.2000000000000001E-2</v>
      </c>
      <c r="O380" s="13">
        <v>18</v>
      </c>
    </row>
    <row r="381" spans="1:15" x14ac:dyDescent="0.3">
      <c r="A381" t="s">
        <v>394</v>
      </c>
      <c r="B381" s="4">
        <v>45688</v>
      </c>
      <c r="C381" s="4">
        <v>45705</v>
      </c>
      <c r="D381" s="7" t="s">
        <v>649</v>
      </c>
      <c r="E381" s="7" t="s">
        <v>658</v>
      </c>
      <c r="F381" s="7" t="s">
        <v>683</v>
      </c>
      <c r="G381" s="7" t="s">
        <v>706</v>
      </c>
      <c r="H381" s="7" t="s">
        <v>707</v>
      </c>
      <c r="I381" s="7" t="s">
        <v>722</v>
      </c>
      <c r="J381" s="7" t="s">
        <v>727</v>
      </c>
      <c r="K381" s="7" t="s">
        <v>812</v>
      </c>
      <c r="L381" s="9">
        <v>378.26</v>
      </c>
      <c r="M381" s="9">
        <v>541.55999999999995</v>
      </c>
      <c r="N381" s="11">
        <v>0.16300000000000001</v>
      </c>
      <c r="O381" s="13">
        <v>25</v>
      </c>
    </row>
    <row r="382" spans="1:15" x14ac:dyDescent="0.3">
      <c r="A382" t="s">
        <v>395</v>
      </c>
      <c r="B382" s="4">
        <v>45876</v>
      </c>
      <c r="C382" s="4">
        <v>45906</v>
      </c>
      <c r="D382" s="7" t="s">
        <v>648</v>
      </c>
      <c r="E382" s="7" t="s">
        <v>653</v>
      </c>
      <c r="F382" s="7" t="s">
        <v>681</v>
      </c>
      <c r="G382" s="7" t="s">
        <v>702</v>
      </c>
      <c r="H382" s="7" t="s">
        <v>711</v>
      </c>
      <c r="I382" s="7" t="s">
        <v>724</v>
      </c>
      <c r="J382" s="7" t="s">
        <v>729</v>
      </c>
      <c r="K382" s="7" t="s">
        <v>1113</v>
      </c>
      <c r="L382" s="9">
        <v>833.73</v>
      </c>
      <c r="M382" s="9">
        <v>1116.5999999999999</v>
      </c>
      <c r="N382" s="11">
        <v>0.17599999999999999</v>
      </c>
      <c r="O382" s="13">
        <v>14</v>
      </c>
    </row>
    <row r="383" spans="1:15" x14ac:dyDescent="0.3">
      <c r="A383" t="s">
        <v>396</v>
      </c>
      <c r="B383" s="4">
        <v>45861</v>
      </c>
      <c r="C383" s="4">
        <v>45886</v>
      </c>
      <c r="D383" s="7" t="s">
        <v>649</v>
      </c>
      <c r="E383" s="7" t="s">
        <v>658</v>
      </c>
      <c r="F383" s="7" t="s">
        <v>674</v>
      </c>
      <c r="G383" s="7" t="s">
        <v>702</v>
      </c>
      <c r="H383" s="7" t="s">
        <v>708</v>
      </c>
      <c r="I383" s="7" t="s">
        <v>714</v>
      </c>
      <c r="J383" s="7" t="s">
        <v>728</v>
      </c>
      <c r="K383" s="7" t="s">
        <v>1114</v>
      </c>
      <c r="L383" s="9">
        <v>1142.06</v>
      </c>
      <c r="M383" s="9">
        <v>1455</v>
      </c>
      <c r="N383" s="11">
        <v>7.8E-2</v>
      </c>
      <c r="O383" s="13">
        <v>28</v>
      </c>
    </row>
    <row r="384" spans="1:15" x14ac:dyDescent="0.3">
      <c r="A384" t="s">
        <v>397</v>
      </c>
      <c r="B384" s="4">
        <v>45097</v>
      </c>
      <c r="C384" s="4">
        <v>45115</v>
      </c>
      <c r="D384" s="7" t="s">
        <v>648</v>
      </c>
      <c r="E384" s="7" t="s">
        <v>660</v>
      </c>
      <c r="F384" s="7" t="s">
        <v>700</v>
      </c>
      <c r="G384" s="7" t="s">
        <v>704</v>
      </c>
      <c r="H384" s="7" t="s">
        <v>709</v>
      </c>
      <c r="I384" s="7" t="s">
        <v>719</v>
      </c>
      <c r="J384" s="7" t="s">
        <v>729</v>
      </c>
      <c r="K384" s="7" t="s">
        <v>1115</v>
      </c>
      <c r="L384" s="9">
        <v>1145.53</v>
      </c>
      <c r="M384" s="9">
        <v>1278.3</v>
      </c>
      <c r="N384" s="11">
        <v>0.09</v>
      </c>
      <c r="O384" s="13">
        <v>41</v>
      </c>
    </row>
    <row r="385" spans="1:15" x14ac:dyDescent="0.3">
      <c r="A385" t="s">
        <v>398</v>
      </c>
      <c r="B385" s="4">
        <v>45491</v>
      </c>
      <c r="C385" s="4">
        <v>45511</v>
      </c>
      <c r="D385" s="7" t="s">
        <v>649</v>
      </c>
      <c r="E385" s="7" t="s">
        <v>657</v>
      </c>
      <c r="F385" s="7" t="s">
        <v>673</v>
      </c>
      <c r="G385" s="7" t="s">
        <v>701</v>
      </c>
      <c r="H385" s="7" t="s">
        <v>707</v>
      </c>
      <c r="I385" s="7" t="s">
        <v>721</v>
      </c>
      <c r="J385" s="7" t="s">
        <v>732</v>
      </c>
      <c r="K385" s="7" t="s">
        <v>1116</v>
      </c>
      <c r="L385" s="9">
        <v>941.35</v>
      </c>
      <c r="M385" s="9">
        <v>899.83</v>
      </c>
      <c r="N385" s="11">
        <v>5.8000000000000003E-2</v>
      </c>
      <c r="O385" s="13">
        <v>18</v>
      </c>
    </row>
    <row r="386" spans="1:15" x14ac:dyDescent="0.3">
      <c r="A386" t="s">
        <v>399</v>
      </c>
      <c r="B386" s="4">
        <v>45066</v>
      </c>
      <c r="C386" s="4">
        <v>45096</v>
      </c>
      <c r="D386" s="7" t="s">
        <v>647</v>
      </c>
      <c r="E386" s="7" t="s">
        <v>654</v>
      </c>
      <c r="F386" s="7" t="s">
        <v>680</v>
      </c>
      <c r="G386" s="7" t="s">
        <v>703</v>
      </c>
      <c r="H386" s="7" t="s">
        <v>709</v>
      </c>
      <c r="I386" s="7" t="s">
        <v>722</v>
      </c>
      <c r="J386" s="7" t="s">
        <v>731</v>
      </c>
      <c r="K386" s="7" t="s">
        <v>1117</v>
      </c>
      <c r="L386" s="9">
        <v>1161.2</v>
      </c>
      <c r="M386" s="9">
        <v>878.73</v>
      </c>
      <c r="N386" s="11">
        <v>0.19</v>
      </c>
      <c r="O386" s="13">
        <v>31</v>
      </c>
    </row>
    <row r="387" spans="1:15" x14ac:dyDescent="0.3">
      <c r="A387" t="s">
        <v>400</v>
      </c>
      <c r="B387" s="4">
        <v>45789</v>
      </c>
      <c r="C387" s="4">
        <v>45803</v>
      </c>
      <c r="D387" s="7" t="s">
        <v>647</v>
      </c>
      <c r="E387" s="7" t="s">
        <v>654</v>
      </c>
      <c r="F387" s="7" t="s">
        <v>696</v>
      </c>
      <c r="G387" s="7" t="s">
        <v>701</v>
      </c>
      <c r="H387" s="7" t="s">
        <v>709</v>
      </c>
      <c r="I387" s="7" t="s">
        <v>715</v>
      </c>
      <c r="J387" s="7" t="s">
        <v>728</v>
      </c>
      <c r="K387" s="7" t="s">
        <v>1118</v>
      </c>
      <c r="L387" s="9">
        <v>320.12</v>
      </c>
      <c r="M387" s="9">
        <v>594.41999999999996</v>
      </c>
      <c r="N387" s="11">
        <v>0.104</v>
      </c>
      <c r="O387" s="13">
        <v>18</v>
      </c>
    </row>
    <row r="388" spans="1:15" x14ac:dyDescent="0.3">
      <c r="A388" t="s">
        <v>401</v>
      </c>
      <c r="B388" s="4">
        <v>45419</v>
      </c>
      <c r="C388" s="4">
        <v>45424</v>
      </c>
      <c r="D388" s="7" t="s">
        <v>646</v>
      </c>
      <c r="E388" s="7" t="s">
        <v>651</v>
      </c>
      <c r="F388" s="7" t="s">
        <v>669</v>
      </c>
      <c r="G388" s="7" t="s">
        <v>703</v>
      </c>
      <c r="H388" s="7" t="s">
        <v>710</v>
      </c>
      <c r="I388" s="7" t="s">
        <v>716</v>
      </c>
      <c r="J388" s="7" t="s">
        <v>731</v>
      </c>
      <c r="K388" s="7" t="s">
        <v>1119</v>
      </c>
      <c r="L388" s="9">
        <v>1163.99</v>
      </c>
      <c r="M388" s="9">
        <v>1617.85</v>
      </c>
      <c r="N388" s="11">
        <v>0.127</v>
      </c>
      <c r="O388" s="13">
        <v>14</v>
      </c>
    </row>
    <row r="389" spans="1:15" x14ac:dyDescent="0.3">
      <c r="A389" t="s">
        <v>402</v>
      </c>
      <c r="B389" s="4">
        <v>45199</v>
      </c>
      <c r="C389" s="4">
        <v>45202</v>
      </c>
      <c r="D389" s="7" t="s">
        <v>647</v>
      </c>
      <c r="E389" s="7" t="s">
        <v>659</v>
      </c>
      <c r="F389" s="7" t="s">
        <v>699</v>
      </c>
      <c r="G389" s="7" t="s">
        <v>703</v>
      </c>
      <c r="H389" s="7" t="s">
        <v>707</v>
      </c>
      <c r="I389" s="7" t="s">
        <v>713</v>
      </c>
      <c r="J389" s="7" t="s">
        <v>731</v>
      </c>
      <c r="K389" s="7" t="s">
        <v>1120</v>
      </c>
      <c r="L389" s="9">
        <v>1019.36</v>
      </c>
      <c r="M389" s="9">
        <v>972.91</v>
      </c>
      <c r="N389" s="11">
        <v>0.14699999999999999</v>
      </c>
      <c r="O389" s="13">
        <v>17</v>
      </c>
    </row>
    <row r="390" spans="1:15" x14ac:dyDescent="0.3">
      <c r="A390" t="s">
        <v>403</v>
      </c>
      <c r="B390" s="4">
        <v>45225</v>
      </c>
      <c r="C390" s="4">
        <v>45235</v>
      </c>
      <c r="D390" s="7" t="s">
        <v>646</v>
      </c>
      <c r="E390" s="7" t="s">
        <v>661</v>
      </c>
      <c r="F390" s="7" t="s">
        <v>695</v>
      </c>
      <c r="G390" s="7" t="s">
        <v>703</v>
      </c>
      <c r="H390" s="7" t="s">
        <v>708</v>
      </c>
      <c r="I390" s="7" t="s">
        <v>714</v>
      </c>
      <c r="J390" s="7" t="s">
        <v>731</v>
      </c>
      <c r="K390" s="7" t="s">
        <v>1121</v>
      </c>
      <c r="L390" s="9">
        <v>20.38</v>
      </c>
      <c r="M390" s="9">
        <v>42.56</v>
      </c>
      <c r="N390" s="11">
        <v>7.1999999999999995E-2</v>
      </c>
      <c r="O390" s="13">
        <v>11</v>
      </c>
    </row>
    <row r="391" spans="1:15" x14ac:dyDescent="0.3">
      <c r="A391" t="s">
        <v>404</v>
      </c>
      <c r="B391" s="4">
        <v>45823</v>
      </c>
      <c r="C391" s="4">
        <v>45838</v>
      </c>
      <c r="D391" s="7" t="s">
        <v>646</v>
      </c>
      <c r="E391" s="7" t="s">
        <v>661</v>
      </c>
      <c r="F391" s="7" t="s">
        <v>682</v>
      </c>
      <c r="G391" s="7" t="s">
        <v>705</v>
      </c>
      <c r="H391" s="7" t="s">
        <v>711</v>
      </c>
      <c r="I391" s="7" t="s">
        <v>712</v>
      </c>
      <c r="J391" s="7" t="s">
        <v>732</v>
      </c>
      <c r="K391" s="7" t="s">
        <v>1122</v>
      </c>
      <c r="L391" s="9">
        <v>1487.59</v>
      </c>
      <c r="M391" s="9">
        <v>1480.83</v>
      </c>
      <c r="N391" s="11">
        <v>8.9999999999999993E-3</v>
      </c>
      <c r="O391" s="13">
        <v>11</v>
      </c>
    </row>
    <row r="392" spans="1:15" x14ac:dyDescent="0.3">
      <c r="A392" t="s">
        <v>405</v>
      </c>
      <c r="B392" s="4">
        <v>45514</v>
      </c>
      <c r="C392" s="4">
        <v>45542</v>
      </c>
      <c r="D392" s="7" t="s">
        <v>649</v>
      </c>
      <c r="E392" s="7" t="s">
        <v>657</v>
      </c>
      <c r="F392" s="7" t="s">
        <v>673</v>
      </c>
      <c r="G392" s="7" t="s">
        <v>703</v>
      </c>
      <c r="H392" s="7" t="s">
        <v>711</v>
      </c>
      <c r="I392" s="7" t="s">
        <v>721</v>
      </c>
      <c r="J392" s="7" t="s">
        <v>728</v>
      </c>
      <c r="K392" s="7" t="s">
        <v>1123</v>
      </c>
      <c r="L392" s="9">
        <v>229.96</v>
      </c>
      <c r="M392" s="9">
        <v>564.26</v>
      </c>
      <c r="N392" s="11">
        <v>0.105</v>
      </c>
      <c r="O392" s="13">
        <v>5</v>
      </c>
    </row>
    <row r="393" spans="1:15" x14ac:dyDescent="0.3">
      <c r="A393" t="s">
        <v>406</v>
      </c>
      <c r="B393" s="4">
        <v>45208</v>
      </c>
      <c r="C393" s="4">
        <v>45225</v>
      </c>
      <c r="D393" s="7" t="s">
        <v>647</v>
      </c>
      <c r="E393" s="7" t="s">
        <v>659</v>
      </c>
      <c r="F393" s="7" t="s">
        <v>685</v>
      </c>
      <c r="G393" s="7" t="s">
        <v>704</v>
      </c>
      <c r="H393" s="7" t="s">
        <v>709</v>
      </c>
      <c r="I393" s="7" t="s">
        <v>712</v>
      </c>
      <c r="J393" s="7" t="s">
        <v>727</v>
      </c>
      <c r="K393" s="7" t="s">
        <v>1124</v>
      </c>
      <c r="L393" s="9">
        <v>1132.03</v>
      </c>
      <c r="M393" s="9">
        <v>2137.21</v>
      </c>
      <c r="N393" s="11">
        <v>0.35699999999999998</v>
      </c>
      <c r="O393" s="13">
        <v>35</v>
      </c>
    </row>
    <row r="394" spans="1:15" x14ac:dyDescent="0.3">
      <c r="A394" t="s">
        <v>407</v>
      </c>
      <c r="B394" s="4">
        <v>45360</v>
      </c>
      <c r="C394" s="4">
        <v>45377</v>
      </c>
      <c r="D394" s="7" t="s">
        <v>648</v>
      </c>
      <c r="E394" s="7" t="s">
        <v>660</v>
      </c>
      <c r="F394" s="7" t="s">
        <v>686</v>
      </c>
      <c r="G394" s="7" t="s">
        <v>702</v>
      </c>
      <c r="H394" s="7" t="s">
        <v>711</v>
      </c>
      <c r="I394" s="7" t="s">
        <v>714</v>
      </c>
      <c r="J394" s="7" t="s">
        <v>730</v>
      </c>
      <c r="K394" s="7" t="s">
        <v>1125</v>
      </c>
      <c r="L394" s="9">
        <v>1137.4100000000001</v>
      </c>
      <c r="M394" s="9">
        <v>1680.93</v>
      </c>
      <c r="N394" s="11">
        <v>0.254</v>
      </c>
      <c r="O394" s="13">
        <v>9</v>
      </c>
    </row>
    <row r="395" spans="1:15" x14ac:dyDescent="0.3">
      <c r="A395" t="s">
        <v>408</v>
      </c>
      <c r="B395" s="4">
        <v>45075</v>
      </c>
      <c r="C395" s="4">
        <v>45097</v>
      </c>
      <c r="D395" s="7" t="s">
        <v>649</v>
      </c>
      <c r="E395" s="7" t="s">
        <v>658</v>
      </c>
      <c r="F395" s="7" t="s">
        <v>683</v>
      </c>
      <c r="G395" s="7" t="s">
        <v>705</v>
      </c>
      <c r="H395" s="7" t="s">
        <v>711</v>
      </c>
      <c r="I395" s="7" t="s">
        <v>723</v>
      </c>
      <c r="J395" s="7" t="s">
        <v>727</v>
      </c>
      <c r="K395" s="7" t="s">
        <v>1126</v>
      </c>
      <c r="L395" s="9">
        <v>1295.3900000000001</v>
      </c>
      <c r="M395" s="9">
        <v>2905.06</v>
      </c>
      <c r="N395" s="11">
        <v>0.14799999999999999</v>
      </c>
      <c r="O395" s="13">
        <v>8</v>
      </c>
    </row>
    <row r="396" spans="1:15" x14ac:dyDescent="0.3">
      <c r="A396" t="s">
        <v>409</v>
      </c>
      <c r="B396" s="4">
        <v>45804</v>
      </c>
      <c r="C396" s="4">
        <v>45816</v>
      </c>
      <c r="D396" s="7" t="s">
        <v>647</v>
      </c>
      <c r="E396" s="7" t="s">
        <v>652</v>
      </c>
      <c r="F396" s="7" t="s">
        <v>666</v>
      </c>
      <c r="G396" s="7" t="s">
        <v>701</v>
      </c>
      <c r="H396" s="7" t="s">
        <v>707</v>
      </c>
      <c r="I396" s="7" t="s">
        <v>722</v>
      </c>
      <c r="J396" s="7" t="s">
        <v>733</v>
      </c>
      <c r="K396" s="7" t="s">
        <v>1127</v>
      </c>
      <c r="L396" s="9">
        <v>653.6</v>
      </c>
      <c r="M396" s="9">
        <v>842.09</v>
      </c>
      <c r="N396" s="11">
        <v>9.8000000000000004E-2</v>
      </c>
      <c r="O396" s="13">
        <v>19</v>
      </c>
    </row>
    <row r="397" spans="1:15" x14ac:dyDescent="0.3">
      <c r="A397" t="s">
        <v>410</v>
      </c>
      <c r="B397" s="4">
        <v>45890</v>
      </c>
      <c r="C397" s="4">
        <v>45914</v>
      </c>
      <c r="D397" s="7" t="s">
        <v>649</v>
      </c>
      <c r="E397" s="7" t="s">
        <v>656</v>
      </c>
      <c r="F397" s="7" t="s">
        <v>671</v>
      </c>
      <c r="G397" s="7" t="s">
        <v>703</v>
      </c>
      <c r="H397" s="7" t="s">
        <v>708</v>
      </c>
      <c r="I397" s="7" t="s">
        <v>720</v>
      </c>
      <c r="J397" s="7" t="s">
        <v>732</v>
      </c>
      <c r="K397" s="7" t="s">
        <v>1128</v>
      </c>
      <c r="L397" s="9">
        <v>1397.67</v>
      </c>
      <c r="M397" s="9">
        <v>3131.37</v>
      </c>
      <c r="N397" s="11">
        <v>0.10299999999999999</v>
      </c>
      <c r="O397" s="13">
        <v>20</v>
      </c>
    </row>
    <row r="398" spans="1:15" x14ac:dyDescent="0.3">
      <c r="A398" t="s">
        <v>411</v>
      </c>
      <c r="B398" s="4">
        <v>45638</v>
      </c>
      <c r="C398" s="4">
        <v>45646</v>
      </c>
      <c r="D398" s="7" t="s">
        <v>647</v>
      </c>
      <c r="E398" s="7" t="s">
        <v>652</v>
      </c>
      <c r="F398" s="7" t="s">
        <v>689</v>
      </c>
      <c r="G398" s="7" t="s">
        <v>701</v>
      </c>
      <c r="H398" s="7" t="s">
        <v>707</v>
      </c>
      <c r="I398" s="7" t="s">
        <v>717</v>
      </c>
      <c r="J398" s="7" t="s">
        <v>731</v>
      </c>
      <c r="K398" s="7" t="s">
        <v>1129</v>
      </c>
      <c r="L398" s="9">
        <v>1202.47</v>
      </c>
      <c r="M398" s="9">
        <v>1444.72</v>
      </c>
      <c r="N398" s="11">
        <v>0.24099999999999999</v>
      </c>
      <c r="O398" s="13">
        <v>17</v>
      </c>
    </row>
    <row r="399" spans="1:15" x14ac:dyDescent="0.3">
      <c r="A399" t="s">
        <v>412</v>
      </c>
      <c r="B399" s="4">
        <v>45914</v>
      </c>
      <c r="C399" s="4">
        <v>45923</v>
      </c>
      <c r="D399" s="7" t="s">
        <v>646</v>
      </c>
      <c r="E399" s="7" t="s">
        <v>661</v>
      </c>
      <c r="F399" s="7" t="s">
        <v>687</v>
      </c>
      <c r="G399" s="7" t="s">
        <v>703</v>
      </c>
      <c r="H399" s="7" t="s">
        <v>708</v>
      </c>
      <c r="I399" s="7" t="s">
        <v>726</v>
      </c>
      <c r="J399" s="7" t="s">
        <v>727</v>
      </c>
      <c r="K399" s="7" t="s">
        <v>1130</v>
      </c>
      <c r="L399" s="9">
        <v>1310.3</v>
      </c>
      <c r="M399" s="9">
        <v>2875.8</v>
      </c>
      <c r="N399" s="11">
        <v>8.3000000000000004E-2</v>
      </c>
      <c r="O399" s="13">
        <v>5</v>
      </c>
    </row>
    <row r="400" spans="1:15" x14ac:dyDescent="0.3">
      <c r="A400" t="s">
        <v>413</v>
      </c>
      <c r="B400" s="4">
        <v>45541</v>
      </c>
      <c r="C400" s="4">
        <v>45569</v>
      </c>
      <c r="D400" s="7" t="s">
        <v>646</v>
      </c>
      <c r="E400" s="7" t="s">
        <v>661</v>
      </c>
      <c r="F400" s="7" t="s">
        <v>695</v>
      </c>
      <c r="G400" s="7" t="s">
        <v>701</v>
      </c>
      <c r="H400" s="7" t="s">
        <v>709</v>
      </c>
      <c r="I400" s="7" t="s">
        <v>726</v>
      </c>
      <c r="J400" s="7" t="s">
        <v>732</v>
      </c>
      <c r="K400" s="7" t="s">
        <v>1131</v>
      </c>
      <c r="L400" s="9">
        <v>1174.17</v>
      </c>
      <c r="M400" s="9">
        <v>1641.61</v>
      </c>
      <c r="N400" s="11">
        <v>0.122</v>
      </c>
      <c r="O400" s="13">
        <v>9</v>
      </c>
    </row>
    <row r="401" spans="1:15" x14ac:dyDescent="0.3">
      <c r="A401" t="s">
        <v>414</v>
      </c>
      <c r="B401" s="4">
        <v>45759</v>
      </c>
      <c r="C401" s="4">
        <v>45777</v>
      </c>
      <c r="D401" s="7" t="s">
        <v>646</v>
      </c>
      <c r="E401" s="7" t="s">
        <v>650</v>
      </c>
      <c r="F401" s="7" t="s">
        <v>662</v>
      </c>
      <c r="G401" s="7" t="s">
        <v>701</v>
      </c>
      <c r="H401" s="7" t="s">
        <v>709</v>
      </c>
      <c r="I401" s="7" t="s">
        <v>721</v>
      </c>
      <c r="J401" s="7" t="s">
        <v>729</v>
      </c>
      <c r="K401" s="7" t="s">
        <v>1132</v>
      </c>
      <c r="L401" s="9">
        <v>1119.04</v>
      </c>
      <c r="M401" s="9">
        <v>1299.02</v>
      </c>
      <c r="N401" s="11">
        <v>2.5000000000000001E-2</v>
      </c>
      <c r="O401" s="13">
        <v>14</v>
      </c>
    </row>
    <row r="402" spans="1:15" x14ac:dyDescent="0.3">
      <c r="A402" t="s">
        <v>415</v>
      </c>
      <c r="B402" s="4">
        <v>45516</v>
      </c>
      <c r="C402" s="4">
        <v>45519</v>
      </c>
      <c r="D402" s="7" t="s">
        <v>648</v>
      </c>
      <c r="E402" s="7" t="s">
        <v>660</v>
      </c>
      <c r="F402" s="7" t="s">
        <v>677</v>
      </c>
      <c r="G402" s="7" t="s">
        <v>701</v>
      </c>
      <c r="H402" s="7" t="s">
        <v>709</v>
      </c>
      <c r="I402" s="7" t="s">
        <v>726</v>
      </c>
      <c r="J402" s="7" t="s">
        <v>728</v>
      </c>
      <c r="K402" s="7" t="s">
        <v>1133</v>
      </c>
      <c r="L402" s="9">
        <v>850.7</v>
      </c>
      <c r="M402" s="9">
        <v>1118.56</v>
      </c>
      <c r="N402" s="11">
        <v>0.18</v>
      </c>
      <c r="O402" s="13">
        <v>19</v>
      </c>
    </row>
    <row r="403" spans="1:15" x14ac:dyDescent="0.3">
      <c r="A403" t="s">
        <v>416</v>
      </c>
      <c r="B403" s="4">
        <v>45601</v>
      </c>
      <c r="C403" s="4">
        <v>45604</v>
      </c>
      <c r="D403" s="7" t="s">
        <v>648</v>
      </c>
      <c r="E403" s="7" t="s">
        <v>653</v>
      </c>
      <c r="F403" s="7" t="s">
        <v>667</v>
      </c>
      <c r="G403" s="7" t="s">
        <v>702</v>
      </c>
      <c r="H403" s="7" t="s">
        <v>709</v>
      </c>
      <c r="I403" s="7" t="s">
        <v>719</v>
      </c>
      <c r="J403" s="7" t="s">
        <v>727</v>
      </c>
      <c r="K403" s="7" t="s">
        <v>1134</v>
      </c>
      <c r="L403" s="9">
        <v>1020.4</v>
      </c>
      <c r="M403" s="9">
        <v>1184.71</v>
      </c>
      <c r="N403" s="11">
        <v>0.106</v>
      </c>
      <c r="O403" s="13">
        <v>16</v>
      </c>
    </row>
    <row r="404" spans="1:15" x14ac:dyDescent="0.3">
      <c r="A404" t="s">
        <v>417</v>
      </c>
      <c r="B404" s="4">
        <v>45497</v>
      </c>
      <c r="C404" s="4">
        <v>45512</v>
      </c>
      <c r="D404" s="7" t="s">
        <v>649</v>
      </c>
      <c r="E404" s="7" t="s">
        <v>657</v>
      </c>
      <c r="F404" s="7" t="s">
        <v>673</v>
      </c>
      <c r="G404" s="7" t="s">
        <v>706</v>
      </c>
      <c r="H404" s="7" t="s">
        <v>709</v>
      </c>
      <c r="I404" s="7" t="s">
        <v>722</v>
      </c>
      <c r="J404" s="7" t="s">
        <v>731</v>
      </c>
      <c r="K404" s="7" t="s">
        <v>1135</v>
      </c>
      <c r="L404" s="9">
        <v>501.5</v>
      </c>
      <c r="M404" s="9">
        <v>1201.47</v>
      </c>
      <c r="N404" s="11">
        <v>0.126</v>
      </c>
      <c r="O404" s="13">
        <v>5</v>
      </c>
    </row>
    <row r="405" spans="1:15" x14ac:dyDescent="0.3">
      <c r="A405" t="s">
        <v>418</v>
      </c>
      <c r="B405" s="4">
        <v>45677</v>
      </c>
      <c r="C405" s="4">
        <v>45691</v>
      </c>
      <c r="D405" s="7" t="s">
        <v>648</v>
      </c>
      <c r="E405" s="7" t="s">
        <v>655</v>
      </c>
      <c r="F405" s="7" t="s">
        <v>672</v>
      </c>
      <c r="G405" s="7" t="s">
        <v>706</v>
      </c>
      <c r="H405" s="7" t="s">
        <v>709</v>
      </c>
      <c r="I405" s="7" t="s">
        <v>721</v>
      </c>
      <c r="J405" s="7" t="s">
        <v>727</v>
      </c>
      <c r="K405" s="7" t="s">
        <v>1136</v>
      </c>
      <c r="L405" s="9">
        <v>974.11</v>
      </c>
      <c r="M405" s="9">
        <v>880.99</v>
      </c>
      <c r="N405" s="11">
        <v>0.111</v>
      </c>
      <c r="O405" s="13">
        <v>10</v>
      </c>
    </row>
    <row r="406" spans="1:15" x14ac:dyDescent="0.3">
      <c r="A406" t="s">
        <v>419</v>
      </c>
      <c r="B406" s="4">
        <v>44991</v>
      </c>
      <c r="C406" s="4">
        <v>45020</v>
      </c>
      <c r="D406" s="7" t="s">
        <v>647</v>
      </c>
      <c r="E406" s="7" t="s">
        <v>659</v>
      </c>
      <c r="F406" s="7" t="s">
        <v>699</v>
      </c>
      <c r="G406" s="7" t="s">
        <v>705</v>
      </c>
      <c r="H406" s="7" t="s">
        <v>711</v>
      </c>
      <c r="I406" s="7" t="s">
        <v>712</v>
      </c>
      <c r="J406" s="7" t="s">
        <v>732</v>
      </c>
      <c r="K406" s="7" t="s">
        <v>1137</v>
      </c>
      <c r="L406" s="9">
        <v>1126.29</v>
      </c>
      <c r="M406" s="9">
        <v>2050.87</v>
      </c>
      <c r="N406" s="11">
        <v>6.4000000000000001E-2</v>
      </c>
      <c r="O406" s="13">
        <v>7</v>
      </c>
    </row>
    <row r="407" spans="1:15" x14ac:dyDescent="0.3">
      <c r="A407" t="s">
        <v>420</v>
      </c>
      <c r="B407" s="4">
        <v>45646</v>
      </c>
      <c r="C407" s="4">
        <v>45671</v>
      </c>
      <c r="D407" s="7" t="s">
        <v>647</v>
      </c>
      <c r="E407" s="7" t="s">
        <v>654</v>
      </c>
      <c r="F407" s="7" t="s">
        <v>680</v>
      </c>
      <c r="G407" s="7" t="s">
        <v>705</v>
      </c>
      <c r="H407" s="7" t="s">
        <v>707</v>
      </c>
      <c r="I407" s="7" t="s">
        <v>724</v>
      </c>
      <c r="J407" s="7" t="s">
        <v>728</v>
      </c>
      <c r="K407" s="7" t="s">
        <v>1138</v>
      </c>
      <c r="L407" s="9">
        <v>1361.34</v>
      </c>
      <c r="M407" s="9">
        <v>1737.9</v>
      </c>
      <c r="N407" s="11">
        <v>7.6999999999999999E-2</v>
      </c>
      <c r="O407" s="13">
        <v>14</v>
      </c>
    </row>
    <row r="408" spans="1:15" x14ac:dyDescent="0.3">
      <c r="A408" t="s">
        <v>421</v>
      </c>
      <c r="B408" s="4">
        <v>45709</v>
      </c>
      <c r="C408" s="4">
        <v>45737</v>
      </c>
      <c r="D408" s="7" t="s">
        <v>646</v>
      </c>
      <c r="E408" s="7" t="s">
        <v>651</v>
      </c>
      <c r="F408" s="7" t="s">
        <v>669</v>
      </c>
      <c r="G408" s="7" t="s">
        <v>706</v>
      </c>
      <c r="H408" s="7" t="s">
        <v>709</v>
      </c>
      <c r="I408" s="7" t="s">
        <v>714</v>
      </c>
      <c r="J408" s="7" t="s">
        <v>730</v>
      </c>
      <c r="K408" s="7" t="s">
        <v>1139</v>
      </c>
      <c r="L408" s="9">
        <v>1437.39</v>
      </c>
      <c r="M408" s="9">
        <v>1388.31</v>
      </c>
      <c r="N408" s="11">
        <v>0.13800000000000001</v>
      </c>
      <c r="O408" s="13">
        <v>18</v>
      </c>
    </row>
    <row r="409" spans="1:15" x14ac:dyDescent="0.3">
      <c r="A409" t="s">
        <v>422</v>
      </c>
      <c r="B409" s="4">
        <v>45724</v>
      </c>
      <c r="C409" s="4">
        <v>45731</v>
      </c>
      <c r="D409" s="7" t="s">
        <v>647</v>
      </c>
      <c r="E409" s="7" t="s">
        <v>654</v>
      </c>
      <c r="F409" s="7" t="s">
        <v>668</v>
      </c>
      <c r="G409" s="7" t="s">
        <v>701</v>
      </c>
      <c r="H409" s="7" t="s">
        <v>710</v>
      </c>
      <c r="I409" s="7" t="s">
        <v>723</v>
      </c>
      <c r="J409" s="7" t="s">
        <v>731</v>
      </c>
      <c r="K409" s="7" t="s">
        <v>1140</v>
      </c>
      <c r="L409" s="9">
        <v>475.66</v>
      </c>
      <c r="M409" s="9">
        <v>529.14</v>
      </c>
      <c r="N409" s="11">
        <v>0.19600000000000001</v>
      </c>
      <c r="O409" s="13">
        <v>11</v>
      </c>
    </row>
    <row r="410" spans="1:15" x14ac:dyDescent="0.3">
      <c r="A410" t="s">
        <v>423</v>
      </c>
      <c r="B410" s="4">
        <v>45276</v>
      </c>
      <c r="C410" s="4">
        <v>45279</v>
      </c>
      <c r="D410" s="7" t="s">
        <v>647</v>
      </c>
      <c r="E410" s="7" t="s">
        <v>659</v>
      </c>
      <c r="F410" s="7" t="s">
        <v>699</v>
      </c>
      <c r="G410" s="7" t="s">
        <v>702</v>
      </c>
      <c r="H410" s="7" t="s">
        <v>707</v>
      </c>
      <c r="I410" s="7" t="s">
        <v>720</v>
      </c>
      <c r="J410" s="7" t="s">
        <v>733</v>
      </c>
      <c r="K410" s="7" t="s">
        <v>1141</v>
      </c>
      <c r="L410" s="9">
        <v>1415.05</v>
      </c>
      <c r="M410" s="9">
        <v>1972.38</v>
      </c>
      <c r="N410" s="11">
        <v>0</v>
      </c>
      <c r="O410" s="13">
        <v>12</v>
      </c>
    </row>
    <row r="411" spans="1:15" x14ac:dyDescent="0.3">
      <c r="A411" t="s">
        <v>424</v>
      </c>
      <c r="B411" s="4">
        <v>45534</v>
      </c>
      <c r="C411" s="4">
        <v>45540</v>
      </c>
      <c r="D411" s="7" t="s">
        <v>647</v>
      </c>
      <c r="E411" s="7" t="s">
        <v>652</v>
      </c>
      <c r="F411" s="7" t="s">
        <v>694</v>
      </c>
      <c r="G411" s="7" t="s">
        <v>702</v>
      </c>
      <c r="H411" s="7" t="s">
        <v>708</v>
      </c>
      <c r="I411" s="7" t="s">
        <v>725</v>
      </c>
      <c r="J411" s="7" t="s">
        <v>731</v>
      </c>
      <c r="K411" s="7" t="s">
        <v>1142</v>
      </c>
      <c r="L411" s="9">
        <v>466.16</v>
      </c>
      <c r="M411" s="9">
        <v>876.81</v>
      </c>
      <c r="N411" s="11">
        <v>0.24099999999999999</v>
      </c>
      <c r="O411" s="13">
        <v>8</v>
      </c>
    </row>
    <row r="412" spans="1:15" x14ac:dyDescent="0.3">
      <c r="A412" t="s">
        <v>425</v>
      </c>
      <c r="B412" s="4">
        <v>45430</v>
      </c>
      <c r="C412" s="4">
        <v>45433</v>
      </c>
      <c r="D412" s="7" t="s">
        <v>649</v>
      </c>
      <c r="E412" s="7" t="s">
        <v>657</v>
      </c>
      <c r="F412" s="7" t="s">
        <v>673</v>
      </c>
      <c r="G412" s="7" t="s">
        <v>703</v>
      </c>
      <c r="H412" s="7" t="s">
        <v>709</v>
      </c>
      <c r="I412" s="7" t="s">
        <v>726</v>
      </c>
      <c r="J412" s="7" t="s">
        <v>728</v>
      </c>
      <c r="K412" s="7" t="s">
        <v>1143</v>
      </c>
      <c r="L412" s="9">
        <v>663.66</v>
      </c>
      <c r="M412" s="9">
        <v>824.26</v>
      </c>
      <c r="N412" s="11">
        <v>0.23899999999999999</v>
      </c>
      <c r="O412" s="13">
        <v>11</v>
      </c>
    </row>
    <row r="413" spans="1:15" x14ac:dyDescent="0.3">
      <c r="A413" t="s">
        <v>426</v>
      </c>
      <c r="B413" s="4">
        <v>45002</v>
      </c>
      <c r="C413" s="4">
        <v>45022</v>
      </c>
      <c r="D413" s="7" t="s">
        <v>649</v>
      </c>
      <c r="E413" s="7" t="s">
        <v>656</v>
      </c>
      <c r="F413" s="7" t="s">
        <v>684</v>
      </c>
      <c r="G413" s="7" t="s">
        <v>704</v>
      </c>
      <c r="H413" s="7" t="s">
        <v>707</v>
      </c>
      <c r="I413" s="7" t="s">
        <v>719</v>
      </c>
      <c r="J413" s="7" t="s">
        <v>730</v>
      </c>
      <c r="K413" s="7" t="s">
        <v>1144</v>
      </c>
      <c r="L413" s="9">
        <v>692.18</v>
      </c>
      <c r="M413" s="9">
        <v>1159.3499999999999</v>
      </c>
      <c r="N413" s="11">
        <v>0.112</v>
      </c>
      <c r="O413" s="13">
        <v>2</v>
      </c>
    </row>
    <row r="414" spans="1:15" x14ac:dyDescent="0.3">
      <c r="A414" t="s">
        <v>427</v>
      </c>
      <c r="B414" s="4">
        <v>45163</v>
      </c>
      <c r="C414" s="4">
        <v>45185</v>
      </c>
      <c r="D414" s="7" t="s">
        <v>646</v>
      </c>
      <c r="E414" s="7" t="s">
        <v>651</v>
      </c>
      <c r="F414" s="7" t="s">
        <v>669</v>
      </c>
      <c r="G414" s="7" t="s">
        <v>701</v>
      </c>
      <c r="H414" s="7" t="s">
        <v>709</v>
      </c>
      <c r="I414" s="7" t="s">
        <v>716</v>
      </c>
      <c r="J414" s="7" t="s">
        <v>730</v>
      </c>
      <c r="K414" s="7" t="s">
        <v>1145</v>
      </c>
      <c r="L414" s="9">
        <v>1196.83</v>
      </c>
      <c r="M414" s="9">
        <v>2513.5100000000002</v>
      </c>
      <c r="N414" s="11">
        <v>8.3000000000000004E-2</v>
      </c>
      <c r="O414" s="13">
        <v>7</v>
      </c>
    </row>
    <row r="415" spans="1:15" x14ac:dyDescent="0.3">
      <c r="A415" t="s">
        <v>428</v>
      </c>
      <c r="B415" s="4">
        <v>45449</v>
      </c>
      <c r="C415" s="4">
        <v>45467</v>
      </c>
      <c r="D415" s="7" t="s">
        <v>647</v>
      </c>
      <c r="E415" s="7" t="s">
        <v>654</v>
      </c>
      <c r="F415" s="7" t="s">
        <v>668</v>
      </c>
      <c r="G415" s="7" t="s">
        <v>705</v>
      </c>
      <c r="H415" s="7" t="s">
        <v>711</v>
      </c>
      <c r="I415" s="7" t="s">
        <v>722</v>
      </c>
      <c r="J415" s="7" t="s">
        <v>729</v>
      </c>
      <c r="K415" s="7" t="s">
        <v>1146</v>
      </c>
      <c r="L415" s="9">
        <v>1253.25</v>
      </c>
      <c r="M415" s="9">
        <v>3087.13</v>
      </c>
      <c r="N415" s="11">
        <v>7.1999999999999995E-2</v>
      </c>
      <c r="O415" s="13">
        <v>11</v>
      </c>
    </row>
    <row r="416" spans="1:15" x14ac:dyDescent="0.3">
      <c r="A416" t="s">
        <v>429</v>
      </c>
      <c r="B416" s="4">
        <v>45167</v>
      </c>
      <c r="C416" s="4">
        <v>45182</v>
      </c>
      <c r="D416" s="7" t="s">
        <v>648</v>
      </c>
      <c r="E416" s="7" t="s">
        <v>653</v>
      </c>
      <c r="F416" s="7" t="s">
        <v>688</v>
      </c>
      <c r="G416" s="7" t="s">
        <v>705</v>
      </c>
      <c r="H416" s="7" t="s">
        <v>709</v>
      </c>
      <c r="I416" s="7" t="s">
        <v>719</v>
      </c>
      <c r="J416" s="7" t="s">
        <v>728</v>
      </c>
      <c r="K416" s="7" t="s">
        <v>1147</v>
      </c>
      <c r="L416" s="9">
        <v>1287.6400000000001</v>
      </c>
      <c r="M416" s="9">
        <v>2717.15</v>
      </c>
      <c r="N416" s="11">
        <v>3.2000000000000001E-2</v>
      </c>
      <c r="O416" s="13">
        <v>7</v>
      </c>
    </row>
    <row r="417" spans="1:15" x14ac:dyDescent="0.3">
      <c r="A417" t="s">
        <v>430</v>
      </c>
      <c r="B417" s="4">
        <v>45626</v>
      </c>
      <c r="C417" s="4">
        <v>45636</v>
      </c>
      <c r="D417" s="7" t="s">
        <v>647</v>
      </c>
      <c r="E417" s="7" t="s">
        <v>654</v>
      </c>
      <c r="F417" s="7" t="s">
        <v>696</v>
      </c>
      <c r="G417" s="7" t="s">
        <v>705</v>
      </c>
      <c r="H417" s="7" t="s">
        <v>707</v>
      </c>
      <c r="I417" s="7" t="s">
        <v>721</v>
      </c>
      <c r="J417" s="7" t="s">
        <v>733</v>
      </c>
      <c r="K417" s="7" t="s">
        <v>1148</v>
      </c>
      <c r="L417" s="9">
        <v>851.49</v>
      </c>
      <c r="M417" s="9">
        <v>901.79</v>
      </c>
      <c r="N417" s="11">
        <v>0.245</v>
      </c>
      <c r="O417" s="13">
        <v>16</v>
      </c>
    </row>
    <row r="418" spans="1:15" x14ac:dyDescent="0.3">
      <c r="A418" t="s">
        <v>431</v>
      </c>
      <c r="B418" s="4">
        <v>45813</v>
      </c>
      <c r="C418" s="4">
        <v>45822</v>
      </c>
      <c r="D418" s="7" t="s">
        <v>647</v>
      </c>
      <c r="E418" s="7" t="s">
        <v>654</v>
      </c>
      <c r="F418" s="7" t="s">
        <v>680</v>
      </c>
      <c r="G418" s="7" t="s">
        <v>703</v>
      </c>
      <c r="H418" s="7" t="s">
        <v>707</v>
      </c>
      <c r="I418" s="7" t="s">
        <v>720</v>
      </c>
      <c r="J418" s="7" t="s">
        <v>733</v>
      </c>
      <c r="K418" s="7" t="s">
        <v>1149</v>
      </c>
      <c r="L418" s="9">
        <v>618.69000000000005</v>
      </c>
      <c r="M418" s="9">
        <v>796.15</v>
      </c>
      <c r="N418" s="11">
        <v>0.09</v>
      </c>
      <c r="O418" s="13">
        <v>11</v>
      </c>
    </row>
    <row r="419" spans="1:15" x14ac:dyDescent="0.3">
      <c r="A419" t="s">
        <v>432</v>
      </c>
      <c r="B419" s="4">
        <v>45730</v>
      </c>
      <c r="C419" s="4">
        <v>45755</v>
      </c>
      <c r="D419" s="7" t="s">
        <v>647</v>
      </c>
      <c r="E419" s="7" t="s">
        <v>659</v>
      </c>
      <c r="G419" s="7" t="s">
        <v>701</v>
      </c>
      <c r="H419" s="7" t="s">
        <v>710</v>
      </c>
      <c r="I419" s="7" t="s">
        <v>726</v>
      </c>
      <c r="J419" s="7" t="s">
        <v>728</v>
      </c>
      <c r="K419" s="7" t="s">
        <v>1150</v>
      </c>
      <c r="L419" s="9">
        <v>80.59</v>
      </c>
      <c r="M419" s="9">
        <v>157.82</v>
      </c>
      <c r="N419" s="11">
        <v>0.217</v>
      </c>
      <c r="O419" s="13">
        <v>6</v>
      </c>
    </row>
    <row r="420" spans="1:15" x14ac:dyDescent="0.3">
      <c r="A420" t="s">
        <v>433</v>
      </c>
      <c r="B420" s="4">
        <v>45307</v>
      </c>
      <c r="C420" s="4">
        <v>45333</v>
      </c>
      <c r="D420" s="7" t="s">
        <v>649</v>
      </c>
      <c r="E420" s="7" t="s">
        <v>656</v>
      </c>
      <c r="F420" s="7" t="s">
        <v>698</v>
      </c>
      <c r="G420" s="7" t="s">
        <v>703</v>
      </c>
      <c r="H420" s="7" t="s">
        <v>710</v>
      </c>
      <c r="I420" s="7" t="s">
        <v>718</v>
      </c>
      <c r="J420" s="7" t="s">
        <v>732</v>
      </c>
      <c r="K420" s="7" t="s">
        <v>1151</v>
      </c>
      <c r="L420" s="9">
        <v>504.93</v>
      </c>
      <c r="M420" s="9">
        <v>819.06</v>
      </c>
      <c r="N420" s="11">
        <v>0.22600000000000001</v>
      </c>
      <c r="O420" s="13">
        <v>15</v>
      </c>
    </row>
    <row r="421" spans="1:15" x14ac:dyDescent="0.3">
      <c r="A421" t="s">
        <v>434</v>
      </c>
      <c r="B421" s="4">
        <v>45211</v>
      </c>
      <c r="C421" s="4">
        <v>45228</v>
      </c>
      <c r="D421" s="7" t="s">
        <v>647</v>
      </c>
      <c r="E421" s="7" t="s">
        <v>652</v>
      </c>
      <c r="F421" s="7" t="s">
        <v>694</v>
      </c>
      <c r="G421" s="7" t="s">
        <v>703</v>
      </c>
      <c r="H421" s="7" t="s">
        <v>711</v>
      </c>
      <c r="I421" s="7" t="s">
        <v>722</v>
      </c>
      <c r="J421" s="7" t="s">
        <v>730</v>
      </c>
      <c r="K421" s="7" t="s">
        <v>1152</v>
      </c>
      <c r="L421" s="9">
        <v>1102.19</v>
      </c>
      <c r="M421" s="9">
        <v>1711.16</v>
      </c>
      <c r="N421" s="11">
        <v>0.151</v>
      </c>
      <c r="O421" s="13">
        <v>10</v>
      </c>
    </row>
    <row r="422" spans="1:15" x14ac:dyDescent="0.3">
      <c r="A422" t="s">
        <v>435</v>
      </c>
      <c r="B422" s="4">
        <v>45713</v>
      </c>
      <c r="C422" s="4">
        <v>45733</v>
      </c>
      <c r="D422" s="7" t="s">
        <v>648</v>
      </c>
      <c r="E422" s="7" t="s">
        <v>660</v>
      </c>
      <c r="F422" s="7" t="s">
        <v>686</v>
      </c>
      <c r="G422" s="7" t="s">
        <v>703</v>
      </c>
      <c r="H422" s="7" t="s">
        <v>709</v>
      </c>
      <c r="I422" s="7" t="s">
        <v>722</v>
      </c>
      <c r="J422" s="7" t="s">
        <v>730</v>
      </c>
      <c r="K422" s="7" t="s">
        <v>1153</v>
      </c>
      <c r="L422" s="9">
        <v>1205.26</v>
      </c>
      <c r="M422" s="9">
        <v>1696.35</v>
      </c>
      <c r="N422" s="11">
        <v>1.9E-2</v>
      </c>
      <c r="O422" s="13">
        <v>6</v>
      </c>
    </row>
    <row r="423" spans="1:15" x14ac:dyDescent="0.3">
      <c r="A423" t="s">
        <v>436</v>
      </c>
      <c r="B423" s="4">
        <v>45841</v>
      </c>
      <c r="C423" s="4">
        <v>45844</v>
      </c>
      <c r="D423" s="7" t="s">
        <v>646</v>
      </c>
      <c r="E423" s="7" t="s">
        <v>651</v>
      </c>
      <c r="F423" s="7" t="s">
        <v>665</v>
      </c>
      <c r="G423" s="7" t="s">
        <v>704</v>
      </c>
      <c r="H423" s="7" t="s">
        <v>708</v>
      </c>
      <c r="J423" s="7" t="s">
        <v>731</v>
      </c>
      <c r="K423" s="7" t="s">
        <v>1154</v>
      </c>
      <c r="L423" s="9">
        <v>1313.3</v>
      </c>
      <c r="M423" s="9">
        <v>2884.34</v>
      </c>
      <c r="N423" s="11">
        <v>0.157</v>
      </c>
      <c r="O423" s="13">
        <v>42</v>
      </c>
    </row>
    <row r="424" spans="1:15" x14ac:dyDescent="0.3">
      <c r="A424" t="s">
        <v>437</v>
      </c>
      <c r="B424" s="4">
        <v>45915</v>
      </c>
      <c r="C424" s="4">
        <v>45925</v>
      </c>
      <c r="D424" s="7" t="s">
        <v>647</v>
      </c>
      <c r="E424" s="7" t="s">
        <v>654</v>
      </c>
      <c r="F424" s="7" t="s">
        <v>680</v>
      </c>
      <c r="G424" s="7" t="s">
        <v>704</v>
      </c>
      <c r="H424" s="7" t="s">
        <v>707</v>
      </c>
      <c r="I424" s="7" t="s">
        <v>720</v>
      </c>
      <c r="J424" s="7" t="s">
        <v>730</v>
      </c>
      <c r="K424" s="7" t="s">
        <v>1155</v>
      </c>
      <c r="L424" s="9">
        <v>1488.91</v>
      </c>
      <c r="M424" s="9">
        <v>1483.74</v>
      </c>
      <c r="N424" s="11">
        <v>0.16800000000000001</v>
      </c>
      <c r="O424" s="13">
        <v>24</v>
      </c>
    </row>
    <row r="425" spans="1:15" x14ac:dyDescent="0.3">
      <c r="A425" t="s">
        <v>438</v>
      </c>
      <c r="B425" s="4">
        <v>45341</v>
      </c>
      <c r="C425" s="4">
        <v>45357</v>
      </c>
      <c r="D425" s="7" t="s">
        <v>647</v>
      </c>
      <c r="E425" s="7" t="s">
        <v>659</v>
      </c>
      <c r="F425" s="7" t="s">
        <v>699</v>
      </c>
      <c r="G425" s="7" t="s">
        <v>702</v>
      </c>
      <c r="H425" s="7" t="s">
        <v>709</v>
      </c>
      <c r="I425" s="7" t="s">
        <v>719</v>
      </c>
      <c r="J425" s="7" t="s">
        <v>728</v>
      </c>
      <c r="K425" s="7" t="s">
        <v>1156</v>
      </c>
      <c r="L425" s="9">
        <v>1477.84</v>
      </c>
      <c r="M425" s="9">
        <v>3197.47</v>
      </c>
      <c r="N425" s="11">
        <v>0.24299999999999999</v>
      </c>
      <c r="O425" s="13">
        <v>24</v>
      </c>
    </row>
    <row r="426" spans="1:15" x14ac:dyDescent="0.3">
      <c r="A426" t="s">
        <v>439</v>
      </c>
      <c r="B426" s="4">
        <v>45349</v>
      </c>
      <c r="C426" s="4">
        <v>45377</v>
      </c>
      <c r="D426" s="7" t="s">
        <v>647</v>
      </c>
      <c r="E426" s="7" t="s">
        <v>654</v>
      </c>
      <c r="F426" s="7" t="s">
        <v>691</v>
      </c>
      <c r="G426" s="7" t="s">
        <v>702</v>
      </c>
      <c r="H426" s="7" t="s">
        <v>709</v>
      </c>
      <c r="I426" s="7" t="s">
        <v>715</v>
      </c>
      <c r="J426" s="7" t="s">
        <v>731</v>
      </c>
      <c r="K426" s="7" t="s">
        <v>1157</v>
      </c>
      <c r="L426" s="9">
        <v>1035.19</v>
      </c>
      <c r="M426" s="9">
        <v>2322.6999999999998</v>
      </c>
      <c r="N426" s="11">
        <v>0.17299999999999999</v>
      </c>
      <c r="O426" s="13">
        <v>8</v>
      </c>
    </row>
    <row r="427" spans="1:15" x14ac:dyDescent="0.3">
      <c r="A427" t="s">
        <v>440</v>
      </c>
      <c r="B427" s="4">
        <v>45897</v>
      </c>
      <c r="C427" s="4">
        <v>45905</v>
      </c>
      <c r="D427" s="7" t="s">
        <v>646</v>
      </c>
      <c r="E427" s="7" t="s">
        <v>651</v>
      </c>
      <c r="F427" s="7" t="s">
        <v>663</v>
      </c>
      <c r="G427" s="7" t="s">
        <v>705</v>
      </c>
      <c r="H427" s="7" t="s">
        <v>709</v>
      </c>
      <c r="I427" s="7" t="s">
        <v>718</v>
      </c>
      <c r="J427" s="7" t="s">
        <v>731</v>
      </c>
      <c r="K427" s="7" t="s">
        <v>1158</v>
      </c>
      <c r="L427" s="9">
        <v>1271.0999999999999</v>
      </c>
      <c r="M427" s="9">
        <v>1932.42</v>
      </c>
      <c r="N427" s="11">
        <v>0.25</v>
      </c>
      <c r="O427" s="13">
        <v>21</v>
      </c>
    </row>
    <row r="428" spans="1:15" x14ac:dyDescent="0.3">
      <c r="A428" t="s">
        <v>441</v>
      </c>
      <c r="B428" s="4">
        <v>45522</v>
      </c>
      <c r="C428" s="4">
        <v>45547</v>
      </c>
      <c r="D428" s="7" t="s">
        <v>647</v>
      </c>
      <c r="E428" s="7" t="s">
        <v>654</v>
      </c>
      <c r="F428" s="7" t="s">
        <v>691</v>
      </c>
      <c r="G428" s="7" t="s">
        <v>704</v>
      </c>
      <c r="H428" s="7" t="s">
        <v>709</v>
      </c>
      <c r="I428" s="7" t="s">
        <v>712</v>
      </c>
      <c r="J428" s="7" t="s">
        <v>730</v>
      </c>
      <c r="K428" s="7" t="s">
        <v>1159</v>
      </c>
      <c r="L428" s="9">
        <v>1154.03</v>
      </c>
      <c r="M428" s="9">
        <v>1590.36</v>
      </c>
      <c r="N428" s="11">
        <v>0.314</v>
      </c>
      <c r="O428" s="13">
        <v>18</v>
      </c>
    </row>
    <row r="429" spans="1:15" x14ac:dyDescent="0.3">
      <c r="A429" t="s">
        <v>442</v>
      </c>
      <c r="B429" s="4">
        <v>45347</v>
      </c>
      <c r="C429" s="4">
        <v>45360</v>
      </c>
      <c r="D429" s="7" t="s">
        <v>649</v>
      </c>
      <c r="E429" s="7" t="s">
        <v>657</v>
      </c>
      <c r="F429" s="7" t="s">
        <v>673</v>
      </c>
      <c r="G429" s="7" t="s">
        <v>705</v>
      </c>
      <c r="H429" s="7" t="s">
        <v>710</v>
      </c>
      <c r="I429" s="7" t="s">
        <v>718</v>
      </c>
      <c r="J429" s="7" t="s">
        <v>732</v>
      </c>
      <c r="K429" s="7" t="s">
        <v>1160</v>
      </c>
      <c r="L429" s="9">
        <v>322.44</v>
      </c>
      <c r="M429" s="9">
        <v>395.61</v>
      </c>
      <c r="N429" s="11">
        <v>0</v>
      </c>
      <c r="O429" s="13">
        <v>34</v>
      </c>
    </row>
    <row r="430" spans="1:15" x14ac:dyDescent="0.3">
      <c r="A430" t="s">
        <v>443</v>
      </c>
      <c r="B430" s="4">
        <v>45784</v>
      </c>
      <c r="C430" s="4">
        <v>45790</v>
      </c>
      <c r="D430" s="7" t="s">
        <v>647</v>
      </c>
      <c r="E430" s="7" t="s">
        <v>654</v>
      </c>
      <c r="F430" s="7" t="s">
        <v>668</v>
      </c>
      <c r="G430" s="7" t="s">
        <v>706</v>
      </c>
      <c r="H430" s="7" t="s">
        <v>711</v>
      </c>
      <c r="I430" s="7" t="s">
        <v>713</v>
      </c>
      <c r="J430" s="7" t="s">
        <v>730</v>
      </c>
      <c r="K430" s="7" t="s">
        <v>1161</v>
      </c>
      <c r="L430" s="9">
        <v>935.98</v>
      </c>
      <c r="M430" s="9">
        <v>2077.69</v>
      </c>
      <c r="N430" s="11">
        <v>0.17499999999999999</v>
      </c>
      <c r="O430" s="13">
        <v>24</v>
      </c>
    </row>
    <row r="431" spans="1:15" x14ac:dyDescent="0.3">
      <c r="A431" t="s">
        <v>444</v>
      </c>
      <c r="B431" s="4">
        <v>45597</v>
      </c>
      <c r="C431" s="4">
        <v>45608</v>
      </c>
      <c r="D431" s="7" t="s">
        <v>649</v>
      </c>
      <c r="E431" s="7" t="s">
        <v>656</v>
      </c>
      <c r="F431" s="7" t="s">
        <v>698</v>
      </c>
      <c r="G431" s="7" t="s">
        <v>704</v>
      </c>
      <c r="H431" s="7" t="s">
        <v>708</v>
      </c>
      <c r="I431" s="7" t="s">
        <v>717</v>
      </c>
      <c r="J431" s="7" t="s">
        <v>728</v>
      </c>
      <c r="K431" s="7" t="s">
        <v>1162</v>
      </c>
      <c r="L431" s="9">
        <v>599.84</v>
      </c>
      <c r="M431" s="9">
        <v>1330.85</v>
      </c>
      <c r="N431" s="11">
        <v>0.115</v>
      </c>
      <c r="O431" s="13">
        <v>11</v>
      </c>
    </row>
    <row r="432" spans="1:15" x14ac:dyDescent="0.3">
      <c r="A432" t="s">
        <v>445</v>
      </c>
      <c r="B432" s="4">
        <v>45654</v>
      </c>
      <c r="C432" s="4">
        <v>45665</v>
      </c>
      <c r="D432" s="7" t="s">
        <v>647</v>
      </c>
      <c r="E432" s="7" t="s">
        <v>659</v>
      </c>
      <c r="F432" s="7" t="s">
        <v>676</v>
      </c>
      <c r="G432" s="7" t="s">
        <v>706</v>
      </c>
      <c r="H432" s="7" t="s">
        <v>708</v>
      </c>
      <c r="I432" s="7" t="s">
        <v>723</v>
      </c>
      <c r="J432" s="7" t="s">
        <v>731</v>
      </c>
      <c r="K432" s="7" t="s">
        <v>1163</v>
      </c>
      <c r="L432" s="9">
        <v>1201.31</v>
      </c>
      <c r="M432" s="9">
        <v>2764.65</v>
      </c>
      <c r="N432" s="11">
        <v>0</v>
      </c>
      <c r="O432" s="13">
        <v>21</v>
      </c>
    </row>
    <row r="433" spans="1:15" x14ac:dyDescent="0.3">
      <c r="A433" t="s">
        <v>446</v>
      </c>
      <c r="B433" s="4">
        <v>45220</v>
      </c>
      <c r="C433" s="4">
        <v>45220</v>
      </c>
      <c r="D433" s="7" t="s">
        <v>649</v>
      </c>
      <c r="E433" s="7" t="s">
        <v>658</v>
      </c>
      <c r="F433" s="7" t="s">
        <v>693</v>
      </c>
      <c r="G433" s="7" t="s">
        <v>706</v>
      </c>
      <c r="H433" s="7" t="s">
        <v>710</v>
      </c>
      <c r="I433" s="7" t="s">
        <v>713</v>
      </c>
      <c r="J433" s="7" t="s">
        <v>732</v>
      </c>
      <c r="K433" s="7" t="s">
        <v>1164</v>
      </c>
      <c r="L433" s="9">
        <v>384.19</v>
      </c>
      <c r="M433" s="9">
        <v>278.35000000000002</v>
      </c>
      <c r="N433" s="11">
        <v>5.6000000000000001E-2</v>
      </c>
      <c r="O433" s="13">
        <v>10</v>
      </c>
    </row>
    <row r="434" spans="1:15" x14ac:dyDescent="0.3">
      <c r="A434" t="s">
        <v>447</v>
      </c>
      <c r="B434" s="4">
        <v>45636</v>
      </c>
      <c r="C434" s="4">
        <v>45645</v>
      </c>
      <c r="D434" s="7" t="s">
        <v>646</v>
      </c>
      <c r="E434" s="7" t="s">
        <v>651</v>
      </c>
      <c r="F434" s="7" t="s">
        <v>665</v>
      </c>
      <c r="G434" s="7" t="s">
        <v>701</v>
      </c>
      <c r="H434" s="7" t="s">
        <v>707</v>
      </c>
      <c r="I434" s="7" t="s">
        <v>719</v>
      </c>
      <c r="J434" s="7" t="s">
        <v>732</v>
      </c>
      <c r="K434" s="7" t="s">
        <v>1165</v>
      </c>
      <c r="L434" s="9">
        <v>488.68</v>
      </c>
      <c r="M434" s="9">
        <v>984.36</v>
      </c>
      <c r="N434" s="11">
        <v>5.8999999999999997E-2</v>
      </c>
      <c r="O434" s="13">
        <v>14</v>
      </c>
    </row>
    <row r="435" spans="1:15" x14ac:dyDescent="0.3">
      <c r="A435" t="s">
        <v>448</v>
      </c>
      <c r="B435" s="4">
        <v>45542</v>
      </c>
      <c r="C435" s="4">
        <v>45553</v>
      </c>
      <c r="D435" s="7" t="s">
        <v>647</v>
      </c>
      <c r="E435" s="7" t="s">
        <v>659</v>
      </c>
      <c r="F435" s="7" t="s">
        <v>699</v>
      </c>
      <c r="G435" s="7" t="s">
        <v>704</v>
      </c>
      <c r="H435" s="7" t="s">
        <v>710</v>
      </c>
      <c r="I435" s="7" t="s">
        <v>719</v>
      </c>
      <c r="J435" s="7" t="s">
        <v>729</v>
      </c>
      <c r="K435" s="7" t="s">
        <v>1166</v>
      </c>
      <c r="L435" s="9">
        <v>181.74</v>
      </c>
      <c r="M435" s="9">
        <v>190.84</v>
      </c>
      <c r="N435" s="11">
        <v>0.214</v>
      </c>
      <c r="O435" s="13">
        <v>13</v>
      </c>
    </row>
    <row r="436" spans="1:15" x14ac:dyDescent="0.3">
      <c r="A436" t="s">
        <v>449</v>
      </c>
      <c r="B436" s="4">
        <v>45217</v>
      </c>
      <c r="C436" s="4">
        <v>45219</v>
      </c>
      <c r="D436" s="7" t="s">
        <v>646</v>
      </c>
      <c r="E436" s="7" t="s">
        <v>650</v>
      </c>
      <c r="F436" s="7" t="s">
        <v>662</v>
      </c>
      <c r="G436" s="7" t="s">
        <v>704</v>
      </c>
      <c r="H436" s="7" t="s">
        <v>707</v>
      </c>
      <c r="I436" s="7" t="s">
        <v>713</v>
      </c>
      <c r="J436" s="7" t="s">
        <v>730</v>
      </c>
      <c r="K436" s="7" t="s">
        <v>1167</v>
      </c>
      <c r="L436" s="9">
        <v>774.12</v>
      </c>
      <c r="M436" s="9">
        <v>908.3</v>
      </c>
      <c r="N436" s="11">
        <v>0</v>
      </c>
      <c r="O436" s="13">
        <v>30</v>
      </c>
    </row>
    <row r="437" spans="1:15" x14ac:dyDescent="0.3">
      <c r="A437" t="s">
        <v>450</v>
      </c>
      <c r="B437" s="4">
        <v>45650</v>
      </c>
      <c r="C437" s="4">
        <v>45670</v>
      </c>
      <c r="D437" s="7" t="s">
        <v>647</v>
      </c>
      <c r="E437" s="7" t="s">
        <v>654</v>
      </c>
      <c r="F437" s="7" t="s">
        <v>668</v>
      </c>
      <c r="G437" s="7" t="s">
        <v>701</v>
      </c>
      <c r="H437" s="7" t="s">
        <v>709</v>
      </c>
      <c r="I437" s="7" t="s">
        <v>726</v>
      </c>
      <c r="J437" s="7" t="s">
        <v>729</v>
      </c>
      <c r="K437" s="7" t="s">
        <v>1168</v>
      </c>
      <c r="L437" s="9">
        <v>126.15</v>
      </c>
      <c r="M437" s="9">
        <v>284.23</v>
      </c>
      <c r="N437" s="11">
        <v>0.113</v>
      </c>
      <c r="O437" s="13">
        <v>22</v>
      </c>
    </row>
    <row r="438" spans="1:15" x14ac:dyDescent="0.3">
      <c r="A438" t="s">
        <v>451</v>
      </c>
      <c r="B438" s="4">
        <v>45037</v>
      </c>
      <c r="C438" s="4">
        <v>45035</v>
      </c>
      <c r="D438" s="7" t="s">
        <v>647</v>
      </c>
      <c r="E438" s="7" t="s">
        <v>652</v>
      </c>
      <c r="F438" s="7" t="s">
        <v>694</v>
      </c>
      <c r="G438" s="7" t="s">
        <v>705</v>
      </c>
      <c r="H438" s="7" t="s">
        <v>711</v>
      </c>
      <c r="I438" s="7" t="s">
        <v>724</v>
      </c>
      <c r="J438" s="7" t="s">
        <v>727</v>
      </c>
      <c r="K438" s="7" t="s">
        <v>1169</v>
      </c>
      <c r="L438" s="9">
        <v>607.04</v>
      </c>
      <c r="M438" s="9">
        <v>1229.3399999999999</v>
      </c>
      <c r="N438" s="11">
        <v>0.14699999999999999</v>
      </c>
      <c r="O438" s="13">
        <v>7</v>
      </c>
    </row>
    <row r="439" spans="1:15" x14ac:dyDescent="0.3">
      <c r="A439" t="s">
        <v>452</v>
      </c>
      <c r="B439" s="4">
        <v>45290</v>
      </c>
      <c r="C439" s="4">
        <v>45299</v>
      </c>
      <c r="D439" s="7" t="s">
        <v>649</v>
      </c>
      <c r="E439" s="7" t="s">
        <v>657</v>
      </c>
      <c r="F439" s="7" t="s">
        <v>673</v>
      </c>
      <c r="G439" s="7" t="s">
        <v>704</v>
      </c>
      <c r="H439" s="7" t="s">
        <v>709</v>
      </c>
      <c r="I439" s="7" t="s">
        <v>716</v>
      </c>
      <c r="J439" s="7" t="s">
        <v>733</v>
      </c>
      <c r="K439" s="7" t="s">
        <v>1170</v>
      </c>
      <c r="L439" s="9">
        <v>861.1</v>
      </c>
      <c r="M439" s="9">
        <v>1224.72</v>
      </c>
      <c r="N439" s="11">
        <v>0.17399999999999999</v>
      </c>
      <c r="O439" s="13">
        <v>24</v>
      </c>
    </row>
    <row r="440" spans="1:15" x14ac:dyDescent="0.3">
      <c r="A440" t="s">
        <v>453</v>
      </c>
      <c r="B440" s="4">
        <v>44978</v>
      </c>
      <c r="C440" s="4">
        <v>44997</v>
      </c>
      <c r="D440" s="7" t="s">
        <v>646</v>
      </c>
      <c r="E440" s="7" t="s">
        <v>650</v>
      </c>
      <c r="F440" s="7" t="s">
        <v>678</v>
      </c>
      <c r="G440" s="7" t="s">
        <v>701</v>
      </c>
      <c r="H440" s="7" t="s">
        <v>708</v>
      </c>
      <c r="I440" s="7" t="s">
        <v>721</v>
      </c>
      <c r="J440" s="7" t="s">
        <v>729</v>
      </c>
      <c r="K440" s="7" t="s">
        <v>1171</v>
      </c>
      <c r="L440" s="9">
        <v>352.65</v>
      </c>
      <c r="M440" s="9">
        <v>485.86</v>
      </c>
      <c r="N440" s="11">
        <v>4.1000000000000002E-2</v>
      </c>
      <c r="O440" s="13">
        <v>6</v>
      </c>
    </row>
    <row r="441" spans="1:15" x14ac:dyDescent="0.3">
      <c r="A441" t="s">
        <v>454</v>
      </c>
      <c r="B441" s="4">
        <v>45063</v>
      </c>
      <c r="C441" s="4">
        <v>45080</v>
      </c>
      <c r="D441" s="7" t="s">
        <v>647</v>
      </c>
      <c r="E441" s="7" t="s">
        <v>659</v>
      </c>
      <c r="F441" s="7" t="s">
        <v>699</v>
      </c>
      <c r="G441" s="7" t="s">
        <v>703</v>
      </c>
      <c r="H441" s="7" t="s">
        <v>710</v>
      </c>
      <c r="I441" s="7" t="s">
        <v>724</v>
      </c>
      <c r="J441" s="7" t="s">
        <v>728</v>
      </c>
      <c r="K441" s="7" t="s">
        <v>1172</v>
      </c>
      <c r="L441" s="9">
        <v>979.59</v>
      </c>
      <c r="M441" s="9">
        <v>2210.94</v>
      </c>
      <c r="N441" s="11">
        <v>0.15</v>
      </c>
      <c r="O441" s="13">
        <v>11</v>
      </c>
    </row>
    <row r="442" spans="1:15" x14ac:dyDescent="0.3">
      <c r="A442" t="s">
        <v>455</v>
      </c>
      <c r="B442" s="4">
        <v>45374</v>
      </c>
      <c r="C442" s="4">
        <v>45377</v>
      </c>
      <c r="D442" s="7" t="s">
        <v>647</v>
      </c>
      <c r="E442" s="7" t="s">
        <v>654</v>
      </c>
      <c r="F442" s="7" t="s">
        <v>668</v>
      </c>
      <c r="G442" s="7" t="s">
        <v>702</v>
      </c>
      <c r="H442" s="7" t="s">
        <v>711</v>
      </c>
      <c r="I442" s="7" t="s">
        <v>715</v>
      </c>
      <c r="J442" s="7" t="s">
        <v>730</v>
      </c>
      <c r="K442" s="7" t="s">
        <v>1173</v>
      </c>
      <c r="L442" s="9">
        <v>382.21</v>
      </c>
      <c r="M442" s="9">
        <v>571.89</v>
      </c>
      <c r="N442" s="11">
        <v>0.14799999999999999</v>
      </c>
      <c r="O442" s="13">
        <v>26</v>
      </c>
    </row>
    <row r="443" spans="1:15" x14ac:dyDescent="0.3">
      <c r="A443" t="s">
        <v>456</v>
      </c>
      <c r="B443" s="4">
        <v>45189</v>
      </c>
      <c r="C443" s="4">
        <v>45197</v>
      </c>
      <c r="D443" s="7" t="s">
        <v>647</v>
      </c>
      <c r="E443" s="7" t="s">
        <v>654</v>
      </c>
      <c r="G443" s="7" t="s">
        <v>701</v>
      </c>
      <c r="I443" s="7" t="s">
        <v>717</v>
      </c>
      <c r="J443" s="7" t="s">
        <v>733</v>
      </c>
      <c r="K443" s="7" t="s">
        <v>1174</v>
      </c>
      <c r="L443" s="9">
        <v>1362.06</v>
      </c>
      <c r="M443" s="9">
        <v>3398.37</v>
      </c>
      <c r="N443" s="11">
        <v>0.157</v>
      </c>
      <c r="O443" s="13">
        <v>11</v>
      </c>
    </row>
    <row r="444" spans="1:15" x14ac:dyDescent="0.3">
      <c r="A444" t="s">
        <v>457</v>
      </c>
      <c r="B444" s="4">
        <v>45526</v>
      </c>
      <c r="C444" s="4">
        <v>45539</v>
      </c>
      <c r="D444" s="7" t="s">
        <v>649</v>
      </c>
      <c r="E444" s="7" t="s">
        <v>656</v>
      </c>
      <c r="F444" s="7" t="s">
        <v>698</v>
      </c>
      <c r="G444" s="7" t="s">
        <v>703</v>
      </c>
      <c r="H444" s="7" t="s">
        <v>707</v>
      </c>
      <c r="I444" s="7" t="s">
        <v>716</v>
      </c>
      <c r="J444" s="7" t="s">
        <v>728</v>
      </c>
      <c r="K444" s="7" t="s">
        <v>1175</v>
      </c>
      <c r="L444" s="9">
        <v>90.04</v>
      </c>
      <c r="M444" s="9">
        <v>194.62</v>
      </c>
      <c r="N444" s="11">
        <v>4.2999999999999997E-2</v>
      </c>
      <c r="O444" s="13">
        <v>32</v>
      </c>
    </row>
    <row r="445" spans="1:15" x14ac:dyDescent="0.3">
      <c r="A445" t="s">
        <v>458</v>
      </c>
      <c r="B445" s="4">
        <v>45560</v>
      </c>
      <c r="C445" s="4">
        <v>45568</v>
      </c>
      <c r="D445" s="7" t="s">
        <v>648</v>
      </c>
      <c r="E445" s="7" t="s">
        <v>653</v>
      </c>
      <c r="F445" s="7" t="s">
        <v>667</v>
      </c>
      <c r="G445" s="7" t="s">
        <v>704</v>
      </c>
      <c r="H445" s="7" t="s">
        <v>708</v>
      </c>
      <c r="I445" s="7" t="s">
        <v>718</v>
      </c>
      <c r="J445" s="7" t="s">
        <v>728</v>
      </c>
      <c r="K445" s="7" t="s">
        <v>1176</v>
      </c>
      <c r="L445" s="9">
        <v>558.19000000000005</v>
      </c>
      <c r="M445" s="9">
        <v>1031.6400000000001</v>
      </c>
      <c r="N445" s="11">
        <v>0</v>
      </c>
      <c r="O445" s="13">
        <v>21</v>
      </c>
    </row>
    <row r="446" spans="1:15" x14ac:dyDescent="0.3">
      <c r="A446" t="s">
        <v>459</v>
      </c>
      <c r="B446" s="4">
        <v>45090</v>
      </c>
      <c r="C446" s="4">
        <v>45101</v>
      </c>
      <c r="D446" s="7" t="s">
        <v>648</v>
      </c>
      <c r="E446" s="7" t="s">
        <v>653</v>
      </c>
      <c r="F446" s="7" t="s">
        <v>667</v>
      </c>
      <c r="G446" s="7" t="s">
        <v>701</v>
      </c>
      <c r="H446" s="7" t="s">
        <v>708</v>
      </c>
      <c r="I446" s="7" t="s">
        <v>712</v>
      </c>
      <c r="J446" s="7" t="s">
        <v>728</v>
      </c>
      <c r="K446" s="7" t="s">
        <v>1177</v>
      </c>
      <c r="L446" s="9">
        <v>247.07</v>
      </c>
      <c r="M446" s="9">
        <v>495.19</v>
      </c>
      <c r="N446" s="11">
        <v>2.8000000000000001E-2</v>
      </c>
      <c r="O446" s="13">
        <v>4</v>
      </c>
    </row>
    <row r="447" spans="1:15" x14ac:dyDescent="0.3">
      <c r="A447" t="s">
        <v>460</v>
      </c>
      <c r="B447" s="4">
        <v>45284</v>
      </c>
      <c r="C447" s="4">
        <v>45304</v>
      </c>
      <c r="D447" s="7" t="s">
        <v>647</v>
      </c>
      <c r="E447" s="7" t="s">
        <v>652</v>
      </c>
      <c r="F447" s="7" t="s">
        <v>694</v>
      </c>
      <c r="G447" s="7" t="s">
        <v>702</v>
      </c>
      <c r="H447" s="7" t="s">
        <v>711</v>
      </c>
      <c r="I447" s="7" t="s">
        <v>717</v>
      </c>
      <c r="J447" s="7" t="s">
        <v>731</v>
      </c>
      <c r="K447" s="7" t="s">
        <v>1178</v>
      </c>
      <c r="L447" s="9">
        <v>625.37</v>
      </c>
      <c r="M447" s="9">
        <v>1319.04</v>
      </c>
      <c r="N447" s="11">
        <v>7.3999999999999996E-2</v>
      </c>
      <c r="O447" s="13">
        <v>8</v>
      </c>
    </row>
    <row r="448" spans="1:15" x14ac:dyDescent="0.3">
      <c r="A448" t="s">
        <v>461</v>
      </c>
      <c r="B448" s="4">
        <v>45746</v>
      </c>
      <c r="C448" s="4">
        <v>45776</v>
      </c>
      <c r="D448" s="7" t="s">
        <v>646</v>
      </c>
      <c r="E448" s="7" t="s">
        <v>661</v>
      </c>
      <c r="F448" s="7" t="s">
        <v>687</v>
      </c>
      <c r="G448" s="7" t="s">
        <v>704</v>
      </c>
      <c r="H448" s="7" t="s">
        <v>709</v>
      </c>
      <c r="I448" s="7" t="s">
        <v>713</v>
      </c>
      <c r="J448" s="7" t="s">
        <v>732</v>
      </c>
      <c r="K448" s="7" t="s">
        <v>1179</v>
      </c>
      <c r="L448" s="9">
        <v>194.6</v>
      </c>
      <c r="M448" s="9">
        <v>314.87</v>
      </c>
      <c r="N448" s="11">
        <v>0.29299999999999998</v>
      </c>
      <c r="O448" s="13">
        <v>25</v>
      </c>
    </row>
    <row r="449" spans="1:15" x14ac:dyDescent="0.3">
      <c r="A449" t="s">
        <v>462</v>
      </c>
      <c r="B449" s="4">
        <v>45446</v>
      </c>
      <c r="C449" s="4">
        <v>45467</v>
      </c>
      <c r="D449" s="7" t="s">
        <v>648</v>
      </c>
      <c r="E449" s="7" t="s">
        <v>653</v>
      </c>
      <c r="F449" s="7" t="s">
        <v>667</v>
      </c>
      <c r="G449" s="7" t="s">
        <v>705</v>
      </c>
      <c r="H449" s="7" t="s">
        <v>711</v>
      </c>
      <c r="I449" s="7" t="s">
        <v>715</v>
      </c>
      <c r="J449" s="7" t="s">
        <v>732</v>
      </c>
      <c r="K449" s="7" t="s">
        <v>1180</v>
      </c>
      <c r="L449" s="9">
        <v>1205.5</v>
      </c>
      <c r="M449" s="9">
        <v>2210.17</v>
      </c>
      <c r="N449" s="11">
        <v>0.104</v>
      </c>
      <c r="O449" s="13">
        <v>23</v>
      </c>
    </row>
    <row r="450" spans="1:15" x14ac:dyDescent="0.3">
      <c r="A450" t="s">
        <v>463</v>
      </c>
      <c r="B450" s="4">
        <v>45454</v>
      </c>
      <c r="C450" s="4">
        <v>45482</v>
      </c>
      <c r="D450" s="7" t="s">
        <v>646</v>
      </c>
      <c r="E450" s="7" t="s">
        <v>651</v>
      </c>
      <c r="F450" s="7" t="s">
        <v>663</v>
      </c>
      <c r="G450" s="7" t="s">
        <v>701</v>
      </c>
      <c r="H450" s="7" t="s">
        <v>709</v>
      </c>
      <c r="I450" s="7" t="s">
        <v>714</v>
      </c>
      <c r="J450" s="7" t="s">
        <v>730</v>
      </c>
      <c r="K450" s="7" t="s">
        <v>1181</v>
      </c>
      <c r="L450" s="9">
        <v>895.54</v>
      </c>
      <c r="M450" s="9">
        <v>1045</v>
      </c>
      <c r="N450" s="11">
        <v>0.216</v>
      </c>
      <c r="O450" s="13">
        <v>15</v>
      </c>
    </row>
    <row r="451" spans="1:15" x14ac:dyDescent="0.3">
      <c r="A451" t="s">
        <v>464</v>
      </c>
      <c r="B451" s="4">
        <v>45129</v>
      </c>
      <c r="C451" s="4">
        <v>45128</v>
      </c>
      <c r="D451" s="7" t="s">
        <v>647</v>
      </c>
      <c r="E451" s="7" t="s">
        <v>654</v>
      </c>
      <c r="F451" s="7" t="s">
        <v>680</v>
      </c>
      <c r="G451" s="7" t="s">
        <v>705</v>
      </c>
      <c r="H451" s="7" t="s">
        <v>710</v>
      </c>
      <c r="I451" s="7" t="s">
        <v>718</v>
      </c>
      <c r="J451" s="7" t="s">
        <v>728</v>
      </c>
      <c r="K451" s="7" t="s">
        <v>1182</v>
      </c>
      <c r="L451" s="9">
        <v>946.99</v>
      </c>
      <c r="M451" s="9">
        <v>2132.19</v>
      </c>
      <c r="N451" s="11">
        <v>0.16500000000000001</v>
      </c>
      <c r="O451" s="13">
        <v>7</v>
      </c>
    </row>
    <row r="452" spans="1:15" x14ac:dyDescent="0.3">
      <c r="A452" t="s">
        <v>465</v>
      </c>
      <c r="B452" s="4">
        <v>44945</v>
      </c>
      <c r="C452" s="4">
        <v>44960</v>
      </c>
      <c r="D452" s="7" t="s">
        <v>649</v>
      </c>
      <c r="E452" s="7" t="s">
        <v>658</v>
      </c>
      <c r="F452" s="7" t="s">
        <v>683</v>
      </c>
      <c r="G452" s="7" t="s">
        <v>706</v>
      </c>
      <c r="H452" s="7" t="s">
        <v>710</v>
      </c>
      <c r="I452" s="7" t="s">
        <v>715</v>
      </c>
      <c r="J452" s="7" t="s">
        <v>733</v>
      </c>
      <c r="K452" s="7" t="s">
        <v>1183</v>
      </c>
      <c r="L452" s="9">
        <v>873.06</v>
      </c>
      <c r="M452" s="9">
        <v>2101.5500000000002</v>
      </c>
      <c r="N452" s="11">
        <v>6.6000000000000003E-2</v>
      </c>
      <c r="O452" s="13">
        <v>10</v>
      </c>
    </row>
    <row r="453" spans="1:15" x14ac:dyDescent="0.3">
      <c r="A453" t="s">
        <v>466</v>
      </c>
      <c r="B453" s="4">
        <v>45413</v>
      </c>
      <c r="C453" s="4">
        <v>45428</v>
      </c>
      <c r="D453" s="7" t="s">
        <v>647</v>
      </c>
      <c r="E453" s="7" t="s">
        <v>654</v>
      </c>
      <c r="F453" s="7" t="s">
        <v>668</v>
      </c>
      <c r="G453" s="7" t="s">
        <v>705</v>
      </c>
      <c r="H453" s="7" t="s">
        <v>707</v>
      </c>
      <c r="I453" s="7" t="s">
        <v>716</v>
      </c>
      <c r="J453" s="7" t="s">
        <v>727</v>
      </c>
      <c r="K453" s="7" t="s">
        <v>1184</v>
      </c>
      <c r="L453" s="9">
        <v>901.19</v>
      </c>
      <c r="M453" s="9">
        <v>2125.44</v>
      </c>
      <c r="N453" s="11">
        <v>7.0999999999999994E-2</v>
      </c>
      <c r="O453" s="13">
        <v>12</v>
      </c>
    </row>
    <row r="454" spans="1:15" x14ac:dyDescent="0.3">
      <c r="A454" t="s">
        <v>467</v>
      </c>
      <c r="B454" s="4">
        <v>45817</v>
      </c>
      <c r="C454" s="4">
        <v>45832</v>
      </c>
      <c r="D454" s="7" t="s">
        <v>647</v>
      </c>
      <c r="E454" s="7" t="s">
        <v>652</v>
      </c>
      <c r="F454" s="7" t="s">
        <v>694</v>
      </c>
      <c r="G454" s="7" t="s">
        <v>701</v>
      </c>
      <c r="H454" s="7" t="s">
        <v>711</v>
      </c>
      <c r="I454" s="7" t="s">
        <v>717</v>
      </c>
      <c r="J454" s="7" t="s">
        <v>730</v>
      </c>
      <c r="K454" s="7" t="s">
        <v>1185</v>
      </c>
      <c r="L454" s="9">
        <v>400.39</v>
      </c>
      <c r="M454" s="9">
        <v>712.75</v>
      </c>
      <c r="N454" s="11">
        <v>0.115</v>
      </c>
      <c r="O454" s="13">
        <v>19</v>
      </c>
    </row>
    <row r="455" spans="1:15" x14ac:dyDescent="0.3">
      <c r="A455" t="s">
        <v>468</v>
      </c>
      <c r="B455" s="4">
        <v>45070</v>
      </c>
      <c r="C455" s="4">
        <v>45098</v>
      </c>
      <c r="D455" s="7" t="s">
        <v>648</v>
      </c>
      <c r="E455" s="7" t="s">
        <v>660</v>
      </c>
      <c r="F455" s="7" t="s">
        <v>697</v>
      </c>
      <c r="G455" s="7" t="s">
        <v>705</v>
      </c>
      <c r="H455" s="7" t="s">
        <v>709</v>
      </c>
      <c r="I455" s="7" t="s">
        <v>715</v>
      </c>
      <c r="J455" s="7" t="s">
        <v>732</v>
      </c>
      <c r="K455" s="7" t="s">
        <v>1186</v>
      </c>
      <c r="L455" s="9">
        <v>813.97</v>
      </c>
      <c r="M455" s="9">
        <v>1568.83</v>
      </c>
      <c r="N455" s="11">
        <v>1.7000000000000001E-2</v>
      </c>
      <c r="O455" s="13">
        <v>15</v>
      </c>
    </row>
    <row r="456" spans="1:15" x14ac:dyDescent="0.3">
      <c r="A456" t="s">
        <v>469</v>
      </c>
      <c r="B456" s="4">
        <v>45653</v>
      </c>
      <c r="C456" s="4">
        <v>45655</v>
      </c>
      <c r="D456" s="7" t="s">
        <v>648</v>
      </c>
      <c r="E456" s="7" t="s">
        <v>653</v>
      </c>
      <c r="F456" s="7" t="s">
        <v>688</v>
      </c>
      <c r="G456" s="7" t="s">
        <v>706</v>
      </c>
      <c r="H456" s="7" t="s">
        <v>709</v>
      </c>
      <c r="I456" s="7" t="s">
        <v>712</v>
      </c>
      <c r="J456" s="7" t="s">
        <v>733</v>
      </c>
      <c r="K456" s="7" t="s">
        <v>1187</v>
      </c>
      <c r="L456" s="9">
        <v>1146.72</v>
      </c>
      <c r="M456" s="9">
        <v>2074.34</v>
      </c>
      <c r="N456" s="11">
        <v>0.111</v>
      </c>
      <c r="O456" s="13">
        <v>8</v>
      </c>
    </row>
    <row r="457" spans="1:15" x14ac:dyDescent="0.3">
      <c r="A457" t="s">
        <v>470</v>
      </c>
      <c r="B457" s="4">
        <v>45265</v>
      </c>
      <c r="C457" s="4">
        <v>45272</v>
      </c>
      <c r="D457" s="7" t="s">
        <v>648</v>
      </c>
      <c r="E457" s="7" t="s">
        <v>655</v>
      </c>
      <c r="F457" s="7" t="s">
        <v>672</v>
      </c>
      <c r="G457" s="7" t="s">
        <v>701</v>
      </c>
      <c r="H457" s="7" t="s">
        <v>711</v>
      </c>
      <c r="I457" s="7" t="s">
        <v>721</v>
      </c>
      <c r="J457" s="7" t="s">
        <v>730</v>
      </c>
      <c r="K457" s="7" t="s">
        <v>1188</v>
      </c>
      <c r="L457" s="9">
        <v>307.43</v>
      </c>
      <c r="M457" s="9">
        <v>495.19</v>
      </c>
      <c r="N457" s="11">
        <v>0</v>
      </c>
      <c r="O457" s="13">
        <v>42</v>
      </c>
    </row>
    <row r="458" spans="1:15" x14ac:dyDescent="0.3">
      <c r="A458" t="s">
        <v>471</v>
      </c>
      <c r="B458" s="4">
        <v>45048</v>
      </c>
      <c r="C458" s="4">
        <v>45065</v>
      </c>
      <c r="D458" s="7" t="s">
        <v>647</v>
      </c>
      <c r="E458" s="7" t="s">
        <v>659</v>
      </c>
      <c r="F458" s="7" t="s">
        <v>685</v>
      </c>
      <c r="G458" s="7" t="s">
        <v>703</v>
      </c>
      <c r="H458" s="7" t="s">
        <v>711</v>
      </c>
      <c r="I458" s="7" t="s">
        <v>713</v>
      </c>
      <c r="J458" s="7" t="s">
        <v>732</v>
      </c>
      <c r="K458" s="7" t="s">
        <v>1189</v>
      </c>
      <c r="L458" s="9">
        <v>714.28</v>
      </c>
      <c r="M458" s="9">
        <v>757.59</v>
      </c>
      <c r="N458" s="11">
        <v>0.13600000000000001</v>
      </c>
      <c r="O458" s="13">
        <v>12</v>
      </c>
    </row>
    <row r="459" spans="1:15" x14ac:dyDescent="0.3">
      <c r="A459" t="s">
        <v>472</v>
      </c>
      <c r="B459" s="4">
        <v>45260</v>
      </c>
      <c r="C459" s="4">
        <v>45270</v>
      </c>
      <c r="D459" s="7" t="s">
        <v>649</v>
      </c>
      <c r="E459" s="7" t="s">
        <v>656</v>
      </c>
      <c r="F459" s="7" t="s">
        <v>684</v>
      </c>
      <c r="G459" s="7" t="s">
        <v>705</v>
      </c>
      <c r="H459" s="7" t="s">
        <v>711</v>
      </c>
      <c r="I459" s="7" t="s">
        <v>721</v>
      </c>
      <c r="J459" s="7" t="s">
        <v>731</v>
      </c>
      <c r="K459" s="7" t="s">
        <v>1190</v>
      </c>
      <c r="L459" s="9">
        <v>174.74</v>
      </c>
      <c r="M459" s="9">
        <v>415.96</v>
      </c>
      <c r="N459" s="11">
        <v>0.125</v>
      </c>
      <c r="O459" s="13">
        <v>21</v>
      </c>
    </row>
    <row r="460" spans="1:15" x14ac:dyDescent="0.3">
      <c r="A460" t="s">
        <v>473</v>
      </c>
      <c r="B460" s="4">
        <v>45417</v>
      </c>
      <c r="C460" s="4">
        <v>45430</v>
      </c>
      <c r="D460" s="7" t="s">
        <v>649</v>
      </c>
      <c r="E460" s="7" t="s">
        <v>657</v>
      </c>
      <c r="F460" s="7" t="s">
        <v>673</v>
      </c>
      <c r="G460" s="7" t="s">
        <v>701</v>
      </c>
      <c r="H460" s="7" t="s">
        <v>709</v>
      </c>
      <c r="I460" s="7" t="s">
        <v>720</v>
      </c>
      <c r="J460" s="7" t="s">
        <v>727</v>
      </c>
      <c r="K460" s="7" t="s">
        <v>1191</v>
      </c>
      <c r="L460" s="9">
        <v>1264.04</v>
      </c>
      <c r="M460" s="9">
        <v>1870.89</v>
      </c>
      <c r="N460" s="11">
        <v>0</v>
      </c>
      <c r="O460" s="13">
        <v>13</v>
      </c>
    </row>
    <row r="461" spans="1:15" x14ac:dyDescent="0.3">
      <c r="A461" t="s">
        <v>474</v>
      </c>
      <c r="B461" s="4">
        <v>45116</v>
      </c>
      <c r="C461" s="4">
        <v>45126</v>
      </c>
      <c r="D461" s="7" t="s">
        <v>647</v>
      </c>
      <c r="E461" s="7" t="s">
        <v>652</v>
      </c>
      <c r="F461" s="7" t="s">
        <v>689</v>
      </c>
      <c r="G461" s="7" t="s">
        <v>706</v>
      </c>
      <c r="H461" s="7" t="s">
        <v>710</v>
      </c>
      <c r="I461" s="7" t="s">
        <v>725</v>
      </c>
      <c r="J461" s="7" t="s">
        <v>727</v>
      </c>
      <c r="K461" s="7" t="s">
        <v>1192</v>
      </c>
      <c r="L461" s="9">
        <v>141.26</v>
      </c>
      <c r="M461" s="9">
        <v>206.88</v>
      </c>
      <c r="N461" s="11">
        <v>0.107</v>
      </c>
      <c r="O461" s="13">
        <v>9</v>
      </c>
    </row>
    <row r="462" spans="1:15" x14ac:dyDescent="0.3">
      <c r="A462" t="s">
        <v>475</v>
      </c>
      <c r="B462" s="4">
        <v>45063</v>
      </c>
      <c r="C462" s="4">
        <v>45092</v>
      </c>
      <c r="D462" s="7" t="s">
        <v>646</v>
      </c>
      <c r="E462" s="7" t="s">
        <v>661</v>
      </c>
      <c r="F462" s="7" t="s">
        <v>687</v>
      </c>
      <c r="G462" s="7" t="s">
        <v>706</v>
      </c>
      <c r="H462" s="7" t="s">
        <v>707</v>
      </c>
      <c r="I462" s="7" t="s">
        <v>723</v>
      </c>
      <c r="J462" s="7" t="s">
        <v>733</v>
      </c>
      <c r="K462" s="7" t="s">
        <v>1193</v>
      </c>
      <c r="L462" s="9">
        <v>40.89</v>
      </c>
      <c r="M462" s="9">
        <v>62.82</v>
      </c>
      <c r="N462" s="11">
        <v>0.129</v>
      </c>
      <c r="O462" s="13">
        <v>17</v>
      </c>
    </row>
    <row r="463" spans="1:15" x14ac:dyDescent="0.3">
      <c r="A463" t="s">
        <v>476</v>
      </c>
      <c r="B463" s="4">
        <v>45358</v>
      </c>
      <c r="C463" s="4">
        <v>45385</v>
      </c>
      <c r="D463" s="7" t="s">
        <v>649</v>
      </c>
      <c r="E463" s="7" t="s">
        <v>656</v>
      </c>
      <c r="F463" s="7" t="s">
        <v>698</v>
      </c>
      <c r="G463" s="7" t="s">
        <v>701</v>
      </c>
      <c r="H463" s="7" t="s">
        <v>711</v>
      </c>
      <c r="I463" s="7" t="s">
        <v>724</v>
      </c>
      <c r="J463" s="7" t="s">
        <v>728</v>
      </c>
      <c r="K463" s="7" t="s">
        <v>1194</v>
      </c>
      <c r="L463" s="9">
        <v>738.16</v>
      </c>
      <c r="M463" s="9">
        <v>956.49</v>
      </c>
      <c r="N463" s="11">
        <v>0.152</v>
      </c>
      <c r="O463" s="13">
        <v>5</v>
      </c>
    </row>
    <row r="464" spans="1:15" x14ac:dyDescent="0.3">
      <c r="A464" t="s">
        <v>477</v>
      </c>
      <c r="B464" s="4">
        <v>45757</v>
      </c>
      <c r="C464" s="4">
        <v>45766</v>
      </c>
      <c r="D464" s="7" t="s">
        <v>646</v>
      </c>
      <c r="E464" s="7" t="s">
        <v>661</v>
      </c>
      <c r="F464" s="7" t="s">
        <v>687</v>
      </c>
      <c r="G464" s="7" t="s">
        <v>706</v>
      </c>
      <c r="I464" s="7" t="s">
        <v>715</v>
      </c>
      <c r="J464" s="7" t="s">
        <v>729</v>
      </c>
      <c r="K464" s="7" t="s">
        <v>1195</v>
      </c>
      <c r="L464" s="9">
        <v>113.74</v>
      </c>
      <c r="M464" s="9">
        <v>165.7</v>
      </c>
      <c r="N464" s="11">
        <v>0.124</v>
      </c>
      <c r="O464" s="13">
        <v>13</v>
      </c>
    </row>
    <row r="465" spans="1:15" x14ac:dyDescent="0.3">
      <c r="A465" t="s">
        <v>478</v>
      </c>
      <c r="B465" s="4">
        <v>45865</v>
      </c>
      <c r="C465" s="4">
        <v>45884</v>
      </c>
      <c r="D465" s="7" t="s">
        <v>647</v>
      </c>
      <c r="E465" s="7" t="s">
        <v>652</v>
      </c>
      <c r="F465" s="7" t="s">
        <v>689</v>
      </c>
      <c r="G465" s="7" t="s">
        <v>705</v>
      </c>
      <c r="H465" s="7" t="s">
        <v>709</v>
      </c>
      <c r="I465" s="7" t="s">
        <v>713</v>
      </c>
      <c r="J465" s="7" t="s">
        <v>727</v>
      </c>
      <c r="K465" s="7" t="s">
        <v>1196</v>
      </c>
      <c r="L465" s="9">
        <v>275.43</v>
      </c>
      <c r="M465" s="9">
        <v>608.36</v>
      </c>
      <c r="N465" s="11">
        <v>0.25700000000000001</v>
      </c>
      <c r="O465" s="13">
        <v>4</v>
      </c>
    </row>
    <row r="466" spans="1:15" x14ac:dyDescent="0.3">
      <c r="A466" t="s">
        <v>479</v>
      </c>
      <c r="B466" s="4">
        <v>45618</v>
      </c>
      <c r="C466" s="4">
        <v>45641</v>
      </c>
      <c r="D466" s="7" t="s">
        <v>646</v>
      </c>
      <c r="E466" s="7" t="s">
        <v>650</v>
      </c>
      <c r="F466" s="7" t="s">
        <v>675</v>
      </c>
      <c r="G466" s="7" t="s">
        <v>703</v>
      </c>
      <c r="H466" s="7" t="s">
        <v>710</v>
      </c>
      <c r="I466" s="7" t="s">
        <v>712</v>
      </c>
      <c r="J466" s="7" t="s">
        <v>727</v>
      </c>
      <c r="K466" s="7" t="s">
        <v>1197</v>
      </c>
      <c r="L466" s="9">
        <v>1335.76</v>
      </c>
      <c r="M466" s="9">
        <v>2665.91</v>
      </c>
      <c r="N466" s="11">
        <v>0.21099999999999999</v>
      </c>
      <c r="O466" s="13">
        <v>40</v>
      </c>
    </row>
    <row r="467" spans="1:15" x14ac:dyDescent="0.3">
      <c r="A467" t="s">
        <v>480</v>
      </c>
      <c r="B467" s="4">
        <v>45466</v>
      </c>
      <c r="C467" s="4">
        <v>45471</v>
      </c>
      <c r="D467" s="7" t="s">
        <v>646</v>
      </c>
      <c r="E467" s="7" t="s">
        <v>651</v>
      </c>
      <c r="F467" s="7" t="s">
        <v>663</v>
      </c>
      <c r="G467" s="7" t="s">
        <v>703</v>
      </c>
      <c r="H467" s="7" t="s">
        <v>711</v>
      </c>
      <c r="I467" s="7" t="s">
        <v>724</v>
      </c>
      <c r="J467" s="7" t="s">
        <v>733</v>
      </c>
      <c r="K467" s="7" t="s">
        <v>1198</v>
      </c>
      <c r="L467" s="9">
        <v>242.31</v>
      </c>
      <c r="M467" s="9">
        <v>587.95000000000005</v>
      </c>
      <c r="N467" s="11">
        <v>0.22900000000000001</v>
      </c>
      <c r="O467" s="13">
        <v>6</v>
      </c>
    </row>
    <row r="468" spans="1:15" x14ac:dyDescent="0.3">
      <c r="A468" t="s">
        <v>481</v>
      </c>
      <c r="B468" s="4">
        <v>45278</v>
      </c>
      <c r="C468" s="4">
        <v>45305</v>
      </c>
      <c r="D468" s="7" t="s">
        <v>647</v>
      </c>
      <c r="E468" s="7" t="s">
        <v>654</v>
      </c>
      <c r="F468" s="7" t="s">
        <v>691</v>
      </c>
      <c r="G468" s="7" t="s">
        <v>704</v>
      </c>
      <c r="H468" s="7" t="s">
        <v>710</v>
      </c>
      <c r="I468" s="7" t="s">
        <v>726</v>
      </c>
      <c r="J468" s="7" t="s">
        <v>729</v>
      </c>
      <c r="K468" s="7" t="s">
        <v>1199</v>
      </c>
      <c r="L468" s="9">
        <v>1408.3</v>
      </c>
      <c r="M468" s="9">
        <v>2193.13</v>
      </c>
      <c r="N468" s="11">
        <v>7.0999999999999994E-2</v>
      </c>
      <c r="O468" s="13">
        <v>7</v>
      </c>
    </row>
    <row r="469" spans="1:15" x14ac:dyDescent="0.3">
      <c r="A469" t="s">
        <v>482</v>
      </c>
      <c r="B469" s="4">
        <v>45809</v>
      </c>
      <c r="C469" s="4">
        <v>45813</v>
      </c>
      <c r="D469" s="7" t="s">
        <v>649</v>
      </c>
      <c r="E469" s="7" t="s">
        <v>656</v>
      </c>
      <c r="F469" s="7" t="s">
        <v>684</v>
      </c>
      <c r="G469" s="7" t="s">
        <v>706</v>
      </c>
      <c r="H469" s="7" t="s">
        <v>711</v>
      </c>
      <c r="I469" s="7" t="s">
        <v>724</v>
      </c>
      <c r="J469" s="7" t="s">
        <v>727</v>
      </c>
      <c r="K469" s="7" t="s">
        <v>1200</v>
      </c>
      <c r="L469" s="9">
        <v>1171.42</v>
      </c>
      <c r="M469" s="9">
        <v>2187.8000000000002</v>
      </c>
      <c r="N469" s="11">
        <v>0.23</v>
      </c>
      <c r="O469" s="13">
        <v>15</v>
      </c>
    </row>
    <row r="470" spans="1:15" x14ac:dyDescent="0.3">
      <c r="A470" t="s">
        <v>483</v>
      </c>
      <c r="B470" s="4">
        <v>45739</v>
      </c>
      <c r="C470" s="4">
        <v>45749</v>
      </c>
      <c r="D470" s="7" t="s">
        <v>649</v>
      </c>
      <c r="E470" s="7" t="s">
        <v>656</v>
      </c>
      <c r="F470" s="7" t="s">
        <v>671</v>
      </c>
      <c r="G470" s="7" t="s">
        <v>706</v>
      </c>
      <c r="H470" s="7" t="s">
        <v>708</v>
      </c>
      <c r="I470" s="7" t="s">
        <v>718</v>
      </c>
      <c r="J470" s="7" t="s">
        <v>728</v>
      </c>
      <c r="K470" s="7" t="s">
        <v>1201</v>
      </c>
      <c r="L470" s="9">
        <v>663.61</v>
      </c>
      <c r="M470" s="9">
        <v>1002.11</v>
      </c>
      <c r="N470" s="11">
        <v>4.5999999999999999E-2</v>
      </c>
      <c r="O470" s="13">
        <v>17</v>
      </c>
    </row>
    <row r="471" spans="1:15" x14ac:dyDescent="0.3">
      <c r="A471" t="s">
        <v>484</v>
      </c>
      <c r="B471" s="4">
        <v>45060</v>
      </c>
      <c r="C471" s="4">
        <v>45068</v>
      </c>
      <c r="D471" s="7" t="s">
        <v>646</v>
      </c>
      <c r="E471" s="7" t="s">
        <v>650</v>
      </c>
      <c r="F471" s="7" t="s">
        <v>675</v>
      </c>
      <c r="G471" s="7" t="s">
        <v>705</v>
      </c>
      <c r="H471" s="7" t="s">
        <v>710</v>
      </c>
      <c r="I471" s="7" t="s">
        <v>721</v>
      </c>
      <c r="J471" s="7" t="s">
        <v>728</v>
      </c>
      <c r="K471" s="7" t="s">
        <v>1202</v>
      </c>
      <c r="L471" s="9">
        <v>432.01</v>
      </c>
      <c r="M471" s="9">
        <v>913.78</v>
      </c>
      <c r="N471" s="11">
        <v>4.9000000000000002E-2</v>
      </c>
      <c r="O471" s="13">
        <v>12</v>
      </c>
    </row>
    <row r="472" spans="1:15" x14ac:dyDescent="0.3">
      <c r="A472" t="s">
        <v>485</v>
      </c>
      <c r="B472" s="4">
        <v>45167</v>
      </c>
      <c r="C472" s="4">
        <v>45188</v>
      </c>
      <c r="D472" s="7" t="s">
        <v>649</v>
      </c>
      <c r="E472" s="7" t="s">
        <v>657</v>
      </c>
      <c r="F472" s="7" t="s">
        <v>679</v>
      </c>
      <c r="G472" s="7" t="s">
        <v>705</v>
      </c>
      <c r="H472" s="7" t="s">
        <v>711</v>
      </c>
      <c r="I472" s="7" t="s">
        <v>717</v>
      </c>
      <c r="J472" s="7" t="s">
        <v>728</v>
      </c>
      <c r="K472" s="7" t="s">
        <v>1203</v>
      </c>
      <c r="L472" s="9">
        <v>784.46</v>
      </c>
      <c r="M472" s="9">
        <v>1843.51</v>
      </c>
      <c r="N472" s="11">
        <v>0.13800000000000001</v>
      </c>
      <c r="O472" s="13">
        <v>23</v>
      </c>
    </row>
    <row r="473" spans="1:15" x14ac:dyDescent="0.3">
      <c r="A473" t="s">
        <v>486</v>
      </c>
      <c r="B473" s="4">
        <v>45841</v>
      </c>
      <c r="C473" s="4">
        <v>45861</v>
      </c>
      <c r="D473" s="7" t="s">
        <v>647</v>
      </c>
      <c r="E473" s="7" t="s">
        <v>659</v>
      </c>
      <c r="F473" s="7" t="s">
        <v>699</v>
      </c>
      <c r="G473" s="7" t="s">
        <v>705</v>
      </c>
      <c r="H473" s="7" t="s">
        <v>708</v>
      </c>
      <c r="I473" s="7" t="s">
        <v>724</v>
      </c>
      <c r="J473" s="7" t="s">
        <v>727</v>
      </c>
      <c r="K473" s="7" t="s">
        <v>1204</v>
      </c>
      <c r="L473" s="9">
        <v>647.36</v>
      </c>
      <c r="M473" s="9">
        <v>1383.6</v>
      </c>
      <c r="N473" s="11">
        <v>7.3999999999999996E-2</v>
      </c>
      <c r="O473" s="13">
        <v>12</v>
      </c>
    </row>
    <row r="474" spans="1:15" x14ac:dyDescent="0.3">
      <c r="A474" t="s">
        <v>487</v>
      </c>
      <c r="B474" s="4">
        <v>45328</v>
      </c>
      <c r="C474" s="4">
        <v>45350</v>
      </c>
      <c r="D474" s="7" t="s">
        <v>646</v>
      </c>
      <c r="E474" s="7" t="s">
        <v>650</v>
      </c>
      <c r="F474" s="7" t="s">
        <v>662</v>
      </c>
      <c r="G474" s="7" t="s">
        <v>703</v>
      </c>
      <c r="H474" s="7" t="s">
        <v>708</v>
      </c>
      <c r="I474" s="7" t="s">
        <v>723</v>
      </c>
      <c r="J474" s="7" t="s">
        <v>732</v>
      </c>
      <c r="K474" s="7" t="s">
        <v>1205</v>
      </c>
      <c r="L474" s="9">
        <v>834.93</v>
      </c>
      <c r="M474" s="9">
        <v>1588.53</v>
      </c>
      <c r="N474" s="11">
        <v>0.126</v>
      </c>
      <c r="O474" s="13">
        <v>6</v>
      </c>
    </row>
    <row r="475" spans="1:15" x14ac:dyDescent="0.3">
      <c r="A475" t="s">
        <v>488</v>
      </c>
      <c r="B475" s="4">
        <v>45882</v>
      </c>
      <c r="C475" s="4">
        <v>45903</v>
      </c>
      <c r="D475" s="7" t="s">
        <v>649</v>
      </c>
      <c r="E475" s="7" t="s">
        <v>657</v>
      </c>
      <c r="F475" s="7" t="s">
        <v>690</v>
      </c>
      <c r="G475" s="7" t="s">
        <v>702</v>
      </c>
      <c r="H475" s="7" t="s">
        <v>707</v>
      </c>
      <c r="I475" s="7" t="s">
        <v>714</v>
      </c>
      <c r="J475" s="7" t="s">
        <v>730</v>
      </c>
      <c r="K475" s="7" t="s">
        <v>1206</v>
      </c>
      <c r="L475" s="9">
        <v>603.47</v>
      </c>
      <c r="M475" s="9">
        <v>1344.05</v>
      </c>
      <c r="N475" s="11">
        <v>0.20499999999999999</v>
      </c>
      <c r="O475" s="13">
        <v>18</v>
      </c>
    </row>
    <row r="476" spans="1:15" x14ac:dyDescent="0.3">
      <c r="A476" t="s">
        <v>489</v>
      </c>
      <c r="B476" s="4">
        <v>45069</v>
      </c>
      <c r="C476" s="4">
        <v>45071</v>
      </c>
      <c r="D476" s="7" t="s">
        <v>648</v>
      </c>
      <c r="E476" s="7" t="s">
        <v>655</v>
      </c>
      <c r="F476" s="7" t="s">
        <v>692</v>
      </c>
      <c r="G476" s="7" t="s">
        <v>706</v>
      </c>
      <c r="H476" s="7" t="s">
        <v>707</v>
      </c>
      <c r="I476" s="7" t="s">
        <v>724</v>
      </c>
      <c r="J476" s="7" t="s">
        <v>728</v>
      </c>
      <c r="K476" s="7" t="s">
        <v>1207</v>
      </c>
      <c r="L476" s="9">
        <v>690.49</v>
      </c>
      <c r="M476" s="9">
        <v>1290.29</v>
      </c>
      <c r="N476" s="11">
        <v>4.2000000000000003E-2</v>
      </c>
      <c r="O476" s="13">
        <v>22</v>
      </c>
    </row>
    <row r="477" spans="1:15" x14ac:dyDescent="0.3">
      <c r="A477" t="s">
        <v>490</v>
      </c>
      <c r="B477" s="4">
        <v>45422</v>
      </c>
      <c r="C477" s="4">
        <v>45428</v>
      </c>
      <c r="D477" s="7" t="s">
        <v>649</v>
      </c>
      <c r="E477" s="7" t="s">
        <v>658</v>
      </c>
      <c r="F477" s="7" t="s">
        <v>674</v>
      </c>
      <c r="G477" s="7" t="s">
        <v>703</v>
      </c>
      <c r="H477" s="7" t="s">
        <v>711</v>
      </c>
      <c r="I477" s="7" t="s">
        <v>715</v>
      </c>
      <c r="J477" s="7" t="s">
        <v>731</v>
      </c>
      <c r="K477" s="7" t="s">
        <v>1208</v>
      </c>
      <c r="L477" s="9">
        <v>210.76</v>
      </c>
      <c r="M477" s="9">
        <v>221.58</v>
      </c>
      <c r="N477" s="11">
        <v>8.8999999999999996E-2</v>
      </c>
      <c r="O477" s="13">
        <v>5</v>
      </c>
    </row>
    <row r="478" spans="1:15" x14ac:dyDescent="0.3">
      <c r="A478" t="s">
        <v>491</v>
      </c>
      <c r="B478" s="4">
        <v>44999</v>
      </c>
      <c r="C478" s="4">
        <v>45003</v>
      </c>
      <c r="D478" s="7" t="s">
        <v>649</v>
      </c>
      <c r="E478" s="7" t="s">
        <v>656</v>
      </c>
      <c r="F478" s="7" t="s">
        <v>698</v>
      </c>
      <c r="G478" s="7" t="s">
        <v>706</v>
      </c>
      <c r="H478" s="7" t="s">
        <v>711</v>
      </c>
      <c r="I478" s="7" t="s">
        <v>720</v>
      </c>
      <c r="J478" s="7" t="s">
        <v>727</v>
      </c>
      <c r="K478" s="7" t="s">
        <v>1209</v>
      </c>
      <c r="L478" s="9">
        <v>472.33</v>
      </c>
      <c r="M478" s="9">
        <v>360.34</v>
      </c>
      <c r="N478" s="11">
        <v>0.16500000000000001</v>
      </c>
      <c r="O478" s="13">
        <v>14</v>
      </c>
    </row>
    <row r="479" spans="1:15" x14ac:dyDescent="0.3">
      <c r="A479" t="s">
        <v>492</v>
      </c>
      <c r="B479" s="4">
        <v>45123</v>
      </c>
      <c r="C479" s="4">
        <v>45151</v>
      </c>
      <c r="D479" s="7" t="s">
        <v>649</v>
      </c>
      <c r="E479" s="7" t="s">
        <v>658</v>
      </c>
      <c r="F479" s="7" t="s">
        <v>693</v>
      </c>
      <c r="G479" s="7" t="s">
        <v>703</v>
      </c>
      <c r="H479" s="7" t="s">
        <v>708</v>
      </c>
      <c r="I479" s="7" t="s">
        <v>713</v>
      </c>
      <c r="J479" s="7" t="s">
        <v>731</v>
      </c>
      <c r="K479" s="7" t="s">
        <v>1210</v>
      </c>
      <c r="L479" s="9">
        <v>1039.03</v>
      </c>
      <c r="M479" s="9">
        <v>2545.81</v>
      </c>
      <c r="N479" s="11">
        <v>0.216</v>
      </c>
      <c r="O479" s="13">
        <v>21</v>
      </c>
    </row>
    <row r="480" spans="1:15" x14ac:dyDescent="0.3">
      <c r="A480" t="s">
        <v>493</v>
      </c>
      <c r="B480" s="4">
        <v>45032</v>
      </c>
      <c r="C480" s="4">
        <v>45035</v>
      </c>
      <c r="D480" s="7" t="s">
        <v>649</v>
      </c>
      <c r="E480" s="7" t="s">
        <v>656</v>
      </c>
      <c r="F480" s="7" t="s">
        <v>684</v>
      </c>
      <c r="G480" s="7" t="s">
        <v>701</v>
      </c>
      <c r="H480" s="7" t="s">
        <v>711</v>
      </c>
      <c r="I480" s="7" t="s">
        <v>717</v>
      </c>
      <c r="J480" s="7" t="s">
        <v>733</v>
      </c>
      <c r="K480" s="7" t="s">
        <v>1211</v>
      </c>
      <c r="L480" s="9">
        <v>553.61</v>
      </c>
      <c r="M480" s="9">
        <v>699.47</v>
      </c>
      <c r="N480" s="11">
        <v>0.02</v>
      </c>
      <c r="O480" s="13">
        <v>33</v>
      </c>
    </row>
    <row r="481" spans="1:15" x14ac:dyDescent="0.3">
      <c r="A481" t="s">
        <v>494</v>
      </c>
      <c r="B481" s="4">
        <v>45293</v>
      </c>
      <c r="C481" s="4">
        <v>45306</v>
      </c>
      <c r="D481" s="7" t="s">
        <v>647</v>
      </c>
      <c r="E481" s="7" t="s">
        <v>652</v>
      </c>
      <c r="F481" s="7" t="s">
        <v>694</v>
      </c>
      <c r="G481" s="7" t="s">
        <v>705</v>
      </c>
      <c r="H481" s="7" t="s">
        <v>709</v>
      </c>
      <c r="I481" s="7" t="s">
        <v>715</v>
      </c>
      <c r="J481" s="7" t="s">
        <v>729</v>
      </c>
      <c r="K481" s="7" t="s">
        <v>1212</v>
      </c>
      <c r="L481" s="9">
        <v>1219.06</v>
      </c>
      <c r="M481" s="9">
        <v>2738.69</v>
      </c>
      <c r="N481" s="11">
        <v>7.5999999999999998E-2</v>
      </c>
      <c r="O481" s="13">
        <v>16</v>
      </c>
    </row>
    <row r="482" spans="1:15" x14ac:dyDescent="0.3">
      <c r="A482" t="s">
        <v>495</v>
      </c>
      <c r="B482" s="4">
        <v>45538</v>
      </c>
      <c r="C482" s="4">
        <v>45542</v>
      </c>
      <c r="D482" s="7" t="s">
        <v>647</v>
      </c>
      <c r="E482" s="7" t="s">
        <v>652</v>
      </c>
      <c r="F482" s="7" t="s">
        <v>689</v>
      </c>
      <c r="G482" s="7" t="s">
        <v>705</v>
      </c>
      <c r="H482" s="7" t="s">
        <v>710</v>
      </c>
      <c r="I482" s="7" t="s">
        <v>725</v>
      </c>
      <c r="J482" s="7" t="s">
        <v>728</v>
      </c>
      <c r="K482" s="7" t="s">
        <v>1213</v>
      </c>
      <c r="L482" s="9">
        <v>43.23</v>
      </c>
      <c r="M482" s="9">
        <v>94.78</v>
      </c>
      <c r="N482" s="11">
        <v>9.0999999999999998E-2</v>
      </c>
      <c r="O482" s="13">
        <v>55</v>
      </c>
    </row>
    <row r="483" spans="1:15" x14ac:dyDescent="0.3">
      <c r="A483" t="s">
        <v>496</v>
      </c>
      <c r="B483" s="4">
        <v>45899</v>
      </c>
      <c r="C483" s="4">
        <v>45903</v>
      </c>
      <c r="D483" s="7" t="s">
        <v>649</v>
      </c>
      <c r="E483" s="7" t="s">
        <v>657</v>
      </c>
      <c r="F483" s="7" t="s">
        <v>673</v>
      </c>
      <c r="G483" s="7" t="s">
        <v>705</v>
      </c>
      <c r="H483" s="7" t="s">
        <v>709</v>
      </c>
      <c r="I483" s="7" t="s">
        <v>713</v>
      </c>
      <c r="J483" s="7" t="s">
        <v>731</v>
      </c>
      <c r="K483" s="7" t="s">
        <v>1214</v>
      </c>
      <c r="L483" s="9">
        <v>1286.56</v>
      </c>
      <c r="M483" s="9">
        <v>2777.35</v>
      </c>
      <c r="N483" s="11">
        <v>0.13200000000000001</v>
      </c>
      <c r="O483" s="13">
        <v>15</v>
      </c>
    </row>
    <row r="484" spans="1:15" x14ac:dyDescent="0.3">
      <c r="A484" t="s">
        <v>497</v>
      </c>
      <c r="B484" s="4">
        <v>45775</v>
      </c>
      <c r="C484" s="4">
        <v>45796</v>
      </c>
      <c r="D484" s="7" t="s">
        <v>649</v>
      </c>
      <c r="E484" s="7" t="s">
        <v>656</v>
      </c>
      <c r="F484" s="7" t="s">
        <v>671</v>
      </c>
      <c r="G484" s="7" t="s">
        <v>701</v>
      </c>
      <c r="H484" s="7" t="s">
        <v>710</v>
      </c>
      <c r="I484" s="7" t="s">
        <v>717</v>
      </c>
      <c r="J484" s="7" t="s">
        <v>730</v>
      </c>
      <c r="K484" s="7" t="s">
        <v>1215</v>
      </c>
      <c r="L484" s="9">
        <v>350.76</v>
      </c>
      <c r="M484" s="9">
        <v>492.18</v>
      </c>
      <c r="N484" s="11">
        <v>5.2999999999999999E-2</v>
      </c>
      <c r="O484" s="13">
        <v>11</v>
      </c>
    </row>
    <row r="485" spans="1:15" x14ac:dyDescent="0.3">
      <c r="A485" t="s">
        <v>498</v>
      </c>
      <c r="B485" s="4">
        <v>45148</v>
      </c>
      <c r="C485" s="4">
        <v>45153</v>
      </c>
      <c r="D485" s="7" t="s">
        <v>648</v>
      </c>
      <c r="E485" s="7" t="s">
        <v>655</v>
      </c>
      <c r="F485" s="7" t="s">
        <v>670</v>
      </c>
      <c r="G485" s="7" t="s">
        <v>702</v>
      </c>
      <c r="H485" s="7" t="s">
        <v>711</v>
      </c>
      <c r="I485" s="7" t="s">
        <v>715</v>
      </c>
      <c r="J485" s="7" t="s">
        <v>729</v>
      </c>
      <c r="K485" s="7" t="s">
        <v>1216</v>
      </c>
      <c r="L485" s="9">
        <v>1307.52</v>
      </c>
      <c r="M485" s="9">
        <v>1921.65</v>
      </c>
      <c r="N485" s="11">
        <v>0.123</v>
      </c>
      <c r="O485" s="13">
        <v>13</v>
      </c>
    </row>
    <row r="486" spans="1:15" x14ac:dyDescent="0.3">
      <c r="A486" t="s">
        <v>499</v>
      </c>
      <c r="B486" s="4">
        <v>45634</v>
      </c>
      <c r="C486" s="4">
        <v>45634</v>
      </c>
      <c r="D486" s="7" t="s">
        <v>649</v>
      </c>
      <c r="E486" s="7" t="s">
        <v>657</v>
      </c>
      <c r="F486" s="7" t="s">
        <v>679</v>
      </c>
      <c r="G486" s="7" t="s">
        <v>706</v>
      </c>
      <c r="H486" s="7" t="s">
        <v>707</v>
      </c>
      <c r="I486" s="7" t="s">
        <v>722</v>
      </c>
      <c r="J486" s="7" t="s">
        <v>727</v>
      </c>
      <c r="K486" s="7" t="s">
        <v>1217</v>
      </c>
      <c r="L486" s="9">
        <v>257.44</v>
      </c>
      <c r="M486" s="9">
        <v>290.33</v>
      </c>
      <c r="N486" s="11">
        <v>9.1999999999999998E-2</v>
      </c>
      <c r="O486" s="13">
        <v>23</v>
      </c>
    </row>
    <row r="487" spans="1:15" x14ac:dyDescent="0.3">
      <c r="A487" t="s">
        <v>500</v>
      </c>
      <c r="B487" s="4">
        <v>45224</v>
      </c>
      <c r="C487" s="4">
        <v>45254</v>
      </c>
      <c r="D487" s="7" t="s">
        <v>649</v>
      </c>
      <c r="E487" s="7" t="s">
        <v>657</v>
      </c>
      <c r="F487" s="7" t="s">
        <v>690</v>
      </c>
      <c r="G487" s="7" t="s">
        <v>706</v>
      </c>
      <c r="H487" s="7" t="s">
        <v>710</v>
      </c>
      <c r="I487" s="7" t="s">
        <v>712</v>
      </c>
      <c r="J487" s="7" t="s">
        <v>730</v>
      </c>
      <c r="K487" s="7" t="s">
        <v>1218</v>
      </c>
      <c r="L487" s="9">
        <v>287.85000000000002</v>
      </c>
      <c r="M487" s="9">
        <v>602.91999999999996</v>
      </c>
      <c r="N487" s="11">
        <v>0.222</v>
      </c>
      <c r="O487" s="13">
        <v>11</v>
      </c>
    </row>
    <row r="488" spans="1:15" x14ac:dyDescent="0.3">
      <c r="A488" t="s">
        <v>501</v>
      </c>
      <c r="B488" s="4">
        <v>45613</v>
      </c>
      <c r="C488" s="4">
        <v>45624</v>
      </c>
      <c r="D488" s="7" t="s">
        <v>648</v>
      </c>
      <c r="E488" s="7" t="s">
        <v>653</v>
      </c>
      <c r="G488" s="7" t="s">
        <v>704</v>
      </c>
      <c r="H488" s="7" t="s">
        <v>710</v>
      </c>
      <c r="I488" s="7" t="s">
        <v>720</v>
      </c>
      <c r="J488" s="7" t="s">
        <v>728</v>
      </c>
      <c r="K488" s="7" t="s">
        <v>1219</v>
      </c>
      <c r="L488" s="9">
        <v>1008.16</v>
      </c>
      <c r="M488" s="9">
        <v>2077.5</v>
      </c>
      <c r="N488" s="11">
        <v>7.3999999999999996E-2</v>
      </c>
      <c r="O488" s="13">
        <v>15</v>
      </c>
    </row>
    <row r="489" spans="1:15" x14ac:dyDescent="0.3">
      <c r="A489" t="s">
        <v>502</v>
      </c>
      <c r="B489" s="4">
        <v>45424</v>
      </c>
      <c r="C489" s="4">
        <v>45436</v>
      </c>
      <c r="D489" s="7" t="s">
        <v>649</v>
      </c>
      <c r="E489" s="7" t="s">
        <v>658</v>
      </c>
      <c r="F489" s="7" t="s">
        <v>693</v>
      </c>
      <c r="G489" s="7" t="s">
        <v>702</v>
      </c>
      <c r="H489" s="7" t="s">
        <v>709</v>
      </c>
      <c r="I489" s="7" t="s">
        <v>723</v>
      </c>
      <c r="J489" s="7" t="s">
        <v>728</v>
      </c>
      <c r="K489" s="7" t="s">
        <v>1220</v>
      </c>
      <c r="L489" s="9">
        <v>111.02</v>
      </c>
      <c r="M489" s="9">
        <v>172.88</v>
      </c>
      <c r="N489" s="11">
        <v>0.19700000000000001</v>
      </c>
      <c r="O489" s="13">
        <v>29</v>
      </c>
    </row>
    <row r="490" spans="1:15" x14ac:dyDescent="0.3">
      <c r="A490" t="s">
        <v>503</v>
      </c>
      <c r="B490" s="4">
        <v>45792</v>
      </c>
      <c r="C490" s="4">
        <v>45813</v>
      </c>
      <c r="D490" s="7" t="s">
        <v>647</v>
      </c>
      <c r="E490" s="7" t="s">
        <v>652</v>
      </c>
      <c r="F490" s="7" t="s">
        <v>666</v>
      </c>
      <c r="G490" s="7" t="s">
        <v>706</v>
      </c>
      <c r="H490" s="7" t="s">
        <v>711</v>
      </c>
      <c r="I490" s="7" t="s">
        <v>722</v>
      </c>
      <c r="J490" s="7" t="s">
        <v>730</v>
      </c>
      <c r="K490" s="7" t="s">
        <v>1221</v>
      </c>
      <c r="L490" s="9">
        <v>1466.5</v>
      </c>
      <c r="M490" s="9">
        <v>2778.74</v>
      </c>
      <c r="N490" s="11">
        <v>0.13500000000000001</v>
      </c>
      <c r="O490" s="13">
        <v>4</v>
      </c>
    </row>
    <row r="491" spans="1:15" x14ac:dyDescent="0.3">
      <c r="A491" t="s">
        <v>504</v>
      </c>
      <c r="B491" s="4">
        <v>45403</v>
      </c>
      <c r="C491" s="4">
        <v>45431</v>
      </c>
      <c r="D491" s="7" t="s">
        <v>646</v>
      </c>
      <c r="E491" s="7" t="s">
        <v>651</v>
      </c>
      <c r="F491" s="7" t="s">
        <v>665</v>
      </c>
      <c r="G491" s="7" t="s">
        <v>701</v>
      </c>
      <c r="H491" s="7" t="s">
        <v>710</v>
      </c>
      <c r="I491" s="7" t="s">
        <v>720</v>
      </c>
      <c r="J491" s="7" t="s">
        <v>733</v>
      </c>
      <c r="K491" s="7" t="s">
        <v>1222</v>
      </c>
      <c r="L491" s="9">
        <v>187.22</v>
      </c>
      <c r="M491" s="9">
        <v>309.47000000000003</v>
      </c>
      <c r="N491" s="11">
        <v>0</v>
      </c>
      <c r="O491" s="13">
        <v>5</v>
      </c>
    </row>
    <row r="492" spans="1:15" x14ac:dyDescent="0.3">
      <c r="A492" t="s">
        <v>505</v>
      </c>
      <c r="B492" s="4">
        <v>45523</v>
      </c>
      <c r="C492" s="4">
        <v>45542</v>
      </c>
      <c r="D492" s="7" t="s">
        <v>649</v>
      </c>
      <c r="E492" s="7" t="s">
        <v>657</v>
      </c>
      <c r="F492" s="7" t="s">
        <v>679</v>
      </c>
      <c r="G492" s="7" t="s">
        <v>701</v>
      </c>
      <c r="H492" s="7" t="s">
        <v>711</v>
      </c>
      <c r="I492" s="7" t="s">
        <v>713</v>
      </c>
      <c r="J492" s="7" t="s">
        <v>727</v>
      </c>
      <c r="K492" s="7" t="s">
        <v>1223</v>
      </c>
      <c r="L492" s="9">
        <v>297.58999999999997</v>
      </c>
      <c r="M492" s="9">
        <v>666.41</v>
      </c>
      <c r="N492" s="11">
        <v>0</v>
      </c>
      <c r="O492" s="13">
        <v>10</v>
      </c>
    </row>
    <row r="493" spans="1:15" x14ac:dyDescent="0.3">
      <c r="A493" t="s">
        <v>506</v>
      </c>
      <c r="B493" s="4">
        <v>45861</v>
      </c>
      <c r="C493" s="4">
        <v>45888</v>
      </c>
      <c r="D493" s="7" t="s">
        <v>647</v>
      </c>
      <c r="E493" s="7" t="s">
        <v>652</v>
      </c>
      <c r="F493" s="7" t="s">
        <v>694</v>
      </c>
      <c r="G493" s="7" t="s">
        <v>704</v>
      </c>
      <c r="H493" s="7" t="s">
        <v>709</v>
      </c>
      <c r="I493" s="7" t="s">
        <v>717</v>
      </c>
      <c r="J493" s="7" t="s">
        <v>733</v>
      </c>
      <c r="K493" s="7" t="s">
        <v>1224</v>
      </c>
      <c r="L493" s="9">
        <v>896.09</v>
      </c>
      <c r="M493" s="9">
        <v>744.27</v>
      </c>
      <c r="N493" s="11">
        <v>8.3000000000000004E-2</v>
      </c>
      <c r="O493" s="13">
        <v>11</v>
      </c>
    </row>
    <row r="494" spans="1:15" x14ac:dyDescent="0.3">
      <c r="A494" t="s">
        <v>507</v>
      </c>
      <c r="B494" s="4">
        <v>45352</v>
      </c>
      <c r="C494" s="4">
        <v>45351</v>
      </c>
      <c r="D494" s="7" t="s">
        <v>648</v>
      </c>
      <c r="E494" s="7" t="s">
        <v>655</v>
      </c>
      <c r="F494" s="7" t="s">
        <v>670</v>
      </c>
      <c r="G494" s="7" t="s">
        <v>703</v>
      </c>
      <c r="H494" s="7" t="s">
        <v>711</v>
      </c>
      <c r="I494" s="7" t="s">
        <v>714</v>
      </c>
      <c r="J494" s="7" t="s">
        <v>730</v>
      </c>
      <c r="K494" s="7" t="s">
        <v>1225</v>
      </c>
      <c r="L494" s="9">
        <v>5.34</v>
      </c>
      <c r="M494" s="9">
        <v>12.69</v>
      </c>
      <c r="N494" s="11">
        <v>0.13200000000000001</v>
      </c>
      <c r="O494" s="13">
        <v>10</v>
      </c>
    </row>
    <row r="495" spans="1:15" x14ac:dyDescent="0.3">
      <c r="A495" t="s">
        <v>508</v>
      </c>
      <c r="B495" s="4">
        <v>45439</v>
      </c>
      <c r="C495" s="4">
        <v>45460</v>
      </c>
      <c r="D495" s="7" t="s">
        <v>647</v>
      </c>
      <c r="E495" s="7" t="s">
        <v>654</v>
      </c>
      <c r="F495" s="7" t="s">
        <v>680</v>
      </c>
      <c r="G495" s="7" t="s">
        <v>705</v>
      </c>
      <c r="H495" s="7" t="s">
        <v>708</v>
      </c>
      <c r="I495" s="7" t="s">
        <v>722</v>
      </c>
      <c r="J495" s="7" t="s">
        <v>733</v>
      </c>
      <c r="K495" s="7" t="s">
        <v>1226</v>
      </c>
      <c r="L495" s="9">
        <v>465.02</v>
      </c>
      <c r="M495" s="9">
        <v>651.55999999999995</v>
      </c>
      <c r="N495" s="11">
        <v>4.2000000000000003E-2</v>
      </c>
      <c r="O495" s="13">
        <v>19</v>
      </c>
    </row>
    <row r="496" spans="1:15" x14ac:dyDescent="0.3">
      <c r="A496" t="s">
        <v>509</v>
      </c>
      <c r="B496" s="4">
        <v>45508</v>
      </c>
      <c r="C496" s="4">
        <v>45521</v>
      </c>
      <c r="D496" s="7" t="s">
        <v>648</v>
      </c>
      <c r="E496" s="7" t="s">
        <v>660</v>
      </c>
      <c r="F496" s="7" t="s">
        <v>697</v>
      </c>
      <c r="G496" s="7" t="s">
        <v>704</v>
      </c>
      <c r="H496" s="7" t="s">
        <v>707</v>
      </c>
      <c r="I496" s="7" t="s">
        <v>726</v>
      </c>
      <c r="J496" s="7" t="s">
        <v>732</v>
      </c>
      <c r="K496" s="7" t="s">
        <v>1227</v>
      </c>
      <c r="L496" s="9">
        <v>352.79</v>
      </c>
      <c r="M496" s="9">
        <v>754.22</v>
      </c>
      <c r="N496" s="11">
        <v>0.113</v>
      </c>
      <c r="O496" s="13">
        <v>7</v>
      </c>
    </row>
    <row r="497" spans="1:15" x14ac:dyDescent="0.3">
      <c r="A497" t="s">
        <v>510</v>
      </c>
      <c r="B497" s="4">
        <v>45097</v>
      </c>
      <c r="C497" s="4">
        <v>45111</v>
      </c>
      <c r="D497" s="7" t="s">
        <v>648</v>
      </c>
      <c r="E497" s="7" t="s">
        <v>655</v>
      </c>
      <c r="F497" s="7" t="s">
        <v>672</v>
      </c>
      <c r="G497" s="7" t="s">
        <v>703</v>
      </c>
      <c r="H497" s="7" t="s">
        <v>711</v>
      </c>
      <c r="I497" s="7" t="s">
        <v>712</v>
      </c>
      <c r="J497" s="7" t="s">
        <v>729</v>
      </c>
      <c r="K497" s="7" t="s">
        <v>1228</v>
      </c>
      <c r="L497" s="9">
        <v>1292.8599999999999</v>
      </c>
      <c r="M497" s="9">
        <v>2981.01</v>
      </c>
      <c r="N497" s="11">
        <v>0.14199999999999999</v>
      </c>
      <c r="O497" s="13">
        <v>12</v>
      </c>
    </row>
    <row r="498" spans="1:15" x14ac:dyDescent="0.3">
      <c r="A498" t="s">
        <v>511</v>
      </c>
      <c r="B498" s="4">
        <v>45544</v>
      </c>
      <c r="C498" s="4">
        <v>45548</v>
      </c>
      <c r="D498" s="7" t="s">
        <v>649</v>
      </c>
      <c r="E498" s="7" t="s">
        <v>658</v>
      </c>
      <c r="F498" s="7" t="s">
        <v>683</v>
      </c>
      <c r="G498" s="7" t="s">
        <v>704</v>
      </c>
      <c r="H498" s="7" t="s">
        <v>709</v>
      </c>
      <c r="I498" s="7" t="s">
        <v>721</v>
      </c>
      <c r="J498" s="7" t="s">
        <v>729</v>
      </c>
      <c r="K498" s="7" t="s">
        <v>1229</v>
      </c>
      <c r="L498" s="9">
        <v>1133.08</v>
      </c>
      <c r="M498" s="9">
        <v>976.17</v>
      </c>
      <c r="N498" s="11">
        <v>4.2000000000000003E-2</v>
      </c>
      <c r="O498" s="13">
        <v>27</v>
      </c>
    </row>
    <row r="499" spans="1:15" x14ac:dyDescent="0.3">
      <c r="A499" t="s">
        <v>512</v>
      </c>
      <c r="B499" s="4">
        <v>45224</v>
      </c>
      <c r="C499" s="4">
        <v>45227</v>
      </c>
      <c r="D499" s="7" t="s">
        <v>648</v>
      </c>
      <c r="E499" s="7" t="s">
        <v>655</v>
      </c>
      <c r="F499" s="7" t="s">
        <v>672</v>
      </c>
      <c r="G499" s="7" t="s">
        <v>701</v>
      </c>
      <c r="H499" s="7" t="s">
        <v>710</v>
      </c>
      <c r="I499" s="7" t="s">
        <v>716</v>
      </c>
      <c r="J499" s="7" t="s">
        <v>733</v>
      </c>
      <c r="K499" s="7" t="s">
        <v>1230</v>
      </c>
      <c r="L499" s="9">
        <v>509.31</v>
      </c>
      <c r="M499" s="9">
        <v>1145.9000000000001</v>
      </c>
      <c r="N499" s="11">
        <v>5.7000000000000002E-2</v>
      </c>
      <c r="O499" s="13">
        <v>8</v>
      </c>
    </row>
    <row r="500" spans="1:15" x14ac:dyDescent="0.3">
      <c r="A500" t="s">
        <v>513</v>
      </c>
      <c r="B500" s="4">
        <v>45908</v>
      </c>
      <c r="C500" s="4">
        <v>45935</v>
      </c>
      <c r="D500" s="7" t="s">
        <v>648</v>
      </c>
      <c r="E500" s="7" t="s">
        <v>655</v>
      </c>
      <c r="F500" s="7" t="s">
        <v>692</v>
      </c>
      <c r="G500" s="7" t="s">
        <v>702</v>
      </c>
      <c r="H500" s="7" t="s">
        <v>708</v>
      </c>
      <c r="I500" s="7" t="s">
        <v>712</v>
      </c>
      <c r="J500" s="7" t="s">
        <v>732</v>
      </c>
      <c r="K500" s="7" t="s">
        <v>1231</v>
      </c>
      <c r="L500" s="9">
        <v>660.78</v>
      </c>
      <c r="M500" s="9">
        <v>1630.39</v>
      </c>
      <c r="N500" s="11">
        <v>0.218</v>
      </c>
      <c r="O500" s="13">
        <v>13</v>
      </c>
    </row>
    <row r="501" spans="1:15" x14ac:dyDescent="0.3">
      <c r="A501" t="s">
        <v>514</v>
      </c>
      <c r="B501" s="4">
        <v>45048</v>
      </c>
      <c r="C501" s="4">
        <v>45062</v>
      </c>
      <c r="D501" s="7" t="s">
        <v>647</v>
      </c>
      <c r="E501" s="7" t="s">
        <v>654</v>
      </c>
      <c r="F501" s="7" t="s">
        <v>668</v>
      </c>
      <c r="G501" s="7" t="s">
        <v>703</v>
      </c>
      <c r="H501" s="7" t="s">
        <v>707</v>
      </c>
      <c r="I501" s="7" t="s">
        <v>716</v>
      </c>
      <c r="J501" s="7" t="s">
        <v>732</v>
      </c>
      <c r="K501" s="7" t="s">
        <v>1232</v>
      </c>
      <c r="L501" s="9">
        <v>475.37</v>
      </c>
      <c r="M501" s="9">
        <v>963.73</v>
      </c>
      <c r="N501" s="11">
        <v>4.1000000000000002E-2</v>
      </c>
      <c r="O501" s="13">
        <v>22</v>
      </c>
    </row>
    <row r="502" spans="1:15" x14ac:dyDescent="0.3">
      <c r="A502" t="s">
        <v>515</v>
      </c>
      <c r="B502" s="4">
        <v>45408</v>
      </c>
      <c r="C502" s="4">
        <v>45406</v>
      </c>
      <c r="D502" s="7" t="s">
        <v>649</v>
      </c>
      <c r="E502" s="7" t="s">
        <v>658</v>
      </c>
      <c r="F502" s="7" t="s">
        <v>683</v>
      </c>
      <c r="G502" s="7" t="s">
        <v>703</v>
      </c>
      <c r="H502" s="7" t="s">
        <v>710</v>
      </c>
      <c r="I502" s="7" t="s">
        <v>725</v>
      </c>
      <c r="J502" s="7" t="s">
        <v>730</v>
      </c>
      <c r="K502" s="7" t="s">
        <v>1233</v>
      </c>
      <c r="L502" s="9">
        <v>1232.77</v>
      </c>
      <c r="M502" s="9">
        <v>891.73</v>
      </c>
      <c r="N502" s="11">
        <v>0.16700000000000001</v>
      </c>
      <c r="O502" s="13">
        <v>10</v>
      </c>
    </row>
    <row r="503" spans="1:15" x14ac:dyDescent="0.3">
      <c r="A503" t="s">
        <v>516</v>
      </c>
      <c r="B503" s="4">
        <v>44980</v>
      </c>
      <c r="C503" s="4">
        <v>45003</v>
      </c>
      <c r="D503" s="7" t="s">
        <v>647</v>
      </c>
      <c r="E503" s="7" t="s">
        <v>659</v>
      </c>
      <c r="F503" s="7" t="s">
        <v>699</v>
      </c>
      <c r="G503" s="7" t="s">
        <v>702</v>
      </c>
      <c r="H503" s="7" t="s">
        <v>710</v>
      </c>
      <c r="I503" s="7" t="s">
        <v>723</v>
      </c>
      <c r="J503" s="7" t="s">
        <v>728</v>
      </c>
      <c r="K503" s="7" t="s">
        <v>1234</v>
      </c>
      <c r="L503" s="9">
        <v>770.11</v>
      </c>
      <c r="M503" s="9">
        <v>1667.82</v>
      </c>
      <c r="N503" s="11">
        <v>6.9000000000000006E-2</v>
      </c>
      <c r="O503" s="13">
        <v>7</v>
      </c>
    </row>
    <row r="504" spans="1:15" x14ac:dyDescent="0.3">
      <c r="A504" t="s">
        <v>517</v>
      </c>
      <c r="B504" s="4">
        <v>45740</v>
      </c>
      <c r="C504" s="4">
        <v>45741</v>
      </c>
      <c r="D504" s="7" t="s">
        <v>647</v>
      </c>
      <c r="E504" s="7" t="s">
        <v>659</v>
      </c>
      <c r="F504" s="7" t="s">
        <v>699</v>
      </c>
      <c r="G504" s="7" t="s">
        <v>703</v>
      </c>
      <c r="H504" s="7" t="s">
        <v>708</v>
      </c>
      <c r="I504" s="7" t="s">
        <v>715</v>
      </c>
      <c r="J504" s="7" t="s">
        <v>729</v>
      </c>
      <c r="K504" s="7" t="s">
        <v>1235</v>
      </c>
      <c r="L504" s="9">
        <v>1133.03</v>
      </c>
      <c r="M504" s="9">
        <v>1921.51</v>
      </c>
      <c r="N504" s="11">
        <v>0.10100000000000001</v>
      </c>
      <c r="O504" s="13">
        <v>5</v>
      </c>
    </row>
    <row r="505" spans="1:15" x14ac:dyDescent="0.3">
      <c r="A505" t="s">
        <v>518</v>
      </c>
      <c r="B505" s="4">
        <v>45726</v>
      </c>
      <c r="C505" s="4">
        <v>45743</v>
      </c>
      <c r="D505" s="7" t="s">
        <v>648</v>
      </c>
      <c r="E505" s="7" t="s">
        <v>655</v>
      </c>
      <c r="F505" s="7" t="s">
        <v>692</v>
      </c>
      <c r="G505" s="7" t="s">
        <v>706</v>
      </c>
      <c r="H505" s="7" t="s">
        <v>711</v>
      </c>
      <c r="I505" s="7" t="s">
        <v>721</v>
      </c>
      <c r="J505" s="7" t="s">
        <v>729</v>
      </c>
      <c r="K505" s="7" t="s">
        <v>1236</v>
      </c>
      <c r="L505" s="9">
        <v>996.73</v>
      </c>
      <c r="M505" s="9">
        <v>1217.43</v>
      </c>
      <c r="N505" s="11">
        <v>7.0000000000000007E-2</v>
      </c>
      <c r="O505" s="13">
        <v>9</v>
      </c>
    </row>
    <row r="506" spans="1:15" x14ac:dyDescent="0.3">
      <c r="A506" t="s">
        <v>519</v>
      </c>
      <c r="B506" s="4">
        <v>45387</v>
      </c>
      <c r="C506" s="4">
        <v>45391</v>
      </c>
      <c r="D506" s="7" t="s">
        <v>646</v>
      </c>
      <c r="E506" s="7" t="s">
        <v>651</v>
      </c>
      <c r="F506" s="7" t="s">
        <v>665</v>
      </c>
      <c r="G506" s="7" t="s">
        <v>703</v>
      </c>
      <c r="H506" s="7" t="s">
        <v>711</v>
      </c>
      <c r="I506" s="7" t="s">
        <v>723</v>
      </c>
      <c r="J506" s="7" t="s">
        <v>727</v>
      </c>
      <c r="K506" s="7" t="s">
        <v>1237</v>
      </c>
      <c r="L506" s="9">
        <v>395.07</v>
      </c>
      <c r="M506" s="9">
        <v>970.27</v>
      </c>
      <c r="N506" s="11">
        <v>0.123</v>
      </c>
      <c r="O506" s="13">
        <v>38</v>
      </c>
    </row>
    <row r="507" spans="1:15" x14ac:dyDescent="0.3">
      <c r="A507" t="s">
        <v>520</v>
      </c>
      <c r="B507" s="4">
        <v>45774</v>
      </c>
      <c r="C507" s="4">
        <v>45794</v>
      </c>
      <c r="D507" s="7" t="s">
        <v>648</v>
      </c>
      <c r="E507" s="7" t="s">
        <v>660</v>
      </c>
      <c r="F507" s="7" t="s">
        <v>697</v>
      </c>
      <c r="G507" s="7" t="s">
        <v>701</v>
      </c>
      <c r="H507" s="7" t="s">
        <v>711</v>
      </c>
      <c r="I507" s="7" t="s">
        <v>725</v>
      </c>
      <c r="J507" s="7" t="s">
        <v>730</v>
      </c>
      <c r="K507" s="7" t="s">
        <v>1238</v>
      </c>
      <c r="L507" s="9">
        <v>932.26</v>
      </c>
      <c r="M507" s="9">
        <v>1624.67</v>
      </c>
      <c r="N507" s="11">
        <v>0.23499999999999999</v>
      </c>
      <c r="O507" s="13">
        <v>28</v>
      </c>
    </row>
    <row r="508" spans="1:15" x14ac:dyDescent="0.3">
      <c r="A508" t="s">
        <v>521</v>
      </c>
      <c r="B508" s="4">
        <v>45589</v>
      </c>
      <c r="C508" s="4">
        <v>45593</v>
      </c>
      <c r="D508" s="7" t="s">
        <v>647</v>
      </c>
      <c r="E508" s="7" t="s">
        <v>659</v>
      </c>
      <c r="F508" s="7" t="s">
        <v>685</v>
      </c>
      <c r="G508" s="7" t="s">
        <v>705</v>
      </c>
      <c r="H508" s="7" t="s">
        <v>710</v>
      </c>
      <c r="I508" s="7" t="s">
        <v>714</v>
      </c>
      <c r="J508" s="7" t="s">
        <v>729</v>
      </c>
      <c r="K508" s="7" t="s">
        <v>1239</v>
      </c>
      <c r="L508" s="9">
        <v>1331.77</v>
      </c>
      <c r="M508" s="9">
        <v>2606.11</v>
      </c>
      <c r="N508" s="11">
        <v>0.02</v>
      </c>
      <c r="O508" s="13">
        <v>6</v>
      </c>
    </row>
    <row r="509" spans="1:15" x14ac:dyDescent="0.3">
      <c r="A509" t="s">
        <v>522</v>
      </c>
      <c r="B509" s="4">
        <v>45029</v>
      </c>
      <c r="C509" s="4">
        <v>45036</v>
      </c>
      <c r="D509" s="7" t="s">
        <v>649</v>
      </c>
      <c r="E509" s="7" t="s">
        <v>657</v>
      </c>
      <c r="F509" s="7" t="s">
        <v>679</v>
      </c>
      <c r="G509" s="7" t="s">
        <v>705</v>
      </c>
      <c r="H509" s="7" t="s">
        <v>708</v>
      </c>
      <c r="I509" s="7" t="s">
        <v>720</v>
      </c>
      <c r="J509" s="7" t="s">
        <v>731</v>
      </c>
      <c r="K509" s="7" t="s">
        <v>1240</v>
      </c>
      <c r="L509" s="9">
        <v>227.02</v>
      </c>
      <c r="M509" s="9">
        <v>434.72</v>
      </c>
      <c r="N509" s="11">
        <v>9.8000000000000004E-2</v>
      </c>
      <c r="O509" s="13">
        <v>10</v>
      </c>
    </row>
    <row r="510" spans="1:15" x14ac:dyDescent="0.3">
      <c r="A510" t="s">
        <v>523</v>
      </c>
      <c r="B510" s="4">
        <v>45608</v>
      </c>
      <c r="C510" s="4">
        <v>45617</v>
      </c>
      <c r="D510" s="7" t="s">
        <v>647</v>
      </c>
      <c r="E510" s="7" t="s">
        <v>654</v>
      </c>
      <c r="F510" s="7" t="s">
        <v>691</v>
      </c>
      <c r="G510" s="7" t="s">
        <v>701</v>
      </c>
      <c r="H510" s="7" t="s">
        <v>711</v>
      </c>
      <c r="I510" s="7" t="s">
        <v>722</v>
      </c>
      <c r="J510" s="7" t="s">
        <v>731</v>
      </c>
      <c r="K510" s="7" t="s">
        <v>1241</v>
      </c>
      <c r="L510" s="9">
        <v>903.41</v>
      </c>
      <c r="M510" s="9">
        <v>1860.41</v>
      </c>
      <c r="N510" s="11">
        <v>0.108</v>
      </c>
      <c r="O510" s="13">
        <v>5</v>
      </c>
    </row>
    <row r="511" spans="1:15" x14ac:dyDescent="0.3">
      <c r="A511" t="s">
        <v>524</v>
      </c>
      <c r="B511" s="4">
        <v>45056</v>
      </c>
      <c r="C511" s="4">
        <v>45060</v>
      </c>
      <c r="D511" s="7" t="s">
        <v>647</v>
      </c>
      <c r="E511" s="7" t="s">
        <v>654</v>
      </c>
      <c r="F511" s="7" t="s">
        <v>680</v>
      </c>
      <c r="G511" s="7" t="s">
        <v>703</v>
      </c>
      <c r="H511" s="7" t="s">
        <v>710</v>
      </c>
      <c r="I511" s="7" t="s">
        <v>712</v>
      </c>
      <c r="J511" s="7" t="s">
        <v>732</v>
      </c>
      <c r="K511" s="7" t="s">
        <v>1242</v>
      </c>
      <c r="L511" s="9">
        <v>622.6</v>
      </c>
      <c r="M511" s="9">
        <v>833.69</v>
      </c>
      <c r="N511" s="11">
        <v>0.20899999999999999</v>
      </c>
      <c r="O511" s="13">
        <v>14</v>
      </c>
    </row>
    <row r="512" spans="1:15" x14ac:dyDescent="0.3">
      <c r="A512" t="s">
        <v>525</v>
      </c>
      <c r="B512" s="4">
        <v>45353</v>
      </c>
      <c r="C512" s="4">
        <v>45374</v>
      </c>
      <c r="D512" s="7" t="s">
        <v>648</v>
      </c>
      <c r="E512" s="7" t="s">
        <v>660</v>
      </c>
      <c r="F512" s="7" t="s">
        <v>677</v>
      </c>
      <c r="G512" s="7" t="s">
        <v>705</v>
      </c>
      <c r="H512" s="7" t="s">
        <v>708</v>
      </c>
      <c r="I512" s="7" t="s">
        <v>721</v>
      </c>
      <c r="J512" s="7" t="s">
        <v>727</v>
      </c>
      <c r="K512" s="7" t="s">
        <v>1243</v>
      </c>
      <c r="L512" s="9">
        <v>225.01</v>
      </c>
      <c r="M512" s="9">
        <v>333.48</v>
      </c>
      <c r="N512" s="11">
        <v>0.11899999999999999</v>
      </c>
      <c r="O512" s="13">
        <v>12</v>
      </c>
    </row>
    <row r="513" spans="1:15" x14ac:dyDescent="0.3">
      <c r="A513" t="s">
        <v>526</v>
      </c>
      <c r="B513" s="4">
        <v>45575</v>
      </c>
      <c r="C513" s="4">
        <v>45576</v>
      </c>
      <c r="D513" s="7" t="s">
        <v>649</v>
      </c>
      <c r="E513" s="7" t="s">
        <v>658</v>
      </c>
      <c r="F513" s="7" t="s">
        <v>693</v>
      </c>
      <c r="G513" s="7" t="s">
        <v>703</v>
      </c>
      <c r="H513" s="7" t="s">
        <v>710</v>
      </c>
      <c r="I513" s="7" t="s">
        <v>716</v>
      </c>
      <c r="J513" s="7" t="s">
        <v>727</v>
      </c>
      <c r="K513" s="7" t="s">
        <v>1244</v>
      </c>
      <c r="L513" s="9">
        <v>1389.46</v>
      </c>
      <c r="M513" s="9">
        <v>1784.7</v>
      </c>
      <c r="N513" s="11">
        <v>0.14599999999999999</v>
      </c>
      <c r="O513" s="13">
        <v>33</v>
      </c>
    </row>
    <row r="514" spans="1:15" x14ac:dyDescent="0.3">
      <c r="A514" t="s">
        <v>527</v>
      </c>
      <c r="B514" s="4">
        <v>45078</v>
      </c>
      <c r="C514" s="4">
        <v>45085</v>
      </c>
      <c r="D514" s="7" t="s">
        <v>649</v>
      </c>
      <c r="E514" s="7" t="s">
        <v>656</v>
      </c>
      <c r="F514" s="7" t="s">
        <v>698</v>
      </c>
      <c r="G514" s="7" t="s">
        <v>704</v>
      </c>
      <c r="H514" s="7" t="s">
        <v>708</v>
      </c>
      <c r="I514" s="7" t="s">
        <v>720</v>
      </c>
      <c r="J514" s="7" t="s">
        <v>730</v>
      </c>
      <c r="K514" s="7" t="s">
        <v>1245</v>
      </c>
      <c r="L514" s="9">
        <v>804.17</v>
      </c>
      <c r="M514" s="9">
        <v>1072.29</v>
      </c>
      <c r="N514" s="11">
        <v>3.2000000000000001E-2</v>
      </c>
      <c r="O514" s="13">
        <v>5</v>
      </c>
    </row>
    <row r="515" spans="1:15" x14ac:dyDescent="0.3">
      <c r="A515" t="s">
        <v>528</v>
      </c>
      <c r="B515" s="4">
        <v>45661</v>
      </c>
      <c r="C515" s="4">
        <v>45662</v>
      </c>
      <c r="D515" s="7" t="s">
        <v>647</v>
      </c>
      <c r="E515" s="7" t="s">
        <v>654</v>
      </c>
      <c r="F515" s="7" t="s">
        <v>680</v>
      </c>
      <c r="G515" s="7" t="s">
        <v>702</v>
      </c>
      <c r="H515" s="7" t="s">
        <v>707</v>
      </c>
      <c r="I515" s="7" t="s">
        <v>714</v>
      </c>
      <c r="J515" s="7" t="s">
        <v>727</v>
      </c>
      <c r="K515" s="7" t="s">
        <v>1246</v>
      </c>
      <c r="L515" s="9">
        <v>1428.33</v>
      </c>
      <c r="M515" s="9">
        <v>3028.05</v>
      </c>
      <c r="N515" s="11">
        <v>0</v>
      </c>
      <c r="O515" s="13">
        <v>11</v>
      </c>
    </row>
    <row r="516" spans="1:15" x14ac:dyDescent="0.3">
      <c r="A516" t="s">
        <v>529</v>
      </c>
      <c r="B516" s="4">
        <v>45874</v>
      </c>
      <c r="C516" s="4">
        <v>45897</v>
      </c>
      <c r="D516" s="7" t="s">
        <v>647</v>
      </c>
      <c r="E516" s="7" t="s">
        <v>654</v>
      </c>
      <c r="F516" s="7" t="s">
        <v>691</v>
      </c>
      <c r="G516" s="7" t="s">
        <v>703</v>
      </c>
      <c r="H516" s="7" t="s">
        <v>710</v>
      </c>
      <c r="I516" s="7" t="s">
        <v>725</v>
      </c>
      <c r="J516" s="7" t="s">
        <v>731</v>
      </c>
      <c r="K516" s="7" t="s">
        <v>1247</v>
      </c>
      <c r="L516" s="9">
        <v>638.54</v>
      </c>
      <c r="M516" s="9">
        <v>987.24</v>
      </c>
      <c r="N516" s="11">
        <v>0</v>
      </c>
      <c r="O516" s="13">
        <v>11</v>
      </c>
    </row>
    <row r="517" spans="1:15" x14ac:dyDescent="0.3">
      <c r="A517" t="s">
        <v>530</v>
      </c>
      <c r="B517" s="4">
        <v>45199</v>
      </c>
      <c r="C517" s="4">
        <v>45229</v>
      </c>
      <c r="D517" s="7" t="s">
        <v>647</v>
      </c>
      <c r="E517" s="7" t="s">
        <v>652</v>
      </c>
      <c r="F517" s="7" t="s">
        <v>689</v>
      </c>
      <c r="G517" s="7" t="s">
        <v>706</v>
      </c>
      <c r="H517" s="7" t="s">
        <v>708</v>
      </c>
      <c r="I517" s="7" t="s">
        <v>726</v>
      </c>
      <c r="J517" s="7" t="s">
        <v>728</v>
      </c>
      <c r="K517" s="7" t="s">
        <v>1248</v>
      </c>
      <c r="L517" s="9">
        <v>649.13</v>
      </c>
      <c r="M517" s="9">
        <v>975.43</v>
      </c>
      <c r="N517" s="11">
        <v>0.157</v>
      </c>
      <c r="O517" s="13">
        <v>27</v>
      </c>
    </row>
    <row r="518" spans="1:15" x14ac:dyDescent="0.3">
      <c r="A518" t="s">
        <v>531</v>
      </c>
      <c r="B518" s="4">
        <v>45794</v>
      </c>
      <c r="C518" s="4">
        <v>45807</v>
      </c>
      <c r="D518" s="7" t="s">
        <v>646</v>
      </c>
      <c r="E518" s="7" t="s">
        <v>651</v>
      </c>
      <c r="F518" s="7" t="s">
        <v>665</v>
      </c>
      <c r="G518" s="7" t="s">
        <v>704</v>
      </c>
      <c r="H518" s="7" t="s">
        <v>710</v>
      </c>
      <c r="I518" s="7" t="s">
        <v>721</v>
      </c>
      <c r="J518" s="7" t="s">
        <v>733</v>
      </c>
      <c r="K518" s="7" t="s">
        <v>1249</v>
      </c>
      <c r="L518" s="9">
        <v>66.400000000000006</v>
      </c>
      <c r="M518" s="9">
        <v>141.43</v>
      </c>
      <c r="N518" s="11">
        <v>0.107</v>
      </c>
      <c r="O518" s="13">
        <v>8</v>
      </c>
    </row>
    <row r="519" spans="1:15" x14ac:dyDescent="0.3">
      <c r="A519" t="s">
        <v>532</v>
      </c>
      <c r="B519" s="4">
        <v>45413</v>
      </c>
      <c r="C519" s="4">
        <v>45438</v>
      </c>
      <c r="D519" s="7" t="s">
        <v>649</v>
      </c>
      <c r="E519" s="7" t="s">
        <v>656</v>
      </c>
      <c r="F519" s="7" t="s">
        <v>671</v>
      </c>
      <c r="G519" s="7" t="s">
        <v>703</v>
      </c>
      <c r="H519" s="7" t="s">
        <v>707</v>
      </c>
      <c r="I519" s="7" t="s">
        <v>717</v>
      </c>
      <c r="J519" s="7" t="s">
        <v>729</v>
      </c>
      <c r="K519" s="7" t="s">
        <v>1250</v>
      </c>
      <c r="L519" s="9">
        <v>930.71</v>
      </c>
      <c r="M519" s="9">
        <v>1625.42</v>
      </c>
      <c r="N519" s="11">
        <v>0.13800000000000001</v>
      </c>
      <c r="O519" s="13">
        <v>7</v>
      </c>
    </row>
    <row r="520" spans="1:15" x14ac:dyDescent="0.3">
      <c r="A520" t="s">
        <v>533</v>
      </c>
      <c r="B520" s="4">
        <v>45047</v>
      </c>
      <c r="C520" s="4">
        <v>45064</v>
      </c>
      <c r="D520" s="7" t="s">
        <v>646</v>
      </c>
      <c r="E520" s="7" t="s">
        <v>651</v>
      </c>
      <c r="F520" s="7" t="s">
        <v>663</v>
      </c>
      <c r="G520" s="7" t="s">
        <v>701</v>
      </c>
      <c r="H520" s="7" t="s">
        <v>711</v>
      </c>
      <c r="I520" s="7" t="s">
        <v>721</v>
      </c>
      <c r="J520" s="7" t="s">
        <v>727</v>
      </c>
      <c r="K520" s="7" t="s">
        <v>1251</v>
      </c>
      <c r="L520" s="9">
        <v>327.97</v>
      </c>
      <c r="M520" s="9">
        <v>299.94</v>
      </c>
      <c r="N520" s="11">
        <v>4.9000000000000002E-2</v>
      </c>
      <c r="O520" s="13">
        <v>3</v>
      </c>
    </row>
    <row r="521" spans="1:15" x14ac:dyDescent="0.3">
      <c r="A521" t="s">
        <v>534</v>
      </c>
      <c r="B521" s="4">
        <v>45482</v>
      </c>
      <c r="C521" s="4">
        <v>45512</v>
      </c>
      <c r="D521" s="7" t="s">
        <v>649</v>
      </c>
      <c r="E521" s="7" t="s">
        <v>657</v>
      </c>
      <c r="F521" s="7" t="s">
        <v>673</v>
      </c>
      <c r="G521" s="7" t="s">
        <v>701</v>
      </c>
      <c r="H521" s="7" t="s">
        <v>711</v>
      </c>
      <c r="I521" s="7" t="s">
        <v>713</v>
      </c>
      <c r="J521" s="7" t="s">
        <v>727</v>
      </c>
      <c r="K521" s="7" t="s">
        <v>1252</v>
      </c>
      <c r="L521" s="9">
        <v>1062.3800000000001</v>
      </c>
      <c r="M521" s="9">
        <v>1503.96</v>
      </c>
      <c r="N521" s="11">
        <v>0.18</v>
      </c>
      <c r="O521" s="13">
        <v>6</v>
      </c>
    </row>
    <row r="522" spans="1:15" x14ac:dyDescent="0.3">
      <c r="A522" t="s">
        <v>535</v>
      </c>
      <c r="B522" s="4">
        <v>45056</v>
      </c>
      <c r="C522" s="4">
        <v>45073</v>
      </c>
      <c r="D522" s="7" t="s">
        <v>647</v>
      </c>
      <c r="E522" s="7" t="s">
        <v>654</v>
      </c>
      <c r="F522" s="7" t="s">
        <v>691</v>
      </c>
      <c r="G522" s="7" t="s">
        <v>704</v>
      </c>
      <c r="H522" s="7" t="s">
        <v>707</v>
      </c>
      <c r="I522" s="7" t="s">
        <v>724</v>
      </c>
      <c r="J522" s="7" t="s">
        <v>731</v>
      </c>
      <c r="K522" s="7" t="s">
        <v>1253</v>
      </c>
      <c r="L522" s="9">
        <v>1286.1600000000001</v>
      </c>
      <c r="M522" s="9">
        <v>3101.11</v>
      </c>
      <c r="N522" s="11">
        <v>0.1</v>
      </c>
      <c r="O522" s="13">
        <v>23</v>
      </c>
    </row>
    <row r="523" spans="1:15" x14ac:dyDescent="0.3">
      <c r="A523" t="s">
        <v>536</v>
      </c>
      <c r="B523" s="4">
        <v>45482</v>
      </c>
      <c r="C523" s="4">
        <v>45485</v>
      </c>
      <c r="D523" s="7" t="s">
        <v>647</v>
      </c>
      <c r="E523" s="7" t="s">
        <v>659</v>
      </c>
      <c r="F523" s="7" t="s">
        <v>685</v>
      </c>
      <c r="G523" s="7" t="s">
        <v>705</v>
      </c>
      <c r="H523" s="7" t="s">
        <v>707</v>
      </c>
      <c r="I523" s="7" t="s">
        <v>726</v>
      </c>
      <c r="J523" s="7" t="s">
        <v>733</v>
      </c>
      <c r="K523" s="7" t="s">
        <v>1254</v>
      </c>
      <c r="L523" s="9">
        <v>748.39</v>
      </c>
      <c r="M523" s="9">
        <v>979.42</v>
      </c>
      <c r="N523" s="11">
        <v>0</v>
      </c>
      <c r="O523" s="13">
        <v>23</v>
      </c>
    </row>
    <row r="524" spans="1:15" x14ac:dyDescent="0.3">
      <c r="A524" t="s">
        <v>537</v>
      </c>
      <c r="B524" s="4">
        <v>45406</v>
      </c>
      <c r="C524" s="4">
        <v>45422</v>
      </c>
      <c r="D524" s="7" t="s">
        <v>646</v>
      </c>
      <c r="E524" s="7" t="s">
        <v>650</v>
      </c>
      <c r="F524" s="7" t="s">
        <v>662</v>
      </c>
      <c r="G524" s="7" t="s">
        <v>703</v>
      </c>
      <c r="H524" s="7" t="s">
        <v>708</v>
      </c>
      <c r="I524" s="7" t="s">
        <v>725</v>
      </c>
      <c r="J524" s="7" t="s">
        <v>732</v>
      </c>
      <c r="K524" s="7" t="s">
        <v>1255</v>
      </c>
      <c r="L524" s="9">
        <v>513.30999999999995</v>
      </c>
      <c r="M524" s="9">
        <v>1186.26</v>
      </c>
      <c r="N524" s="11">
        <v>9.4E-2</v>
      </c>
      <c r="O524" s="13">
        <v>15</v>
      </c>
    </row>
    <row r="525" spans="1:15" x14ac:dyDescent="0.3">
      <c r="A525" t="s">
        <v>538</v>
      </c>
      <c r="B525" s="4">
        <v>45304</v>
      </c>
      <c r="C525" s="4">
        <v>45306</v>
      </c>
      <c r="D525" s="7" t="s">
        <v>648</v>
      </c>
      <c r="E525" s="7" t="s">
        <v>660</v>
      </c>
      <c r="F525" s="7" t="s">
        <v>686</v>
      </c>
      <c r="G525" s="7" t="s">
        <v>703</v>
      </c>
      <c r="H525" s="7" t="s">
        <v>711</v>
      </c>
      <c r="I525" s="7" t="s">
        <v>718</v>
      </c>
      <c r="J525" s="7" t="s">
        <v>727</v>
      </c>
      <c r="K525" s="7" t="s">
        <v>1256</v>
      </c>
      <c r="L525" s="9">
        <v>1061.3699999999999</v>
      </c>
      <c r="M525" s="9">
        <v>1938.33</v>
      </c>
      <c r="N525" s="11">
        <v>0.17</v>
      </c>
      <c r="O525" s="13">
        <v>4</v>
      </c>
    </row>
    <row r="526" spans="1:15" x14ac:dyDescent="0.3">
      <c r="A526" t="s">
        <v>539</v>
      </c>
      <c r="B526" s="4">
        <v>45398</v>
      </c>
      <c r="C526" s="4">
        <v>45409</v>
      </c>
      <c r="D526" s="7" t="s">
        <v>646</v>
      </c>
      <c r="E526" s="7" t="s">
        <v>650</v>
      </c>
      <c r="F526" s="7" t="s">
        <v>678</v>
      </c>
      <c r="G526" s="7" t="s">
        <v>706</v>
      </c>
      <c r="H526" s="7" t="s">
        <v>708</v>
      </c>
      <c r="I526" s="7" t="s">
        <v>726</v>
      </c>
      <c r="J526" s="7" t="s">
        <v>728</v>
      </c>
      <c r="K526" s="7" t="s">
        <v>1257</v>
      </c>
      <c r="L526" s="9">
        <v>401.3</v>
      </c>
      <c r="M526" s="9">
        <v>826.47</v>
      </c>
      <c r="N526" s="11">
        <v>0.22500000000000001</v>
      </c>
      <c r="O526" s="13">
        <v>13</v>
      </c>
    </row>
    <row r="527" spans="1:15" x14ac:dyDescent="0.3">
      <c r="A527" t="s">
        <v>540</v>
      </c>
      <c r="B527" s="4">
        <v>45695</v>
      </c>
      <c r="C527" s="4">
        <v>45704</v>
      </c>
      <c r="D527" s="7" t="s">
        <v>646</v>
      </c>
      <c r="E527" s="7" t="s">
        <v>651</v>
      </c>
      <c r="F527" s="7" t="s">
        <v>665</v>
      </c>
      <c r="G527" s="7" t="s">
        <v>705</v>
      </c>
      <c r="H527" s="7" t="s">
        <v>710</v>
      </c>
      <c r="I527" s="7" t="s">
        <v>712</v>
      </c>
      <c r="J527" s="7" t="s">
        <v>728</v>
      </c>
      <c r="K527" s="7" t="s">
        <v>1258</v>
      </c>
      <c r="L527" s="9">
        <v>90.68</v>
      </c>
      <c r="M527" s="9">
        <v>118.17</v>
      </c>
      <c r="N527" s="11">
        <v>0.13500000000000001</v>
      </c>
      <c r="O527" s="13">
        <v>21</v>
      </c>
    </row>
    <row r="528" spans="1:15" x14ac:dyDescent="0.3">
      <c r="A528" t="s">
        <v>541</v>
      </c>
      <c r="B528" s="4">
        <v>44938</v>
      </c>
      <c r="C528" s="4">
        <v>44952</v>
      </c>
      <c r="D528" s="7" t="s">
        <v>647</v>
      </c>
      <c r="E528" s="7" t="s">
        <v>659</v>
      </c>
      <c r="F528" s="7" t="s">
        <v>676</v>
      </c>
      <c r="G528" s="7" t="s">
        <v>703</v>
      </c>
      <c r="H528" s="7" t="s">
        <v>707</v>
      </c>
      <c r="I528" s="7" t="s">
        <v>724</v>
      </c>
      <c r="J528" s="7" t="s">
        <v>728</v>
      </c>
      <c r="K528" s="7" t="s">
        <v>1259</v>
      </c>
      <c r="L528" s="9">
        <v>1083.0899999999999</v>
      </c>
      <c r="M528" s="9">
        <v>1425.87</v>
      </c>
      <c r="N528" s="11">
        <v>0</v>
      </c>
      <c r="O528" s="13">
        <v>8</v>
      </c>
    </row>
    <row r="529" spans="1:15" x14ac:dyDescent="0.3">
      <c r="A529" t="s">
        <v>542</v>
      </c>
      <c r="B529" s="4">
        <v>45448</v>
      </c>
      <c r="C529" s="4">
        <v>45466</v>
      </c>
      <c r="D529" s="7" t="s">
        <v>646</v>
      </c>
      <c r="E529" s="7" t="s">
        <v>650</v>
      </c>
      <c r="F529" s="7" t="s">
        <v>664</v>
      </c>
      <c r="G529" s="7" t="s">
        <v>704</v>
      </c>
      <c r="H529" s="7" t="s">
        <v>710</v>
      </c>
      <c r="I529" s="7" t="s">
        <v>726</v>
      </c>
      <c r="J529" s="7" t="s">
        <v>731</v>
      </c>
      <c r="K529" s="7" t="s">
        <v>1260</v>
      </c>
      <c r="L529" s="9">
        <v>1208.74</v>
      </c>
      <c r="M529" s="9">
        <v>1594.78</v>
      </c>
      <c r="N529" s="11">
        <v>5.8999999999999997E-2</v>
      </c>
      <c r="O529" s="13">
        <v>39</v>
      </c>
    </row>
    <row r="530" spans="1:15" x14ac:dyDescent="0.3">
      <c r="A530" t="s">
        <v>543</v>
      </c>
      <c r="B530" s="4">
        <v>45162</v>
      </c>
      <c r="C530" s="4">
        <v>45189</v>
      </c>
      <c r="D530" s="7" t="s">
        <v>646</v>
      </c>
      <c r="E530" s="7" t="s">
        <v>661</v>
      </c>
      <c r="F530" s="7" t="s">
        <v>687</v>
      </c>
      <c r="G530" s="7" t="s">
        <v>705</v>
      </c>
      <c r="H530" s="7" t="s">
        <v>709</v>
      </c>
      <c r="I530" s="7" t="s">
        <v>724</v>
      </c>
      <c r="J530" s="7" t="s">
        <v>728</v>
      </c>
      <c r="K530" s="7" t="s">
        <v>1261</v>
      </c>
      <c r="L530" s="9">
        <v>1399.64</v>
      </c>
      <c r="M530" s="9">
        <v>3342.11</v>
      </c>
      <c r="N530" s="11">
        <v>0</v>
      </c>
      <c r="O530" s="13">
        <v>10</v>
      </c>
    </row>
    <row r="531" spans="1:15" x14ac:dyDescent="0.3">
      <c r="A531" t="s">
        <v>544</v>
      </c>
      <c r="B531" s="4">
        <v>45316</v>
      </c>
      <c r="C531" s="4">
        <v>45330</v>
      </c>
      <c r="D531" s="7" t="s">
        <v>647</v>
      </c>
      <c r="E531" s="7" t="s">
        <v>652</v>
      </c>
      <c r="F531" s="7" t="s">
        <v>666</v>
      </c>
      <c r="G531" s="7" t="s">
        <v>704</v>
      </c>
      <c r="H531" s="7" t="s">
        <v>709</v>
      </c>
      <c r="I531" s="7" t="s">
        <v>714</v>
      </c>
      <c r="J531" s="7" t="s">
        <v>729</v>
      </c>
      <c r="K531" s="7" t="s">
        <v>1262</v>
      </c>
      <c r="L531" s="9">
        <v>937.16</v>
      </c>
      <c r="M531" s="9">
        <v>1069.77</v>
      </c>
      <c r="N531" s="11">
        <v>3.7999999999999999E-2</v>
      </c>
      <c r="O531" s="13">
        <v>9</v>
      </c>
    </row>
    <row r="532" spans="1:15" x14ac:dyDescent="0.3">
      <c r="A532" t="s">
        <v>545</v>
      </c>
      <c r="B532" s="4">
        <v>45727</v>
      </c>
      <c r="C532" s="4">
        <v>45742</v>
      </c>
      <c r="D532" s="7" t="s">
        <v>649</v>
      </c>
      <c r="E532" s="7" t="s">
        <v>656</v>
      </c>
      <c r="F532" s="7" t="s">
        <v>671</v>
      </c>
      <c r="G532" s="7" t="s">
        <v>705</v>
      </c>
      <c r="H532" s="7" t="s">
        <v>708</v>
      </c>
      <c r="I532" s="7" t="s">
        <v>714</v>
      </c>
      <c r="J532" s="7" t="s">
        <v>730</v>
      </c>
      <c r="K532" s="7" t="s">
        <v>1263</v>
      </c>
      <c r="L532" s="9">
        <v>116.97</v>
      </c>
      <c r="M532" s="9">
        <v>140.82</v>
      </c>
      <c r="N532" s="11">
        <v>0.122</v>
      </c>
      <c r="O532" s="13">
        <v>5</v>
      </c>
    </row>
    <row r="533" spans="1:15" x14ac:dyDescent="0.3">
      <c r="A533" t="s">
        <v>546</v>
      </c>
      <c r="B533" s="4">
        <v>45769</v>
      </c>
      <c r="C533" s="4">
        <v>45789</v>
      </c>
      <c r="D533" s="7" t="s">
        <v>649</v>
      </c>
      <c r="E533" s="7" t="s">
        <v>657</v>
      </c>
      <c r="F533" s="7" t="s">
        <v>679</v>
      </c>
      <c r="G533" s="7" t="s">
        <v>706</v>
      </c>
      <c r="H533" s="7" t="s">
        <v>709</v>
      </c>
      <c r="I533" s="7" t="s">
        <v>723</v>
      </c>
      <c r="J533" s="7" t="s">
        <v>732</v>
      </c>
      <c r="K533" s="7" t="s">
        <v>1264</v>
      </c>
      <c r="L533" s="9">
        <v>59.51</v>
      </c>
      <c r="M533" s="9">
        <v>67.040000000000006</v>
      </c>
      <c r="N533" s="11">
        <v>0.114</v>
      </c>
      <c r="O533" s="13">
        <v>9</v>
      </c>
    </row>
    <row r="534" spans="1:15" x14ac:dyDescent="0.3">
      <c r="A534" t="s">
        <v>547</v>
      </c>
      <c r="B534" s="4">
        <v>45155</v>
      </c>
      <c r="C534" s="4">
        <v>45172</v>
      </c>
      <c r="D534" s="7" t="s">
        <v>646</v>
      </c>
      <c r="E534" s="7" t="s">
        <v>661</v>
      </c>
      <c r="F534" s="7" t="s">
        <v>687</v>
      </c>
      <c r="G534" s="7" t="s">
        <v>706</v>
      </c>
      <c r="H534" s="7" t="s">
        <v>707</v>
      </c>
      <c r="I534" s="7" t="s">
        <v>720</v>
      </c>
      <c r="J534" s="7" t="s">
        <v>730</v>
      </c>
      <c r="K534" s="7" t="s">
        <v>1265</v>
      </c>
      <c r="L534" s="9">
        <v>676.37</v>
      </c>
      <c r="M534" s="9">
        <v>1276.67</v>
      </c>
      <c r="N534" s="11">
        <v>6.6000000000000003E-2</v>
      </c>
      <c r="O534" s="13">
        <v>10</v>
      </c>
    </row>
    <row r="535" spans="1:15" x14ac:dyDescent="0.3">
      <c r="A535" t="s">
        <v>548</v>
      </c>
      <c r="B535" s="4">
        <v>45832</v>
      </c>
      <c r="C535" s="4">
        <v>45852</v>
      </c>
      <c r="D535" s="7" t="s">
        <v>646</v>
      </c>
      <c r="E535" s="7" t="s">
        <v>661</v>
      </c>
      <c r="F535" s="7" t="s">
        <v>682</v>
      </c>
      <c r="G535" s="7" t="s">
        <v>706</v>
      </c>
      <c r="H535" s="7" t="s">
        <v>709</v>
      </c>
      <c r="I535" s="7" t="s">
        <v>713</v>
      </c>
      <c r="J535" s="7" t="s">
        <v>731</v>
      </c>
      <c r="K535" s="7" t="s">
        <v>1266</v>
      </c>
      <c r="L535" s="9">
        <v>1151.06</v>
      </c>
      <c r="M535" s="9">
        <v>2821.36</v>
      </c>
      <c r="N535" s="11">
        <v>0.248</v>
      </c>
      <c r="O535" s="13">
        <v>20</v>
      </c>
    </row>
    <row r="536" spans="1:15" x14ac:dyDescent="0.3">
      <c r="A536" t="s">
        <v>549</v>
      </c>
      <c r="B536" s="4">
        <v>45667</v>
      </c>
      <c r="C536" s="4">
        <v>45694</v>
      </c>
      <c r="D536" s="7" t="s">
        <v>648</v>
      </c>
      <c r="E536" s="7" t="s">
        <v>655</v>
      </c>
      <c r="F536" s="7" t="s">
        <v>672</v>
      </c>
      <c r="G536" s="7" t="s">
        <v>703</v>
      </c>
      <c r="H536" s="7" t="s">
        <v>707</v>
      </c>
      <c r="I536" s="7" t="s">
        <v>717</v>
      </c>
      <c r="J536" s="7" t="s">
        <v>731</v>
      </c>
      <c r="K536" s="7" t="s">
        <v>1267</v>
      </c>
      <c r="L536" s="9">
        <v>725.62</v>
      </c>
      <c r="M536" s="9">
        <v>1559.19</v>
      </c>
      <c r="N536" s="11">
        <v>0.19</v>
      </c>
      <c r="O536" s="13">
        <v>12</v>
      </c>
    </row>
    <row r="537" spans="1:15" x14ac:dyDescent="0.3">
      <c r="A537" t="s">
        <v>550</v>
      </c>
      <c r="B537" s="4">
        <v>45108</v>
      </c>
      <c r="C537" s="4">
        <v>45118</v>
      </c>
      <c r="D537" s="7" t="s">
        <v>649</v>
      </c>
      <c r="E537" s="7" t="s">
        <v>657</v>
      </c>
      <c r="F537" s="7" t="s">
        <v>690</v>
      </c>
      <c r="G537" s="7" t="s">
        <v>701</v>
      </c>
      <c r="H537" s="7" t="s">
        <v>711</v>
      </c>
      <c r="I537" s="7" t="s">
        <v>721</v>
      </c>
      <c r="J537" s="7" t="s">
        <v>729</v>
      </c>
      <c r="K537" s="7" t="s">
        <v>1268</v>
      </c>
      <c r="L537" s="9">
        <v>479.5</v>
      </c>
      <c r="M537" s="9">
        <v>656.66</v>
      </c>
      <c r="N537" s="11">
        <v>0.14899999999999999</v>
      </c>
      <c r="O537" s="13">
        <v>14</v>
      </c>
    </row>
    <row r="538" spans="1:15" x14ac:dyDescent="0.3">
      <c r="A538" t="s">
        <v>551</v>
      </c>
      <c r="B538" s="4">
        <v>45520</v>
      </c>
      <c r="C538" s="4">
        <v>45530</v>
      </c>
      <c r="D538" s="7" t="s">
        <v>648</v>
      </c>
      <c r="E538" s="7" t="s">
        <v>660</v>
      </c>
      <c r="F538" s="7" t="s">
        <v>677</v>
      </c>
      <c r="G538" s="7" t="s">
        <v>701</v>
      </c>
      <c r="H538" s="7" t="s">
        <v>710</v>
      </c>
      <c r="I538" s="7" t="s">
        <v>716</v>
      </c>
      <c r="J538" s="7" t="s">
        <v>731</v>
      </c>
      <c r="K538" s="7" t="s">
        <v>1120</v>
      </c>
      <c r="L538" s="9">
        <v>1291.7</v>
      </c>
      <c r="M538" s="9">
        <v>2657.84</v>
      </c>
      <c r="N538" s="11">
        <v>8.6999999999999994E-2</v>
      </c>
      <c r="O538" s="13">
        <v>21</v>
      </c>
    </row>
    <row r="539" spans="1:15" x14ac:dyDescent="0.3">
      <c r="A539" t="s">
        <v>552</v>
      </c>
      <c r="B539" s="4">
        <v>45114</v>
      </c>
      <c r="C539" s="4">
        <v>45120</v>
      </c>
      <c r="D539" s="7" t="s">
        <v>646</v>
      </c>
      <c r="E539" s="7" t="s">
        <v>661</v>
      </c>
      <c r="F539" s="7" t="s">
        <v>695</v>
      </c>
      <c r="G539" s="7" t="s">
        <v>705</v>
      </c>
      <c r="H539" s="7" t="s">
        <v>709</v>
      </c>
      <c r="I539" s="7" t="s">
        <v>717</v>
      </c>
      <c r="J539" s="7" t="s">
        <v>733</v>
      </c>
      <c r="K539" s="7" t="s">
        <v>1269</v>
      </c>
      <c r="L539" s="9">
        <v>612.59</v>
      </c>
      <c r="M539" s="9">
        <v>1424.74</v>
      </c>
      <c r="N539" s="11">
        <v>4.3999999999999997E-2</v>
      </c>
      <c r="O539" s="13">
        <v>15</v>
      </c>
    </row>
    <row r="540" spans="1:15" x14ac:dyDescent="0.3">
      <c r="A540" t="s">
        <v>553</v>
      </c>
      <c r="B540" s="4">
        <v>45288</v>
      </c>
      <c r="C540" s="4">
        <v>45292</v>
      </c>
      <c r="D540" s="7" t="s">
        <v>646</v>
      </c>
      <c r="E540" s="7" t="s">
        <v>661</v>
      </c>
      <c r="F540" s="7" t="s">
        <v>695</v>
      </c>
      <c r="G540" s="7" t="s">
        <v>702</v>
      </c>
      <c r="H540" s="7" t="s">
        <v>710</v>
      </c>
      <c r="I540" s="7" t="s">
        <v>720</v>
      </c>
      <c r="J540" s="7" t="s">
        <v>728</v>
      </c>
      <c r="K540" s="7" t="s">
        <v>1270</v>
      </c>
      <c r="L540" s="9">
        <v>1141.8</v>
      </c>
      <c r="M540" s="9">
        <v>2318.7399999999998</v>
      </c>
      <c r="N540" s="11">
        <v>0.107</v>
      </c>
      <c r="O540" s="13">
        <v>32</v>
      </c>
    </row>
    <row r="541" spans="1:15" x14ac:dyDescent="0.3">
      <c r="A541" t="s">
        <v>554</v>
      </c>
      <c r="B541" s="4">
        <v>44952</v>
      </c>
      <c r="C541" s="4">
        <v>44972</v>
      </c>
      <c r="D541" s="7" t="s">
        <v>649</v>
      </c>
      <c r="E541" s="7" t="s">
        <v>656</v>
      </c>
      <c r="F541" s="7" t="s">
        <v>671</v>
      </c>
      <c r="G541" s="7" t="s">
        <v>705</v>
      </c>
      <c r="H541" s="7" t="s">
        <v>708</v>
      </c>
      <c r="I541" s="7" t="s">
        <v>719</v>
      </c>
      <c r="J541" s="7" t="s">
        <v>729</v>
      </c>
      <c r="K541" s="7" t="s">
        <v>1271</v>
      </c>
      <c r="L541" s="9">
        <v>492.62</v>
      </c>
      <c r="M541" s="9">
        <v>366.7</v>
      </c>
      <c r="N541" s="11">
        <v>8.8999999999999996E-2</v>
      </c>
      <c r="O541" s="13">
        <v>10</v>
      </c>
    </row>
    <row r="542" spans="1:15" x14ac:dyDescent="0.3">
      <c r="A542" t="s">
        <v>555</v>
      </c>
      <c r="B542" s="4">
        <v>45115</v>
      </c>
      <c r="C542" s="4">
        <v>45116</v>
      </c>
      <c r="D542" s="7" t="s">
        <v>646</v>
      </c>
      <c r="E542" s="7" t="s">
        <v>650</v>
      </c>
      <c r="F542" s="7" t="s">
        <v>664</v>
      </c>
      <c r="G542" s="7" t="s">
        <v>704</v>
      </c>
      <c r="H542" s="7" t="s">
        <v>708</v>
      </c>
      <c r="I542" s="7" t="s">
        <v>726</v>
      </c>
      <c r="J542" s="7" t="s">
        <v>731</v>
      </c>
      <c r="K542" s="7" t="s">
        <v>1272</v>
      </c>
      <c r="L542" s="9">
        <v>1258.72</v>
      </c>
      <c r="M542" s="9">
        <v>2797.41</v>
      </c>
      <c r="N542" s="11">
        <v>0</v>
      </c>
      <c r="O542" s="13">
        <v>7</v>
      </c>
    </row>
    <row r="543" spans="1:15" x14ac:dyDescent="0.3">
      <c r="A543" t="s">
        <v>556</v>
      </c>
      <c r="B543" s="4">
        <v>45450</v>
      </c>
      <c r="C543" s="4">
        <v>45452</v>
      </c>
      <c r="D543" s="7" t="s">
        <v>647</v>
      </c>
      <c r="E543" s="7" t="s">
        <v>659</v>
      </c>
      <c r="F543" s="7" t="s">
        <v>685</v>
      </c>
      <c r="G543" s="7" t="s">
        <v>701</v>
      </c>
      <c r="H543" s="7" t="s">
        <v>707</v>
      </c>
      <c r="I543" s="7" t="s">
        <v>719</v>
      </c>
      <c r="J543" s="7" t="s">
        <v>732</v>
      </c>
      <c r="K543" s="7" t="s">
        <v>1273</v>
      </c>
      <c r="L543" s="9">
        <v>1370.28</v>
      </c>
      <c r="M543" s="9">
        <v>2209.66</v>
      </c>
      <c r="N543" s="11">
        <v>0.13300000000000001</v>
      </c>
      <c r="O543" s="13">
        <v>16</v>
      </c>
    </row>
    <row r="544" spans="1:15" x14ac:dyDescent="0.3">
      <c r="A544" t="s">
        <v>557</v>
      </c>
      <c r="B544" s="4">
        <v>44968</v>
      </c>
      <c r="C544" s="4">
        <v>44969</v>
      </c>
      <c r="D544" s="7" t="s">
        <v>646</v>
      </c>
      <c r="E544" s="7" t="s">
        <v>651</v>
      </c>
      <c r="F544" s="7" t="s">
        <v>663</v>
      </c>
      <c r="G544" s="7" t="s">
        <v>703</v>
      </c>
      <c r="H544" s="7" t="s">
        <v>711</v>
      </c>
      <c r="I544" s="7" t="s">
        <v>726</v>
      </c>
      <c r="J544" s="7" t="s">
        <v>733</v>
      </c>
      <c r="K544" s="7" t="s">
        <v>1274</v>
      </c>
      <c r="L544" s="9">
        <v>944.61</v>
      </c>
      <c r="M544" s="9">
        <v>839.04</v>
      </c>
      <c r="N544" s="11">
        <v>5.8999999999999997E-2</v>
      </c>
      <c r="O544" s="13">
        <v>6</v>
      </c>
    </row>
    <row r="545" spans="1:15" x14ac:dyDescent="0.3">
      <c r="A545" t="s">
        <v>558</v>
      </c>
      <c r="B545" s="4">
        <v>45108</v>
      </c>
      <c r="C545" s="4">
        <v>45115</v>
      </c>
      <c r="D545" s="7" t="s">
        <v>649</v>
      </c>
      <c r="E545" s="7" t="s">
        <v>656</v>
      </c>
      <c r="F545" s="7" t="s">
        <v>698</v>
      </c>
      <c r="G545" s="7" t="s">
        <v>705</v>
      </c>
      <c r="H545" s="7" t="s">
        <v>710</v>
      </c>
      <c r="I545" s="7" t="s">
        <v>725</v>
      </c>
      <c r="J545" s="7" t="s">
        <v>731</v>
      </c>
      <c r="K545" s="7" t="s">
        <v>1275</v>
      </c>
      <c r="L545" s="9">
        <v>460.21</v>
      </c>
      <c r="M545" s="9">
        <v>1139.1500000000001</v>
      </c>
      <c r="N545" s="11">
        <v>0.115</v>
      </c>
      <c r="O545" s="13">
        <v>14</v>
      </c>
    </row>
    <row r="546" spans="1:15" x14ac:dyDescent="0.3">
      <c r="A546" t="s">
        <v>559</v>
      </c>
      <c r="B546" s="4">
        <v>45889</v>
      </c>
      <c r="C546" s="4">
        <v>45895</v>
      </c>
      <c r="D546" s="7" t="s">
        <v>648</v>
      </c>
      <c r="E546" s="7" t="s">
        <v>660</v>
      </c>
      <c r="F546" s="7" t="s">
        <v>700</v>
      </c>
      <c r="G546" s="7" t="s">
        <v>701</v>
      </c>
      <c r="H546" s="7" t="s">
        <v>707</v>
      </c>
      <c r="I546" s="7" t="s">
        <v>724</v>
      </c>
      <c r="J546" s="7" t="s">
        <v>729</v>
      </c>
      <c r="K546" s="7" t="s">
        <v>1276</v>
      </c>
      <c r="L546" s="9">
        <v>1304.95</v>
      </c>
      <c r="M546" s="9">
        <v>1712.03</v>
      </c>
      <c r="N546" s="11">
        <v>0.21199999999999999</v>
      </c>
      <c r="O546" s="13">
        <v>8</v>
      </c>
    </row>
    <row r="547" spans="1:15" x14ac:dyDescent="0.3">
      <c r="A547" t="s">
        <v>560</v>
      </c>
      <c r="B547" s="4">
        <v>45355</v>
      </c>
      <c r="C547" s="4">
        <v>45367</v>
      </c>
      <c r="D547" s="7" t="s">
        <v>646</v>
      </c>
      <c r="E547" s="7" t="s">
        <v>661</v>
      </c>
      <c r="F547" s="7" t="s">
        <v>682</v>
      </c>
      <c r="G547" s="7" t="s">
        <v>706</v>
      </c>
      <c r="H547" s="7" t="s">
        <v>710</v>
      </c>
      <c r="I547" s="7" t="s">
        <v>724</v>
      </c>
      <c r="J547" s="7" t="s">
        <v>732</v>
      </c>
      <c r="K547" s="7" t="s">
        <v>1277</v>
      </c>
      <c r="L547" s="9">
        <v>441.08</v>
      </c>
      <c r="M547" s="9">
        <v>1054.29</v>
      </c>
      <c r="N547" s="11">
        <v>0.23699999999999999</v>
      </c>
      <c r="O547" s="13">
        <v>6</v>
      </c>
    </row>
    <row r="548" spans="1:15" x14ac:dyDescent="0.3">
      <c r="A548" t="s">
        <v>561</v>
      </c>
      <c r="B548" s="4">
        <v>45177</v>
      </c>
      <c r="C548" s="4">
        <v>45201</v>
      </c>
      <c r="D548" s="7" t="s">
        <v>648</v>
      </c>
      <c r="E548" s="7" t="s">
        <v>653</v>
      </c>
      <c r="F548" s="7" t="s">
        <v>667</v>
      </c>
      <c r="G548" s="7" t="s">
        <v>702</v>
      </c>
      <c r="H548" s="7" t="s">
        <v>711</v>
      </c>
      <c r="I548" s="7" t="s">
        <v>720</v>
      </c>
      <c r="J548" s="7" t="s">
        <v>733</v>
      </c>
      <c r="K548" s="7" t="s">
        <v>1278</v>
      </c>
      <c r="L548" s="9">
        <v>1299.03</v>
      </c>
      <c r="M548" s="9">
        <v>2451.2199999999998</v>
      </c>
      <c r="N548" s="11">
        <v>0.20799999999999999</v>
      </c>
      <c r="O548" s="13">
        <v>8</v>
      </c>
    </row>
    <row r="549" spans="1:15" x14ac:dyDescent="0.3">
      <c r="A549" t="s">
        <v>562</v>
      </c>
      <c r="B549" s="4">
        <v>44985</v>
      </c>
      <c r="C549" s="4">
        <v>44991</v>
      </c>
      <c r="D549" s="7" t="s">
        <v>649</v>
      </c>
      <c r="E549" s="7" t="s">
        <v>656</v>
      </c>
      <c r="F549" s="7" t="s">
        <v>698</v>
      </c>
      <c r="G549" s="7" t="s">
        <v>705</v>
      </c>
      <c r="H549" s="7" t="s">
        <v>709</v>
      </c>
      <c r="I549" s="7" t="s">
        <v>726</v>
      </c>
      <c r="J549" s="7" t="s">
        <v>728</v>
      </c>
      <c r="K549" s="7" t="s">
        <v>1279</v>
      </c>
      <c r="L549" s="9">
        <v>880.02</v>
      </c>
      <c r="M549" s="9">
        <v>1251.21</v>
      </c>
      <c r="N549" s="11">
        <v>0.123</v>
      </c>
      <c r="O549" s="13">
        <v>29</v>
      </c>
    </row>
    <row r="550" spans="1:15" x14ac:dyDescent="0.3">
      <c r="A550" t="s">
        <v>563</v>
      </c>
      <c r="B550" s="4">
        <v>45486</v>
      </c>
      <c r="C550" s="4">
        <v>45507</v>
      </c>
      <c r="D550" s="7" t="s">
        <v>648</v>
      </c>
      <c r="E550" s="7" t="s">
        <v>655</v>
      </c>
      <c r="F550" s="7" t="s">
        <v>692</v>
      </c>
      <c r="G550" s="7" t="s">
        <v>701</v>
      </c>
      <c r="H550" s="7" t="s">
        <v>709</v>
      </c>
      <c r="I550" s="7" t="s">
        <v>724</v>
      </c>
      <c r="J550" s="7" t="s">
        <v>732</v>
      </c>
      <c r="K550" s="7" t="s">
        <v>1280</v>
      </c>
      <c r="L550" s="9">
        <v>702.98</v>
      </c>
      <c r="M550" s="9">
        <v>1104.8</v>
      </c>
      <c r="N550" s="11">
        <v>0.17499999999999999</v>
      </c>
      <c r="O550" s="13">
        <v>12</v>
      </c>
    </row>
    <row r="551" spans="1:15" x14ac:dyDescent="0.3">
      <c r="A551" t="s">
        <v>564</v>
      </c>
      <c r="B551" s="4">
        <v>45633</v>
      </c>
      <c r="C551" s="4">
        <v>45652</v>
      </c>
      <c r="D551" s="7" t="s">
        <v>649</v>
      </c>
      <c r="E551" s="7" t="s">
        <v>658</v>
      </c>
      <c r="F551" s="7" t="s">
        <v>683</v>
      </c>
      <c r="G551" s="7" t="s">
        <v>706</v>
      </c>
      <c r="H551" s="7" t="s">
        <v>708</v>
      </c>
      <c r="I551" s="7" t="s">
        <v>726</v>
      </c>
      <c r="J551" s="7" t="s">
        <v>729</v>
      </c>
      <c r="K551" s="7" t="s">
        <v>1281</v>
      </c>
      <c r="L551" s="9">
        <v>1035.24</v>
      </c>
      <c r="M551" s="9">
        <v>2383.41</v>
      </c>
      <c r="N551" s="11">
        <v>0.17</v>
      </c>
      <c r="O551" s="13">
        <v>15</v>
      </c>
    </row>
    <row r="552" spans="1:15" x14ac:dyDescent="0.3">
      <c r="A552" t="s">
        <v>565</v>
      </c>
      <c r="B552" s="4">
        <v>45875</v>
      </c>
      <c r="C552" s="4">
        <v>45892</v>
      </c>
      <c r="D552" s="7" t="s">
        <v>648</v>
      </c>
      <c r="E552" s="7" t="s">
        <v>655</v>
      </c>
      <c r="F552" s="7" t="s">
        <v>672</v>
      </c>
      <c r="G552" s="7" t="s">
        <v>704</v>
      </c>
      <c r="H552" s="7" t="s">
        <v>710</v>
      </c>
      <c r="I552" s="7" t="s">
        <v>720</v>
      </c>
      <c r="J552" s="7" t="s">
        <v>732</v>
      </c>
      <c r="K552" s="7" t="s">
        <v>1282</v>
      </c>
      <c r="L552" s="9">
        <v>86.64</v>
      </c>
      <c r="M552" s="9">
        <v>213.06</v>
      </c>
      <c r="N552" s="11">
        <v>0.21199999999999999</v>
      </c>
      <c r="O552" s="13">
        <v>11</v>
      </c>
    </row>
    <row r="553" spans="1:15" x14ac:dyDescent="0.3">
      <c r="A553" t="s">
        <v>566</v>
      </c>
      <c r="B553" s="4">
        <v>44988</v>
      </c>
      <c r="C553" s="4">
        <v>45005</v>
      </c>
      <c r="D553" s="7" t="s">
        <v>647</v>
      </c>
      <c r="E553" s="7" t="s">
        <v>652</v>
      </c>
      <c r="F553" s="7" t="s">
        <v>694</v>
      </c>
      <c r="G553" s="7" t="s">
        <v>705</v>
      </c>
      <c r="H553" s="7" t="s">
        <v>708</v>
      </c>
      <c r="I553" s="7" t="s">
        <v>726</v>
      </c>
      <c r="J553" s="7" t="s">
        <v>729</v>
      </c>
      <c r="K553" s="7" t="s">
        <v>1283</v>
      </c>
      <c r="L553" s="9">
        <v>1171.17</v>
      </c>
      <c r="M553" s="9">
        <v>2030.64</v>
      </c>
      <c r="N553" s="11">
        <v>0.157</v>
      </c>
      <c r="O553" s="13">
        <v>11</v>
      </c>
    </row>
    <row r="554" spans="1:15" x14ac:dyDescent="0.3">
      <c r="A554" t="s">
        <v>567</v>
      </c>
      <c r="B554" s="4">
        <v>45704</v>
      </c>
      <c r="C554" s="4">
        <v>45733</v>
      </c>
      <c r="D554" s="7" t="s">
        <v>649</v>
      </c>
      <c r="E554" s="7" t="s">
        <v>656</v>
      </c>
      <c r="F554" s="7" t="s">
        <v>684</v>
      </c>
      <c r="G554" s="7" t="s">
        <v>704</v>
      </c>
      <c r="H554" s="7" t="s">
        <v>707</v>
      </c>
      <c r="I554" s="7" t="s">
        <v>716</v>
      </c>
      <c r="J554" s="7" t="s">
        <v>733</v>
      </c>
      <c r="K554" s="7" t="s">
        <v>1284</v>
      </c>
      <c r="L554" s="9">
        <v>730.42</v>
      </c>
      <c r="M554" s="9">
        <v>956.7</v>
      </c>
      <c r="N554" s="11">
        <v>4.2000000000000003E-2</v>
      </c>
      <c r="O554" s="13">
        <v>22</v>
      </c>
    </row>
    <row r="555" spans="1:15" x14ac:dyDescent="0.3">
      <c r="A555" t="s">
        <v>568</v>
      </c>
      <c r="B555" s="4">
        <v>45703</v>
      </c>
      <c r="C555" s="4">
        <v>45717</v>
      </c>
      <c r="D555" s="7" t="s">
        <v>646</v>
      </c>
      <c r="E555" s="7" t="s">
        <v>650</v>
      </c>
      <c r="F555" s="7" t="s">
        <v>675</v>
      </c>
      <c r="G555" s="7" t="s">
        <v>702</v>
      </c>
      <c r="H555" s="7" t="s">
        <v>711</v>
      </c>
      <c r="I555" s="7" t="s">
        <v>716</v>
      </c>
      <c r="J555" s="7" t="s">
        <v>733</v>
      </c>
      <c r="K555" s="7" t="s">
        <v>1285</v>
      </c>
      <c r="L555" s="9">
        <v>1162.8599999999999</v>
      </c>
      <c r="M555" s="9">
        <v>1447.68</v>
      </c>
      <c r="N555" s="11">
        <v>8.6999999999999994E-2</v>
      </c>
      <c r="O555" s="13">
        <v>12</v>
      </c>
    </row>
    <row r="556" spans="1:15" x14ac:dyDescent="0.3">
      <c r="A556" t="s">
        <v>569</v>
      </c>
      <c r="B556" s="4">
        <v>45535</v>
      </c>
      <c r="C556" s="4">
        <v>45561</v>
      </c>
      <c r="D556" s="7" t="s">
        <v>647</v>
      </c>
      <c r="E556" s="7" t="s">
        <v>652</v>
      </c>
      <c r="F556" s="7" t="s">
        <v>689</v>
      </c>
      <c r="G556" s="7" t="s">
        <v>702</v>
      </c>
      <c r="H556" s="7" t="s">
        <v>708</v>
      </c>
      <c r="I556" s="7" t="s">
        <v>714</v>
      </c>
      <c r="J556" s="7" t="s">
        <v>730</v>
      </c>
      <c r="K556" s="7" t="s">
        <v>1286</v>
      </c>
      <c r="L556" s="9">
        <v>1189.03</v>
      </c>
      <c r="M556" s="9">
        <v>2949.62</v>
      </c>
      <c r="N556" s="11">
        <v>0.125</v>
      </c>
      <c r="O556" s="13">
        <v>13</v>
      </c>
    </row>
    <row r="557" spans="1:15" x14ac:dyDescent="0.3">
      <c r="A557" t="s">
        <v>570</v>
      </c>
      <c r="B557" s="4">
        <v>45053</v>
      </c>
      <c r="C557" s="4">
        <v>45066</v>
      </c>
      <c r="D557" s="7" t="s">
        <v>647</v>
      </c>
      <c r="E557" s="7" t="s">
        <v>654</v>
      </c>
      <c r="F557" s="7" t="s">
        <v>691</v>
      </c>
      <c r="G557" s="7" t="s">
        <v>706</v>
      </c>
      <c r="H557" s="7" t="s">
        <v>707</v>
      </c>
      <c r="I557" s="7" t="s">
        <v>726</v>
      </c>
      <c r="J557" s="7" t="s">
        <v>733</v>
      </c>
      <c r="K557" s="7" t="s">
        <v>1287</v>
      </c>
      <c r="L557" s="9">
        <v>1443.28</v>
      </c>
      <c r="M557" s="9">
        <v>2580.5700000000002</v>
      </c>
      <c r="N557" s="11">
        <v>0</v>
      </c>
      <c r="O557" s="13">
        <v>18</v>
      </c>
    </row>
    <row r="558" spans="1:15" x14ac:dyDescent="0.3">
      <c r="A558" t="s">
        <v>571</v>
      </c>
      <c r="B558" s="4">
        <v>45791</v>
      </c>
      <c r="C558" s="4">
        <v>45789</v>
      </c>
      <c r="D558" s="7" t="s">
        <v>648</v>
      </c>
      <c r="E558" s="7" t="s">
        <v>653</v>
      </c>
      <c r="F558" s="7" t="s">
        <v>688</v>
      </c>
      <c r="G558" s="7" t="s">
        <v>703</v>
      </c>
      <c r="H558" s="7" t="s">
        <v>710</v>
      </c>
      <c r="I558" s="7" t="s">
        <v>721</v>
      </c>
      <c r="J558" s="7" t="s">
        <v>728</v>
      </c>
      <c r="K558" s="7" t="s">
        <v>1288</v>
      </c>
      <c r="L558" s="9">
        <v>883.5</v>
      </c>
      <c r="M558" s="9">
        <v>1978.91</v>
      </c>
      <c r="N558" s="11">
        <v>5.3999999999999999E-2</v>
      </c>
      <c r="O558" s="13">
        <v>27</v>
      </c>
    </row>
    <row r="559" spans="1:15" x14ac:dyDescent="0.3">
      <c r="A559" t="s">
        <v>572</v>
      </c>
      <c r="B559" s="4">
        <v>45362</v>
      </c>
      <c r="C559" s="4">
        <v>45380</v>
      </c>
      <c r="D559" s="7" t="s">
        <v>648</v>
      </c>
      <c r="E559" s="7" t="s">
        <v>660</v>
      </c>
      <c r="F559" s="7" t="s">
        <v>700</v>
      </c>
      <c r="G559" s="7" t="s">
        <v>701</v>
      </c>
      <c r="H559" s="7" t="s">
        <v>707</v>
      </c>
      <c r="I559" s="7" t="s">
        <v>724</v>
      </c>
      <c r="J559" s="7" t="s">
        <v>732</v>
      </c>
      <c r="K559" s="7" t="s">
        <v>1289</v>
      </c>
      <c r="L559" s="9">
        <v>710.98</v>
      </c>
      <c r="M559" s="9">
        <v>1481.45</v>
      </c>
      <c r="N559" s="11">
        <v>0.21099999999999999</v>
      </c>
      <c r="O559" s="13">
        <v>9</v>
      </c>
    </row>
    <row r="560" spans="1:15" x14ac:dyDescent="0.3">
      <c r="A560" t="s">
        <v>573</v>
      </c>
      <c r="B560" s="4">
        <v>45430</v>
      </c>
      <c r="C560" s="4">
        <v>45434</v>
      </c>
      <c r="D560" s="7" t="s">
        <v>646</v>
      </c>
      <c r="E560" s="7" t="s">
        <v>650</v>
      </c>
      <c r="F560" s="7" t="s">
        <v>664</v>
      </c>
      <c r="G560" s="7" t="s">
        <v>701</v>
      </c>
      <c r="H560" s="7" t="s">
        <v>711</v>
      </c>
      <c r="I560" s="7" t="s">
        <v>722</v>
      </c>
      <c r="J560" s="7" t="s">
        <v>733</v>
      </c>
      <c r="K560" s="7" t="s">
        <v>1290</v>
      </c>
      <c r="L560" s="9">
        <v>857.42</v>
      </c>
      <c r="M560" s="9">
        <v>1658.92</v>
      </c>
      <c r="N560" s="11">
        <v>0.122</v>
      </c>
      <c r="O560" s="13">
        <v>9</v>
      </c>
    </row>
    <row r="561" spans="1:15" x14ac:dyDescent="0.3">
      <c r="A561" t="s">
        <v>574</v>
      </c>
      <c r="B561" s="4">
        <v>45299</v>
      </c>
      <c r="C561" s="4">
        <v>45303</v>
      </c>
      <c r="D561" s="7" t="s">
        <v>647</v>
      </c>
      <c r="E561" s="7" t="s">
        <v>654</v>
      </c>
      <c r="F561" s="7" t="s">
        <v>668</v>
      </c>
      <c r="G561" s="7" t="s">
        <v>701</v>
      </c>
      <c r="H561" s="7" t="s">
        <v>711</v>
      </c>
      <c r="I561" s="7" t="s">
        <v>718</v>
      </c>
      <c r="J561" s="7" t="s">
        <v>728</v>
      </c>
      <c r="K561" s="7" t="s">
        <v>1291</v>
      </c>
      <c r="L561" s="9">
        <v>802.32</v>
      </c>
      <c r="M561" s="9">
        <v>602.34</v>
      </c>
      <c r="N561" s="11">
        <v>0.12</v>
      </c>
      <c r="O561" s="13">
        <v>25</v>
      </c>
    </row>
    <row r="562" spans="1:15" x14ac:dyDescent="0.3">
      <c r="A562" t="s">
        <v>575</v>
      </c>
      <c r="B562" s="4">
        <v>45590</v>
      </c>
      <c r="C562" s="4">
        <v>45601</v>
      </c>
      <c r="D562" s="7" t="s">
        <v>648</v>
      </c>
      <c r="E562" s="7" t="s">
        <v>660</v>
      </c>
      <c r="F562" s="7" t="s">
        <v>700</v>
      </c>
      <c r="G562" s="7" t="s">
        <v>701</v>
      </c>
      <c r="H562" s="7" t="s">
        <v>710</v>
      </c>
      <c r="I562" s="7" t="s">
        <v>725</v>
      </c>
      <c r="J562" s="7" t="s">
        <v>727</v>
      </c>
      <c r="K562" s="7" t="s">
        <v>1292</v>
      </c>
      <c r="L562" s="9">
        <v>446.66</v>
      </c>
      <c r="M562" s="9">
        <v>527.64</v>
      </c>
      <c r="N562" s="11">
        <v>0.14499999999999999</v>
      </c>
      <c r="O562" s="13">
        <v>15</v>
      </c>
    </row>
    <row r="563" spans="1:15" x14ac:dyDescent="0.3">
      <c r="A563" t="s">
        <v>576</v>
      </c>
      <c r="B563" s="4">
        <v>45626</v>
      </c>
      <c r="C563" s="4">
        <v>45645</v>
      </c>
      <c r="D563" s="7" t="s">
        <v>646</v>
      </c>
      <c r="E563" s="7" t="s">
        <v>650</v>
      </c>
      <c r="F563" s="7" t="s">
        <v>662</v>
      </c>
      <c r="G563" s="7" t="s">
        <v>701</v>
      </c>
      <c r="H563" s="7" t="s">
        <v>708</v>
      </c>
      <c r="I563" s="7" t="s">
        <v>716</v>
      </c>
      <c r="J563" s="7" t="s">
        <v>730</v>
      </c>
      <c r="K563" s="7" t="s">
        <v>1293</v>
      </c>
      <c r="L563" s="9">
        <v>1195.98</v>
      </c>
      <c r="M563" s="9">
        <v>1841.9</v>
      </c>
      <c r="N563" s="11">
        <v>5.5E-2</v>
      </c>
      <c r="O563" s="13">
        <v>19</v>
      </c>
    </row>
    <row r="564" spans="1:15" x14ac:dyDescent="0.3">
      <c r="A564" t="s">
        <v>577</v>
      </c>
      <c r="B564" s="4">
        <v>45029</v>
      </c>
      <c r="C564" s="4">
        <v>45048</v>
      </c>
      <c r="D564" s="7" t="s">
        <v>648</v>
      </c>
      <c r="E564" s="7" t="s">
        <v>653</v>
      </c>
      <c r="F564" s="7" t="s">
        <v>681</v>
      </c>
      <c r="G564" s="7" t="s">
        <v>704</v>
      </c>
      <c r="H564" s="7" t="s">
        <v>710</v>
      </c>
      <c r="I564" s="7" t="s">
        <v>718</v>
      </c>
      <c r="J564" s="7" t="s">
        <v>732</v>
      </c>
      <c r="K564" s="7" t="s">
        <v>1294</v>
      </c>
      <c r="L564" s="9">
        <v>671.05</v>
      </c>
      <c r="M564" s="9">
        <v>1645.48</v>
      </c>
      <c r="N564" s="11">
        <v>0.13700000000000001</v>
      </c>
      <c r="O564" s="13">
        <v>6</v>
      </c>
    </row>
    <row r="565" spans="1:15" x14ac:dyDescent="0.3">
      <c r="A565" t="s">
        <v>578</v>
      </c>
      <c r="B565" s="4">
        <v>45692</v>
      </c>
      <c r="C565" s="4">
        <v>45696</v>
      </c>
      <c r="D565" s="7" t="s">
        <v>649</v>
      </c>
      <c r="E565" s="7" t="s">
        <v>658</v>
      </c>
      <c r="F565" s="7" t="s">
        <v>693</v>
      </c>
      <c r="G565" s="7" t="s">
        <v>706</v>
      </c>
      <c r="H565" s="7" t="s">
        <v>709</v>
      </c>
      <c r="I565" s="7" t="s">
        <v>716</v>
      </c>
      <c r="J565" s="7" t="s">
        <v>729</v>
      </c>
      <c r="K565" s="7" t="s">
        <v>1295</v>
      </c>
      <c r="L565" s="9">
        <v>586.21</v>
      </c>
      <c r="M565" s="9">
        <v>727.22</v>
      </c>
      <c r="N565" s="11">
        <v>6.8000000000000005E-2</v>
      </c>
      <c r="O565" s="13">
        <v>15</v>
      </c>
    </row>
    <row r="566" spans="1:15" x14ac:dyDescent="0.3">
      <c r="A566" t="s">
        <v>579</v>
      </c>
      <c r="B566" s="4">
        <v>45315</v>
      </c>
      <c r="C566" s="4">
        <v>45326</v>
      </c>
      <c r="D566" s="7" t="s">
        <v>649</v>
      </c>
      <c r="E566" s="7" t="s">
        <v>658</v>
      </c>
      <c r="F566" s="7" t="s">
        <v>693</v>
      </c>
      <c r="G566" s="7" t="s">
        <v>704</v>
      </c>
      <c r="H566" s="7" t="s">
        <v>707</v>
      </c>
      <c r="I566" s="7" t="s">
        <v>717</v>
      </c>
      <c r="J566" s="7" t="s">
        <v>731</v>
      </c>
      <c r="K566" s="7" t="s">
        <v>1296</v>
      </c>
      <c r="L566" s="9">
        <v>525.34</v>
      </c>
      <c r="M566" s="9">
        <v>1233.79</v>
      </c>
      <c r="N566" s="11">
        <v>0.14299999999999999</v>
      </c>
      <c r="O566" s="13">
        <v>4</v>
      </c>
    </row>
    <row r="567" spans="1:15" x14ac:dyDescent="0.3">
      <c r="A567" t="s">
        <v>580</v>
      </c>
      <c r="B567" s="4">
        <v>45330</v>
      </c>
      <c r="C567" s="4">
        <v>45331</v>
      </c>
      <c r="D567" s="7" t="s">
        <v>646</v>
      </c>
      <c r="E567" s="7" t="s">
        <v>650</v>
      </c>
      <c r="F567" s="7" t="s">
        <v>675</v>
      </c>
      <c r="G567" s="7" t="s">
        <v>701</v>
      </c>
      <c r="H567" s="7" t="s">
        <v>711</v>
      </c>
      <c r="I567" s="7" t="s">
        <v>721</v>
      </c>
      <c r="J567" s="7" t="s">
        <v>727</v>
      </c>
      <c r="K567" s="7" t="s">
        <v>1297</v>
      </c>
      <c r="L567" s="9">
        <v>1233.52</v>
      </c>
      <c r="M567" s="9">
        <v>1543.76</v>
      </c>
      <c r="N567" s="11">
        <v>0.126</v>
      </c>
      <c r="O567" s="13">
        <v>13</v>
      </c>
    </row>
    <row r="568" spans="1:15" x14ac:dyDescent="0.3">
      <c r="A568" t="s">
        <v>581</v>
      </c>
      <c r="B568" s="4">
        <v>45834</v>
      </c>
      <c r="C568" s="4">
        <v>45849</v>
      </c>
      <c r="D568" s="7" t="s">
        <v>646</v>
      </c>
      <c r="E568" s="7" t="s">
        <v>651</v>
      </c>
      <c r="F568" s="7" t="s">
        <v>663</v>
      </c>
      <c r="G568" s="7" t="s">
        <v>705</v>
      </c>
      <c r="H568" s="7" t="s">
        <v>708</v>
      </c>
      <c r="I568" s="7" t="s">
        <v>720</v>
      </c>
      <c r="J568" s="7" t="s">
        <v>731</v>
      </c>
      <c r="K568" s="7" t="s">
        <v>1298</v>
      </c>
      <c r="L568" s="9">
        <v>1170.1500000000001</v>
      </c>
      <c r="M568" s="9">
        <v>2115.19</v>
      </c>
      <c r="N568" s="11">
        <v>9.1999999999999998E-2</v>
      </c>
      <c r="O568" s="13">
        <v>23</v>
      </c>
    </row>
    <row r="569" spans="1:15" x14ac:dyDescent="0.3">
      <c r="A569" t="s">
        <v>582</v>
      </c>
      <c r="B569" s="4">
        <v>45600</v>
      </c>
      <c r="C569" s="4">
        <v>45603</v>
      </c>
      <c r="D569" s="7" t="s">
        <v>649</v>
      </c>
      <c r="E569" s="7" t="s">
        <v>657</v>
      </c>
      <c r="F569" s="7" t="s">
        <v>679</v>
      </c>
      <c r="G569" s="7" t="s">
        <v>701</v>
      </c>
      <c r="H569" s="7" t="s">
        <v>708</v>
      </c>
      <c r="I569" s="7" t="s">
        <v>719</v>
      </c>
      <c r="J569" s="7" t="s">
        <v>732</v>
      </c>
      <c r="K569" s="7" t="s">
        <v>1299</v>
      </c>
      <c r="L569" s="9">
        <v>740.68</v>
      </c>
      <c r="M569" s="9">
        <v>1837.19</v>
      </c>
      <c r="N569" s="11">
        <v>0.19700000000000001</v>
      </c>
      <c r="O569" s="13">
        <v>17</v>
      </c>
    </row>
    <row r="570" spans="1:15" x14ac:dyDescent="0.3">
      <c r="A570" t="s">
        <v>583</v>
      </c>
      <c r="B570" s="4">
        <v>45342</v>
      </c>
      <c r="C570" s="4">
        <v>45342</v>
      </c>
      <c r="D570" s="7" t="s">
        <v>648</v>
      </c>
      <c r="E570" s="7" t="s">
        <v>660</v>
      </c>
      <c r="F570" s="7" t="s">
        <v>700</v>
      </c>
      <c r="G570" s="7" t="s">
        <v>706</v>
      </c>
      <c r="H570" s="7" t="s">
        <v>708</v>
      </c>
      <c r="I570" s="7" t="s">
        <v>712</v>
      </c>
      <c r="J570" s="7" t="s">
        <v>729</v>
      </c>
      <c r="K570" s="7" t="s">
        <v>1300</v>
      </c>
      <c r="L570" s="9">
        <v>1407.05</v>
      </c>
      <c r="M570" s="9">
        <v>2858.93</v>
      </c>
      <c r="N570" s="11">
        <v>0</v>
      </c>
      <c r="O570" s="13">
        <v>12</v>
      </c>
    </row>
    <row r="571" spans="1:15" x14ac:dyDescent="0.3">
      <c r="A571" t="s">
        <v>584</v>
      </c>
      <c r="B571" s="4">
        <v>45760</v>
      </c>
      <c r="C571" s="4">
        <v>45761</v>
      </c>
      <c r="D571" s="7" t="s">
        <v>647</v>
      </c>
      <c r="E571" s="7" t="s">
        <v>652</v>
      </c>
      <c r="F571" s="7" t="s">
        <v>666</v>
      </c>
      <c r="G571" s="7" t="s">
        <v>706</v>
      </c>
      <c r="H571" s="7" t="s">
        <v>708</v>
      </c>
      <c r="I571" s="7" t="s">
        <v>715</v>
      </c>
      <c r="J571" s="7" t="s">
        <v>727</v>
      </c>
      <c r="K571" s="7" t="s">
        <v>1301</v>
      </c>
      <c r="L571" s="9">
        <v>138.9</v>
      </c>
      <c r="M571" s="9">
        <v>289.92</v>
      </c>
      <c r="N571" s="11">
        <v>2.9000000000000001E-2</v>
      </c>
      <c r="O571" s="13">
        <v>12</v>
      </c>
    </row>
    <row r="572" spans="1:15" x14ac:dyDescent="0.3">
      <c r="A572" t="s">
        <v>585</v>
      </c>
      <c r="B572" s="4">
        <v>45078</v>
      </c>
      <c r="C572" s="4">
        <v>45078</v>
      </c>
      <c r="D572" s="7" t="s">
        <v>647</v>
      </c>
      <c r="E572" s="7" t="s">
        <v>654</v>
      </c>
      <c r="F572" s="7" t="s">
        <v>668</v>
      </c>
      <c r="G572" s="7" t="s">
        <v>701</v>
      </c>
      <c r="H572" s="7" t="s">
        <v>707</v>
      </c>
      <c r="I572" s="7" t="s">
        <v>718</v>
      </c>
      <c r="J572" s="7" t="s">
        <v>733</v>
      </c>
      <c r="K572" s="7" t="s">
        <v>1302</v>
      </c>
      <c r="L572" s="9">
        <v>669.37</v>
      </c>
      <c r="M572" s="9">
        <v>997.2</v>
      </c>
      <c r="N572" s="11">
        <v>8.2000000000000003E-2</v>
      </c>
      <c r="O572" s="13">
        <v>5</v>
      </c>
    </row>
    <row r="573" spans="1:15" x14ac:dyDescent="0.3">
      <c r="A573" t="s">
        <v>586</v>
      </c>
      <c r="B573" s="4">
        <v>45740</v>
      </c>
      <c r="C573" s="4">
        <v>45751</v>
      </c>
      <c r="D573" s="7" t="s">
        <v>647</v>
      </c>
      <c r="E573" s="7" t="s">
        <v>654</v>
      </c>
      <c r="F573" s="7" t="s">
        <v>691</v>
      </c>
      <c r="G573" s="7" t="s">
        <v>702</v>
      </c>
      <c r="H573" s="7" t="s">
        <v>709</v>
      </c>
      <c r="I573" s="7" t="s">
        <v>713</v>
      </c>
      <c r="J573" s="7" t="s">
        <v>730</v>
      </c>
      <c r="K573" s="7" t="s">
        <v>1303</v>
      </c>
      <c r="L573" s="9">
        <v>23.83</v>
      </c>
      <c r="M573" s="9">
        <v>47.29</v>
      </c>
      <c r="N573" s="11">
        <v>6.4000000000000001E-2</v>
      </c>
      <c r="O573" s="13">
        <v>19</v>
      </c>
    </row>
    <row r="574" spans="1:15" x14ac:dyDescent="0.3">
      <c r="A574" t="s">
        <v>587</v>
      </c>
      <c r="B574" s="4">
        <v>45293</v>
      </c>
      <c r="C574" s="4">
        <v>45293</v>
      </c>
      <c r="D574" s="7" t="s">
        <v>648</v>
      </c>
      <c r="E574" s="7" t="s">
        <v>653</v>
      </c>
      <c r="F574" s="7" t="s">
        <v>688</v>
      </c>
      <c r="G574" s="7" t="s">
        <v>702</v>
      </c>
      <c r="H574" s="7" t="s">
        <v>711</v>
      </c>
      <c r="I574" s="7" t="s">
        <v>720</v>
      </c>
      <c r="J574" s="7" t="s">
        <v>731</v>
      </c>
      <c r="K574" s="7" t="s">
        <v>1304</v>
      </c>
      <c r="L574" s="9">
        <v>444.41</v>
      </c>
      <c r="M574" s="9">
        <v>754.24</v>
      </c>
      <c r="N574" s="11">
        <v>0.20699999999999999</v>
      </c>
      <c r="O574" s="13">
        <v>32</v>
      </c>
    </row>
    <row r="575" spans="1:15" x14ac:dyDescent="0.3">
      <c r="A575" t="s">
        <v>588</v>
      </c>
      <c r="B575" s="4">
        <v>45279</v>
      </c>
      <c r="C575" s="4">
        <v>45292</v>
      </c>
      <c r="D575" s="7" t="s">
        <v>648</v>
      </c>
      <c r="E575" s="7" t="s">
        <v>653</v>
      </c>
      <c r="F575" s="7" t="s">
        <v>667</v>
      </c>
      <c r="G575" s="7" t="s">
        <v>706</v>
      </c>
      <c r="H575" s="7" t="s">
        <v>707</v>
      </c>
      <c r="I575" s="7" t="s">
        <v>723</v>
      </c>
      <c r="J575" s="7" t="s">
        <v>732</v>
      </c>
      <c r="K575" s="7" t="s">
        <v>1305</v>
      </c>
      <c r="L575" s="9">
        <v>856.1</v>
      </c>
      <c r="M575" s="9">
        <v>901.48</v>
      </c>
      <c r="N575" s="11">
        <v>5.6000000000000001E-2</v>
      </c>
      <c r="O575" s="13">
        <v>17</v>
      </c>
    </row>
    <row r="576" spans="1:15" x14ac:dyDescent="0.3">
      <c r="A576" t="s">
        <v>589</v>
      </c>
      <c r="B576" s="4">
        <v>45042</v>
      </c>
      <c r="C576" s="4">
        <v>45042</v>
      </c>
      <c r="D576" s="7" t="s">
        <v>649</v>
      </c>
      <c r="E576" s="7" t="s">
        <v>657</v>
      </c>
      <c r="F576" s="7" t="s">
        <v>673</v>
      </c>
      <c r="G576" s="7" t="s">
        <v>704</v>
      </c>
      <c r="H576" s="7" t="s">
        <v>711</v>
      </c>
      <c r="I576" s="7" t="s">
        <v>724</v>
      </c>
      <c r="J576" s="7" t="s">
        <v>727</v>
      </c>
      <c r="K576" s="7" t="s">
        <v>1306</v>
      </c>
      <c r="L576" s="9">
        <v>81.489999999999995</v>
      </c>
      <c r="M576" s="9">
        <v>113.08</v>
      </c>
      <c r="N576" s="11">
        <v>0.121</v>
      </c>
      <c r="O576" s="13">
        <v>5</v>
      </c>
    </row>
    <row r="577" spans="1:15" x14ac:dyDescent="0.3">
      <c r="A577" t="s">
        <v>590</v>
      </c>
      <c r="B577" s="4">
        <v>45872</v>
      </c>
      <c r="C577" s="4">
        <v>45885</v>
      </c>
      <c r="D577" s="7" t="s">
        <v>648</v>
      </c>
      <c r="E577" s="7" t="s">
        <v>653</v>
      </c>
      <c r="F577" s="7" t="s">
        <v>681</v>
      </c>
      <c r="G577" s="7" t="s">
        <v>706</v>
      </c>
      <c r="H577" s="7" t="s">
        <v>710</v>
      </c>
      <c r="I577" s="7" t="s">
        <v>719</v>
      </c>
      <c r="J577" s="7" t="s">
        <v>729</v>
      </c>
      <c r="K577" s="7" t="s">
        <v>1307</v>
      </c>
      <c r="L577" s="9">
        <v>698.66</v>
      </c>
      <c r="M577" s="9">
        <v>868.62</v>
      </c>
      <c r="N577" s="11">
        <v>7.1999999999999995E-2</v>
      </c>
      <c r="O577" s="13">
        <v>15</v>
      </c>
    </row>
    <row r="578" spans="1:15" x14ac:dyDescent="0.3">
      <c r="A578" t="s">
        <v>591</v>
      </c>
      <c r="B578" s="4">
        <v>45140</v>
      </c>
      <c r="C578" s="4">
        <v>45157</v>
      </c>
      <c r="D578" s="7" t="s">
        <v>648</v>
      </c>
      <c r="E578" s="7" t="s">
        <v>653</v>
      </c>
      <c r="F578" s="7" t="s">
        <v>688</v>
      </c>
      <c r="G578" s="7" t="s">
        <v>701</v>
      </c>
      <c r="H578" s="7" t="s">
        <v>708</v>
      </c>
      <c r="I578" s="7" t="s">
        <v>721</v>
      </c>
      <c r="J578" s="7" t="s">
        <v>729</v>
      </c>
      <c r="K578" s="7" t="s">
        <v>1308</v>
      </c>
      <c r="L578" s="9">
        <v>175.38</v>
      </c>
      <c r="M578" s="9">
        <v>347.9</v>
      </c>
      <c r="N578" s="11">
        <v>7.1999999999999995E-2</v>
      </c>
      <c r="O578" s="13">
        <v>43</v>
      </c>
    </row>
    <row r="579" spans="1:15" x14ac:dyDescent="0.3">
      <c r="A579" t="s">
        <v>592</v>
      </c>
      <c r="B579" s="4">
        <v>45092</v>
      </c>
      <c r="C579" s="4">
        <v>45119</v>
      </c>
      <c r="D579" s="7" t="s">
        <v>649</v>
      </c>
      <c r="E579" s="7" t="s">
        <v>658</v>
      </c>
      <c r="F579" s="7" t="s">
        <v>693</v>
      </c>
      <c r="G579" s="7" t="s">
        <v>704</v>
      </c>
      <c r="H579" s="7" t="s">
        <v>711</v>
      </c>
      <c r="I579" s="7" t="s">
        <v>714</v>
      </c>
      <c r="J579" s="7" t="s">
        <v>733</v>
      </c>
      <c r="K579" s="7" t="s">
        <v>1309</v>
      </c>
      <c r="L579" s="9">
        <v>751.28</v>
      </c>
      <c r="M579" s="9">
        <v>1111.8800000000001</v>
      </c>
      <c r="N579" s="11">
        <v>0.13500000000000001</v>
      </c>
      <c r="O579" s="13">
        <v>7</v>
      </c>
    </row>
    <row r="580" spans="1:15" x14ac:dyDescent="0.3">
      <c r="A580" t="s">
        <v>593</v>
      </c>
      <c r="B580" s="4">
        <v>45607</v>
      </c>
      <c r="C580" s="4">
        <v>45620</v>
      </c>
      <c r="D580" s="7" t="s">
        <v>649</v>
      </c>
      <c r="E580" s="7" t="s">
        <v>658</v>
      </c>
      <c r="F580" s="7" t="s">
        <v>683</v>
      </c>
      <c r="G580" s="7" t="s">
        <v>701</v>
      </c>
      <c r="H580" s="7" t="s">
        <v>707</v>
      </c>
      <c r="I580" s="7" t="s">
        <v>718</v>
      </c>
      <c r="J580" s="7" t="s">
        <v>729</v>
      </c>
      <c r="K580" s="7" t="s">
        <v>1310</v>
      </c>
      <c r="L580" s="9">
        <v>164.53</v>
      </c>
      <c r="M580" s="9">
        <v>327.72</v>
      </c>
      <c r="N580" s="11">
        <v>6.7000000000000004E-2</v>
      </c>
      <c r="O580" s="13">
        <v>14</v>
      </c>
    </row>
    <row r="581" spans="1:15" x14ac:dyDescent="0.3">
      <c r="A581" t="s">
        <v>594</v>
      </c>
      <c r="B581" s="4">
        <v>45849</v>
      </c>
      <c r="C581" s="4">
        <v>45872</v>
      </c>
      <c r="D581" s="7" t="s">
        <v>646</v>
      </c>
      <c r="E581" s="7" t="s">
        <v>650</v>
      </c>
      <c r="F581" s="7" t="s">
        <v>678</v>
      </c>
      <c r="G581" s="7" t="s">
        <v>705</v>
      </c>
      <c r="H581" s="7" t="s">
        <v>707</v>
      </c>
      <c r="I581" s="7" t="s">
        <v>712</v>
      </c>
      <c r="J581" s="7" t="s">
        <v>730</v>
      </c>
      <c r="K581" s="7" t="s">
        <v>1311</v>
      </c>
      <c r="L581" s="9">
        <v>389.93</v>
      </c>
      <c r="M581" s="9">
        <v>486.13</v>
      </c>
      <c r="N581" s="11">
        <v>0.13200000000000001</v>
      </c>
      <c r="O581" s="13">
        <v>17</v>
      </c>
    </row>
    <row r="582" spans="1:15" x14ac:dyDescent="0.3">
      <c r="A582" t="s">
        <v>595</v>
      </c>
      <c r="B582" s="4">
        <v>45080</v>
      </c>
      <c r="C582" s="4">
        <v>45108</v>
      </c>
      <c r="D582" s="7" t="s">
        <v>648</v>
      </c>
      <c r="E582" s="7" t="s">
        <v>655</v>
      </c>
      <c r="F582" s="7" t="s">
        <v>672</v>
      </c>
      <c r="G582" s="7" t="s">
        <v>705</v>
      </c>
      <c r="H582" s="7" t="s">
        <v>709</v>
      </c>
      <c r="I582" s="7" t="s">
        <v>720</v>
      </c>
      <c r="J582" s="7" t="s">
        <v>727</v>
      </c>
      <c r="K582" s="7" t="s">
        <v>1312</v>
      </c>
      <c r="L582" s="9">
        <v>860.4</v>
      </c>
      <c r="M582" s="9">
        <v>2066.6</v>
      </c>
      <c r="N582" s="11">
        <v>0.01</v>
      </c>
      <c r="O582" s="13">
        <v>3</v>
      </c>
    </row>
    <row r="583" spans="1:15" x14ac:dyDescent="0.3">
      <c r="A583" t="s">
        <v>596</v>
      </c>
      <c r="B583" s="4">
        <v>44955</v>
      </c>
      <c r="C583" s="4">
        <v>44963</v>
      </c>
      <c r="D583" s="7" t="s">
        <v>648</v>
      </c>
      <c r="E583" s="7" t="s">
        <v>655</v>
      </c>
      <c r="F583" s="7" t="s">
        <v>672</v>
      </c>
      <c r="G583" s="7" t="s">
        <v>701</v>
      </c>
      <c r="H583" s="7" t="s">
        <v>709</v>
      </c>
      <c r="I583" s="7" t="s">
        <v>726</v>
      </c>
      <c r="J583" s="7" t="s">
        <v>732</v>
      </c>
      <c r="K583" s="7" t="s">
        <v>1313</v>
      </c>
      <c r="L583" s="9">
        <v>41.84</v>
      </c>
      <c r="M583" s="9">
        <v>86.2</v>
      </c>
      <c r="N583" s="11">
        <v>0.22600000000000001</v>
      </c>
      <c r="O583" s="13">
        <v>27</v>
      </c>
    </row>
    <row r="584" spans="1:15" x14ac:dyDescent="0.3">
      <c r="A584" t="s">
        <v>597</v>
      </c>
      <c r="B584" s="4">
        <v>45541</v>
      </c>
      <c r="C584" s="4">
        <v>45539</v>
      </c>
      <c r="D584" s="7" t="s">
        <v>647</v>
      </c>
      <c r="E584" s="7" t="s">
        <v>652</v>
      </c>
      <c r="F584" s="7" t="s">
        <v>666</v>
      </c>
      <c r="G584" s="7" t="s">
        <v>701</v>
      </c>
      <c r="H584" s="7" t="s">
        <v>711</v>
      </c>
      <c r="I584" s="7" t="s">
        <v>720</v>
      </c>
      <c r="J584" s="7" t="s">
        <v>731</v>
      </c>
      <c r="K584" s="7" t="s">
        <v>1314</v>
      </c>
      <c r="L584" s="9">
        <v>1368.17</v>
      </c>
      <c r="M584" s="9">
        <v>2307.75</v>
      </c>
      <c r="N584" s="11">
        <v>0.16300000000000001</v>
      </c>
      <c r="O584" s="13">
        <v>21</v>
      </c>
    </row>
    <row r="585" spans="1:15" x14ac:dyDescent="0.3">
      <c r="A585" t="s">
        <v>598</v>
      </c>
      <c r="B585" s="4">
        <v>45507</v>
      </c>
      <c r="C585" s="4">
        <v>45513</v>
      </c>
      <c r="D585" s="7" t="s">
        <v>646</v>
      </c>
      <c r="E585" s="7" t="s">
        <v>650</v>
      </c>
      <c r="F585" s="7" t="s">
        <v>675</v>
      </c>
      <c r="G585" s="7" t="s">
        <v>704</v>
      </c>
      <c r="H585" s="7" t="s">
        <v>709</v>
      </c>
      <c r="I585" s="7" t="s">
        <v>722</v>
      </c>
      <c r="J585" s="7" t="s">
        <v>731</v>
      </c>
      <c r="K585" s="7" t="s">
        <v>1315</v>
      </c>
      <c r="L585" s="9">
        <v>643.21</v>
      </c>
      <c r="M585" s="9">
        <v>1112.81</v>
      </c>
      <c r="N585" s="11">
        <v>0.14099999999999999</v>
      </c>
      <c r="O585" s="13">
        <v>4</v>
      </c>
    </row>
    <row r="586" spans="1:15" x14ac:dyDescent="0.3">
      <c r="A586" t="s">
        <v>599</v>
      </c>
      <c r="B586" s="4">
        <v>45764</v>
      </c>
      <c r="C586" s="4">
        <v>45764</v>
      </c>
      <c r="D586" s="7" t="s">
        <v>648</v>
      </c>
      <c r="E586" s="7" t="s">
        <v>655</v>
      </c>
      <c r="F586" s="7" t="s">
        <v>670</v>
      </c>
      <c r="G586" s="7" t="s">
        <v>701</v>
      </c>
      <c r="H586" s="7" t="s">
        <v>710</v>
      </c>
      <c r="I586" s="7" t="s">
        <v>716</v>
      </c>
      <c r="J586" s="7" t="s">
        <v>730</v>
      </c>
      <c r="K586" s="7" t="s">
        <v>1316</v>
      </c>
      <c r="L586" s="9">
        <v>719.41</v>
      </c>
      <c r="M586" s="9">
        <v>1125.99</v>
      </c>
      <c r="N586" s="11">
        <v>4.1000000000000002E-2</v>
      </c>
      <c r="O586" s="13">
        <v>21</v>
      </c>
    </row>
    <row r="587" spans="1:15" x14ac:dyDescent="0.3">
      <c r="A587" t="s">
        <v>600</v>
      </c>
      <c r="B587" s="4">
        <v>45049</v>
      </c>
      <c r="C587" s="4">
        <v>45062</v>
      </c>
      <c r="D587" s="7" t="s">
        <v>648</v>
      </c>
      <c r="E587" s="7" t="s">
        <v>660</v>
      </c>
      <c r="F587" s="7" t="s">
        <v>700</v>
      </c>
      <c r="G587" s="7" t="s">
        <v>701</v>
      </c>
      <c r="H587" s="7" t="s">
        <v>709</v>
      </c>
      <c r="I587" s="7" t="s">
        <v>716</v>
      </c>
      <c r="J587" s="7" t="s">
        <v>730</v>
      </c>
      <c r="K587" s="7" t="s">
        <v>1317</v>
      </c>
      <c r="L587" s="9">
        <v>64.5</v>
      </c>
      <c r="M587" s="9">
        <v>123.62</v>
      </c>
      <c r="N587" s="11">
        <v>0</v>
      </c>
      <c r="O587" s="13">
        <v>3</v>
      </c>
    </row>
    <row r="588" spans="1:15" x14ac:dyDescent="0.3">
      <c r="A588" t="s">
        <v>601</v>
      </c>
      <c r="B588" s="4">
        <v>45364</v>
      </c>
      <c r="C588" s="4">
        <v>45388</v>
      </c>
      <c r="D588" s="7" t="s">
        <v>646</v>
      </c>
      <c r="E588" s="7" t="s">
        <v>651</v>
      </c>
      <c r="F588" s="7" t="s">
        <v>669</v>
      </c>
      <c r="G588" s="7" t="s">
        <v>704</v>
      </c>
      <c r="H588" s="7" t="s">
        <v>710</v>
      </c>
      <c r="I588" s="7" t="s">
        <v>716</v>
      </c>
      <c r="J588" s="7" t="s">
        <v>727</v>
      </c>
      <c r="K588" s="7" t="s">
        <v>1318</v>
      </c>
      <c r="L588" s="9">
        <v>1232.78</v>
      </c>
      <c r="M588" s="9">
        <v>1731.75</v>
      </c>
      <c r="N588" s="11">
        <v>9.2999999999999999E-2</v>
      </c>
      <c r="O588" s="13">
        <v>16</v>
      </c>
    </row>
    <row r="589" spans="1:15" x14ac:dyDescent="0.3">
      <c r="A589" t="s">
        <v>602</v>
      </c>
      <c r="B589" s="4">
        <v>45459</v>
      </c>
      <c r="C589" s="4">
        <v>45464</v>
      </c>
      <c r="D589" s="7" t="s">
        <v>647</v>
      </c>
      <c r="E589" s="7" t="s">
        <v>652</v>
      </c>
      <c r="F589" s="7" t="s">
        <v>689</v>
      </c>
      <c r="G589" s="7" t="s">
        <v>705</v>
      </c>
      <c r="H589" s="7" t="s">
        <v>710</v>
      </c>
      <c r="I589" s="7" t="s">
        <v>721</v>
      </c>
      <c r="J589" s="7" t="s">
        <v>730</v>
      </c>
      <c r="K589" s="7" t="s">
        <v>1319</v>
      </c>
      <c r="L589" s="9">
        <v>1367.13</v>
      </c>
      <c r="M589" s="9">
        <v>3062.01</v>
      </c>
      <c r="N589" s="11">
        <v>0.10299999999999999</v>
      </c>
      <c r="O589" s="13">
        <v>25</v>
      </c>
    </row>
    <row r="590" spans="1:15" x14ac:dyDescent="0.3">
      <c r="A590" t="s">
        <v>603</v>
      </c>
      <c r="B590" s="4">
        <v>45703</v>
      </c>
      <c r="C590" s="4">
        <v>45715</v>
      </c>
      <c r="D590" s="7" t="s">
        <v>649</v>
      </c>
      <c r="E590" s="7" t="s">
        <v>657</v>
      </c>
      <c r="F590" s="7" t="s">
        <v>679</v>
      </c>
      <c r="G590" s="7" t="s">
        <v>703</v>
      </c>
      <c r="H590" s="7" t="s">
        <v>711</v>
      </c>
      <c r="I590" s="7" t="s">
        <v>723</v>
      </c>
      <c r="J590" s="7" t="s">
        <v>733</v>
      </c>
      <c r="K590" s="7" t="s">
        <v>1320</v>
      </c>
      <c r="L590" s="9">
        <v>1027.26</v>
      </c>
      <c r="M590" s="9">
        <v>2200.41</v>
      </c>
      <c r="N590" s="11">
        <v>8.7999999999999995E-2</v>
      </c>
      <c r="O590" s="13">
        <v>6</v>
      </c>
    </row>
    <row r="591" spans="1:15" x14ac:dyDescent="0.3">
      <c r="A591" t="s">
        <v>604</v>
      </c>
      <c r="B591" s="4">
        <v>45019</v>
      </c>
      <c r="C591" s="4">
        <v>45032</v>
      </c>
      <c r="D591" s="7" t="s">
        <v>649</v>
      </c>
      <c r="E591" s="7" t="s">
        <v>657</v>
      </c>
      <c r="F591" s="7" t="s">
        <v>673</v>
      </c>
      <c r="G591" s="7" t="s">
        <v>703</v>
      </c>
      <c r="H591" s="7" t="s">
        <v>709</v>
      </c>
      <c r="I591" s="7" t="s">
        <v>724</v>
      </c>
      <c r="J591" s="7" t="s">
        <v>733</v>
      </c>
      <c r="K591" s="7" t="s">
        <v>1321</v>
      </c>
      <c r="L591" s="9">
        <v>790.54</v>
      </c>
      <c r="M591" s="9">
        <v>601.49</v>
      </c>
      <c r="N591" s="11">
        <v>0</v>
      </c>
      <c r="O591" s="13">
        <v>15</v>
      </c>
    </row>
    <row r="592" spans="1:15" x14ac:dyDescent="0.3">
      <c r="A592" t="s">
        <v>605</v>
      </c>
      <c r="B592" s="4">
        <v>45899</v>
      </c>
      <c r="C592" s="4">
        <v>45922</v>
      </c>
      <c r="D592" s="7" t="s">
        <v>649</v>
      </c>
      <c r="E592" s="7" t="s">
        <v>657</v>
      </c>
      <c r="F592" s="7" t="s">
        <v>673</v>
      </c>
      <c r="G592" s="7" t="s">
        <v>701</v>
      </c>
      <c r="H592" s="7" t="s">
        <v>711</v>
      </c>
      <c r="I592" s="7" t="s">
        <v>718</v>
      </c>
      <c r="J592" s="7" t="s">
        <v>727</v>
      </c>
      <c r="K592" s="7" t="s">
        <v>1322</v>
      </c>
      <c r="L592" s="9">
        <v>663.9</v>
      </c>
      <c r="M592" s="9">
        <v>947.77</v>
      </c>
      <c r="N592" s="11">
        <v>0.17399999999999999</v>
      </c>
      <c r="O592" s="13">
        <v>15</v>
      </c>
    </row>
    <row r="593" spans="1:15" x14ac:dyDescent="0.3">
      <c r="A593" t="s">
        <v>606</v>
      </c>
      <c r="B593" s="4">
        <v>44984</v>
      </c>
      <c r="C593" s="4">
        <v>44983</v>
      </c>
      <c r="D593" s="7" t="s">
        <v>648</v>
      </c>
      <c r="E593" s="7" t="s">
        <v>660</v>
      </c>
      <c r="F593" s="7" t="s">
        <v>686</v>
      </c>
      <c r="G593" s="7" t="s">
        <v>703</v>
      </c>
      <c r="H593" s="7" t="s">
        <v>708</v>
      </c>
      <c r="I593" s="7" t="s">
        <v>716</v>
      </c>
      <c r="J593" s="7" t="s">
        <v>729</v>
      </c>
      <c r="K593" s="7" t="s">
        <v>1323</v>
      </c>
      <c r="L593" s="9">
        <v>1015.91</v>
      </c>
      <c r="M593" s="9">
        <v>2331.48</v>
      </c>
      <c r="N593" s="11">
        <v>0.14599999999999999</v>
      </c>
      <c r="O593" s="13">
        <v>26</v>
      </c>
    </row>
    <row r="594" spans="1:15" x14ac:dyDescent="0.3">
      <c r="A594" t="s">
        <v>607</v>
      </c>
      <c r="B594" s="4">
        <v>45504</v>
      </c>
      <c r="C594" s="4">
        <v>45519</v>
      </c>
      <c r="D594" s="7" t="s">
        <v>647</v>
      </c>
      <c r="E594" s="7" t="s">
        <v>652</v>
      </c>
      <c r="F594" s="7" t="s">
        <v>689</v>
      </c>
      <c r="G594" s="7" t="s">
        <v>701</v>
      </c>
      <c r="H594" s="7" t="s">
        <v>709</v>
      </c>
      <c r="I594" s="7" t="s">
        <v>721</v>
      </c>
      <c r="J594" s="7" t="s">
        <v>732</v>
      </c>
      <c r="K594" s="7" t="s">
        <v>1324</v>
      </c>
      <c r="L594" s="9">
        <v>1252.52</v>
      </c>
      <c r="M594" s="9">
        <v>1417.24</v>
      </c>
      <c r="N594" s="11">
        <v>0.192</v>
      </c>
      <c r="O594" s="13">
        <v>5</v>
      </c>
    </row>
    <row r="595" spans="1:15" x14ac:dyDescent="0.3">
      <c r="A595" t="s">
        <v>608</v>
      </c>
      <c r="B595" s="4">
        <v>45823</v>
      </c>
      <c r="C595" s="4">
        <v>45850</v>
      </c>
      <c r="D595" s="7" t="s">
        <v>649</v>
      </c>
      <c r="E595" s="7" t="s">
        <v>657</v>
      </c>
      <c r="F595" s="7" t="s">
        <v>673</v>
      </c>
      <c r="G595" s="7" t="s">
        <v>704</v>
      </c>
      <c r="H595" s="7" t="s">
        <v>711</v>
      </c>
      <c r="I595" s="7" t="s">
        <v>712</v>
      </c>
      <c r="J595" s="7" t="s">
        <v>733</v>
      </c>
      <c r="K595" s="7" t="s">
        <v>1325</v>
      </c>
      <c r="L595" s="9">
        <v>318.83</v>
      </c>
      <c r="M595" s="9">
        <v>699.5</v>
      </c>
      <c r="N595" s="11">
        <v>0.08</v>
      </c>
      <c r="O595" s="13">
        <v>13</v>
      </c>
    </row>
    <row r="596" spans="1:15" x14ac:dyDescent="0.3">
      <c r="A596" t="s">
        <v>609</v>
      </c>
      <c r="B596" s="4">
        <v>45473</v>
      </c>
      <c r="C596" s="4">
        <v>45494</v>
      </c>
      <c r="D596" s="7" t="s">
        <v>646</v>
      </c>
      <c r="E596" s="7" t="s">
        <v>650</v>
      </c>
      <c r="F596" s="7" t="s">
        <v>662</v>
      </c>
      <c r="G596" s="7" t="s">
        <v>705</v>
      </c>
      <c r="H596" s="7" t="s">
        <v>707</v>
      </c>
      <c r="I596" s="7" t="s">
        <v>723</v>
      </c>
      <c r="J596" s="7" t="s">
        <v>731</v>
      </c>
      <c r="K596" s="7" t="s">
        <v>1326</v>
      </c>
      <c r="L596" s="9">
        <v>753.43</v>
      </c>
      <c r="M596" s="9">
        <v>1787.2</v>
      </c>
      <c r="N596" s="11">
        <v>7.2999999999999995E-2</v>
      </c>
      <c r="O596" s="13">
        <v>9</v>
      </c>
    </row>
    <row r="597" spans="1:15" x14ac:dyDescent="0.3">
      <c r="A597" t="s">
        <v>610</v>
      </c>
      <c r="B597" s="4">
        <v>45705</v>
      </c>
      <c r="C597" s="4">
        <v>45703</v>
      </c>
      <c r="D597" s="7" t="s">
        <v>648</v>
      </c>
      <c r="E597" s="7" t="s">
        <v>653</v>
      </c>
      <c r="F597" s="7" t="s">
        <v>667</v>
      </c>
      <c r="G597" s="7" t="s">
        <v>705</v>
      </c>
      <c r="H597" s="7" t="s">
        <v>707</v>
      </c>
      <c r="I597" s="7" t="s">
        <v>726</v>
      </c>
      <c r="J597" s="7" t="s">
        <v>727</v>
      </c>
      <c r="K597" s="7" t="s">
        <v>1327</v>
      </c>
      <c r="L597" s="9">
        <v>1133.47</v>
      </c>
      <c r="M597" s="9">
        <v>1698.75</v>
      </c>
      <c r="N597" s="11">
        <v>4.2999999999999997E-2</v>
      </c>
      <c r="O597" s="13">
        <v>5</v>
      </c>
    </row>
    <row r="598" spans="1:15" x14ac:dyDescent="0.3">
      <c r="A598" t="s">
        <v>611</v>
      </c>
      <c r="B598" s="4">
        <v>44933</v>
      </c>
      <c r="C598" s="4">
        <v>44956</v>
      </c>
      <c r="D598" s="7" t="s">
        <v>646</v>
      </c>
      <c r="E598" s="7" t="s">
        <v>661</v>
      </c>
      <c r="F598" s="7" t="s">
        <v>695</v>
      </c>
      <c r="G598" s="7" t="s">
        <v>704</v>
      </c>
      <c r="H598" s="7" t="s">
        <v>708</v>
      </c>
      <c r="I598" s="7" t="s">
        <v>720</v>
      </c>
      <c r="J598" s="7" t="s">
        <v>728</v>
      </c>
      <c r="K598" s="7" t="s">
        <v>1328</v>
      </c>
      <c r="L598" s="9">
        <v>299.02</v>
      </c>
      <c r="M598" s="9">
        <v>724.7</v>
      </c>
      <c r="N598" s="11">
        <v>0.14000000000000001</v>
      </c>
      <c r="O598" s="13">
        <v>5</v>
      </c>
    </row>
    <row r="599" spans="1:15" x14ac:dyDescent="0.3">
      <c r="A599" t="s">
        <v>612</v>
      </c>
      <c r="B599" s="4">
        <v>45726</v>
      </c>
      <c r="C599" s="4">
        <v>45751</v>
      </c>
      <c r="D599" s="7" t="s">
        <v>647</v>
      </c>
      <c r="E599" s="7" t="s">
        <v>652</v>
      </c>
      <c r="F599" s="7" t="s">
        <v>666</v>
      </c>
      <c r="G599" s="7" t="s">
        <v>701</v>
      </c>
      <c r="H599" s="7" t="s">
        <v>711</v>
      </c>
      <c r="I599" s="7" t="s">
        <v>722</v>
      </c>
      <c r="J599" s="7" t="s">
        <v>728</v>
      </c>
      <c r="K599" s="7" t="s">
        <v>1329</v>
      </c>
      <c r="L599" s="9">
        <v>783.72</v>
      </c>
      <c r="M599" s="9">
        <v>1355.94</v>
      </c>
      <c r="N599" s="11">
        <v>0.187</v>
      </c>
      <c r="O599" s="13">
        <v>4</v>
      </c>
    </row>
    <row r="600" spans="1:15" x14ac:dyDescent="0.3">
      <c r="A600" t="s">
        <v>613</v>
      </c>
      <c r="B600" s="4">
        <v>45521</v>
      </c>
      <c r="C600" s="4">
        <v>45519</v>
      </c>
      <c r="D600" s="7" t="s">
        <v>648</v>
      </c>
      <c r="E600" s="7" t="s">
        <v>655</v>
      </c>
      <c r="F600" s="7" t="s">
        <v>692</v>
      </c>
      <c r="G600" s="7" t="s">
        <v>704</v>
      </c>
      <c r="H600" s="7" t="s">
        <v>711</v>
      </c>
      <c r="I600" s="7" t="s">
        <v>724</v>
      </c>
      <c r="J600" s="7" t="s">
        <v>732</v>
      </c>
      <c r="K600" s="7" t="s">
        <v>1330</v>
      </c>
      <c r="L600" s="9">
        <v>165.3</v>
      </c>
      <c r="M600" s="9">
        <v>275.07</v>
      </c>
      <c r="N600" s="11">
        <v>0.13300000000000001</v>
      </c>
      <c r="O600" s="13">
        <v>25</v>
      </c>
    </row>
    <row r="601" spans="1:15" x14ac:dyDescent="0.3">
      <c r="A601" t="s">
        <v>614</v>
      </c>
      <c r="B601" s="4">
        <v>45360</v>
      </c>
      <c r="C601" s="4">
        <v>45373</v>
      </c>
      <c r="D601" s="7" t="s">
        <v>649</v>
      </c>
      <c r="E601" s="7" t="s">
        <v>658</v>
      </c>
      <c r="F601" s="7" t="s">
        <v>693</v>
      </c>
      <c r="G601" s="7" t="s">
        <v>704</v>
      </c>
      <c r="H601" s="7" t="s">
        <v>708</v>
      </c>
      <c r="I601" s="7" t="s">
        <v>718</v>
      </c>
      <c r="J601" s="7" t="s">
        <v>731</v>
      </c>
      <c r="K601" s="7" t="s">
        <v>1331</v>
      </c>
      <c r="L601" s="9">
        <v>985.45</v>
      </c>
      <c r="M601" s="9">
        <v>1802.44</v>
      </c>
      <c r="N601" s="11">
        <v>8.9999999999999993E-3</v>
      </c>
      <c r="O601" s="13">
        <v>19</v>
      </c>
    </row>
    <row r="602" spans="1:15" x14ac:dyDescent="0.3">
      <c r="A602" t="s">
        <v>615</v>
      </c>
      <c r="B602" s="4">
        <v>45523</v>
      </c>
      <c r="C602" s="4">
        <v>45537</v>
      </c>
      <c r="D602" s="7" t="s">
        <v>648</v>
      </c>
      <c r="E602" s="7" t="s">
        <v>653</v>
      </c>
      <c r="F602" s="7" t="s">
        <v>667</v>
      </c>
      <c r="G602" s="7" t="s">
        <v>704</v>
      </c>
      <c r="H602" s="7" t="s">
        <v>710</v>
      </c>
      <c r="I602" s="7" t="s">
        <v>712</v>
      </c>
      <c r="J602" s="7" t="s">
        <v>728</v>
      </c>
      <c r="K602" s="7" t="s">
        <v>1332</v>
      </c>
      <c r="L602" s="9">
        <v>1337.01</v>
      </c>
      <c r="M602" s="9">
        <v>1269.78</v>
      </c>
      <c r="N602" s="11">
        <v>0.16</v>
      </c>
      <c r="O602" s="13">
        <v>7</v>
      </c>
    </row>
    <row r="603" spans="1:15" x14ac:dyDescent="0.3">
      <c r="A603" t="s">
        <v>616</v>
      </c>
      <c r="B603" s="4">
        <v>45880</v>
      </c>
      <c r="C603" s="4">
        <v>45897</v>
      </c>
      <c r="D603" s="7" t="s">
        <v>649</v>
      </c>
      <c r="E603" s="7" t="s">
        <v>657</v>
      </c>
      <c r="F603" s="7" t="s">
        <v>690</v>
      </c>
      <c r="G603" s="7" t="s">
        <v>702</v>
      </c>
      <c r="H603" s="7" t="s">
        <v>708</v>
      </c>
      <c r="I603" s="7" t="s">
        <v>721</v>
      </c>
      <c r="J603" s="7" t="s">
        <v>729</v>
      </c>
      <c r="K603" s="7" t="s">
        <v>1333</v>
      </c>
      <c r="L603" s="9">
        <v>416.16</v>
      </c>
      <c r="M603" s="9">
        <v>571.9</v>
      </c>
      <c r="N603" s="11">
        <v>7.0999999999999994E-2</v>
      </c>
      <c r="O603" s="13">
        <v>2</v>
      </c>
    </row>
    <row r="604" spans="1:15" x14ac:dyDescent="0.3">
      <c r="A604" t="s">
        <v>617</v>
      </c>
      <c r="B604" s="4">
        <v>45793</v>
      </c>
      <c r="C604" s="4">
        <v>45795</v>
      </c>
      <c r="D604" s="7" t="s">
        <v>647</v>
      </c>
      <c r="E604" s="7" t="s">
        <v>652</v>
      </c>
      <c r="F604" s="7" t="s">
        <v>689</v>
      </c>
      <c r="G604" s="7" t="s">
        <v>706</v>
      </c>
      <c r="H604" s="7" t="s">
        <v>707</v>
      </c>
      <c r="I604" s="7" t="s">
        <v>713</v>
      </c>
      <c r="J604" s="7" t="s">
        <v>728</v>
      </c>
      <c r="K604" s="7" t="s">
        <v>1334</v>
      </c>
      <c r="L604" s="9">
        <v>1144.3800000000001</v>
      </c>
      <c r="M604" s="9">
        <v>2755.04</v>
      </c>
      <c r="N604" s="11">
        <v>0.15</v>
      </c>
      <c r="O604" s="13">
        <v>17</v>
      </c>
    </row>
    <row r="605" spans="1:15" x14ac:dyDescent="0.3">
      <c r="A605" t="s">
        <v>618</v>
      </c>
      <c r="B605" s="4">
        <v>45026</v>
      </c>
      <c r="C605" s="4">
        <v>45041</v>
      </c>
      <c r="D605" s="7" t="s">
        <v>649</v>
      </c>
      <c r="E605" s="7" t="s">
        <v>658</v>
      </c>
      <c r="F605" s="7" t="s">
        <v>683</v>
      </c>
      <c r="G605" s="7" t="s">
        <v>705</v>
      </c>
      <c r="H605" s="7" t="s">
        <v>707</v>
      </c>
      <c r="I605" s="7" t="s">
        <v>726</v>
      </c>
      <c r="J605" s="7" t="s">
        <v>728</v>
      </c>
      <c r="K605" s="7" t="s">
        <v>1335</v>
      </c>
      <c r="L605" s="9">
        <v>405.66</v>
      </c>
      <c r="M605" s="9">
        <v>962.51</v>
      </c>
      <c r="N605" s="11">
        <v>0.19</v>
      </c>
      <c r="O605" s="13">
        <v>7</v>
      </c>
    </row>
    <row r="606" spans="1:15" x14ac:dyDescent="0.3">
      <c r="A606" t="s">
        <v>619</v>
      </c>
      <c r="B606" s="4">
        <v>45186</v>
      </c>
      <c r="C606" s="4">
        <v>45201</v>
      </c>
      <c r="D606" s="7" t="s">
        <v>648</v>
      </c>
      <c r="E606" s="7" t="s">
        <v>655</v>
      </c>
      <c r="F606" s="7" t="s">
        <v>692</v>
      </c>
      <c r="G606" s="7" t="s">
        <v>705</v>
      </c>
      <c r="H606" s="7" t="s">
        <v>707</v>
      </c>
      <c r="I606" s="7" t="s">
        <v>717</v>
      </c>
      <c r="J606" s="7" t="s">
        <v>731</v>
      </c>
      <c r="K606" s="7" t="s">
        <v>1336</v>
      </c>
      <c r="L606" s="9">
        <v>689.33</v>
      </c>
      <c r="M606" s="9">
        <v>668.27</v>
      </c>
      <c r="N606" s="11">
        <v>0.186</v>
      </c>
      <c r="O606" s="13">
        <v>13</v>
      </c>
    </row>
    <row r="607" spans="1:15" x14ac:dyDescent="0.3">
      <c r="A607" t="s">
        <v>620</v>
      </c>
      <c r="B607" s="4">
        <v>45038</v>
      </c>
      <c r="C607" s="4">
        <v>45060</v>
      </c>
      <c r="D607" s="7" t="s">
        <v>647</v>
      </c>
      <c r="E607" s="7" t="s">
        <v>652</v>
      </c>
      <c r="F607" s="7" t="s">
        <v>694</v>
      </c>
      <c r="G607" s="7" t="s">
        <v>706</v>
      </c>
      <c r="H607" s="7" t="s">
        <v>707</v>
      </c>
      <c r="I607" s="7" t="s">
        <v>720</v>
      </c>
      <c r="J607" s="7" t="s">
        <v>733</v>
      </c>
      <c r="K607" s="7" t="s">
        <v>1337</v>
      </c>
      <c r="L607" s="9">
        <v>1209.22</v>
      </c>
      <c r="M607" s="9">
        <v>1404.33</v>
      </c>
      <c r="N607" s="11">
        <v>0.10299999999999999</v>
      </c>
      <c r="O607" s="13">
        <v>11</v>
      </c>
    </row>
    <row r="608" spans="1:15" x14ac:dyDescent="0.3">
      <c r="A608" t="s">
        <v>621</v>
      </c>
      <c r="B608" s="4">
        <v>45827</v>
      </c>
      <c r="C608" s="4">
        <v>45829</v>
      </c>
      <c r="D608" s="7" t="s">
        <v>646</v>
      </c>
      <c r="E608" s="7" t="s">
        <v>661</v>
      </c>
      <c r="F608" s="7" t="s">
        <v>682</v>
      </c>
      <c r="G608" s="7" t="s">
        <v>705</v>
      </c>
      <c r="I608" s="7" t="s">
        <v>722</v>
      </c>
      <c r="J608" s="7" t="s">
        <v>730</v>
      </c>
      <c r="K608" s="7" t="s">
        <v>1338</v>
      </c>
      <c r="L608" s="9">
        <v>1466.27</v>
      </c>
      <c r="M608" s="9">
        <v>3589.89</v>
      </c>
      <c r="N608" s="11">
        <v>9.7000000000000003E-2</v>
      </c>
      <c r="O608" s="13">
        <v>9</v>
      </c>
    </row>
    <row r="609" spans="1:15" x14ac:dyDescent="0.3">
      <c r="A609" t="s">
        <v>622</v>
      </c>
      <c r="B609" s="4">
        <v>45623</v>
      </c>
      <c r="C609" s="4">
        <v>45650</v>
      </c>
      <c r="D609" s="7" t="s">
        <v>646</v>
      </c>
      <c r="E609" s="7" t="s">
        <v>650</v>
      </c>
      <c r="F609" s="7" t="s">
        <v>675</v>
      </c>
      <c r="G609" s="7" t="s">
        <v>701</v>
      </c>
      <c r="H609" s="7" t="s">
        <v>710</v>
      </c>
      <c r="I609" s="7" t="s">
        <v>717</v>
      </c>
      <c r="J609" s="7" t="s">
        <v>728</v>
      </c>
      <c r="K609" s="7" t="s">
        <v>1339</v>
      </c>
      <c r="L609" s="9">
        <v>143.33000000000001</v>
      </c>
      <c r="M609" s="9">
        <v>233.51</v>
      </c>
      <c r="N609" s="11">
        <v>0.16300000000000001</v>
      </c>
      <c r="O609" s="13">
        <v>14</v>
      </c>
    </row>
    <row r="610" spans="1:15" x14ac:dyDescent="0.3">
      <c r="A610" t="s">
        <v>623</v>
      </c>
      <c r="B610" s="4">
        <v>45319</v>
      </c>
      <c r="C610" s="4">
        <v>45318</v>
      </c>
      <c r="D610" s="7" t="s">
        <v>646</v>
      </c>
      <c r="E610" s="7" t="s">
        <v>661</v>
      </c>
      <c r="F610" s="7" t="s">
        <v>695</v>
      </c>
      <c r="G610" s="7" t="s">
        <v>706</v>
      </c>
      <c r="H610" s="7" t="s">
        <v>711</v>
      </c>
      <c r="I610" s="7" t="s">
        <v>719</v>
      </c>
      <c r="J610" s="7" t="s">
        <v>727</v>
      </c>
      <c r="K610" s="7" t="s">
        <v>1340</v>
      </c>
      <c r="L610" s="9">
        <v>109.75</v>
      </c>
      <c r="M610" s="9">
        <v>124.25</v>
      </c>
      <c r="N610" s="11">
        <v>0.12</v>
      </c>
      <c r="O610" s="13">
        <v>19</v>
      </c>
    </row>
    <row r="611" spans="1:15" x14ac:dyDescent="0.3">
      <c r="A611" t="s">
        <v>624</v>
      </c>
      <c r="B611" s="4">
        <v>45032</v>
      </c>
      <c r="C611" s="4">
        <v>45039</v>
      </c>
      <c r="D611" s="7" t="s">
        <v>648</v>
      </c>
      <c r="E611" s="7" t="s">
        <v>660</v>
      </c>
      <c r="F611" s="7" t="s">
        <v>697</v>
      </c>
      <c r="G611" s="7" t="s">
        <v>701</v>
      </c>
      <c r="H611" s="7" t="s">
        <v>710</v>
      </c>
      <c r="I611" s="7" t="s">
        <v>719</v>
      </c>
      <c r="J611" s="7" t="s">
        <v>728</v>
      </c>
      <c r="K611" s="7" t="s">
        <v>1341</v>
      </c>
      <c r="L611" s="9">
        <v>1099.1500000000001</v>
      </c>
      <c r="M611" s="9">
        <v>1431.37</v>
      </c>
      <c r="N611" s="11">
        <v>0.104</v>
      </c>
      <c r="O611" s="13">
        <v>8</v>
      </c>
    </row>
    <row r="612" spans="1:15" x14ac:dyDescent="0.3">
      <c r="A612" t="s">
        <v>625</v>
      </c>
      <c r="B612" s="4">
        <v>45323</v>
      </c>
      <c r="C612" s="4">
        <v>45323</v>
      </c>
      <c r="D612" s="7" t="s">
        <v>648</v>
      </c>
      <c r="E612" s="7" t="s">
        <v>660</v>
      </c>
      <c r="F612" s="7" t="s">
        <v>697</v>
      </c>
      <c r="G612" s="7" t="s">
        <v>704</v>
      </c>
      <c r="H612" s="7" t="s">
        <v>710</v>
      </c>
      <c r="I612" s="7" t="s">
        <v>722</v>
      </c>
      <c r="J612" s="7" t="s">
        <v>728</v>
      </c>
      <c r="K612" s="7" t="s">
        <v>1342</v>
      </c>
      <c r="L612" s="9">
        <v>714.43</v>
      </c>
      <c r="M612" s="9">
        <v>1595.52</v>
      </c>
      <c r="N612" s="11">
        <v>0.19400000000000001</v>
      </c>
      <c r="O612" s="13">
        <v>14</v>
      </c>
    </row>
    <row r="613" spans="1:15" x14ac:dyDescent="0.3">
      <c r="A613" t="s">
        <v>626</v>
      </c>
      <c r="B613" s="4">
        <v>45584</v>
      </c>
      <c r="C613" s="4">
        <v>45602</v>
      </c>
      <c r="D613" s="7" t="s">
        <v>648</v>
      </c>
      <c r="E613" s="7" t="s">
        <v>660</v>
      </c>
      <c r="F613" s="7" t="s">
        <v>677</v>
      </c>
      <c r="G613" s="7" t="s">
        <v>702</v>
      </c>
      <c r="I613" s="7" t="s">
        <v>712</v>
      </c>
      <c r="J613" s="7" t="s">
        <v>732</v>
      </c>
      <c r="K613" s="7" t="s">
        <v>1343</v>
      </c>
      <c r="L613" s="9">
        <v>942.02</v>
      </c>
      <c r="M613" s="9">
        <v>1028.46</v>
      </c>
      <c r="N613" s="11">
        <v>0</v>
      </c>
      <c r="O613" s="13">
        <v>9</v>
      </c>
    </row>
    <row r="614" spans="1:15" x14ac:dyDescent="0.3">
      <c r="A614" t="s">
        <v>627</v>
      </c>
      <c r="B614" s="4">
        <v>45468</v>
      </c>
      <c r="C614" s="4">
        <v>45473</v>
      </c>
      <c r="D614" s="7" t="s">
        <v>646</v>
      </c>
      <c r="E614" s="7" t="s">
        <v>650</v>
      </c>
      <c r="F614" s="7" t="s">
        <v>662</v>
      </c>
      <c r="G614" s="7" t="s">
        <v>702</v>
      </c>
      <c r="H614" s="7" t="s">
        <v>711</v>
      </c>
      <c r="I614" s="7" t="s">
        <v>724</v>
      </c>
      <c r="J614" s="7" t="s">
        <v>729</v>
      </c>
      <c r="K614" s="7" t="s">
        <v>1344</v>
      </c>
      <c r="L614" s="9">
        <v>1323.55</v>
      </c>
      <c r="M614" s="9">
        <v>3230.35</v>
      </c>
      <c r="N614" s="11">
        <v>2.1999999999999999E-2</v>
      </c>
      <c r="O614" s="13">
        <v>26</v>
      </c>
    </row>
    <row r="615" spans="1:15" x14ac:dyDescent="0.3">
      <c r="A615" t="s">
        <v>628</v>
      </c>
      <c r="B615" s="4">
        <v>45137</v>
      </c>
      <c r="C615" s="4">
        <v>45157</v>
      </c>
      <c r="D615" s="7" t="s">
        <v>649</v>
      </c>
      <c r="E615" s="7" t="s">
        <v>657</v>
      </c>
      <c r="F615" s="7" t="s">
        <v>690</v>
      </c>
      <c r="G615" s="7" t="s">
        <v>706</v>
      </c>
      <c r="H615" s="7" t="s">
        <v>709</v>
      </c>
      <c r="I615" s="7" t="s">
        <v>715</v>
      </c>
      <c r="J615" s="7" t="s">
        <v>729</v>
      </c>
      <c r="K615" s="7" t="s">
        <v>1345</v>
      </c>
      <c r="L615" s="9">
        <v>1418.51</v>
      </c>
      <c r="M615" s="9">
        <v>2789.61</v>
      </c>
      <c r="N615" s="11">
        <v>0.17100000000000001</v>
      </c>
      <c r="O615" s="13">
        <v>8</v>
      </c>
    </row>
    <row r="616" spans="1:15" x14ac:dyDescent="0.3">
      <c r="A616" t="s">
        <v>629</v>
      </c>
      <c r="B616" s="4">
        <v>45727</v>
      </c>
      <c r="C616" s="4">
        <v>45743</v>
      </c>
      <c r="D616" s="7" t="s">
        <v>647</v>
      </c>
      <c r="E616" s="7" t="s">
        <v>652</v>
      </c>
      <c r="F616" s="7" t="s">
        <v>689</v>
      </c>
      <c r="G616" s="7" t="s">
        <v>706</v>
      </c>
      <c r="H616" s="7" t="s">
        <v>710</v>
      </c>
      <c r="I616" s="7" t="s">
        <v>717</v>
      </c>
      <c r="J616" s="7" t="s">
        <v>728</v>
      </c>
      <c r="K616" s="7" t="s">
        <v>1346</v>
      </c>
      <c r="L616" s="9">
        <v>1317.58</v>
      </c>
      <c r="M616" s="9">
        <v>1897.74</v>
      </c>
      <c r="N616" s="11">
        <v>8.1000000000000003E-2</v>
      </c>
      <c r="O616" s="13">
        <v>6</v>
      </c>
    </row>
    <row r="617" spans="1:15" x14ac:dyDescent="0.3">
      <c r="A617" t="s">
        <v>630</v>
      </c>
      <c r="B617" s="4">
        <v>45208</v>
      </c>
      <c r="C617" s="4">
        <v>45210</v>
      </c>
      <c r="D617" s="7" t="s">
        <v>646</v>
      </c>
      <c r="E617" s="7" t="s">
        <v>651</v>
      </c>
      <c r="F617" s="7" t="s">
        <v>663</v>
      </c>
      <c r="G617" s="7" t="s">
        <v>702</v>
      </c>
      <c r="H617" s="7" t="s">
        <v>709</v>
      </c>
      <c r="I617" s="7" t="s">
        <v>723</v>
      </c>
      <c r="J617" s="7" t="s">
        <v>729</v>
      </c>
      <c r="K617" s="7" t="s">
        <v>1347</v>
      </c>
      <c r="L617" s="9">
        <v>391.16</v>
      </c>
      <c r="M617" s="9">
        <v>902.47</v>
      </c>
      <c r="N617" s="11">
        <v>4.0000000000000001E-3</v>
      </c>
      <c r="O617" s="13">
        <v>12</v>
      </c>
    </row>
    <row r="618" spans="1:15" x14ac:dyDescent="0.3">
      <c r="A618" t="s">
        <v>631</v>
      </c>
      <c r="B618" s="4">
        <v>45643</v>
      </c>
      <c r="C618" s="4">
        <v>45673</v>
      </c>
      <c r="D618" s="7" t="s">
        <v>649</v>
      </c>
      <c r="E618" s="7" t="s">
        <v>658</v>
      </c>
      <c r="F618" s="7" t="s">
        <v>693</v>
      </c>
      <c r="G618" s="7" t="s">
        <v>701</v>
      </c>
      <c r="H618" s="7" t="s">
        <v>707</v>
      </c>
      <c r="I618" s="7" t="s">
        <v>726</v>
      </c>
      <c r="J618" s="7" t="s">
        <v>732</v>
      </c>
      <c r="K618" s="7" t="s">
        <v>1348</v>
      </c>
      <c r="L618" s="9">
        <v>722.87</v>
      </c>
      <c r="M618" s="9">
        <v>-33.659999999999997</v>
      </c>
      <c r="N618" s="11">
        <v>0.10199999999999999</v>
      </c>
      <c r="O618" s="13">
        <v>28</v>
      </c>
    </row>
    <row r="619" spans="1:15" x14ac:dyDescent="0.3">
      <c r="A619" t="s">
        <v>632</v>
      </c>
      <c r="B619" s="4">
        <v>45849</v>
      </c>
      <c r="C619" s="4">
        <v>45854</v>
      </c>
      <c r="D619" s="7" t="s">
        <v>649</v>
      </c>
      <c r="E619" s="7" t="s">
        <v>658</v>
      </c>
      <c r="F619" s="7" t="s">
        <v>683</v>
      </c>
      <c r="G619" s="7" t="s">
        <v>706</v>
      </c>
      <c r="H619" s="7" t="s">
        <v>708</v>
      </c>
      <c r="I619" s="7" t="s">
        <v>723</v>
      </c>
      <c r="J619" s="7" t="s">
        <v>728</v>
      </c>
      <c r="K619" s="7" t="s">
        <v>1349</v>
      </c>
      <c r="L619" s="9">
        <v>930.03</v>
      </c>
      <c r="M619" s="9">
        <v>1086.68</v>
      </c>
      <c r="N619" s="11">
        <v>0.109</v>
      </c>
      <c r="O619" s="13">
        <v>26</v>
      </c>
    </row>
    <row r="620" spans="1:15" x14ac:dyDescent="0.3">
      <c r="A620" t="s">
        <v>633</v>
      </c>
      <c r="B620" s="4">
        <v>45578</v>
      </c>
      <c r="C620" s="4">
        <v>45589</v>
      </c>
      <c r="D620" s="7" t="s">
        <v>649</v>
      </c>
      <c r="E620" s="7" t="s">
        <v>657</v>
      </c>
      <c r="F620" s="7" t="s">
        <v>690</v>
      </c>
      <c r="G620" s="7" t="s">
        <v>702</v>
      </c>
      <c r="H620" s="7" t="s">
        <v>710</v>
      </c>
      <c r="I620" s="7" t="s">
        <v>721</v>
      </c>
      <c r="J620" s="7" t="s">
        <v>727</v>
      </c>
      <c r="K620" s="7" t="s">
        <v>1350</v>
      </c>
      <c r="L620" s="9">
        <v>816.7</v>
      </c>
      <c r="M620" s="9">
        <v>1010.75</v>
      </c>
      <c r="N620" s="11">
        <v>4.7E-2</v>
      </c>
      <c r="O620" s="13">
        <v>43</v>
      </c>
    </row>
    <row r="621" spans="1:15" x14ac:dyDescent="0.3">
      <c r="A621" t="s">
        <v>634</v>
      </c>
      <c r="B621" s="4">
        <v>45177</v>
      </c>
      <c r="C621" s="4">
        <v>45183</v>
      </c>
      <c r="D621" s="7" t="s">
        <v>646</v>
      </c>
      <c r="E621" s="7" t="s">
        <v>650</v>
      </c>
      <c r="F621" s="7" t="s">
        <v>678</v>
      </c>
      <c r="G621" s="7" t="s">
        <v>702</v>
      </c>
      <c r="H621" s="7" t="s">
        <v>711</v>
      </c>
      <c r="I621" s="7" t="s">
        <v>714</v>
      </c>
      <c r="J621" s="7" t="s">
        <v>733</v>
      </c>
      <c r="K621" s="7" t="s">
        <v>1351</v>
      </c>
      <c r="L621" s="9">
        <v>251.03</v>
      </c>
      <c r="M621" s="9">
        <v>411.48</v>
      </c>
      <c r="N621" s="11">
        <v>0.16500000000000001</v>
      </c>
      <c r="O621" s="13">
        <v>3</v>
      </c>
    </row>
    <row r="622" spans="1:15" x14ac:dyDescent="0.3">
      <c r="A622" t="s">
        <v>635</v>
      </c>
      <c r="B622" s="4">
        <v>45764</v>
      </c>
      <c r="C622" s="4">
        <v>45780</v>
      </c>
      <c r="D622" s="7" t="s">
        <v>648</v>
      </c>
      <c r="E622" s="7" t="s">
        <v>655</v>
      </c>
      <c r="F622" s="7" t="s">
        <v>692</v>
      </c>
      <c r="G622" s="7" t="s">
        <v>704</v>
      </c>
      <c r="H622" s="7" t="s">
        <v>709</v>
      </c>
      <c r="I622" s="7" t="s">
        <v>713</v>
      </c>
      <c r="J622" s="7" t="s">
        <v>729</v>
      </c>
      <c r="K622" s="7" t="s">
        <v>1352</v>
      </c>
      <c r="L622" s="9">
        <v>168.68</v>
      </c>
      <c r="M622" s="9">
        <v>413.34</v>
      </c>
      <c r="N622" s="11">
        <v>0.186</v>
      </c>
      <c r="O622" s="13">
        <v>7</v>
      </c>
    </row>
    <row r="623" spans="1:15" x14ac:dyDescent="0.3">
      <c r="A623" t="s">
        <v>636</v>
      </c>
      <c r="B623" s="4">
        <v>45501</v>
      </c>
      <c r="C623" s="4">
        <v>45527</v>
      </c>
      <c r="D623" s="7" t="s">
        <v>647</v>
      </c>
      <c r="E623" s="7" t="s">
        <v>654</v>
      </c>
      <c r="F623" s="7" t="s">
        <v>696</v>
      </c>
      <c r="G623" s="7" t="s">
        <v>701</v>
      </c>
      <c r="H623" s="7" t="s">
        <v>707</v>
      </c>
      <c r="I623" s="7" t="s">
        <v>713</v>
      </c>
      <c r="J623" s="7" t="s">
        <v>729</v>
      </c>
      <c r="K623" s="7" t="s">
        <v>1353</v>
      </c>
      <c r="L623" s="9">
        <v>1339.24</v>
      </c>
      <c r="M623" s="9">
        <v>1558.89</v>
      </c>
      <c r="N623" s="11">
        <v>0.192</v>
      </c>
      <c r="O623" s="13">
        <v>24</v>
      </c>
    </row>
    <row r="624" spans="1:15" x14ac:dyDescent="0.3">
      <c r="A624" t="s">
        <v>637</v>
      </c>
      <c r="B624" s="4">
        <v>45857</v>
      </c>
      <c r="C624" s="4">
        <v>45869</v>
      </c>
      <c r="D624" s="7" t="s">
        <v>646</v>
      </c>
      <c r="E624" s="7" t="s">
        <v>650</v>
      </c>
      <c r="F624" s="7" t="s">
        <v>664</v>
      </c>
      <c r="G624" s="7" t="s">
        <v>705</v>
      </c>
      <c r="H624" s="7" t="s">
        <v>709</v>
      </c>
      <c r="I624" s="7" t="s">
        <v>719</v>
      </c>
      <c r="J624" s="7" t="s">
        <v>733</v>
      </c>
      <c r="K624" s="7" t="s">
        <v>1354</v>
      </c>
      <c r="L624" s="9">
        <v>619.64</v>
      </c>
      <c r="M624" s="9">
        <v>861.16</v>
      </c>
      <c r="N624" s="11">
        <v>0.113</v>
      </c>
      <c r="O624" s="13">
        <v>14</v>
      </c>
    </row>
    <row r="625" spans="1:15" x14ac:dyDescent="0.3">
      <c r="A625" t="s">
        <v>638</v>
      </c>
      <c r="B625" s="4">
        <v>45141</v>
      </c>
      <c r="C625" s="4">
        <v>45140</v>
      </c>
      <c r="D625" s="7" t="s">
        <v>647</v>
      </c>
      <c r="E625" s="7" t="s">
        <v>659</v>
      </c>
      <c r="F625" s="7" t="s">
        <v>685</v>
      </c>
      <c r="G625" s="7" t="s">
        <v>703</v>
      </c>
      <c r="H625" s="7" t="s">
        <v>711</v>
      </c>
      <c r="I625" s="7" t="s">
        <v>713</v>
      </c>
      <c r="J625" s="7" t="s">
        <v>729</v>
      </c>
      <c r="K625" s="7" t="s">
        <v>1355</v>
      </c>
      <c r="L625" s="9">
        <v>1021.97</v>
      </c>
      <c r="M625" s="9">
        <v>2296.25</v>
      </c>
      <c r="N625" s="11">
        <v>0.161</v>
      </c>
      <c r="O625" s="13">
        <v>26</v>
      </c>
    </row>
    <row r="626" spans="1:15" x14ac:dyDescent="0.3">
      <c r="A626" t="s">
        <v>639</v>
      </c>
      <c r="B626" s="4">
        <v>45249</v>
      </c>
      <c r="C626" s="4">
        <v>45272</v>
      </c>
      <c r="D626" s="7" t="s">
        <v>647</v>
      </c>
      <c r="E626" s="7" t="s">
        <v>654</v>
      </c>
      <c r="F626" s="7" t="s">
        <v>680</v>
      </c>
      <c r="G626" s="7" t="s">
        <v>705</v>
      </c>
      <c r="H626" s="7" t="s">
        <v>711</v>
      </c>
      <c r="I626" s="7" t="s">
        <v>712</v>
      </c>
      <c r="J626" s="7" t="s">
        <v>729</v>
      </c>
      <c r="K626" s="7" t="s">
        <v>1356</v>
      </c>
      <c r="L626" s="9">
        <v>1349.04</v>
      </c>
      <c r="M626" s="9">
        <v>2636.6</v>
      </c>
      <c r="N626" s="11">
        <v>0.114</v>
      </c>
      <c r="O626" s="13">
        <v>14</v>
      </c>
    </row>
    <row r="627" spans="1:15" x14ac:dyDescent="0.3">
      <c r="A627" t="s">
        <v>640</v>
      </c>
      <c r="B627" s="4">
        <v>45282</v>
      </c>
      <c r="C627" s="4">
        <v>45307</v>
      </c>
      <c r="D627" s="7" t="s">
        <v>647</v>
      </c>
      <c r="E627" s="7" t="s">
        <v>654</v>
      </c>
      <c r="F627" s="7" t="s">
        <v>696</v>
      </c>
      <c r="G627" s="7" t="s">
        <v>705</v>
      </c>
      <c r="H627" s="7" t="s">
        <v>707</v>
      </c>
      <c r="I627" s="7" t="s">
        <v>720</v>
      </c>
      <c r="J627" s="7" t="s">
        <v>727</v>
      </c>
      <c r="K627" s="7" t="s">
        <v>1357</v>
      </c>
      <c r="L627" s="9">
        <v>1346.81</v>
      </c>
      <c r="M627" s="9">
        <v>978.09</v>
      </c>
      <c r="N627" s="11">
        <v>0.159</v>
      </c>
      <c r="O627" s="13">
        <v>17</v>
      </c>
    </row>
    <row r="628" spans="1:15" x14ac:dyDescent="0.3">
      <c r="A628" t="s">
        <v>641</v>
      </c>
      <c r="B628" s="4">
        <v>45141</v>
      </c>
      <c r="C628" s="4">
        <v>45168</v>
      </c>
      <c r="D628" s="7" t="s">
        <v>647</v>
      </c>
      <c r="E628" s="7" t="s">
        <v>659</v>
      </c>
      <c r="F628" s="7" t="s">
        <v>685</v>
      </c>
      <c r="G628" s="7" t="s">
        <v>704</v>
      </c>
      <c r="H628" s="7" t="s">
        <v>710</v>
      </c>
      <c r="I628" s="7" t="s">
        <v>725</v>
      </c>
      <c r="J628" s="7" t="s">
        <v>732</v>
      </c>
      <c r="K628" s="7" t="s">
        <v>1358</v>
      </c>
      <c r="L628" s="9">
        <v>226.04</v>
      </c>
      <c r="M628" s="9">
        <v>545.72</v>
      </c>
      <c r="N628" s="11">
        <v>0.151</v>
      </c>
      <c r="O628" s="13">
        <v>11</v>
      </c>
    </row>
    <row r="629" spans="1:15" x14ac:dyDescent="0.3">
      <c r="A629" t="s">
        <v>642</v>
      </c>
      <c r="B629" s="4">
        <v>45100</v>
      </c>
      <c r="C629" s="4">
        <v>45125</v>
      </c>
      <c r="D629" s="7" t="s">
        <v>648</v>
      </c>
      <c r="E629" s="7" t="s">
        <v>653</v>
      </c>
      <c r="F629" s="7" t="s">
        <v>688</v>
      </c>
      <c r="G629" s="7" t="s">
        <v>706</v>
      </c>
      <c r="H629" s="7" t="s">
        <v>708</v>
      </c>
      <c r="I629" s="7" t="s">
        <v>725</v>
      </c>
      <c r="J629" s="7" t="s">
        <v>730</v>
      </c>
      <c r="K629" s="7" t="s">
        <v>1359</v>
      </c>
      <c r="L629" s="9">
        <v>807.02</v>
      </c>
      <c r="M629" s="9">
        <v>1435.54</v>
      </c>
      <c r="N629" s="11">
        <v>0</v>
      </c>
      <c r="O629" s="13">
        <v>23</v>
      </c>
    </row>
    <row r="630" spans="1:15" x14ac:dyDescent="0.3">
      <c r="A630" t="s">
        <v>643</v>
      </c>
      <c r="B630" s="4">
        <v>45267</v>
      </c>
      <c r="C630" s="4">
        <v>45293</v>
      </c>
      <c r="D630" s="7" t="s">
        <v>649</v>
      </c>
      <c r="E630" s="7" t="s">
        <v>656</v>
      </c>
      <c r="F630" s="7" t="s">
        <v>698</v>
      </c>
      <c r="G630" s="7" t="s">
        <v>706</v>
      </c>
      <c r="H630" s="7" t="s">
        <v>710</v>
      </c>
      <c r="I630" s="7" t="s">
        <v>718</v>
      </c>
      <c r="J630" s="7" t="s">
        <v>727</v>
      </c>
      <c r="K630" s="7" t="s">
        <v>1360</v>
      </c>
      <c r="L630" s="9">
        <v>1071.99</v>
      </c>
      <c r="M630" s="9">
        <v>2397.3000000000002</v>
      </c>
      <c r="N630" s="11">
        <v>6.2E-2</v>
      </c>
      <c r="O630" s="13">
        <v>18</v>
      </c>
    </row>
    <row r="631" spans="1:15" x14ac:dyDescent="0.3">
      <c r="A631" t="s">
        <v>644</v>
      </c>
      <c r="B631" s="4">
        <v>45249</v>
      </c>
      <c r="C631" s="4">
        <v>45279</v>
      </c>
      <c r="D631" s="7" t="s">
        <v>647</v>
      </c>
      <c r="E631" s="7" t="s">
        <v>652</v>
      </c>
      <c r="F631" s="7" t="s">
        <v>694</v>
      </c>
      <c r="G631" s="7" t="s">
        <v>704</v>
      </c>
      <c r="H631" s="7" t="s">
        <v>707</v>
      </c>
      <c r="J631" s="7" t="s">
        <v>730</v>
      </c>
      <c r="K631" s="7" t="s">
        <v>1361</v>
      </c>
      <c r="L631" s="9">
        <v>807.11</v>
      </c>
      <c r="M631" s="9">
        <v>1853.86</v>
      </c>
      <c r="N631" s="11">
        <v>0.13900000000000001</v>
      </c>
      <c r="O631" s="13">
        <v>8</v>
      </c>
    </row>
    <row r="632" spans="1:15" x14ac:dyDescent="0.3">
      <c r="A632" t="s">
        <v>645</v>
      </c>
      <c r="B632" s="4">
        <v>45716</v>
      </c>
      <c r="C632" s="4">
        <v>45726</v>
      </c>
      <c r="D632" s="7" t="s">
        <v>647</v>
      </c>
      <c r="E632" s="7" t="s">
        <v>652</v>
      </c>
      <c r="F632" s="7" t="s">
        <v>666</v>
      </c>
      <c r="G632" s="7" t="s">
        <v>702</v>
      </c>
      <c r="H632" s="7" t="s">
        <v>710</v>
      </c>
      <c r="I632" s="7" t="s">
        <v>725</v>
      </c>
      <c r="J632" s="7" t="s">
        <v>731</v>
      </c>
      <c r="K632" s="7" t="s">
        <v>1362</v>
      </c>
      <c r="L632" s="9">
        <v>51.86</v>
      </c>
      <c r="M632" s="9">
        <v>45.98</v>
      </c>
      <c r="N632" s="11">
        <v>0.17299999999999999</v>
      </c>
      <c r="O632" s="1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3"/>
  <sheetViews>
    <sheetView workbookViewId="0"/>
  </sheetViews>
  <sheetFormatPr defaultRowHeight="14.4" x14ac:dyDescent="0.3"/>
  <cols>
    <col min="1" max="1" width="142.88671875" bestFit="1" customWidth="1"/>
  </cols>
  <sheetData>
    <row r="1" spans="1:1" x14ac:dyDescent="0.3">
      <c r="A1" s="2" t="s">
        <v>1420</v>
      </c>
    </row>
    <row r="2" spans="1:1" x14ac:dyDescent="0.3">
      <c r="A2" s="2"/>
    </row>
    <row r="3" spans="1:1" x14ac:dyDescent="0.3">
      <c r="A3" s="1" t="s">
        <v>1363</v>
      </c>
    </row>
    <row r="4" spans="1:1" x14ac:dyDescent="0.3">
      <c r="A4" t="s">
        <v>1364</v>
      </c>
    </row>
    <row r="6" spans="1:1" x14ac:dyDescent="0.3">
      <c r="A6" t="s">
        <v>1365</v>
      </c>
    </row>
    <row r="7" spans="1:1" x14ac:dyDescent="0.3">
      <c r="A7" t="s">
        <v>1366</v>
      </c>
    </row>
    <row r="8" spans="1:1" x14ac:dyDescent="0.3">
      <c r="A8" t="s">
        <v>1367</v>
      </c>
    </row>
    <row r="10" spans="1:1" x14ac:dyDescent="0.3">
      <c r="A10" t="s">
        <v>1368</v>
      </c>
    </row>
    <row r="11" spans="1:1" x14ac:dyDescent="0.3">
      <c r="A11" t="s">
        <v>1369</v>
      </c>
    </row>
    <row r="12" spans="1:1" x14ac:dyDescent="0.3">
      <c r="A12" t="s">
        <v>1370</v>
      </c>
    </row>
    <row r="13" spans="1:1" x14ac:dyDescent="0.3">
      <c r="A13" t="s">
        <v>1371</v>
      </c>
    </row>
    <row r="14" spans="1:1" x14ac:dyDescent="0.3">
      <c r="A14" t="s">
        <v>1372</v>
      </c>
    </row>
    <row r="15" spans="1:1" x14ac:dyDescent="0.3">
      <c r="A15" t="s">
        <v>1373</v>
      </c>
    </row>
    <row r="16" spans="1:1" x14ac:dyDescent="0.3">
      <c r="A16" t="s">
        <v>1374</v>
      </c>
    </row>
    <row r="17" spans="1:1" x14ac:dyDescent="0.3">
      <c r="A17" t="s">
        <v>1375</v>
      </c>
    </row>
    <row r="19" spans="1:1" x14ac:dyDescent="0.3">
      <c r="A19" t="s">
        <v>1376</v>
      </c>
    </row>
    <row r="20" spans="1:1" x14ac:dyDescent="0.3">
      <c r="A20" t="s">
        <v>1377</v>
      </c>
    </row>
    <row r="21" spans="1:1" x14ac:dyDescent="0.3">
      <c r="A21" t="s">
        <v>1378</v>
      </c>
    </row>
    <row r="22" spans="1:1" x14ac:dyDescent="0.3">
      <c r="A22" t="s">
        <v>1379</v>
      </c>
    </row>
    <row r="23" spans="1:1" x14ac:dyDescent="0.3">
      <c r="A23" t="s">
        <v>1380</v>
      </c>
    </row>
    <row r="25" spans="1:1" x14ac:dyDescent="0.3">
      <c r="A25" t="s">
        <v>1381</v>
      </c>
    </row>
    <row r="26" spans="1:1" x14ac:dyDescent="0.3">
      <c r="A26" t="s">
        <v>1382</v>
      </c>
    </row>
    <row r="27" spans="1:1" x14ac:dyDescent="0.3">
      <c r="A27" t="s">
        <v>1383</v>
      </c>
    </row>
    <row r="28" spans="1:1" x14ac:dyDescent="0.3">
      <c r="A28" t="s">
        <v>1384</v>
      </c>
    </row>
    <row r="29" spans="1:1" x14ac:dyDescent="0.3">
      <c r="A29" t="s">
        <v>1385</v>
      </c>
    </row>
    <row r="31" spans="1:1" x14ac:dyDescent="0.3">
      <c r="A31" t="s">
        <v>1386</v>
      </c>
    </row>
    <row r="32" spans="1:1" x14ac:dyDescent="0.3">
      <c r="A32" t="s">
        <v>1387</v>
      </c>
    </row>
    <row r="33" spans="1:1" x14ac:dyDescent="0.3">
      <c r="A33" t="s">
        <v>1388</v>
      </c>
    </row>
    <row r="34" spans="1:1" x14ac:dyDescent="0.3">
      <c r="A34" t="s">
        <v>1389</v>
      </c>
    </row>
    <row r="35" spans="1:1" x14ac:dyDescent="0.3">
      <c r="A35" t="s">
        <v>1390</v>
      </c>
    </row>
    <row r="36" spans="1:1" x14ac:dyDescent="0.3">
      <c r="A36" t="s">
        <v>1391</v>
      </c>
    </row>
    <row r="37" spans="1:1" x14ac:dyDescent="0.3">
      <c r="A37" t="s">
        <v>1392</v>
      </c>
    </row>
    <row r="38" spans="1:1" x14ac:dyDescent="0.3">
      <c r="A38" t="s">
        <v>1393</v>
      </c>
    </row>
    <row r="39" spans="1:1" x14ac:dyDescent="0.3">
      <c r="A39" t="s">
        <v>1394</v>
      </c>
    </row>
    <row r="40" spans="1:1" x14ac:dyDescent="0.3">
      <c r="A40" t="s">
        <v>1395</v>
      </c>
    </row>
    <row r="41" spans="1:1" x14ac:dyDescent="0.3">
      <c r="A41" t="s">
        <v>1396</v>
      </c>
    </row>
    <row r="42" spans="1:1" x14ac:dyDescent="0.3">
      <c r="A42" t="s">
        <v>1397</v>
      </c>
    </row>
    <row r="43" spans="1:1" x14ac:dyDescent="0.3">
      <c r="A43" t="s">
        <v>1398</v>
      </c>
    </row>
    <row r="45" spans="1:1" x14ac:dyDescent="0.3">
      <c r="A45" t="s">
        <v>1399</v>
      </c>
    </row>
    <row r="46" spans="1:1" x14ac:dyDescent="0.3">
      <c r="A46" t="s">
        <v>1400</v>
      </c>
    </row>
    <row r="47" spans="1:1" x14ac:dyDescent="0.3">
      <c r="A47" t="s">
        <v>1401</v>
      </c>
    </row>
    <row r="48" spans="1:1" x14ac:dyDescent="0.3">
      <c r="A48" t="s">
        <v>1402</v>
      </c>
    </row>
    <row r="49" spans="1:1" x14ac:dyDescent="0.3">
      <c r="A49" t="s">
        <v>1403</v>
      </c>
    </row>
    <row r="50" spans="1:1" x14ac:dyDescent="0.3">
      <c r="A50" t="s">
        <v>1404</v>
      </c>
    </row>
    <row r="52" spans="1:1" x14ac:dyDescent="0.3">
      <c r="A52" t="s">
        <v>1405</v>
      </c>
    </row>
    <row r="53" spans="1:1" x14ac:dyDescent="0.3">
      <c r="A53" t="s">
        <v>1406</v>
      </c>
    </row>
    <row r="54" spans="1:1" x14ac:dyDescent="0.3">
      <c r="A54" t="s">
        <v>1407</v>
      </c>
    </row>
    <row r="55" spans="1:1" x14ac:dyDescent="0.3">
      <c r="A55" t="s">
        <v>1408</v>
      </c>
    </row>
    <row r="56" spans="1:1" x14ac:dyDescent="0.3">
      <c r="A56" t="s">
        <v>1409</v>
      </c>
    </row>
    <row r="57" spans="1:1" x14ac:dyDescent="0.3">
      <c r="A57" t="s">
        <v>1410</v>
      </c>
    </row>
    <row r="58" spans="1:1" x14ac:dyDescent="0.3">
      <c r="A58" t="s">
        <v>1411</v>
      </c>
    </row>
    <row r="59" spans="1:1" x14ac:dyDescent="0.3">
      <c r="A59" t="s">
        <v>1412</v>
      </c>
    </row>
    <row r="60" spans="1:1" x14ac:dyDescent="0.3">
      <c r="A60" t="s">
        <v>1413</v>
      </c>
    </row>
    <row r="62" spans="1:1" x14ac:dyDescent="0.3">
      <c r="A62" t="s">
        <v>1414</v>
      </c>
    </row>
    <row r="63" spans="1:1" x14ac:dyDescent="0.3">
      <c r="A63" t="s">
        <v>1415</v>
      </c>
    </row>
    <row r="65" spans="1:1" x14ac:dyDescent="0.3">
      <c r="A65" t="s">
        <v>1416</v>
      </c>
    </row>
    <row r="66" spans="1:1" x14ac:dyDescent="0.3">
      <c r="A66" t="s">
        <v>1417</v>
      </c>
    </row>
    <row r="67" spans="1:1" x14ac:dyDescent="0.3">
      <c r="A67" t="s">
        <v>1418</v>
      </c>
    </row>
    <row r="68" spans="1:1" x14ac:dyDescent="0.3">
      <c r="A68" t="s">
        <v>1419</v>
      </c>
    </row>
    <row r="69" spans="1:1" x14ac:dyDescent="0.3">
      <c r="A69" t="s">
        <v>1423</v>
      </c>
    </row>
    <row r="71" spans="1:1" ht="15.6" x14ac:dyDescent="0.3">
      <c r="A71" s="3" t="s">
        <v>1421</v>
      </c>
    </row>
    <row r="72" spans="1:1" x14ac:dyDescent="0.3">
      <c r="A72" t="s">
        <v>1422</v>
      </c>
    </row>
    <row r="73" spans="1:1" x14ac:dyDescent="0.3">
      <c r="A73" t="s">
        <v>1424</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C2AB-9AF1-4A02-A6D9-564C78802683}">
  <dimension ref="A1"/>
  <sheetViews>
    <sheetView topLeftCell="H6" workbookViewId="0">
      <selection activeCell="W14" sqref="W14"/>
    </sheetView>
  </sheetViews>
  <sheetFormatPr defaultRowHeight="14.4" x14ac:dyDescent="0.3"/>
  <cols>
    <col min="1" max="16384" width="8.88671875" style="14"/>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39DA-EB90-4C3C-A6C5-BA3B47BBDBD0}">
  <dimension ref="A1:U632"/>
  <sheetViews>
    <sheetView topLeftCell="J1" workbookViewId="0">
      <selection activeCell="U1" sqref="A1:XFD1048576"/>
    </sheetView>
  </sheetViews>
  <sheetFormatPr defaultRowHeight="14.4" x14ac:dyDescent="0.3"/>
  <cols>
    <col min="1" max="1" width="16.109375" style="7" bestFit="1" customWidth="1"/>
    <col min="2" max="2" width="10.88671875" style="4" bestFit="1" customWidth="1"/>
    <col min="3" max="3" width="14" style="4" bestFit="1" customWidth="1"/>
    <col min="4" max="4" width="11.21875" style="4" bestFit="1" customWidth="1"/>
    <col min="5" max="5" width="19.77734375" style="4" bestFit="1" customWidth="1"/>
    <col min="6" max="6" width="19.77734375" style="13" customWidth="1"/>
    <col min="7" max="7" width="8.44140625" style="7" bestFit="1" customWidth="1"/>
    <col min="8" max="8" width="14" style="7" bestFit="1" customWidth="1"/>
    <col min="9" max="9" width="12.6640625" style="7" bestFit="1" customWidth="1"/>
    <col min="10" max="10" width="18.21875" style="7" bestFit="1" customWidth="1"/>
    <col min="11" max="11" width="11.6640625" style="7" bestFit="1" customWidth="1"/>
    <col min="12" max="12" width="12.109375" style="7" bestFit="1" customWidth="1"/>
    <col min="13" max="13" width="16.6640625" style="7" bestFit="1" customWidth="1"/>
    <col min="14" max="14" width="9.44140625" style="7" bestFit="1" customWidth="1"/>
    <col min="15" max="15" width="9.109375" style="9" bestFit="1" customWidth="1"/>
    <col min="16" max="16" width="9.5546875" style="9" bestFit="1" customWidth="1"/>
    <col min="17" max="17" width="11.5546875" style="9" bestFit="1" customWidth="1"/>
    <col min="18" max="18" width="5.109375" style="9" bestFit="1" customWidth="1"/>
    <col min="19" max="19" width="12.109375" style="11" bestFit="1" customWidth="1"/>
    <col min="20" max="20" width="8.33203125" style="11" bestFit="1" customWidth="1"/>
    <col min="21" max="21" width="9.21875" style="13" bestFit="1" customWidth="1"/>
  </cols>
  <sheetData>
    <row r="1" spans="1:21" s="3" customFormat="1" ht="15.6" x14ac:dyDescent="0.3">
      <c r="A1" s="19" t="s">
        <v>0</v>
      </c>
      <c r="B1" s="20" t="s">
        <v>1</v>
      </c>
      <c r="C1" s="20" t="s">
        <v>2</v>
      </c>
      <c r="D1" s="20" t="s">
        <v>2061</v>
      </c>
      <c r="E1" s="20" t="s">
        <v>2062</v>
      </c>
      <c r="F1" s="23" t="s">
        <v>2063</v>
      </c>
      <c r="G1" s="19" t="s">
        <v>3</v>
      </c>
      <c r="H1" s="19" t="s">
        <v>4</v>
      </c>
      <c r="I1" s="19" t="s">
        <v>5</v>
      </c>
      <c r="J1" s="19" t="s">
        <v>6</v>
      </c>
      <c r="K1" s="19" t="s">
        <v>7</v>
      </c>
      <c r="L1" s="19" t="s">
        <v>1427</v>
      </c>
      <c r="M1" s="19" t="s">
        <v>9</v>
      </c>
      <c r="N1" s="19" t="s">
        <v>10</v>
      </c>
      <c r="O1" s="21" t="s">
        <v>11</v>
      </c>
      <c r="P1" s="21" t="s">
        <v>12</v>
      </c>
      <c r="Q1" s="21" t="s">
        <v>2059</v>
      </c>
      <c r="R1" s="21" t="s">
        <v>2058</v>
      </c>
      <c r="S1" s="22" t="s">
        <v>13</v>
      </c>
      <c r="T1" s="22" t="s">
        <v>2060</v>
      </c>
      <c r="U1" s="23" t="s">
        <v>14</v>
      </c>
    </row>
    <row r="2" spans="1:21" x14ac:dyDescent="0.3">
      <c r="A2" s="7" t="s">
        <v>15</v>
      </c>
      <c r="B2" s="4">
        <v>45362</v>
      </c>
      <c r="C2" s="4">
        <v>45388</v>
      </c>
      <c r="D2" s="4" t="str">
        <f>IF(C2&lt;B2,"Invalid","Valid")</f>
        <v>Valid</v>
      </c>
      <c r="E2" s="4">
        <f>IF(C2&lt;B2,B2,C2)</f>
        <v>45388</v>
      </c>
      <c r="F2" s="13">
        <f>E2-B2</f>
        <v>26</v>
      </c>
      <c r="G2" s="7" t="s">
        <v>646</v>
      </c>
      <c r="H2" s="7" t="s">
        <v>650</v>
      </c>
      <c r="I2" s="7" t="s">
        <v>662</v>
      </c>
      <c r="J2" s="7" t="s">
        <v>701</v>
      </c>
      <c r="K2" s="7" t="s">
        <v>707</v>
      </c>
      <c r="L2" s="7" t="s">
        <v>712</v>
      </c>
      <c r="M2" s="7" t="s">
        <v>727</v>
      </c>
      <c r="N2" s="7" t="s">
        <v>1428</v>
      </c>
      <c r="O2" s="9">
        <v>279.24</v>
      </c>
      <c r="P2" s="9">
        <v>608.9</v>
      </c>
      <c r="Q2" s="9">
        <f>ABS(P2)</f>
        <v>608.9</v>
      </c>
      <c r="R2" s="9" t="str">
        <f>IF(P2&lt;=0,"FLAG","OK")</f>
        <v>OK</v>
      </c>
      <c r="S2" s="11">
        <v>0.112</v>
      </c>
      <c r="T2" s="11" t="str">
        <f>IF(S2&gt;30%,"FLAG","OK")</f>
        <v>OK</v>
      </c>
      <c r="U2" s="13">
        <v>9</v>
      </c>
    </row>
    <row r="3" spans="1:21" x14ac:dyDescent="0.3">
      <c r="A3" s="7" t="s">
        <v>16</v>
      </c>
      <c r="B3" s="4">
        <v>45588</v>
      </c>
      <c r="C3" s="4">
        <v>45587</v>
      </c>
      <c r="D3" s="4" t="str">
        <f t="shared" ref="D3:D66" si="0">IF(C3&lt;B3,"Invalid","Valid")</f>
        <v>Invalid</v>
      </c>
      <c r="E3" s="4">
        <f t="shared" ref="E3:E66" si="1">IF(C3&lt;B3,B3,C3)</f>
        <v>45588</v>
      </c>
      <c r="F3" s="13">
        <f t="shared" ref="F3:F66" si="2">E3-B3</f>
        <v>0</v>
      </c>
      <c r="G3" s="7" t="s">
        <v>646</v>
      </c>
      <c r="H3" s="7" t="s">
        <v>651</v>
      </c>
      <c r="I3" s="7" t="s">
        <v>663</v>
      </c>
      <c r="J3" s="7" t="s">
        <v>702</v>
      </c>
      <c r="K3" s="7" t="s">
        <v>708</v>
      </c>
      <c r="L3" s="7" t="s">
        <v>713</v>
      </c>
      <c r="M3" s="7" t="s">
        <v>728</v>
      </c>
      <c r="N3" s="7" t="s">
        <v>1429</v>
      </c>
      <c r="O3" s="9">
        <v>1084.3900000000001</v>
      </c>
      <c r="P3" s="9">
        <v>759.33</v>
      </c>
      <c r="Q3" s="9">
        <f t="shared" ref="Q3:Q66" si="3">ABS(P3)</f>
        <v>759.33</v>
      </c>
      <c r="R3" s="9" t="str">
        <f t="shared" ref="R3:R66" si="4">IF(P3&lt;=0,"FLAG","OK")</f>
        <v>OK</v>
      </c>
      <c r="S3" s="11">
        <v>0.23699999999999999</v>
      </c>
      <c r="T3" s="11" t="str">
        <f t="shared" ref="T3:T66" si="5">IF(S3&gt;30%,"FLAG","OK")</f>
        <v>OK</v>
      </c>
      <c r="U3" s="13">
        <v>31</v>
      </c>
    </row>
    <row r="4" spans="1:21" x14ac:dyDescent="0.3">
      <c r="A4" s="7" t="s">
        <v>17</v>
      </c>
      <c r="B4" s="4">
        <v>44985</v>
      </c>
      <c r="C4" s="4">
        <v>45010</v>
      </c>
      <c r="D4" s="4" t="str">
        <f t="shared" si="0"/>
        <v>Valid</v>
      </c>
      <c r="E4" s="4">
        <f t="shared" si="1"/>
        <v>45010</v>
      </c>
      <c r="F4" s="13">
        <f t="shared" si="2"/>
        <v>25</v>
      </c>
      <c r="G4" s="7" t="s">
        <v>646</v>
      </c>
      <c r="H4" s="7" t="s">
        <v>650</v>
      </c>
      <c r="I4" s="7" t="s">
        <v>664</v>
      </c>
      <c r="J4" s="7" t="s">
        <v>701</v>
      </c>
      <c r="K4" s="7" t="s">
        <v>707</v>
      </c>
      <c r="L4" s="7" t="s">
        <v>714</v>
      </c>
      <c r="M4" s="7" t="s">
        <v>729</v>
      </c>
      <c r="N4" s="7" t="s">
        <v>1430</v>
      </c>
      <c r="O4" s="9">
        <v>1460.76</v>
      </c>
      <c r="P4" s="9">
        <v>-30.66</v>
      </c>
      <c r="Q4" s="9">
        <f t="shared" si="3"/>
        <v>30.66</v>
      </c>
      <c r="R4" s="9" t="str">
        <f t="shared" si="4"/>
        <v>FLAG</v>
      </c>
      <c r="S4" s="11">
        <v>0.13100000000000001</v>
      </c>
      <c r="T4" s="11" t="str">
        <f t="shared" si="5"/>
        <v>OK</v>
      </c>
      <c r="U4" s="13">
        <v>12</v>
      </c>
    </row>
    <row r="5" spans="1:21" x14ac:dyDescent="0.3">
      <c r="A5" s="7" t="s">
        <v>18</v>
      </c>
      <c r="B5" s="4">
        <v>45745</v>
      </c>
      <c r="C5" s="4">
        <v>45749</v>
      </c>
      <c r="D5" s="4" t="str">
        <f t="shared" si="0"/>
        <v>Valid</v>
      </c>
      <c r="E5" s="4">
        <f t="shared" si="1"/>
        <v>45749</v>
      </c>
      <c r="F5" s="13">
        <f t="shared" si="2"/>
        <v>4</v>
      </c>
      <c r="G5" s="7" t="s">
        <v>646</v>
      </c>
      <c r="H5" s="7" t="s">
        <v>651</v>
      </c>
      <c r="I5" s="7" t="s">
        <v>665</v>
      </c>
      <c r="J5" s="7" t="s">
        <v>703</v>
      </c>
      <c r="K5" s="7" t="s">
        <v>709</v>
      </c>
      <c r="L5" s="7" t="s">
        <v>715</v>
      </c>
      <c r="M5" s="7" t="s">
        <v>730</v>
      </c>
      <c r="N5" s="7" t="s">
        <v>1431</v>
      </c>
      <c r="O5" s="9">
        <v>259.93</v>
      </c>
      <c r="P5" s="9">
        <v>255.94</v>
      </c>
      <c r="Q5" s="9">
        <f t="shared" si="3"/>
        <v>255.94</v>
      </c>
      <c r="R5" s="9" t="str">
        <f t="shared" si="4"/>
        <v>OK</v>
      </c>
      <c r="S5" s="11">
        <v>7.1999999999999995E-2</v>
      </c>
      <c r="T5" s="11" t="str">
        <f t="shared" si="5"/>
        <v>OK</v>
      </c>
      <c r="U5" s="13">
        <v>22</v>
      </c>
    </row>
    <row r="6" spans="1:21" x14ac:dyDescent="0.3">
      <c r="A6" s="7" t="s">
        <v>19</v>
      </c>
      <c r="B6" s="4">
        <v>45266</v>
      </c>
      <c r="C6" s="4">
        <v>45291</v>
      </c>
      <c r="D6" s="4" t="str">
        <f t="shared" si="0"/>
        <v>Valid</v>
      </c>
      <c r="E6" s="4">
        <f t="shared" si="1"/>
        <v>45291</v>
      </c>
      <c r="F6" s="13">
        <f t="shared" si="2"/>
        <v>25</v>
      </c>
      <c r="G6" s="7" t="s">
        <v>647</v>
      </c>
      <c r="H6" s="7" t="s">
        <v>652</v>
      </c>
      <c r="I6" s="7" t="s">
        <v>666</v>
      </c>
      <c r="J6" s="7" t="s">
        <v>704</v>
      </c>
      <c r="K6" s="7" t="s">
        <v>707</v>
      </c>
      <c r="L6" s="7" t="s">
        <v>716</v>
      </c>
      <c r="M6" s="7" t="s">
        <v>728</v>
      </c>
      <c r="N6" s="7" t="s">
        <v>1432</v>
      </c>
      <c r="O6" s="9">
        <v>663.03</v>
      </c>
      <c r="P6" s="9">
        <v>813.51</v>
      </c>
      <c r="Q6" s="9">
        <f t="shared" si="3"/>
        <v>813.51</v>
      </c>
      <c r="R6" s="9" t="str">
        <f t="shared" si="4"/>
        <v>OK</v>
      </c>
      <c r="S6" s="11">
        <v>0.10199999999999999</v>
      </c>
      <c r="T6" s="11" t="str">
        <f t="shared" si="5"/>
        <v>OK</v>
      </c>
      <c r="U6" s="13">
        <v>15</v>
      </c>
    </row>
    <row r="7" spans="1:21" x14ac:dyDescent="0.3">
      <c r="A7" s="7" t="s">
        <v>20</v>
      </c>
      <c r="B7" s="4">
        <v>44928</v>
      </c>
      <c r="C7" s="4">
        <v>44931</v>
      </c>
      <c r="D7" s="4" t="str">
        <f t="shared" si="0"/>
        <v>Valid</v>
      </c>
      <c r="E7" s="4">
        <f t="shared" si="1"/>
        <v>44931</v>
      </c>
      <c r="F7" s="13">
        <f t="shared" si="2"/>
        <v>3</v>
      </c>
      <c r="G7" s="7" t="s">
        <v>648</v>
      </c>
      <c r="H7" s="7" t="s">
        <v>653</v>
      </c>
      <c r="I7" s="7" t="s">
        <v>667</v>
      </c>
      <c r="J7" s="7" t="s">
        <v>701</v>
      </c>
      <c r="K7" s="7" t="s">
        <v>710</v>
      </c>
      <c r="L7" s="7" t="s">
        <v>717</v>
      </c>
      <c r="M7" s="7" t="s">
        <v>731</v>
      </c>
      <c r="N7" s="7" t="s">
        <v>1433</v>
      </c>
      <c r="O7" s="9">
        <v>315.87</v>
      </c>
      <c r="P7" s="9">
        <v>591.67999999999995</v>
      </c>
      <c r="Q7" s="9">
        <f t="shared" si="3"/>
        <v>591.67999999999995</v>
      </c>
      <c r="R7" s="9" t="str">
        <f t="shared" si="4"/>
        <v>OK</v>
      </c>
      <c r="S7" s="11">
        <v>0</v>
      </c>
      <c r="T7" s="11" t="str">
        <f t="shared" si="5"/>
        <v>OK</v>
      </c>
      <c r="U7" s="13">
        <v>7</v>
      </c>
    </row>
    <row r="8" spans="1:21" x14ac:dyDescent="0.3">
      <c r="A8" s="7" t="s">
        <v>21</v>
      </c>
      <c r="B8" s="4">
        <v>45653</v>
      </c>
      <c r="C8" s="4">
        <v>45671</v>
      </c>
      <c r="D8" s="4" t="str">
        <f t="shared" si="0"/>
        <v>Valid</v>
      </c>
      <c r="E8" s="4">
        <f t="shared" si="1"/>
        <v>45671</v>
      </c>
      <c r="F8" s="13">
        <f t="shared" si="2"/>
        <v>18</v>
      </c>
      <c r="G8" s="7" t="s">
        <v>647</v>
      </c>
      <c r="H8" s="7" t="s">
        <v>654</v>
      </c>
      <c r="I8" s="7" t="s">
        <v>668</v>
      </c>
      <c r="J8" s="7" t="s">
        <v>705</v>
      </c>
      <c r="K8" s="7" t="s">
        <v>709</v>
      </c>
      <c r="L8" s="7" t="s">
        <v>718</v>
      </c>
      <c r="M8" s="7" t="s">
        <v>732</v>
      </c>
      <c r="N8" s="7" t="s">
        <v>1434</v>
      </c>
      <c r="O8" s="9">
        <v>586.07000000000005</v>
      </c>
      <c r="P8" s="9">
        <v>845.97</v>
      </c>
      <c r="Q8" s="9">
        <f t="shared" si="3"/>
        <v>845.97</v>
      </c>
      <c r="R8" s="9" t="str">
        <f t="shared" si="4"/>
        <v>OK</v>
      </c>
      <c r="S8" s="11">
        <v>0.14699999999999999</v>
      </c>
      <c r="T8" s="11" t="str">
        <f t="shared" si="5"/>
        <v>OK</v>
      </c>
      <c r="U8" s="13">
        <v>4</v>
      </c>
    </row>
    <row r="9" spans="1:21" x14ac:dyDescent="0.3">
      <c r="A9" s="7" t="s">
        <v>22</v>
      </c>
      <c r="B9" s="4">
        <v>44941</v>
      </c>
      <c r="C9" s="4">
        <v>44939</v>
      </c>
      <c r="D9" s="4" t="str">
        <f t="shared" si="0"/>
        <v>Invalid</v>
      </c>
      <c r="E9" s="4">
        <f t="shared" si="1"/>
        <v>44941</v>
      </c>
      <c r="F9" s="13">
        <f t="shared" si="2"/>
        <v>0</v>
      </c>
      <c r="G9" s="7" t="s">
        <v>646</v>
      </c>
      <c r="H9" s="7" t="s">
        <v>651</v>
      </c>
      <c r="I9" s="7" t="s">
        <v>669</v>
      </c>
      <c r="J9" s="7" t="s">
        <v>702</v>
      </c>
      <c r="K9" s="7" t="s">
        <v>708</v>
      </c>
      <c r="L9" s="7" t="s">
        <v>719</v>
      </c>
      <c r="M9" s="7" t="s">
        <v>728</v>
      </c>
      <c r="N9" s="7" t="s">
        <v>1435</v>
      </c>
      <c r="O9" s="9">
        <v>28.38</v>
      </c>
      <c r="P9" s="9">
        <v>47.22</v>
      </c>
      <c r="Q9" s="9">
        <f t="shared" si="3"/>
        <v>47.22</v>
      </c>
      <c r="R9" s="9" t="str">
        <f t="shared" si="4"/>
        <v>OK</v>
      </c>
      <c r="S9" s="11">
        <v>0.19400000000000001</v>
      </c>
      <c r="T9" s="11" t="str">
        <f t="shared" si="5"/>
        <v>OK</v>
      </c>
      <c r="U9" s="13">
        <v>18</v>
      </c>
    </row>
    <row r="10" spans="1:21" x14ac:dyDescent="0.3">
      <c r="A10" s="7" t="s">
        <v>23</v>
      </c>
      <c r="B10" s="4">
        <v>45416</v>
      </c>
      <c r="C10" s="4">
        <v>45441</v>
      </c>
      <c r="D10" s="4" t="str">
        <f t="shared" si="0"/>
        <v>Valid</v>
      </c>
      <c r="E10" s="4">
        <f t="shared" si="1"/>
        <v>45441</v>
      </c>
      <c r="F10" s="13">
        <f t="shared" si="2"/>
        <v>25</v>
      </c>
      <c r="G10" s="7" t="s">
        <v>646</v>
      </c>
      <c r="H10" s="7" t="s">
        <v>651</v>
      </c>
      <c r="I10" s="7" t="s">
        <v>669</v>
      </c>
      <c r="J10" s="7" t="s">
        <v>703</v>
      </c>
      <c r="K10" s="7" t="s">
        <v>709</v>
      </c>
      <c r="L10" s="7" t="s">
        <v>719</v>
      </c>
      <c r="M10" s="7" t="s">
        <v>732</v>
      </c>
      <c r="N10" s="7" t="s">
        <v>1436</v>
      </c>
      <c r="O10" s="9">
        <v>1295.3399999999999</v>
      </c>
      <c r="P10" s="9">
        <v>2530.81</v>
      </c>
      <c r="Q10" s="9">
        <f t="shared" si="3"/>
        <v>2530.81</v>
      </c>
      <c r="R10" s="9" t="str">
        <f t="shared" si="4"/>
        <v>OK</v>
      </c>
      <c r="S10" s="11">
        <v>3.1E-2</v>
      </c>
      <c r="T10" s="11" t="str">
        <f t="shared" si="5"/>
        <v>OK</v>
      </c>
      <c r="U10" s="13">
        <v>6</v>
      </c>
    </row>
    <row r="11" spans="1:21" x14ac:dyDescent="0.3">
      <c r="A11" s="7" t="s">
        <v>24</v>
      </c>
      <c r="B11" s="4">
        <v>45798</v>
      </c>
      <c r="C11" s="4">
        <v>45817</v>
      </c>
      <c r="D11" s="4" t="str">
        <f t="shared" si="0"/>
        <v>Valid</v>
      </c>
      <c r="E11" s="4">
        <f t="shared" si="1"/>
        <v>45817</v>
      </c>
      <c r="F11" s="13">
        <f t="shared" si="2"/>
        <v>19</v>
      </c>
      <c r="G11" s="7" t="s">
        <v>648</v>
      </c>
      <c r="H11" s="7" t="s">
        <v>655</v>
      </c>
      <c r="I11" s="7" t="s">
        <v>670</v>
      </c>
      <c r="J11" s="7" t="s">
        <v>703</v>
      </c>
      <c r="K11" s="7" t="s">
        <v>708</v>
      </c>
      <c r="L11" s="7" t="s">
        <v>720</v>
      </c>
      <c r="M11" s="7" t="s">
        <v>727</v>
      </c>
      <c r="N11" s="7" t="s">
        <v>1437</v>
      </c>
      <c r="O11" s="9">
        <v>1331.38</v>
      </c>
      <c r="P11" s="9">
        <v>2309.56</v>
      </c>
      <c r="Q11" s="9">
        <f t="shared" si="3"/>
        <v>2309.56</v>
      </c>
      <c r="R11" s="9" t="str">
        <f t="shared" si="4"/>
        <v>OK</v>
      </c>
      <c r="S11" s="11">
        <v>0.14899999999999999</v>
      </c>
      <c r="T11" s="11" t="str">
        <f t="shared" si="5"/>
        <v>OK</v>
      </c>
      <c r="U11" s="13">
        <v>31</v>
      </c>
    </row>
    <row r="12" spans="1:21" x14ac:dyDescent="0.3">
      <c r="A12" s="7" t="s">
        <v>25</v>
      </c>
      <c r="B12" s="4">
        <v>45319</v>
      </c>
      <c r="C12" s="4">
        <v>45331</v>
      </c>
      <c r="D12" s="4" t="str">
        <f t="shared" si="0"/>
        <v>Valid</v>
      </c>
      <c r="E12" s="4">
        <f t="shared" si="1"/>
        <v>45331</v>
      </c>
      <c r="F12" s="13">
        <f t="shared" si="2"/>
        <v>12</v>
      </c>
      <c r="G12" s="7" t="s">
        <v>649</v>
      </c>
      <c r="H12" s="7" t="s">
        <v>656</v>
      </c>
      <c r="I12" s="7" t="s">
        <v>671</v>
      </c>
      <c r="J12" s="7" t="s">
        <v>701</v>
      </c>
      <c r="K12" s="7" t="s">
        <v>708</v>
      </c>
      <c r="L12" s="7" t="s">
        <v>715</v>
      </c>
      <c r="M12" s="7" t="s">
        <v>733</v>
      </c>
      <c r="N12" s="7" t="s">
        <v>1438</v>
      </c>
      <c r="O12" s="9">
        <v>644.16999999999996</v>
      </c>
      <c r="P12" s="9">
        <v>700.12</v>
      </c>
      <c r="Q12" s="9">
        <f t="shared" si="3"/>
        <v>700.12</v>
      </c>
      <c r="R12" s="9" t="str">
        <f t="shared" si="4"/>
        <v>OK</v>
      </c>
      <c r="S12" s="11">
        <v>6.0000000000000001E-3</v>
      </c>
      <c r="T12" s="11" t="str">
        <f t="shared" si="5"/>
        <v>OK</v>
      </c>
      <c r="U12" s="13">
        <v>23</v>
      </c>
    </row>
    <row r="13" spans="1:21" x14ac:dyDescent="0.3">
      <c r="A13" s="7" t="s">
        <v>26</v>
      </c>
      <c r="B13" s="4">
        <v>45660</v>
      </c>
      <c r="C13" s="4">
        <v>45680</v>
      </c>
      <c r="D13" s="4" t="str">
        <f t="shared" si="0"/>
        <v>Valid</v>
      </c>
      <c r="E13" s="4">
        <f t="shared" si="1"/>
        <v>45680</v>
      </c>
      <c r="F13" s="13">
        <f t="shared" si="2"/>
        <v>20</v>
      </c>
      <c r="G13" s="7" t="s">
        <v>647</v>
      </c>
      <c r="H13" s="7" t="s">
        <v>652</v>
      </c>
      <c r="I13" s="7" t="s">
        <v>666</v>
      </c>
      <c r="J13" s="7" t="s">
        <v>701</v>
      </c>
      <c r="K13" s="7" t="s">
        <v>710</v>
      </c>
      <c r="L13" s="7" t="s">
        <v>721</v>
      </c>
      <c r="M13" s="7" t="s">
        <v>730</v>
      </c>
      <c r="N13" s="7" t="s">
        <v>1439</v>
      </c>
      <c r="O13" s="9">
        <v>908.6</v>
      </c>
      <c r="P13" s="9">
        <v>691.37</v>
      </c>
      <c r="Q13" s="9">
        <f t="shared" si="3"/>
        <v>691.37</v>
      </c>
      <c r="R13" s="9" t="str">
        <f t="shared" si="4"/>
        <v>OK</v>
      </c>
      <c r="S13" s="11">
        <v>0.25</v>
      </c>
      <c r="T13" s="11" t="str">
        <f t="shared" si="5"/>
        <v>OK</v>
      </c>
      <c r="U13" s="13">
        <v>20</v>
      </c>
    </row>
    <row r="14" spans="1:21" x14ac:dyDescent="0.3">
      <c r="A14" s="7" t="s">
        <v>27</v>
      </c>
      <c r="B14" s="4">
        <v>45722</v>
      </c>
      <c r="C14" s="4">
        <v>45747</v>
      </c>
      <c r="D14" s="4" t="str">
        <f t="shared" si="0"/>
        <v>Valid</v>
      </c>
      <c r="E14" s="4">
        <f t="shared" si="1"/>
        <v>45747</v>
      </c>
      <c r="F14" s="13">
        <f t="shared" si="2"/>
        <v>25</v>
      </c>
      <c r="G14" s="7" t="s">
        <v>648</v>
      </c>
      <c r="H14" s="7" t="s">
        <v>655</v>
      </c>
      <c r="I14" s="7" t="s">
        <v>672</v>
      </c>
      <c r="J14" s="7" t="s">
        <v>703</v>
      </c>
      <c r="K14" s="7" t="s">
        <v>708</v>
      </c>
      <c r="L14" s="7" t="s">
        <v>713</v>
      </c>
      <c r="M14" s="7" t="s">
        <v>727</v>
      </c>
      <c r="N14" s="7" t="s">
        <v>1440</v>
      </c>
      <c r="O14" s="9">
        <v>331.57</v>
      </c>
      <c r="P14" s="9">
        <v>548.4</v>
      </c>
      <c r="Q14" s="9">
        <f t="shared" si="3"/>
        <v>548.4</v>
      </c>
      <c r="R14" s="9" t="str">
        <f t="shared" si="4"/>
        <v>OK</v>
      </c>
      <c r="S14" s="11">
        <v>9.4E-2</v>
      </c>
      <c r="T14" s="11" t="str">
        <f t="shared" si="5"/>
        <v>OK</v>
      </c>
      <c r="U14" s="13">
        <v>10</v>
      </c>
    </row>
    <row r="15" spans="1:21" x14ac:dyDescent="0.3">
      <c r="A15" s="7" t="s">
        <v>28</v>
      </c>
      <c r="B15" s="4">
        <v>45311</v>
      </c>
      <c r="C15" s="4">
        <v>45335</v>
      </c>
      <c r="D15" s="4" t="str">
        <f t="shared" si="0"/>
        <v>Valid</v>
      </c>
      <c r="E15" s="4">
        <f t="shared" si="1"/>
        <v>45335</v>
      </c>
      <c r="F15" s="13">
        <f t="shared" si="2"/>
        <v>24</v>
      </c>
      <c r="G15" s="7" t="s">
        <v>649</v>
      </c>
      <c r="H15" s="7" t="s">
        <v>657</v>
      </c>
      <c r="I15" s="7" t="s">
        <v>673</v>
      </c>
      <c r="J15" s="7" t="s">
        <v>701</v>
      </c>
      <c r="K15" s="7" t="s">
        <v>707</v>
      </c>
      <c r="L15" s="7" t="s">
        <v>722</v>
      </c>
      <c r="M15" s="7" t="s">
        <v>728</v>
      </c>
      <c r="N15" s="7" t="s">
        <v>1441</v>
      </c>
      <c r="O15" s="9">
        <v>643.53</v>
      </c>
      <c r="P15" s="9">
        <v>1439.01</v>
      </c>
      <c r="Q15" s="9">
        <f t="shared" si="3"/>
        <v>1439.01</v>
      </c>
      <c r="R15" s="9" t="str">
        <f t="shared" si="4"/>
        <v>OK</v>
      </c>
      <c r="S15" s="11">
        <v>0</v>
      </c>
      <c r="T15" s="11" t="str">
        <f t="shared" si="5"/>
        <v>OK</v>
      </c>
      <c r="U15" s="13">
        <v>15</v>
      </c>
    </row>
    <row r="16" spans="1:21" x14ac:dyDescent="0.3">
      <c r="A16" s="7" t="s">
        <v>29</v>
      </c>
      <c r="B16" s="4">
        <v>45901</v>
      </c>
      <c r="C16" s="4">
        <v>45930</v>
      </c>
      <c r="D16" s="4" t="str">
        <f t="shared" si="0"/>
        <v>Valid</v>
      </c>
      <c r="E16" s="4">
        <f t="shared" si="1"/>
        <v>45930</v>
      </c>
      <c r="F16" s="13">
        <f t="shared" si="2"/>
        <v>29</v>
      </c>
      <c r="G16" s="7" t="s">
        <v>648</v>
      </c>
      <c r="H16" s="7" t="s">
        <v>655</v>
      </c>
      <c r="I16" s="7" t="s">
        <v>672</v>
      </c>
      <c r="J16" s="7" t="s">
        <v>702</v>
      </c>
      <c r="K16" s="7" t="s">
        <v>707</v>
      </c>
      <c r="L16" s="7" t="s">
        <v>723</v>
      </c>
      <c r="M16" s="7" t="s">
        <v>733</v>
      </c>
      <c r="N16" s="7" t="s">
        <v>1442</v>
      </c>
      <c r="O16" s="9">
        <v>780.59</v>
      </c>
      <c r="P16" s="9">
        <v>631.57000000000005</v>
      </c>
      <c r="Q16" s="9">
        <f t="shared" si="3"/>
        <v>631.57000000000005</v>
      </c>
      <c r="R16" s="9" t="str">
        <f t="shared" si="4"/>
        <v>OK</v>
      </c>
      <c r="S16" s="11">
        <v>0</v>
      </c>
      <c r="T16" s="11" t="str">
        <f t="shared" si="5"/>
        <v>OK</v>
      </c>
      <c r="U16" s="13">
        <v>12</v>
      </c>
    </row>
    <row r="17" spans="1:21" x14ac:dyDescent="0.3">
      <c r="A17" s="7" t="s">
        <v>30</v>
      </c>
      <c r="B17" s="4">
        <v>45039</v>
      </c>
      <c r="C17" s="4">
        <v>45038</v>
      </c>
      <c r="D17" s="4" t="str">
        <f t="shared" si="0"/>
        <v>Invalid</v>
      </c>
      <c r="E17" s="4">
        <f t="shared" si="1"/>
        <v>45039</v>
      </c>
      <c r="F17" s="13">
        <f t="shared" si="2"/>
        <v>0</v>
      </c>
      <c r="G17" s="7" t="s">
        <v>646</v>
      </c>
      <c r="H17" s="7" t="s">
        <v>650</v>
      </c>
      <c r="I17" s="7" t="s">
        <v>664</v>
      </c>
      <c r="J17" s="7" t="s">
        <v>705</v>
      </c>
      <c r="K17" s="7" t="s">
        <v>711</v>
      </c>
      <c r="L17" s="7" t="s">
        <v>718</v>
      </c>
      <c r="M17" s="7" t="s">
        <v>731</v>
      </c>
      <c r="N17" s="7" t="s">
        <v>1443</v>
      </c>
      <c r="O17" s="9">
        <v>756.51</v>
      </c>
      <c r="P17" s="9">
        <v>850.8</v>
      </c>
      <c r="Q17" s="9">
        <f t="shared" si="3"/>
        <v>850.8</v>
      </c>
      <c r="R17" s="9" t="str">
        <f t="shared" si="4"/>
        <v>OK</v>
      </c>
      <c r="S17" s="11">
        <v>7.3999999999999996E-2</v>
      </c>
      <c r="T17" s="11" t="str">
        <f t="shared" si="5"/>
        <v>OK</v>
      </c>
      <c r="U17" s="13">
        <v>9</v>
      </c>
    </row>
    <row r="18" spans="1:21" x14ac:dyDescent="0.3">
      <c r="A18" s="7" t="s">
        <v>31</v>
      </c>
      <c r="B18" s="4">
        <v>45636</v>
      </c>
      <c r="C18" s="4">
        <v>45665</v>
      </c>
      <c r="D18" s="4" t="str">
        <f t="shared" si="0"/>
        <v>Valid</v>
      </c>
      <c r="E18" s="4">
        <f t="shared" si="1"/>
        <v>45665</v>
      </c>
      <c r="F18" s="13">
        <f t="shared" si="2"/>
        <v>29</v>
      </c>
      <c r="G18" s="7" t="s">
        <v>649</v>
      </c>
      <c r="H18" s="7" t="s">
        <v>657</v>
      </c>
      <c r="I18" s="7" t="s">
        <v>673</v>
      </c>
      <c r="J18" s="7" t="s">
        <v>705</v>
      </c>
      <c r="K18" s="7" t="s">
        <v>707</v>
      </c>
      <c r="L18" s="7" t="s">
        <v>723</v>
      </c>
      <c r="M18" s="7" t="s">
        <v>728</v>
      </c>
      <c r="N18" s="7" t="s">
        <v>1444</v>
      </c>
      <c r="O18" s="9">
        <v>891.08</v>
      </c>
      <c r="P18" s="9">
        <v>1040.0999999999999</v>
      </c>
      <c r="Q18" s="9">
        <f t="shared" si="3"/>
        <v>1040.0999999999999</v>
      </c>
      <c r="R18" s="9" t="str">
        <f t="shared" si="4"/>
        <v>OK</v>
      </c>
      <c r="S18" s="11">
        <v>0.109</v>
      </c>
      <c r="T18" s="11" t="str">
        <f t="shared" si="5"/>
        <v>OK</v>
      </c>
      <c r="U18" s="13">
        <v>28</v>
      </c>
    </row>
    <row r="19" spans="1:21" x14ac:dyDescent="0.3">
      <c r="A19" s="7" t="s">
        <v>32</v>
      </c>
      <c r="B19" s="4">
        <v>45908</v>
      </c>
      <c r="C19" s="4">
        <v>45916</v>
      </c>
      <c r="D19" s="4" t="str">
        <f t="shared" si="0"/>
        <v>Valid</v>
      </c>
      <c r="E19" s="4">
        <f t="shared" si="1"/>
        <v>45916</v>
      </c>
      <c r="F19" s="13">
        <f t="shared" si="2"/>
        <v>8</v>
      </c>
      <c r="G19" s="7" t="s">
        <v>647</v>
      </c>
      <c r="H19" s="7" t="s">
        <v>652</v>
      </c>
      <c r="I19" s="7" t="s">
        <v>666</v>
      </c>
      <c r="J19" s="7" t="s">
        <v>701</v>
      </c>
      <c r="K19" s="7" t="s">
        <v>710</v>
      </c>
      <c r="L19" s="7" t="s">
        <v>712</v>
      </c>
      <c r="M19" s="7" t="s">
        <v>730</v>
      </c>
      <c r="N19" s="7" t="s">
        <v>1445</v>
      </c>
      <c r="O19" s="9">
        <v>1225.57</v>
      </c>
      <c r="P19" s="9">
        <v>2705.57</v>
      </c>
      <c r="Q19" s="9">
        <f t="shared" si="3"/>
        <v>2705.57</v>
      </c>
      <c r="R19" s="9" t="str">
        <f t="shared" si="4"/>
        <v>OK</v>
      </c>
      <c r="S19" s="11">
        <v>0.183</v>
      </c>
      <c r="T19" s="11" t="str">
        <f t="shared" si="5"/>
        <v>OK</v>
      </c>
      <c r="U19" s="13">
        <v>16</v>
      </c>
    </row>
    <row r="20" spans="1:21" x14ac:dyDescent="0.3">
      <c r="A20" s="7" t="s">
        <v>33</v>
      </c>
      <c r="B20" s="4">
        <v>45858</v>
      </c>
      <c r="C20" s="4">
        <v>45874</v>
      </c>
      <c r="D20" s="4" t="str">
        <f t="shared" si="0"/>
        <v>Valid</v>
      </c>
      <c r="E20" s="4">
        <f t="shared" si="1"/>
        <v>45874</v>
      </c>
      <c r="F20" s="13">
        <f t="shared" si="2"/>
        <v>16</v>
      </c>
      <c r="G20" s="7" t="s">
        <v>648</v>
      </c>
      <c r="H20" s="7" t="s">
        <v>655</v>
      </c>
      <c r="I20" s="7" t="s">
        <v>672</v>
      </c>
      <c r="J20" s="7" t="s">
        <v>706</v>
      </c>
      <c r="K20" s="7" t="s">
        <v>709</v>
      </c>
      <c r="L20" s="7" t="s">
        <v>715</v>
      </c>
      <c r="M20" s="7" t="s">
        <v>733</v>
      </c>
      <c r="N20" s="7" t="s">
        <v>1446</v>
      </c>
      <c r="O20" s="9">
        <v>1068.17</v>
      </c>
      <c r="P20" s="9">
        <v>2375.37</v>
      </c>
      <c r="Q20" s="9">
        <f t="shared" si="3"/>
        <v>2375.37</v>
      </c>
      <c r="R20" s="9" t="str">
        <f t="shared" si="4"/>
        <v>OK</v>
      </c>
      <c r="S20" s="11">
        <v>0.109</v>
      </c>
      <c r="T20" s="11" t="str">
        <f t="shared" si="5"/>
        <v>OK</v>
      </c>
      <c r="U20" s="13">
        <v>18</v>
      </c>
    </row>
    <row r="21" spans="1:21" x14ac:dyDescent="0.3">
      <c r="A21" s="7" t="s">
        <v>34</v>
      </c>
      <c r="B21" s="4">
        <v>45798</v>
      </c>
      <c r="C21" s="4">
        <v>45796</v>
      </c>
      <c r="D21" s="4" t="str">
        <f t="shared" si="0"/>
        <v>Invalid</v>
      </c>
      <c r="E21" s="4">
        <f t="shared" si="1"/>
        <v>45798</v>
      </c>
      <c r="F21" s="13">
        <f t="shared" si="2"/>
        <v>0</v>
      </c>
      <c r="G21" s="7" t="s">
        <v>649</v>
      </c>
      <c r="H21" s="7" t="s">
        <v>658</v>
      </c>
      <c r="I21" s="7" t="s">
        <v>674</v>
      </c>
      <c r="J21" s="7" t="s">
        <v>706</v>
      </c>
      <c r="K21" s="7" t="s">
        <v>708</v>
      </c>
      <c r="L21" s="7" t="s">
        <v>724</v>
      </c>
      <c r="M21" s="7" t="s">
        <v>731</v>
      </c>
      <c r="N21" s="7" t="s">
        <v>1447</v>
      </c>
      <c r="O21" s="9">
        <v>1015.16</v>
      </c>
      <c r="P21" s="9">
        <v>2148.14</v>
      </c>
      <c r="Q21" s="9">
        <f t="shared" si="3"/>
        <v>2148.14</v>
      </c>
      <c r="R21" s="9" t="str">
        <f t="shared" si="4"/>
        <v>OK</v>
      </c>
      <c r="S21" s="11">
        <v>3.7999999999999999E-2</v>
      </c>
      <c r="T21" s="11" t="str">
        <f t="shared" si="5"/>
        <v>OK</v>
      </c>
      <c r="U21" s="13">
        <v>19</v>
      </c>
    </row>
    <row r="22" spans="1:21" x14ac:dyDescent="0.3">
      <c r="A22" s="7" t="s">
        <v>35</v>
      </c>
      <c r="B22" s="4">
        <v>45498</v>
      </c>
      <c r="C22" s="4">
        <v>45497</v>
      </c>
      <c r="D22" s="4" t="str">
        <f t="shared" si="0"/>
        <v>Invalid</v>
      </c>
      <c r="E22" s="4">
        <f t="shared" si="1"/>
        <v>45498</v>
      </c>
      <c r="F22" s="13">
        <f t="shared" si="2"/>
        <v>0</v>
      </c>
      <c r="G22" s="7" t="s">
        <v>646</v>
      </c>
      <c r="H22" s="7" t="s">
        <v>650</v>
      </c>
      <c r="I22" s="7" t="s">
        <v>675</v>
      </c>
      <c r="J22" s="7" t="s">
        <v>703</v>
      </c>
      <c r="K22" s="7" t="s">
        <v>711</v>
      </c>
      <c r="L22" s="7" t="s">
        <v>713</v>
      </c>
      <c r="M22" s="7" t="s">
        <v>731</v>
      </c>
      <c r="N22" s="7" t="s">
        <v>1448</v>
      </c>
      <c r="O22" s="9">
        <v>1494.4</v>
      </c>
      <c r="P22" s="9">
        <v>3661.07</v>
      </c>
      <c r="Q22" s="9">
        <f t="shared" si="3"/>
        <v>3661.07</v>
      </c>
      <c r="R22" s="9" t="str">
        <f t="shared" si="4"/>
        <v>OK</v>
      </c>
      <c r="S22" s="11">
        <v>7.1999999999999995E-2</v>
      </c>
      <c r="T22" s="11" t="str">
        <f t="shared" si="5"/>
        <v>OK</v>
      </c>
      <c r="U22" s="13">
        <v>7</v>
      </c>
    </row>
    <row r="23" spans="1:21" x14ac:dyDescent="0.3">
      <c r="A23" s="7" t="s">
        <v>36</v>
      </c>
      <c r="B23" s="4">
        <v>45057</v>
      </c>
      <c r="C23" s="4">
        <v>45074</v>
      </c>
      <c r="D23" s="4" t="str">
        <f t="shared" si="0"/>
        <v>Valid</v>
      </c>
      <c r="E23" s="4">
        <f t="shared" si="1"/>
        <v>45074</v>
      </c>
      <c r="F23" s="13">
        <f t="shared" si="2"/>
        <v>17</v>
      </c>
      <c r="G23" s="7" t="s">
        <v>647</v>
      </c>
      <c r="H23" s="7" t="s">
        <v>659</v>
      </c>
      <c r="I23" s="7" t="s">
        <v>676</v>
      </c>
      <c r="J23" s="7" t="s">
        <v>706</v>
      </c>
      <c r="K23" s="7" t="s">
        <v>709</v>
      </c>
      <c r="L23" s="7" t="s">
        <v>718</v>
      </c>
      <c r="M23" s="7" t="s">
        <v>729</v>
      </c>
      <c r="N23" s="7" t="s">
        <v>1449</v>
      </c>
      <c r="O23" s="9">
        <v>1331.19</v>
      </c>
      <c r="P23" s="9">
        <v>2903.09</v>
      </c>
      <c r="Q23" s="9">
        <f t="shared" si="3"/>
        <v>2903.09</v>
      </c>
      <c r="R23" s="9" t="str">
        <f t="shared" si="4"/>
        <v>OK</v>
      </c>
      <c r="S23" s="11">
        <v>0.14299999999999999</v>
      </c>
      <c r="T23" s="11" t="str">
        <f t="shared" si="5"/>
        <v>OK</v>
      </c>
      <c r="U23" s="13">
        <v>8</v>
      </c>
    </row>
    <row r="24" spans="1:21" x14ac:dyDescent="0.3">
      <c r="A24" s="7" t="s">
        <v>37</v>
      </c>
      <c r="B24" s="4">
        <v>45822</v>
      </c>
      <c r="C24" s="4">
        <v>45837</v>
      </c>
      <c r="D24" s="4" t="str">
        <f t="shared" si="0"/>
        <v>Valid</v>
      </c>
      <c r="E24" s="4">
        <f t="shared" si="1"/>
        <v>45837</v>
      </c>
      <c r="F24" s="13">
        <f t="shared" si="2"/>
        <v>15</v>
      </c>
      <c r="G24" s="7" t="s">
        <v>646</v>
      </c>
      <c r="H24" s="7" t="s">
        <v>651</v>
      </c>
      <c r="I24" s="7" t="s">
        <v>663</v>
      </c>
      <c r="J24" s="7" t="s">
        <v>704</v>
      </c>
      <c r="K24" s="7" t="s">
        <v>709</v>
      </c>
      <c r="L24" s="7" t="s">
        <v>724</v>
      </c>
      <c r="M24" s="7" t="s">
        <v>733</v>
      </c>
      <c r="N24" s="7" t="s">
        <v>1450</v>
      </c>
      <c r="O24" s="9">
        <v>730.99</v>
      </c>
      <c r="P24" s="9">
        <v>1242.8399999999999</v>
      </c>
      <c r="Q24" s="9">
        <f t="shared" si="3"/>
        <v>1242.8399999999999</v>
      </c>
      <c r="R24" s="9" t="str">
        <f t="shared" si="4"/>
        <v>OK</v>
      </c>
      <c r="S24" s="11">
        <v>0.12</v>
      </c>
      <c r="T24" s="11" t="str">
        <f t="shared" si="5"/>
        <v>OK</v>
      </c>
      <c r="U24" s="13">
        <v>10</v>
      </c>
    </row>
    <row r="25" spans="1:21" x14ac:dyDescent="0.3">
      <c r="A25" s="7" t="s">
        <v>38</v>
      </c>
      <c r="B25" s="4">
        <v>45430</v>
      </c>
      <c r="C25" s="4">
        <v>45435</v>
      </c>
      <c r="D25" s="4" t="str">
        <f t="shared" si="0"/>
        <v>Valid</v>
      </c>
      <c r="E25" s="4">
        <f t="shared" si="1"/>
        <v>45435</v>
      </c>
      <c r="F25" s="13">
        <f t="shared" si="2"/>
        <v>5</v>
      </c>
      <c r="G25" s="7" t="s">
        <v>648</v>
      </c>
      <c r="H25" s="7" t="s">
        <v>1425</v>
      </c>
      <c r="I25" s="7" t="s">
        <v>677</v>
      </c>
      <c r="J25" s="7" t="s">
        <v>706</v>
      </c>
      <c r="K25" s="7" t="s">
        <v>707</v>
      </c>
      <c r="L25" s="7" t="s">
        <v>722</v>
      </c>
      <c r="M25" s="7" t="s">
        <v>731</v>
      </c>
      <c r="N25" s="7" t="s">
        <v>1451</v>
      </c>
      <c r="O25" s="9">
        <v>1274.5899999999999</v>
      </c>
      <c r="P25" s="9">
        <v>2553.69</v>
      </c>
      <c r="Q25" s="9">
        <f t="shared" si="3"/>
        <v>2553.69</v>
      </c>
      <c r="R25" s="9" t="str">
        <f t="shared" si="4"/>
        <v>OK</v>
      </c>
      <c r="S25" s="11">
        <v>0.01</v>
      </c>
      <c r="T25" s="11" t="str">
        <f t="shared" si="5"/>
        <v>OK</v>
      </c>
      <c r="U25" s="13">
        <v>8</v>
      </c>
    </row>
    <row r="26" spans="1:21" x14ac:dyDescent="0.3">
      <c r="A26" s="7" t="s">
        <v>39</v>
      </c>
      <c r="B26" s="4">
        <v>44964</v>
      </c>
      <c r="C26" s="4">
        <v>44969</v>
      </c>
      <c r="D26" s="4" t="str">
        <f t="shared" si="0"/>
        <v>Valid</v>
      </c>
      <c r="E26" s="4">
        <f t="shared" si="1"/>
        <v>44969</v>
      </c>
      <c r="F26" s="13">
        <f t="shared" si="2"/>
        <v>5</v>
      </c>
      <c r="G26" s="7" t="s">
        <v>648</v>
      </c>
      <c r="H26" s="7" t="s">
        <v>655</v>
      </c>
      <c r="I26" s="7" t="s">
        <v>670</v>
      </c>
      <c r="J26" s="7" t="s">
        <v>702</v>
      </c>
      <c r="K26" s="7" t="s">
        <v>708</v>
      </c>
      <c r="L26" s="7" t="s">
        <v>725</v>
      </c>
      <c r="M26" s="7" t="s">
        <v>727</v>
      </c>
      <c r="N26" s="7" t="s">
        <v>1452</v>
      </c>
      <c r="O26" s="9">
        <v>948.55</v>
      </c>
      <c r="P26" s="9">
        <v>2089.16</v>
      </c>
      <c r="Q26" s="9">
        <f t="shared" si="3"/>
        <v>2089.16</v>
      </c>
      <c r="R26" s="9" t="str">
        <f t="shared" si="4"/>
        <v>OK</v>
      </c>
      <c r="S26" s="11">
        <v>7.0000000000000001E-3</v>
      </c>
      <c r="T26" s="11" t="str">
        <f t="shared" si="5"/>
        <v>OK</v>
      </c>
      <c r="U26" s="13">
        <v>12</v>
      </c>
    </row>
    <row r="27" spans="1:21" x14ac:dyDescent="0.3">
      <c r="A27" s="7" t="s">
        <v>40</v>
      </c>
      <c r="B27" s="4">
        <v>45473</v>
      </c>
      <c r="C27" s="4">
        <v>45487</v>
      </c>
      <c r="D27" s="4" t="str">
        <f t="shared" si="0"/>
        <v>Valid</v>
      </c>
      <c r="E27" s="4">
        <f t="shared" si="1"/>
        <v>45487</v>
      </c>
      <c r="F27" s="13">
        <f t="shared" si="2"/>
        <v>14</v>
      </c>
      <c r="G27" s="7" t="s">
        <v>648</v>
      </c>
      <c r="H27" s="7" t="s">
        <v>655</v>
      </c>
      <c r="I27" s="7" t="s">
        <v>672</v>
      </c>
      <c r="J27" s="7" t="s">
        <v>702</v>
      </c>
      <c r="K27" s="7" t="s">
        <v>707</v>
      </c>
      <c r="L27" s="7" t="s">
        <v>712</v>
      </c>
      <c r="M27" s="7" t="s">
        <v>733</v>
      </c>
      <c r="N27" s="7" t="s">
        <v>1453</v>
      </c>
      <c r="O27" s="9">
        <v>1491.85</v>
      </c>
      <c r="P27" s="9">
        <v>2583.02</v>
      </c>
      <c r="Q27" s="9">
        <f t="shared" si="3"/>
        <v>2583.02</v>
      </c>
      <c r="R27" s="9" t="str">
        <f t="shared" si="4"/>
        <v>OK</v>
      </c>
      <c r="S27" s="11">
        <v>0.16800000000000001</v>
      </c>
      <c r="T27" s="11" t="str">
        <f t="shared" si="5"/>
        <v>OK</v>
      </c>
      <c r="U27" s="13">
        <v>4</v>
      </c>
    </row>
    <row r="28" spans="1:21" x14ac:dyDescent="0.3">
      <c r="A28" s="7" t="s">
        <v>41</v>
      </c>
      <c r="B28" s="4">
        <v>45626</v>
      </c>
      <c r="C28" s="4">
        <v>45656</v>
      </c>
      <c r="D28" s="4" t="str">
        <f t="shared" si="0"/>
        <v>Valid</v>
      </c>
      <c r="E28" s="4">
        <f t="shared" si="1"/>
        <v>45656</v>
      </c>
      <c r="F28" s="13">
        <f t="shared" si="2"/>
        <v>30</v>
      </c>
      <c r="G28" s="7" t="s">
        <v>649</v>
      </c>
      <c r="H28" s="7" t="s">
        <v>657</v>
      </c>
      <c r="I28" s="7" t="s">
        <v>673</v>
      </c>
      <c r="J28" s="7" t="s">
        <v>704</v>
      </c>
      <c r="K28" s="7" t="s">
        <v>709</v>
      </c>
      <c r="L28" s="7" t="s">
        <v>721</v>
      </c>
      <c r="M28" s="7" t="s">
        <v>728</v>
      </c>
      <c r="N28" s="7" t="s">
        <v>1454</v>
      </c>
      <c r="O28" s="9">
        <v>117.64</v>
      </c>
      <c r="P28" s="9">
        <v>175.67</v>
      </c>
      <c r="Q28" s="9">
        <f t="shared" si="3"/>
        <v>175.67</v>
      </c>
      <c r="R28" s="9" t="str">
        <f t="shared" si="4"/>
        <v>OK</v>
      </c>
      <c r="S28" s="11">
        <v>0</v>
      </c>
      <c r="T28" s="11" t="str">
        <f t="shared" si="5"/>
        <v>OK</v>
      </c>
      <c r="U28" s="13">
        <v>10</v>
      </c>
    </row>
    <row r="29" spans="1:21" x14ac:dyDescent="0.3">
      <c r="A29" s="7" t="s">
        <v>42</v>
      </c>
      <c r="B29" s="4">
        <v>45492</v>
      </c>
      <c r="C29" s="4">
        <v>45492</v>
      </c>
      <c r="D29" s="4" t="str">
        <f t="shared" si="0"/>
        <v>Valid</v>
      </c>
      <c r="E29" s="4">
        <f t="shared" si="1"/>
        <v>45492</v>
      </c>
      <c r="F29" s="13">
        <f t="shared" si="2"/>
        <v>0</v>
      </c>
      <c r="G29" s="7" t="s">
        <v>646</v>
      </c>
      <c r="H29" s="7" t="s">
        <v>650</v>
      </c>
      <c r="I29" s="7" t="s">
        <v>662</v>
      </c>
      <c r="J29" s="7" t="s">
        <v>705</v>
      </c>
      <c r="K29" s="7" t="s">
        <v>707</v>
      </c>
      <c r="L29" s="7" t="s">
        <v>720</v>
      </c>
      <c r="M29" s="7" t="s">
        <v>730</v>
      </c>
      <c r="N29" s="7" t="s">
        <v>1455</v>
      </c>
      <c r="O29" s="9">
        <v>857.24</v>
      </c>
      <c r="P29" s="9">
        <v>758.23</v>
      </c>
      <c r="Q29" s="9">
        <f t="shared" si="3"/>
        <v>758.23</v>
      </c>
      <c r="R29" s="9" t="str">
        <f t="shared" si="4"/>
        <v>OK</v>
      </c>
      <c r="S29" s="11">
        <v>0.125</v>
      </c>
      <c r="T29" s="11" t="str">
        <f t="shared" si="5"/>
        <v>OK</v>
      </c>
      <c r="U29" s="13">
        <v>6</v>
      </c>
    </row>
    <row r="30" spans="1:21" x14ac:dyDescent="0.3">
      <c r="A30" s="7" t="s">
        <v>43</v>
      </c>
      <c r="B30" s="4">
        <v>45030</v>
      </c>
      <c r="C30" s="4">
        <v>45060</v>
      </c>
      <c r="D30" s="4" t="str">
        <f t="shared" si="0"/>
        <v>Valid</v>
      </c>
      <c r="E30" s="4">
        <f t="shared" si="1"/>
        <v>45060</v>
      </c>
      <c r="F30" s="13">
        <f t="shared" si="2"/>
        <v>30</v>
      </c>
      <c r="G30" s="7" t="s">
        <v>646</v>
      </c>
      <c r="H30" s="7" t="s">
        <v>650</v>
      </c>
      <c r="I30" s="7" t="s">
        <v>678</v>
      </c>
      <c r="J30" s="7" t="s">
        <v>704</v>
      </c>
      <c r="K30" s="7" t="s">
        <v>709</v>
      </c>
      <c r="L30" s="7" t="s">
        <v>724</v>
      </c>
      <c r="M30" s="7" t="s">
        <v>730</v>
      </c>
      <c r="N30" s="7" t="s">
        <v>1456</v>
      </c>
      <c r="O30" s="9">
        <v>209.25</v>
      </c>
      <c r="P30" s="9">
        <v>434.8</v>
      </c>
      <c r="Q30" s="9">
        <f t="shared" si="3"/>
        <v>434.8</v>
      </c>
      <c r="R30" s="9" t="str">
        <f t="shared" si="4"/>
        <v>OK</v>
      </c>
      <c r="S30" s="11">
        <v>0</v>
      </c>
      <c r="T30" s="11" t="str">
        <f t="shared" si="5"/>
        <v>OK</v>
      </c>
      <c r="U30" s="13">
        <v>9</v>
      </c>
    </row>
    <row r="31" spans="1:21" x14ac:dyDescent="0.3">
      <c r="A31" s="7" t="s">
        <v>44</v>
      </c>
      <c r="B31" s="4">
        <v>45754</v>
      </c>
      <c r="C31" s="4">
        <v>45758</v>
      </c>
      <c r="D31" s="4" t="str">
        <f t="shared" si="0"/>
        <v>Valid</v>
      </c>
      <c r="E31" s="4">
        <f t="shared" si="1"/>
        <v>45758</v>
      </c>
      <c r="F31" s="13">
        <f t="shared" si="2"/>
        <v>4</v>
      </c>
      <c r="G31" s="7" t="s">
        <v>649</v>
      </c>
      <c r="H31" s="7" t="s">
        <v>657</v>
      </c>
      <c r="I31" s="7" t="s">
        <v>679</v>
      </c>
      <c r="J31" s="7" t="s">
        <v>702</v>
      </c>
      <c r="K31" s="7" t="s">
        <v>707</v>
      </c>
      <c r="L31" s="7" t="s">
        <v>718</v>
      </c>
      <c r="M31" s="7" t="s">
        <v>729</v>
      </c>
      <c r="N31" s="7" t="s">
        <v>1457</v>
      </c>
      <c r="O31" s="9">
        <v>754.77</v>
      </c>
      <c r="P31" s="9">
        <v>1666.18</v>
      </c>
      <c r="Q31" s="9">
        <f t="shared" si="3"/>
        <v>1666.18</v>
      </c>
      <c r="R31" s="9" t="str">
        <f t="shared" si="4"/>
        <v>OK</v>
      </c>
      <c r="S31" s="11">
        <v>0.13900000000000001</v>
      </c>
      <c r="T31" s="11" t="str">
        <f t="shared" si="5"/>
        <v>OK</v>
      </c>
      <c r="U31" s="13">
        <v>14</v>
      </c>
    </row>
    <row r="32" spans="1:21" x14ac:dyDescent="0.3">
      <c r="A32" s="7" t="s">
        <v>45</v>
      </c>
      <c r="B32" s="4">
        <v>45653</v>
      </c>
      <c r="C32" s="4">
        <v>45672</v>
      </c>
      <c r="D32" s="4" t="str">
        <f t="shared" si="0"/>
        <v>Valid</v>
      </c>
      <c r="E32" s="4">
        <f t="shared" si="1"/>
        <v>45672</v>
      </c>
      <c r="F32" s="13">
        <f t="shared" si="2"/>
        <v>19</v>
      </c>
      <c r="G32" s="7" t="s">
        <v>647</v>
      </c>
      <c r="H32" s="7" t="s">
        <v>654</v>
      </c>
      <c r="I32" s="7" t="s">
        <v>680</v>
      </c>
      <c r="J32" s="7" t="s">
        <v>703</v>
      </c>
      <c r="K32" s="7" t="s">
        <v>710</v>
      </c>
      <c r="L32" s="7" t="s">
        <v>715</v>
      </c>
      <c r="M32" s="7" t="s">
        <v>727</v>
      </c>
      <c r="N32" s="7" t="s">
        <v>1458</v>
      </c>
      <c r="O32" s="9">
        <v>495.59</v>
      </c>
      <c r="P32" s="9">
        <v>631.78</v>
      </c>
      <c r="Q32" s="9">
        <f t="shared" si="3"/>
        <v>631.78</v>
      </c>
      <c r="R32" s="9" t="str">
        <f t="shared" si="4"/>
        <v>OK</v>
      </c>
      <c r="S32" s="11">
        <v>8.6999999999999994E-2</v>
      </c>
      <c r="T32" s="11" t="str">
        <f t="shared" si="5"/>
        <v>OK</v>
      </c>
      <c r="U32" s="13">
        <v>17</v>
      </c>
    </row>
    <row r="33" spans="1:21" x14ac:dyDescent="0.3">
      <c r="A33" s="7" t="s">
        <v>46</v>
      </c>
      <c r="B33" s="4">
        <v>44980</v>
      </c>
      <c r="C33" s="4">
        <v>45010</v>
      </c>
      <c r="D33" s="4" t="str">
        <f t="shared" si="0"/>
        <v>Valid</v>
      </c>
      <c r="E33" s="4">
        <f t="shared" si="1"/>
        <v>45010</v>
      </c>
      <c r="F33" s="13">
        <f t="shared" si="2"/>
        <v>30</v>
      </c>
      <c r="G33" s="7" t="s">
        <v>648</v>
      </c>
      <c r="H33" s="7" t="s">
        <v>653</v>
      </c>
      <c r="I33" s="7" t="s">
        <v>681</v>
      </c>
      <c r="J33" s="7" t="s">
        <v>706</v>
      </c>
      <c r="K33" s="7" t="s">
        <v>708</v>
      </c>
      <c r="L33" s="7" t="s">
        <v>726</v>
      </c>
      <c r="M33" s="7" t="s">
        <v>730</v>
      </c>
      <c r="N33" s="7" t="s">
        <v>1459</v>
      </c>
      <c r="O33" s="9">
        <v>1242.6600000000001</v>
      </c>
      <c r="P33" s="9">
        <v>1794.07</v>
      </c>
      <c r="Q33" s="9">
        <f t="shared" si="3"/>
        <v>1794.07</v>
      </c>
      <c r="R33" s="9" t="str">
        <f t="shared" si="4"/>
        <v>OK</v>
      </c>
      <c r="S33" s="11">
        <v>8.8999999999999996E-2</v>
      </c>
      <c r="T33" s="11" t="str">
        <f t="shared" si="5"/>
        <v>OK</v>
      </c>
      <c r="U33" s="13">
        <v>16</v>
      </c>
    </row>
    <row r="34" spans="1:21" x14ac:dyDescent="0.3">
      <c r="A34" s="7" t="s">
        <v>47</v>
      </c>
      <c r="B34" s="4">
        <v>45862</v>
      </c>
      <c r="C34" s="4">
        <v>45875</v>
      </c>
      <c r="D34" s="4" t="str">
        <f t="shared" si="0"/>
        <v>Valid</v>
      </c>
      <c r="E34" s="4">
        <f t="shared" si="1"/>
        <v>45875</v>
      </c>
      <c r="F34" s="13">
        <f t="shared" si="2"/>
        <v>13</v>
      </c>
      <c r="G34" s="7" t="s">
        <v>646</v>
      </c>
      <c r="H34" s="7" t="s">
        <v>661</v>
      </c>
      <c r="I34" s="7" t="s">
        <v>682</v>
      </c>
      <c r="J34" s="7" t="s">
        <v>702</v>
      </c>
      <c r="K34" s="7" t="s">
        <v>709</v>
      </c>
      <c r="L34" s="7" t="s">
        <v>726</v>
      </c>
      <c r="M34" s="7" t="s">
        <v>729</v>
      </c>
      <c r="N34" s="7" t="s">
        <v>1460</v>
      </c>
      <c r="O34" s="9">
        <v>1463.9</v>
      </c>
      <c r="P34" s="9">
        <v>2633.02</v>
      </c>
      <c r="Q34" s="9">
        <f t="shared" si="3"/>
        <v>2633.02</v>
      </c>
      <c r="R34" s="9" t="str">
        <f t="shared" si="4"/>
        <v>OK</v>
      </c>
      <c r="S34" s="11">
        <v>8.4000000000000005E-2</v>
      </c>
      <c r="T34" s="11" t="str">
        <f t="shared" si="5"/>
        <v>OK</v>
      </c>
      <c r="U34" s="13">
        <v>4</v>
      </c>
    </row>
    <row r="35" spans="1:21" x14ac:dyDescent="0.3">
      <c r="A35" s="7" t="s">
        <v>48</v>
      </c>
      <c r="B35" s="4">
        <v>45400</v>
      </c>
      <c r="C35" s="4">
        <v>45420</v>
      </c>
      <c r="D35" s="4" t="str">
        <f t="shared" si="0"/>
        <v>Valid</v>
      </c>
      <c r="E35" s="4">
        <f t="shared" si="1"/>
        <v>45420</v>
      </c>
      <c r="F35" s="13">
        <f t="shared" si="2"/>
        <v>20</v>
      </c>
      <c r="G35" s="7" t="s">
        <v>649</v>
      </c>
      <c r="H35" s="7" t="s">
        <v>658</v>
      </c>
      <c r="I35" s="7" t="s">
        <v>683</v>
      </c>
      <c r="J35" s="7" t="s">
        <v>703</v>
      </c>
      <c r="K35" s="7" t="s">
        <v>2057</v>
      </c>
      <c r="L35" s="7" t="s">
        <v>726</v>
      </c>
      <c r="M35" s="7" t="s">
        <v>731</v>
      </c>
      <c r="N35" s="7" t="s">
        <v>1461</v>
      </c>
      <c r="O35" s="9">
        <v>645.33000000000004</v>
      </c>
      <c r="P35" s="9">
        <v>1321.85</v>
      </c>
      <c r="Q35" s="9">
        <f t="shared" si="3"/>
        <v>1321.85</v>
      </c>
      <c r="R35" s="9" t="str">
        <f t="shared" si="4"/>
        <v>OK</v>
      </c>
      <c r="S35" s="11">
        <v>0</v>
      </c>
      <c r="T35" s="11" t="str">
        <f t="shared" si="5"/>
        <v>OK</v>
      </c>
      <c r="U35" s="13">
        <v>10</v>
      </c>
    </row>
    <row r="36" spans="1:21" x14ac:dyDescent="0.3">
      <c r="A36" s="7" t="s">
        <v>49</v>
      </c>
      <c r="B36" s="4">
        <v>45527</v>
      </c>
      <c r="C36" s="4">
        <v>45525</v>
      </c>
      <c r="D36" s="4" t="str">
        <f t="shared" si="0"/>
        <v>Invalid</v>
      </c>
      <c r="E36" s="4">
        <f t="shared" si="1"/>
        <v>45527</v>
      </c>
      <c r="F36" s="13">
        <f t="shared" si="2"/>
        <v>0</v>
      </c>
      <c r="G36" s="7" t="s">
        <v>646</v>
      </c>
      <c r="H36" s="7" t="s">
        <v>661</v>
      </c>
      <c r="I36" s="7" t="s">
        <v>682</v>
      </c>
      <c r="J36" s="7" t="s">
        <v>702</v>
      </c>
      <c r="K36" s="7" t="s">
        <v>707</v>
      </c>
      <c r="L36" s="7" t="s">
        <v>718</v>
      </c>
      <c r="M36" s="7" t="s">
        <v>727</v>
      </c>
      <c r="N36" s="7" t="s">
        <v>1462</v>
      </c>
      <c r="O36" s="9">
        <v>1432.52</v>
      </c>
      <c r="P36" s="9">
        <v>3036.87</v>
      </c>
      <c r="Q36" s="9">
        <f t="shared" si="3"/>
        <v>3036.87</v>
      </c>
      <c r="R36" s="9" t="str">
        <f t="shared" si="4"/>
        <v>OK</v>
      </c>
      <c r="S36" s="11">
        <v>0</v>
      </c>
      <c r="T36" s="11" t="str">
        <f t="shared" si="5"/>
        <v>OK</v>
      </c>
      <c r="U36" s="13">
        <v>9</v>
      </c>
    </row>
    <row r="37" spans="1:21" x14ac:dyDescent="0.3">
      <c r="A37" s="7" t="s">
        <v>50</v>
      </c>
      <c r="B37" s="4">
        <v>45012</v>
      </c>
      <c r="C37" s="4">
        <v>45038</v>
      </c>
      <c r="D37" s="4" t="str">
        <f t="shared" si="0"/>
        <v>Valid</v>
      </c>
      <c r="E37" s="4">
        <f t="shared" si="1"/>
        <v>45038</v>
      </c>
      <c r="F37" s="13">
        <f t="shared" si="2"/>
        <v>26</v>
      </c>
      <c r="G37" s="7" t="s">
        <v>647</v>
      </c>
      <c r="H37" s="7" t="s">
        <v>654</v>
      </c>
      <c r="I37" s="7" t="s">
        <v>680</v>
      </c>
      <c r="J37" s="7" t="s">
        <v>703</v>
      </c>
      <c r="K37" s="7" t="s">
        <v>709</v>
      </c>
      <c r="L37" s="7" t="s">
        <v>713</v>
      </c>
      <c r="M37" s="7" t="s">
        <v>728</v>
      </c>
      <c r="N37" s="7" t="s">
        <v>1463</v>
      </c>
      <c r="O37" s="9">
        <v>178.53</v>
      </c>
      <c r="P37" s="9">
        <v>199.37</v>
      </c>
      <c r="Q37" s="9">
        <f t="shared" si="3"/>
        <v>199.37</v>
      </c>
      <c r="R37" s="9" t="str">
        <f t="shared" si="4"/>
        <v>OK</v>
      </c>
      <c r="S37" s="11">
        <v>0.10100000000000001</v>
      </c>
      <c r="T37" s="11" t="str">
        <f t="shared" si="5"/>
        <v>OK</v>
      </c>
      <c r="U37" s="13">
        <v>37</v>
      </c>
    </row>
    <row r="38" spans="1:21" x14ac:dyDescent="0.3">
      <c r="A38" s="7" t="s">
        <v>51</v>
      </c>
      <c r="B38" s="4">
        <v>45358</v>
      </c>
      <c r="C38" s="4">
        <v>45376</v>
      </c>
      <c r="D38" s="4" t="str">
        <f t="shared" si="0"/>
        <v>Valid</v>
      </c>
      <c r="E38" s="4">
        <f t="shared" si="1"/>
        <v>45376</v>
      </c>
      <c r="F38" s="13">
        <f t="shared" si="2"/>
        <v>18</v>
      </c>
      <c r="G38" s="7" t="s">
        <v>649</v>
      </c>
      <c r="H38" s="7" t="s">
        <v>656</v>
      </c>
      <c r="I38" s="7" t="s">
        <v>684</v>
      </c>
      <c r="J38" s="7" t="s">
        <v>701</v>
      </c>
      <c r="K38" s="7" t="s">
        <v>708</v>
      </c>
      <c r="L38" s="7" t="s">
        <v>717</v>
      </c>
      <c r="M38" s="7" t="s">
        <v>727</v>
      </c>
      <c r="N38" s="7" t="s">
        <v>1464</v>
      </c>
      <c r="O38" s="9">
        <v>712.84</v>
      </c>
      <c r="P38" s="9">
        <v>927.51</v>
      </c>
      <c r="Q38" s="9">
        <f t="shared" si="3"/>
        <v>927.51</v>
      </c>
      <c r="R38" s="9" t="str">
        <f t="shared" si="4"/>
        <v>OK</v>
      </c>
      <c r="S38" s="11">
        <v>0.24299999999999999</v>
      </c>
      <c r="T38" s="11" t="str">
        <f t="shared" si="5"/>
        <v>OK</v>
      </c>
      <c r="U38" s="13">
        <v>27</v>
      </c>
    </row>
    <row r="39" spans="1:21" x14ac:dyDescent="0.3">
      <c r="A39" s="7" t="s">
        <v>52</v>
      </c>
      <c r="B39" s="4">
        <v>45832</v>
      </c>
      <c r="C39" s="4">
        <v>45848</v>
      </c>
      <c r="D39" s="4" t="str">
        <f t="shared" si="0"/>
        <v>Valid</v>
      </c>
      <c r="E39" s="4">
        <f t="shared" si="1"/>
        <v>45848</v>
      </c>
      <c r="F39" s="13">
        <f t="shared" si="2"/>
        <v>16</v>
      </c>
      <c r="G39" s="7" t="s">
        <v>647</v>
      </c>
      <c r="H39" s="7" t="s">
        <v>659</v>
      </c>
      <c r="I39" s="7" t="s">
        <v>685</v>
      </c>
      <c r="J39" s="7" t="s">
        <v>706</v>
      </c>
      <c r="K39" s="7" t="s">
        <v>711</v>
      </c>
      <c r="L39" s="7" t="s">
        <v>725</v>
      </c>
      <c r="M39" s="7" t="s">
        <v>727</v>
      </c>
      <c r="N39" s="7" t="s">
        <v>1465</v>
      </c>
      <c r="O39" s="9">
        <v>757.19</v>
      </c>
      <c r="P39" s="9">
        <v>1735.41</v>
      </c>
      <c r="Q39" s="9">
        <f t="shared" si="3"/>
        <v>1735.41</v>
      </c>
      <c r="R39" s="9" t="str">
        <f t="shared" si="4"/>
        <v>OK</v>
      </c>
      <c r="S39" s="11">
        <v>0.13600000000000001</v>
      </c>
      <c r="T39" s="11" t="str">
        <f t="shared" si="5"/>
        <v>OK</v>
      </c>
      <c r="U39" s="13">
        <v>8</v>
      </c>
    </row>
    <row r="40" spans="1:21" x14ac:dyDescent="0.3">
      <c r="A40" s="7" t="s">
        <v>53</v>
      </c>
      <c r="B40" s="4">
        <v>45401</v>
      </c>
      <c r="C40" s="4">
        <v>45418</v>
      </c>
      <c r="D40" s="4" t="str">
        <f t="shared" si="0"/>
        <v>Valid</v>
      </c>
      <c r="E40" s="4">
        <f t="shared" si="1"/>
        <v>45418</v>
      </c>
      <c r="F40" s="13">
        <f t="shared" si="2"/>
        <v>17</v>
      </c>
      <c r="G40" s="7" t="s">
        <v>646</v>
      </c>
      <c r="H40" s="7" t="s">
        <v>651</v>
      </c>
      <c r="I40" s="7" t="s">
        <v>663</v>
      </c>
      <c r="J40" s="7" t="s">
        <v>703</v>
      </c>
      <c r="K40" s="7" t="s">
        <v>708</v>
      </c>
      <c r="L40" s="7" t="s">
        <v>720</v>
      </c>
      <c r="M40" s="7" t="s">
        <v>728</v>
      </c>
      <c r="N40" s="7" t="s">
        <v>1466</v>
      </c>
      <c r="O40" s="9">
        <v>865.33</v>
      </c>
      <c r="P40" s="9">
        <v>1395.64</v>
      </c>
      <c r="Q40" s="9">
        <f t="shared" si="3"/>
        <v>1395.64</v>
      </c>
      <c r="R40" s="9" t="str">
        <f t="shared" si="4"/>
        <v>OK</v>
      </c>
      <c r="S40" s="11">
        <v>0.17499999999999999</v>
      </c>
      <c r="T40" s="11" t="str">
        <f t="shared" si="5"/>
        <v>OK</v>
      </c>
      <c r="U40" s="13">
        <v>13</v>
      </c>
    </row>
    <row r="41" spans="1:21" x14ac:dyDescent="0.3">
      <c r="A41" s="7" t="s">
        <v>54</v>
      </c>
      <c r="B41" s="4">
        <v>45094</v>
      </c>
      <c r="C41" s="4">
        <v>45101</v>
      </c>
      <c r="D41" s="4" t="str">
        <f t="shared" si="0"/>
        <v>Valid</v>
      </c>
      <c r="E41" s="4">
        <f t="shared" si="1"/>
        <v>45101</v>
      </c>
      <c r="F41" s="13">
        <f t="shared" si="2"/>
        <v>7</v>
      </c>
      <c r="G41" s="7" t="s">
        <v>648</v>
      </c>
      <c r="H41" s="7" t="s">
        <v>1425</v>
      </c>
      <c r="I41" s="7" t="s">
        <v>686</v>
      </c>
      <c r="J41" s="7" t="s">
        <v>701</v>
      </c>
      <c r="K41" s="7" t="s">
        <v>707</v>
      </c>
      <c r="L41" s="7" t="s">
        <v>714</v>
      </c>
      <c r="M41" s="7" t="s">
        <v>728</v>
      </c>
      <c r="N41" s="7" t="s">
        <v>1467</v>
      </c>
      <c r="O41" s="9">
        <v>313.99</v>
      </c>
      <c r="P41" s="9">
        <v>454.42</v>
      </c>
      <c r="Q41" s="9">
        <f t="shared" si="3"/>
        <v>454.42</v>
      </c>
      <c r="R41" s="9" t="str">
        <f t="shared" si="4"/>
        <v>OK</v>
      </c>
      <c r="S41" s="11">
        <v>0.129</v>
      </c>
      <c r="T41" s="11" t="str">
        <f t="shared" si="5"/>
        <v>OK</v>
      </c>
      <c r="U41" s="13">
        <v>9</v>
      </c>
    </row>
    <row r="42" spans="1:21" x14ac:dyDescent="0.3">
      <c r="A42" s="7" t="s">
        <v>55</v>
      </c>
      <c r="B42" s="4">
        <v>45531</v>
      </c>
      <c r="C42" s="4">
        <v>45554</v>
      </c>
      <c r="D42" s="4" t="str">
        <f t="shared" si="0"/>
        <v>Valid</v>
      </c>
      <c r="E42" s="4">
        <f t="shared" si="1"/>
        <v>45554</v>
      </c>
      <c r="F42" s="13">
        <f t="shared" si="2"/>
        <v>23</v>
      </c>
      <c r="G42" s="7" t="s">
        <v>649</v>
      </c>
      <c r="H42" s="7" t="s">
        <v>656</v>
      </c>
      <c r="I42" s="7" t="s">
        <v>671</v>
      </c>
      <c r="J42" s="7" t="s">
        <v>705</v>
      </c>
      <c r="K42" s="7" t="s">
        <v>711</v>
      </c>
      <c r="L42" s="7" t="s">
        <v>726</v>
      </c>
      <c r="M42" s="7" t="s">
        <v>732</v>
      </c>
      <c r="N42" s="7" t="s">
        <v>1468</v>
      </c>
      <c r="O42" s="9">
        <v>1024.01</v>
      </c>
      <c r="P42" s="9">
        <v>1580.97</v>
      </c>
      <c r="Q42" s="9">
        <f t="shared" si="3"/>
        <v>1580.97</v>
      </c>
      <c r="R42" s="9" t="str">
        <f t="shared" si="4"/>
        <v>OK</v>
      </c>
      <c r="S42" s="11">
        <v>3.6999999999999998E-2</v>
      </c>
      <c r="T42" s="11" t="str">
        <f t="shared" si="5"/>
        <v>OK</v>
      </c>
      <c r="U42" s="13">
        <v>27</v>
      </c>
    </row>
    <row r="43" spans="1:21" x14ac:dyDescent="0.3">
      <c r="A43" s="7" t="s">
        <v>56</v>
      </c>
      <c r="B43" s="4">
        <v>45302</v>
      </c>
      <c r="C43" s="4">
        <v>45324</v>
      </c>
      <c r="D43" s="4" t="str">
        <f t="shared" si="0"/>
        <v>Valid</v>
      </c>
      <c r="E43" s="4">
        <f t="shared" si="1"/>
        <v>45324</v>
      </c>
      <c r="F43" s="13">
        <f t="shared" si="2"/>
        <v>22</v>
      </c>
      <c r="G43" s="7" t="s">
        <v>646</v>
      </c>
      <c r="H43" s="7" t="s">
        <v>661</v>
      </c>
      <c r="I43" s="7" t="s">
        <v>687</v>
      </c>
      <c r="J43" s="7" t="s">
        <v>704</v>
      </c>
      <c r="K43" s="7" t="s">
        <v>708</v>
      </c>
      <c r="L43" s="7" t="s">
        <v>723</v>
      </c>
      <c r="M43" s="7" t="s">
        <v>729</v>
      </c>
      <c r="N43" s="7" t="s">
        <v>1469</v>
      </c>
      <c r="O43" s="9">
        <v>1206.2</v>
      </c>
      <c r="P43" s="9">
        <v>1759.79</v>
      </c>
      <c r="Q43" s="9">
        <f t="shared" si="3"/>
        <v>1759.79</v>
      </c>
      <c r="R43" s="9" t="str">
        <f t="shared" si="4"/>
        <v>OK</v>
      </c>
      <c r="S43" s="11">
        <v>0</v>
      </c>
      <c r="T43" s="11" t="str">
        <f t="shared" si="5"/>
        <v>OK</v>
      </c>
      <c r="U43" s="13">
        <v>6</v>
      </c>
    </row>
    <row r="44" spans="1:21" x14ac:dyDescent="0.3">
      <c r="A44" s="7" t="s">
        <v>57</v>
      </c>
      <c r="B44" s="4">
        <v>45590</v>
      </c>
      <c r="C44" s="4">
        <v>45610</v>
      </c>
      <c r="D44" s="4" t="str">
        <f t="shared" si="0"/>
        <v>Valid</v>
      </c>
      <c r="E44" s="4">
        <f t="shared" si="1"/>
        <v>45610</v>
      </c>
      <c r="F44" s="13">
        <f t="shared" si="2"/>
        <v>20</v>
      </c>
      <c r="G44" s="7" t="s">
        <v>646</v>
      </c>
      <c r="H44" s="7" t="s">
        <v>650</v>
      </c>
      <c r="I44" s="7" t="s">
        <v>675</v>
      </c>
      <c r="J44" s="7" t="s">
        <v>701</v>
      </c>
      <c r="K44" s="7" t="s">
        <v>711</v>
      </c>
      <c r="L44" s="7" t="s">
        <v>722</v>
      </c>
      <c r="M44" s="7" t="s">
        <v>728</v>
      </c>
      <c r="N44" s="7" t="s">
        <v>1470</v>
      </c>
      <c r="O44" s="9">
        <v>1396.48</v>
      </c>
      <c r="P44" s="9">
        <v>3204.5</v>
      </c>
      <c r="Q44" s="9">
        <f t="shared" si="3"/>
        <v>3204.5</v>
      </c>
      <c r="R44" s="9" t="str">
        <f t="shared" si="4"/>
        <v>OK</v>
      </c>
      <c r="S44" s="11">
        <v>0.318</v>
      </c>
      <c r="T44" s="11" t="str">
        <f t="shared" si="5"/>
        <v>FLAG</v>
      </c>
      <c r="U44" s="13">
        <v>14</v>
      </c>
    </row>
    <row r="45" spans="1:21" x14ac:dyDescent="0.3">
      <c r="A45" s="7" t="s">
        <v>58</v>
      </c>
      <c r="B45" s="4">
        <v>45806</v>
      </c>
      <c r="C45" s="4">
        <v>45828</v>
      </c>
      <c r="D45" s="4" t="str">
        <f t="shared" si="0"/>
        <v>Valid</v>
      </c>
      <c r="E45" s="4">
        <f t="shared" si="1"/>
        <v>45828</v>
      </c>
      <c r="F45" s="13">
        <f t="shared" si="2"/>
        <v>22</v>
      </c>
      <c r="G45" s="7" t="s">
        <v>649</v>
      </c>
      <c r="H45" s="7" t="s">
        <v>656</v>
      </c>
      <c r="I45" s="7" t="s">
        <v>671</v>
      </c>
      <c r="J45" s="7" t="s">
        <v>701</v>
      </c>
      <c r="K45" s="7" t="s">
        <v>711</v>
      </c>
      <c r="L45" s="7" t="s">
        <v>720</v>
      </c>
      <c r="M45" s="7" t="s">
        <v>728</v>
      </c>
      <c r="N45" s="7" t="s">
        <v>1471</v>
      </c>
      <c r="O45" s="9">
        <v>483.47</v>
      </c>
      <c r="P45" s="9">
        <v>1135.43</v>
      </c>
      <c r="Q45" s="9">
        <f t="shared" si="3"/>
        <v>1135.43</v>
      </c>
      <c r="R45" s="9" t="str">
        <f t="shared" si="4"/>
        <v>OK</v>
      </c>
      <c r="S45" s="11">
        <v>0.14599999999999999</v>
      </c>
      <c r="T45" s="11" t="str">
        <f t="shared" si="5"/>
        <v>OK</v>
      </c>
      <c r="U45" s="13">
        <v>11</v>
      </c>
    </row>
    <row r="46" spans="1:21" x14ac:dyDescent="0.3">
      <c r="A46" s="7" t="s">
        <v>59</v>
      </c>
      <c r="B46" s="4">
        <v>45432</v>
      </c>
      <c r="C46" s="4">
        <v>45445</v>
      </c>
      <c r="D46" s="4" t="str">
        <f t="shared" si="0"/>
        <v>Valid</v>
      </c>
      <c r="E46" s="4">
        <f t="shared" si="1"/>
        <v>45445</v>
      </c>
      <c r="F46" s="13">
        <f t="shared" si="2"/>
        <v>13</v>
      </c>
      <c r="G46" s="7" t="s">
        <v>648</v>
      </c>
      <c r="H46" s="7" t="s">
        <v>653</v>
      </c>
      <c r="I46" s="7" t="s">
        <v>688</v>
      </c>
      <c r="J46" s="7" t="s">
        <v>706</v>
      </c>
      <c r="K46" s="7" t="s">
        <v>709</v>
      </c>
      <c r="L46" s="7" t="s">
        <v>723</v>
      </c>
      <c r="M46" s="7" t="s">
        <v>727</v>
      </c>
      <c r="N46" s="7" t="s">
        <v>1472</v>
      </c>
      <c r="O46" s="9">
        <v>675.43</v>
      </c>
      <c r="P46" s="9">
        <v>996.36</v>
      </c>
      <c r="Q46" s="9">
        <f t="shared" si="3"/>
        <v>996.36</v>
      </c>
      <c r="R46" s="9" t="str">
        <f t="shared" si="4"/>
        <v>OK</v>
      </c>
      <c r="S46" s="11">
        <v>0.182</v>
      </c>
      <c r="T46" s="11" t="str">
        <f t="shared" si="5"/>
        <v>OK</v>
      </c>
      <c r="U46" s="13">
        <v>22</v>
      </c>
    </row>
    <row r="47" spans="1:21" x14ac:dyDescent="0.3">
      <c r="A47" s="7" t="s">
        <v>60</v>
      </c>
      <c r="B47" s="4">
        <v>45035</v>
      </c>
      <c r="C47" s="4">
        <v>45046</v>
      </c>
      <c r="D47" s="4" t="str">
        <f t="shared" si="0"/>
        <v>Valid</v>
      </c>
      <c r="E47" s="4">
        <f t="shared" si="1"/>
        <v>45046</v>
      </c>
      <c r="F47" s="13">
        <f t="shared" si="2"/>
        <v>11</v>
      </c>
      <c r="G47" s="7" t="s">
        <v>647</v>
      </c>
      <c r="H47" s="7" t="s">
        <v>654</v>
      </c>
      <c r="I47" s="7" t="s">
        <v>680</v>
      </c>
      <c r="J47" s="7" t="s">
        <v>705</v>
      </c>
      <c r="K47" s="7" t="s">
        <v>707</v>
      </c>
      <c r="L47" s="7" t="s">
        <v>720</v>
      </c>
      <c r="M47" s="7" t="s">
        <v>729</v>
      </c>
      <c r="N47" s="7" t="s">
        <v>1473</v>
      </c>
      <c r="O47" s="9">
        <v>826.55</v>
      </c>
      <c r="P47" s="9">
        <v>1397.05</v>
      </c>
      <c r="Q47" s="9">
        <f t="shared" si="3"/>
        <v>1397.05</v>
      </c>
      <c r="R47" s="9" t="str">
        <f t="shared" si="4"/>
        <v>OK</v>
      </c>
      <c r="S47" s="11">
        <v>0.16900000000000001</v>
      </c>
      <c r="T47" s="11" t="str">
        <f t="shared" si="5"/>
        <v>OK</v>
      </c>
      <c r="U47" s="13">
        <v>28</v>
      </c>
    </row>
    <row r="48" spans="1:21" x14ac:dyDescent="0.3">
      <c r="A48" s="7" t="s">
        <v>61</v>
      </c>
      <c r="B48" s="4">
        <v>45100</v>
      </c>
      <c r="C48" s="4">
        <v>45110</v>
      </c>
      <c r="D48" s="4" t="str">
        <f t="shared" si="0"/>
        <v>Valid</v>
      </c>
      <c r="E48" s="4">
        <f t="shared" si="1"/>
        <v>45110</v>
      </c>
      <c r="F48" s="13">
        <f t="shared" si="2"/>
        <v>10</v>
      </c>
      <c r="G48" s="7" t="s">
        <v>646</v>
      </c>
      <c r="H48" s="7" t="s">
        <v>651</v>
      </c>
      <c r="I48" s="7" t="s">
        <v>669</v>
      </c>
      <c r="J48" s="7" t="s">
        <v>704</v>
      </c>
      <c r="K48" s="7" t="s">
        <v>708</v>
      </c>
      <c r="L48" s="7" t="s">
        <v>713</v>
      </c>
      <c r="M48" s="7" t="s">
        <v>728</v>
      </c>
      <c r="N48" s="7" t="s">
        <v>1474</v>
      </c>
      <c r="O48" s="9">
        <v>337.75</v>
      </c>
      <c r="P48" s="9">
        <v>548.89</v>
      </c>
      <c r="Q48" s="9">
        <f t="shared" si="3"/>
        <v>548.89</v>
      </c>
      <c r="R48" s="9" t="str">
        <f t="shared" si="4"/>
        <v>OK</v>
      </c>
      <c r="S48" s="11">
        <v>0</v>
      </c>
      <c r="T48" s="11" t="str">
        <f t="shared" si="5"/>
        <v>OK</v>
      </c>
      <c r="U48" s="13">
        <v>13</v>
      </c>
    </row>
    <row r="49" spans="1:21" x14ac:dyDescent="0.3">
      <c r="A49" s="7" t="s">
        <v>62</v>
      </c>
      <c r="B49" s="4">
        <v>45426</v>
      </c>
      <c r="C49" s="4">
        <v>45440</v>
      </c>
      <c r="D49" s="4" t="str">
        <f t="shared" si="0"/>
        <v>Valid</v>
      </c>
      <c r="E49" s="4">
        <f t="shared" si="1"/>
        <v>45440</v>
      </c>
      <c r="F49" s="13">
        <f t="shared" si="2"/>
        <v>14</v>
      </c>
      <c r="G49" s="7" t="s">
        <v>649</v>
      </c>
      <c r="H49" s="7" t="s">
        <v>658</v>
      </c>
      <c r="I49" s="7" t="s">
        <v>674</v>
      </c>
      <c r="J49" s="7" t="s">
        <v>704</v>
      </c>
      <c r="K49" s="7" t="s">
        <v>707</v>
      </c>
      <c r="L49" s="7" t="s">
        <v>717</v>
      </c>
      <c r="M49" s="7" t="s">
        <v>729</v>
      </c>
      <c r="N49" s="7" t="s">
        <v>1475</v>
      </c>
      <c r="O49" s="9">
        <v>1421.14</v>
      </c>
      <c r="P49" s="9">
        <v>3524</v>
      </c>
      <c r="Q49" s="9">
        <f t="shared" si="3"/>
        <v>3524</v>
      </c>
      <c r="R49" s="9" t="str">
        <f t="shared" si="4"/>
        <v>OK</v>
      </c>
      <c r="S49" s="11">
        <v>0</v>
      </c>
      <c r="T49" s="11" t="str">
        <f t="shared" si="5"/>
        <v>OK</v>
      </c>
      <c r="U49" s="13">
        <v>31</v>
      </c>
    </row>
    <row r="50" spans="1:21" x14ac:dyDescent="0.3">
      <c r="A50" s="7" t="s">
        <v>63</v>
      </c>
      <c r="B50" s="4">
        <v>45579</v>
      </c>
      <c r="C50" s="4">
        <v>45604</v>
      </c>
      <c r="D50" s="4" t="str">
        <f t="shared" si="0"/>
        <v>Valid</v>
      </c>
      <c r="E50" s="4">
        <f t="shared" si="1"/>
        <v>45604</v>
      </c>
      <c r="F50" s="13">
        <f t="shared" si="2"/>
        <v>25</v>
      </c>
      <c r="G50" s="7" t="s">
        <v>646</v>
      </c>
      <c r="H50" s="7" t="s">
        <v>651</v>
      </c>
      <c r="I50" s="7" t="s">
        <v>665</v>
      </c>
      <c r="J50" s="7" t="s">
        <v>706</v>
      </c>
      <c r="K50" s="7" t="s">
        <v>708</v>
      </c>
      <c r="L50" s="7" t="s">
        <v>719</v>
      </c>
      <c r="M50" s="7" t="s">
        <v>729</v>
      </c>
      <c r="N50" s="7" t="s">
        <v>1476</v>
      </c>
      <c r="O50" s="9">
        <v>859.35</v>
      </c>
      <c r="P50" s="9">
        <v>1825.61</v>
      </c>
      <c r="Q50" s="9">
        <f t="shared" si="3"/>
        <v>1825.61</v>
      </c>
      <c r="R50" s="9" t="str">
        <f t="shared" si="4"/>
        <v>OK</v>
      </c>
      <c r="S50" s="11">
        <v>0.187</v>
      </c>
      <c r="T50" s="11" t="str">
        <f t="shared" si="5"/>
        <v>OK</v>
      </c>
      <c r="U50" s="13">
        <v>24</v>
      </c>
    </row>
    <row r="51" spans="1:21" x14ac:dyDescent="0.3">
      <c r="A51" s="7" t="s">
        <v>64</v>
      </c>
      <c r="B51" s="4">
        <v>45117</v>
      </c>
      <c r="C51" s="4">
        <v>45139</v>
      </c>
      <c r="D51" s="4" t="str">
        <f t="shared" si="0"/>
        <v>Valid</v>
      </c>
      <c r="E51" s="4">
        <f t="shared" si="1"/>
        <v>45139</v>
      </c>
      <c r="F51" s="13">
        <f t="shared" si="2"/>
        <v>22</v>
      </c>
      <c r="G51" s="7" t="s">
        <v>649</v>
      </c>
      <c r="H51" s="7" t="s">
        <v>657</v>
      </c>
      <c r="I51" s="7" t="s">
        <v>673</v>
      </c>
      <c r="J51" s="7" t="s">
        <v>704</v>
      </c>
      <c r="K51" s="7" t="s">
        <v>709</v>
      </c>
      <c r="L51" s="7" t="s">
        <v>717</v>
      </c>
      <c r="M51" s="7" t="s">
        <v>728</v>
      </c>
      <c r="N51" s="7" t="s">
        <v>1477</v>
      </c>
      <c r="O51" s="9">
        <v>1303.56</v>
      </c>
      <c r="P51" s="9">
        <v>1791.37</v>
      </c>
      <c r="Q51" s="9">
        <f t="shared" si="3"/>
        <v>1791.37</v>
      </c>
      <c r="R51" s="9" t="str">
        <f t="shared" si="4"/>
        <v>OK</v>
      </c>
      <c r="S51" s="11">
        <v>0.126</v>
      </c>
      <c r="T51" s="11" t="str">
        <f t="shared" si="5"/>
        <v>OK</v>
      </c>
      <c r="U51" s="13">
        <v>22</v>
      </c>
    </row>
    <row r="52" spans="1:21" x14ac:dyDescent="0.3">
      <c r="A52" s="7" t="s">
        <v>65</v>
      </c>
      <c r="B52" s="4">
        <v>45602</v>
      </c>
      <c r="C52" s="4">
        <v>45618</v>
      </c>
      <c r="D52" s="4" t="str">
        <f t="shared" si="0"/>
        <v>Valid</v>
      </c>
      <c r="E52" s="4">
        <f t="shared" si="1"/>
        <v>45618</v>
      </c>
      <c r="F52" s="13">
        <f t="shared" si="2"/>
        <v>16</v>
      </c>
      <c r="G52" s="7" t="s">
        <v>648</v>
      </c>
      <c r="H52" s="7" t="s">
        <v>653</v>
      </c>
      <c r="I52" s="7" t="s">
        <v>667</v>
      </c>
      <c r="J52" s="7" t="s">
        <v>703</v>
      </c>
      <c r="K52" s="7" t="s">
        <v>710</v>
      </c>
      <c r="L52" s="7" t="s">
        <v>726</v>
      </c>
      <c r="M52" s="7" t="s">
        <v>733</v>
      </c>
      <c r="N52" s="7" t="s">
        <v>1478</v>
      </c>
      <c r="O52" s="9">
        <v>1454.11</v>
      </c>
      <c r="P52" s="9">
        <v>2629.75</v>
      </c>
      <c r="Q52" s="9">
        <f t="shared" si="3"/>
        <v>2629.75</v>
      </c>
      <c r="R52" s="9" t="str">
        <f t="shared" si="4"/>
        <v>OK</v>
      </c>
      <c r="S52" s="11">
        <v>0.29199999999999998</v>
      </c>
      <c r="T52" s="11" t="str">
        <f t="shared" si="5"/>
        <v>OK</v>
      </c>
      <c r="U52" s="13">
        <v>8</v>
      </c>
    </row>
    <row r="53" spans="1:21" x14ac:dyDescent="0.3">
      <c r="A53" s="7" t="s">
        <v>66</v>
      </c>
      <c r="B53" s="4">
        <v>45582</v>
      </c>
      <c r="C53" s="4">
        <v>45602</v>
      </c>
      <c r="D53" s="4" t="str">
        <f t="shared" si="0"/>
        <v>Valid</v>
      </c>
      <c r="E53" s="4">
        <f t="shared" si="1"/>
        <v>45602</v>
      </c>
      <c r="F53" s="13">
        <f t="shared" si="2"/>
        <v>20</v>
      </c>
      <c r="G53" s="7" t="s">
        <v>647</v>
      </c>
      <c r="H53" s="7" t="s">
        <v>654</v>
      </c>
      <c r="I53" s="7" t="s">
        <v>668</v>
      </c>
      <c r="J53" s="7" t="s">
        <v>706</v>
      </c>
      <c r="K53" s="7" t="s">
        <v>710</v>
      </c>
      <c r="L53" s="7" t="s">
        <v>719</v>
      </c>
      <c r="M53" s="7" t="s">
        <v>732</v>
      </c>
      <c r="N53" s="7" t="s">
        <v>1479</v>
      </c>
      <c r="O53" s="9">
        <v>72.94</v>
      </c>
      <c r="P53" s="9">
        <v>106.3</v>
      </c>
      <c r="Q53" s="9">
        <f t="shared" si="3"/>
        <v>106.3</v>
      </c>
      <c r="R53" s="9" t="str">
        <f t="shared" si="4"/>
        <v>OK</v>
      </c>
      <c r="S53" s="11">
        <v>0.29499999999999998</v>
      </c>
      <c r="T53" s="11" t="str">
        <f t="shared" si="5"/>
        <v>OK</v>
      </c>
      <c r="U53" s="13">
        <v>8</v>
      </c>
    </row>
    <row r="54" spans="1:21" x14ac:dyDescent="0.3">
      <c r="A54" s="7" t="s">
        <v>67</v>
      </c>
      <c r="B54" s="4">
        <v>45016</v>
      </c>
      <c r="C54" s="4">
        <v>45021</v>
      </c>
      <c r="D54" s="4" t="str">
        <f t="shared" si="0"/>
        <v>Valid</v>
      </c>
      <c r="E54" s="4">
        <f t="shared" si="1"/>
        <v>45021</v>
      </c>
      <c r="F54" s="13">
        <f t="shared" si="2"/>
        <v>5</v>
      </c>
      <c r="G54" s="7" t="s">
        <v>646</v>
      </c>
      <c r="H54" s="7" t="s">
        <v>650</v>
      </c>
      <c r="I54" s="7" t="s">
        <v>678</v>
      </c>
      <c r="J54" s="7" t="s">
        <v>702</v>
      </c>
      <c r="K54" s="7" t="s">
        <v>709</v>
      </c>
      <c r="L54" s="7" t="s">
        <v>717</v>
      </c>
      <c r="M54" s="7" t="s">
        <v>731</v>
      </c>
      <c r="N54" s="7" t="s">
        <v>1480</v>
      </c>
      <c r="O54" s="9">
        <v>533.26</v>
      </c>
      <c r="P54" s="9">
        <v>385.72</v>
      </c>
      <c r="Q54" s="9">
        <f t="shared" si="3"/>
        <v>385.72</v>
      </c>
      <c r="R54" s="9" t="str">
        <f t="shared" si="4"/>
        <v>OK</v>
      </c>
      <c r="S54" s="11">
        <v>0</v>
      </c>
      <c r="T54" s="11" t="str">
        <f t="shared" si="5"/>
        <v>OK</v>
      </c>
      <c r="U54" s="13">
        <v>15</v>
      </c>
    </row>
    <row r="55" spans="1:21" x14ac:dyDescent="0.3">
      <c r="A55" s="7" t="s">
        <v>68</v>
      </c>
      <c r="B55" s="4">
        <v>45678</v>
      </c>
      <c r="C55" s="4">
        <v>45704</v>
      </c>
      <c r="D55" s="4" t="str">
        <f t="shared" si="0"/>
        <v>Valid</v>
      </c>
      <c r="E55" s="4">
        <f t="shared" si="1"/>
        <v>45704</v>
      </c>
      <c r="F55" s="13">
        <f t="shared" si="2"/>
        <v>26</v>
      </c>
      <c r="G55" s="7" t="s">
        <v>649</v>
      </c>
      <c r="H55" s="7" t="s">
        <v>657</v>
      </c>
      <c r="I55" s="7" t="s">
        <v>679</v>
      </c>
      <c r="J55" s="7" t="s">
        <v>701</v>
      </c>
      <c r="K55" s="7" t="s">
        <v>710</v>
      </c>
      <c r="L55" s="7" t="s">
        <v>719</v>
      </c>
      <c r="M55" s="7" t="s">
        <v>731</v>
      </c>
      <c r="N55" s="7" t="s">
        <v>1481</v>
      </c>
      <c r="O55" s="9">
        <v>204.11</v>
      </c>
      <c r="P55" s="9">
        <v>236.87</v>
      </c>
      <c r="Q55" s="9">
        <f t="shared" si="3"/>
        <v>236.87</v>
      </c>
      <c r="R55" s="9" t="str">
        <f t="shared" si="4"/>
        <v>OK</v>
      </c>
      <c r="S55" s="11">
        <v>0.182</v>
      </c>
      <c r="T55" s="11" t="str">
        <f t="shared" si="5"/>
        <v>OK</v>
      </c>
      <c r="U55" s="13">
        <v>13</v>
      </c>
    </row>
    <row r="56" spans="1:21" x14ac:dyDescent="0.3">
      <c r="A56" s="7" t="s">
        <v>69</v>
      </c>
      <c r="B56" s="4">
        <v>45168</v>
      </c>
      <c r="C56" s="4">
        <v>45170</v>
      </c>
      <c r="D56" s="4" t="str">
        <f t="shared" si="0"/>
        <v>Valid</v>
      </c>
      <c r="E56" s="4">
        <f t="shared" si="1"/>
        <v>45170</v>
      </c>
      <c r="F56" s="13">
        <f t="shared" si="2"/>
        <v>2</v>
      </c>
      <c r="G56" s="7" t="s">
        <v>649</v>
      </c>
      <c r="H56" s="7" t="s">
        <v>656</v>
      </c>
      <c r="I56" s="7" t="s">
        <v>684</v>
      </c>
      <c r="J56" s="7" t="s">
        <v>701</v>
      </c>
      <c r="K56" s="7" t="s">
        <v>711</v>
      </c>
      <c r="L56" s="7" t="s">
        <v>725</v>
      </c>
      <c r="M56" s="7" t="s">
        <v>729</v>
      </c>
      <c r="N56" s="7" t="s">
        <v>1482</v>
      </c>
      <c r="O56" s="9">
        <v>44.42</v>
      </c>
      <c r="P56" s="9">
        <v>41.9</v>
      </c>
      <c r="Q56" s="9">
        <f t="shared" si="3"/>
        <v>41.9</v>
      </c>
      <c r="R56" s="9" t="str">
        <f t="shared" si="4"/>
        <v>OK</v>
      </c>
      <c r="S56" s="11">
        <v>0.14399999999999999</v>
      </c>
      <c r="T56" s="11" t="str">
        <f t="shared" si="5"/>
        <v>OK</v>
      </c>
      <c r="U56" s="13">
        <v>6</v>
      </c>
    </row>
    <row r="57" spans="1:21" x14ac:dyDescent="0.3">
      <c r="A57" s="7" t="s">
        <v>70</v>
      </c>
      <c r="B57" s="4">
        <v>45753</v>
      </c>
      <c r="C57" s="4">
        <v>45777</v>
      </c>
      <c r="D57" s="4" t="str">
        <f t="shared" si="0"/>
        <v>Valid</v>
      </c>
      <c r="E57" s="4">
        <f t="shared" si="1"/>
        <v>45777</v>
      </c>
      <c r="F57" s="13">
        <f t="shared" si="2"/>
        <v>24</v>
      </c>
      <c r="G57" s="7" t="s">
        <v>648</v>
      </c>
      <c r="H57" s="7" t="s">
        <v>655</v>
      </c>
      <c r="I57" s="7" t="s">
        <v>672</v>
      </c>
      <c r="J57" s="7" t="s">
        <v>702</v>
      </c>
      <c r="K57" s="7" t="s">
        <v>708</v>
      </c>
      <c r="L57" s="7" t="s">
        <v>723</v>
      </c>
      <c r="M57" s="7" t="s">
        <v>732</v>
      </c>
      <c r="N57" s="7" t="s">
        <v>1483</v>
      </c>
      <c r="O57" s="9">
        <v>855.78</v>
      </c>
      <c r="P57" s="9">
        <v>977.38</v>
      </c>
      <c r="Q57" s="9">
        <f t="shared" si="3"/>
        <v>977.38</v>
      </c>
      <c r="R57" s="9" t="str">
        <f t="shared" si="4"/>
        <v>OK</v>
      </c>
      <c r="S57" s="11">
        <v>0.14699999999999999</v>
      </c>
      <c r="T57" s="11" t="str">
        <f t="shared" si="5"/>
        <v>OK</v>
      </c>
      <c r="U57" s="13">
        <v>38</v>
      </c>
    </row>
    <row r="58" spans="1:21" x14ac:dyDescent="0.3">
      <c r="A58" s="7" t="s">
        <v>71</v>
      </c>
      <c r="B58" s="4">
        <v>45697</v>
      </c>
      <c r="C58" s="4">
        <v>45717</v>
      </c>
      <c r="D58" s="4" t="str">
        <f t="shared" si="0"/>
        <v>Valid</v>
      </c>
      <c r="E58" s="4">
        <f t="shared" si="1"/>
        <v>45717</v>
      </c>
      <c r="F58" s="13">
        <f t="shared" si="2"/>
        <v>20</v>
      </c>
      <c r="G58" s="7" t="s">
        <v>648</v>
      </c>
      <c r="H58" s="7" t="s">
        <v>655</v>
      </c>
      <c r="I58" s="7" t="s">
        <v>670</v>
      </c>
      <c r="J58" s="7" t="s">
        <v>701</v>
      </c>
      <c r="K58" s="7" t="s">
        <v>710</v>
      </c>
      <c r="L58" s="7" t="s">
        <v>717</v>
      </c>
      <c r="M58" s="7" t="s">
        <v>731</v>
      </c>
      <c r="N58" s="7" t="s">
        <v>1484</v>
      </c>
      <c r="O58" s="9">
        <v>1154.6400000000001</v>
      </c>
      <c r="P58" s="9">
        <v>2794.13</v>
      </c>
      <c r="Q58" s="9">
        <f t="shared" si="3"/>
        <v>2794.13</v>
      </c>
      <c r="R58" s="9" t="str">
        <f t="shared" si="4"/>
        <v>OK</v>
      </c>
      <c r="S58" s="11">
        <v>3.5000000000000003E-2</v>
      </c>
      <c r="T58" s="11" t="str">
        <f t="shared" si="5"/>
        <v>OK</v>
      </c>
      <c r="U58" s="13">
        <v>11</v>
      </c>
    </row>
    <row r="59" spans="1:21" x14ac:dyDescent="0.3">
      <c r="A59" s="7" t="s">
        <v>72</v>
      </c>
      <c r="B59" s="4">
        <v>45643</v>
      </c>
      <c r="C59" s="4">
        <v>45644</v>
      </c>
      <c r="D59" s="4" t="str">
        <f t="shared" si="0"/>
        <v>Valid</v>
      </c>
      <c r="E59" s="4">
        <f t="shared" si="1"/>
        <v>45644</v>
      </c>
      <c r="F59" s="13">
        <f t="shared" si="2"/>
        <v>1</v>
      </c>
      <c r="G59" s="7" t="s">
        <v>649</v>
      </c>
      <c r="H59" s="7" t="s">
        <v>656</v>
      </c>
      <c r="I59" s="7" t="s">
        <v>684</v>
      </c>
      <c r="J59" s="7" t="s">
        <v>702</v>
      </c>
      <c r="K59" s="7" t="s">
        <v>707</v>
      </c>
      <c r="L59" s="7" t="s">
        <v>716</v>
      </c>
      <c r="M59" s="7" t="s">
        <v>733</v>
      </c>
      <c r="N59" s="7" t="s">
        <v>1485</v>
      </c>
      <c r="O59" s="9">
        <v>346.82</v>
      </c>
      <c r="P59" s="9">
        <v>701.95</v>
      </c>
      <c r="Q59" s="9">
        <f t="shared" si="3"/>
        <v>701.95</v>
      </c>
      <c r="R59" s="9" t="str">
        <f t="shared" si="4"/>
        <v>OK</v>
      </c>
      <c r="S59" s="11">
        <v>0.14699999999999999</v>
      </c>
      <c r="T59" s="11" t="str">
        <f t="shared" si="5"/>
        <v>OK</v>
      </c>
      <c r="U59" s="13">
        <v>8</v>
      </c>
    </row>
    <row r="60" spans="1:21" x14ac:dyDescent="0.3">
      <c r="A60" s="7" t="s">
        <v>73</v>
      </c>
      <c r="B60" s="4">
        <v>45817</v>
      </c>
      <c r="C60" s="4">
        <v>45826</v>
      </c>
      <c r="D60" s="4" t="str">
        <f t="shared" si="0"/>
        <v>Valid</v>
      </c>
      <c r="E60" s="4">
        <f t="shared" si="1"/>
        <v>45826</v>
      </c>
      <c r="F60" s="13">
        <f t="shared" si="2"/>
        <v>9</v>
      </c>
      <c r="G60" s="7" t="s">
        <v>649</v>
      </c>
      <c r="H60" s="7" t="s">
        <v>657</v>
      </c>
      <c r="I60" s="7" t="s">
        <v>673</v>
      </c>
      <c r="J60" s="7" t="s">
        <v>705</v>
      </c>
      <c r="K60" s="7" t="s">
        <v>709</v>
      </c>
      <c r="L60" s="7" t="s">
        <v>722</v>
      </c>
      <c r="M60" s="7" t="s">
        <v>733</v>
      </c>
      <c r="N60" s="7" t="s">
        <v>1486</v>
      </c>
      <c r="O60" s="9">
        <v>1225.5</v>
      </c>
      <c r="P60" s="9">
        <v>-5.27</v>
      </c>
      <c r="Q60" s="9">
        <f t="shared" si="3"/>
        <v>5.27</v>
      </c>
      <c r="R60" s="9" t="str">
        <f t="shared" si="4"/>
        <v>FLAG</v>
      </c>
      <c r="S60" s="11">
        <v>7.4999999999999997E-2</v>
      </c>
      <c r="T60" s="11" t="str">
        <f t="shared" si="5"/>
        <v>OK</v>
      </c>
      <c r="U60" s="13">
        <v>56</v>
      </c>
    </row>
    <row r="61" spans="1:21" x14ac:dyDescent="0.3">
      <c r="A61" s="7" t="s">
        <v>74</v>
      </c>
      <c r="B61" s="4">
        <v>45779</v>
      </c>
      <c r="C61" s="4">
        <v>45790</v>
      </c>
      <c r="D61" s="4" t="str">
        <f t="shared" si="0"/>
        <v>Valid</v>
      </c>
      <c r="E61" s="4">
        <f t="shared" si="1"/>
        <v>45790</v>
      </c>
      <c r="F61" s="13">
        <f t="shared" si="2"/>
        <v>11</v>
      </c>
      <c r="G61" s="7" t="s">
        <v>646</v>
      </c>
      <c r="H61" s="7" t="s">
        <v>650</v>
      </c>
      <c r="I61" s="7" t="s">
        <v>678</v>
      </c>
      <c r="J61" s="7" t="s">
        <v>705</v>
      </c>
      <c r="K61" s="7" t="s">
        <v>708</v>
      </c>
      <c r="L61" s="7" t="s">
        <v>720</v>
      </c>
      <c r="M61" s="7" t="s">
        <v>733</v>
      </c>
      <c r="N61" s="7" t="s">
        <v>1487</v>
      </c>
      <c r="O61" s="9">
        <v>1057.5999999999999</v>
      </c>
      <c r="P61" s="9">
        <v>1437.06</v>
      </c>
      <c r="Q61" s="9">
        <f t="shared" si="3"/>
        <v>1437.06</v>
      </c>
      <c r="R61" s="9" t="str">
        <f t="shared" si="4"/>
        <v>OK</v>
      </c>
      <c r="S61" s="11">
        <v>0.20499999999999999</v>
      </c>
      <c r="T61" s="11" t="str">
        <f t="shared" si="5"/>
        <v>OK</v>
      </c>
      <c r="U61" s="13">
        <v>4</v>
      </c>
    </row>
    <row r="62" spans="1:21" x14ac:dyDescent="0.3">
      <c r="A62" s="7" t="s">
        <v>75</v>
      </c>
      <c r="B62" s="4">
        <v>45361</v>
      </c>
      <c r="C62" s="4">
        <v>45391</v>
      </c>
      <c r="D62" s="4" t="str">
        <f t="shared" si="0"/>
        <v>Valid</v>
      </c>
      <c r="E62" s="4">
        <f t="shared" si="1"/>
        <v>45391</v>
      </c>
      <c r="F62" s="13">
        <f t="shared" si="2"/>
        <v>30</v>
      </c>
      <c r="G62" s="7" t="s">
        <v>649</v>
      </c>
      <c r="H62" s="7" t="s">
        <v>657</v>
      </c>
      <c r="I62" s="7" t="s">
        <v>679</v>
      </c>
      <c r="J62" s="7" t="s">
        <v>701</v>
      </c>
      <c r="K62" s="7" t="s">
        <v>711</v>
      </c>
      <c r="L62" s="7" t="s">
        <v>714</v>
      </c>
      <c r="M62" s="7" t="s">
        <v>727</v>
      </c>
      <c r="N62" s="7" t="s">
        <v>1488</v>
      </c>
      <c r="O62" s="9">
        <v>1176.56</v>
      </c>
      <c r="P62" s="9">
        <v>1911.89</v>
      </c>
      <c r="Q62" s="9">
        <f t="shared" si="3"/>
        <v>1911.89</v>
      </c>
      <c r="R62" s="9" t="str">
        <f t="shared" si="4"/>
        <v>OK</v>
      </c>
      <c r="S62" s="11">
        <v>0.11899999999999999</v>
      </c>
      <c r="T62" s="11" t="str">
        <f t="shared" si="5"/>
        <v>OK</v>
      </c>
      <c r="U62" s="13">
        <v>20</v>
      </c>
    </row>
    <row r="63" spans="1:21" x14ac:dyDescent="0.3">
      <c r="A63" s="7" t="s">
        <v>76</v>
      </c>
      <c r="B63" s="4">
        <v>45910</v>
      </c>
      <c r="C63" s="4">
        <v>45912</v>
      </c>
      <c r="D63" s="4" t="str">
        <f t="shared" si="0"/>
        <v>Valid</v>
      </c>
      <c r="E63" s="4">
        <f t="shared" si="1"/>
        <v>45912</v>
      </c>
      <c r="F63" s="13">
        <f t="shared" si="2"/>
        <v>2</v>
      </c>
      <c r="G63" s="7" t="s">
        <v>647</v>
      </c>
      <c r="H63" s="7" t="s">
        <v>652</v>
      </c>
      <c r="I63" s="7" t="s">
        <v>689</v>
      </c>
      <c r="J63" s="7" t="s">
        <v>704</v>
      </c>
      <c r="K63" s="7" t="s">
        <v>708</v>
      </c>
      <c r="L63" s="7" t="s">
        <v>719</v>
      </c>
      <c r="M63" s="7" t="s">
        <v>727</v>
      </c>
      <c r="N63" s="7" t="s">
        <v>1489</v>
      </c>
      <c r="O63" s="9">
        <v>1470.15</v>
      </c>
      <c r="P63" s="9">
        <v>2593.7800000000002</v>
      </c>
      <c r="Q63" s="9">
        <f t="shared" si="3"/>
        <v>2593.7800000000002</v>
      </c>
      <c r="R63" s="9" t="str">
        <f t="shared" si="4"/>
        <v>OK</v>
      </c>
      <c r="S63" s="11">
        <v>0.11</v>
      </c>
      <c r="T63" s="11" t="str">
        <f t="shared" si="5"/>
        <v>OK</v>
      </c>
      <c r="U63" s="13">
        <v>12</v>
      </c>
    </row>
    <row r="64" spans="1:21" x14ac:dyDescent="0.3">
      <c r="A64" s="7" t="s">
        <v>77</v>
      </c>
      <c r="B64" s="4">
        <v>45774</v>
      </c>
      <c r="C64" s="4">
        <v>45802</v>
      </c>
      <c r="D64" s="4" t="str">
        <f t="shared" si="0"/>
        <v>Valid</v>
      </c>
      <c r="E64" s="4">
        <f t="shared" si="1"/>
        <v>45802</v>
      </c>
      <c r="F64" s="13">
        <f t="shared" si="2"/>
        <v>28</v>
      </c>
      <c r="G64" s="7" t="s">
        <v>649</v>
      </c>
      <c r="H64" s="7" t="s">
        <v>657</v>
      </c>
      <c r="I64" s="7" t="s">
        <v>690</v>
      </c>
      <c r="J64" s="7" t="s">
        <v>705</v>
      </c>
      <c r="K64" s="7" t="s">
        <v>709</v>
      </c>
      <c r="L64" s="7" t="s">
        <v>714</v>
      </c>
      <c r="M64" s="7" t="s">
        <v>730</v>
      </c>
      <c r="N64" s="7" t="s">
        <v>1490</v>
      </c>
      <c r="O64" s="9">
        <v>603.45000000000005</v>
      </c>
      <c r="P64" s="9">
        <v>1244.08</v>
      </c>
      <c r="Q64" s="9">
        <f t="shared" si="3"/>
        <v>1244.08</v>
      </c>
      <c r="R64" s="9" t="str">
        <f t="shared" si="4"/>
        <v>OK</v>
      </c>
      <c r="S64" s="11">
        <v>0.2</v>
      </c>
      <c r="T64" s="11" t="str">
        <f t="shared" si="5"/>
        <v>OK</v>
      </c>
      <c r="U64" s="13">
        <v>11</v>
      </c>
    </row>
    <row r="65" spans="1:21" x14ac:dyDescent="0.3">
      <c r="A65" s="7" t="s">
        <v>78</v>
      </c>
      <c r="B65" s="4">
        <v>45598</v>
      </c>
      <c r="C65" s="4">
        <v>45614</v>
      </c>
      <c r="D65" s="4" t="str">
        <f t="shared" si="0"/>
        <v>Valid</v>
      </c>
      <c r="E65" s="4">
        <f t="shared" si="1"/>
        <v>45614</v>
      </c>
      <c r="F65" s="13">
        <f t="shared" si="2"/>
        <v>16</v>
      </c>
      <c r="G65" s="7" t="s">
        <v>647</v>
      </c>
      <c r="H65" s="7" t="s">
        <v>654</v>
      </c>
      <c r="I65" s="7" t="s">
        <v>691</v>
      </c>
      <c r="J65" s="7" t="s">
        <v>705</v>
      </c>
      <c r="K65" s="7" t="s">
        <v>710</v>
      </c>
      <c r="L65" s="7" t="s">
        <v>719</v>
      </c>
      <c r="M65" s="7" t="s">
        <v>732</v>
      </c>
      <c r="N65" s="7" t="s">
        <v>1491</v>
      </c>
      <c r="O65" s="9">
        <v>1233.58</v>
      </c>
      <c r="P65" s="9">
        <v>1912.51</v>
      </c>
      <c r="Q65" s="9">
        <f t="shared" si="3"/>
        <v>1912.51</v>
      </c>
      <c r="R65" s="9" t="str">
        <f t="shared" si="4"/>
        <v>OK</v>
      </c>
      <c r="S65" s="11">
        <v>0.255</v>
      </c>
      <c r="T65" s="11" t="str">
        <f t="shared" si="5"/>
        <v>OK</v>
      </c>
      <c r="U65" s="13">
        <v>51</v>
      </c>
    </row>
    <row r="66" spans="1:21" x14ac:dyDescent="0.3">
      <c r="A66" s="7" t="s">
        <v>79</v>
      </c>
      <c r="B66" s="4">
        <v>44972</v>
      </c>
      <c r="C66" s="4">
        <v>44983</v>
      </c>
      <c r="D66" s="4" t="str">
        <f t="shared" si="0"/>
        <v>Valid</v>
      </c>
      <c r="E66" s="4">
        <f t="shared" si="1"/>
        <v>44983</v>
      </c>
      <c r="F66" s="13">
        <f t="shared" si="2"/>
        <v>11</v>
      </c>
      <c r="G66" s="7" t="s">
        <v>646</v>
      </c>
      <c r="H66" s="7" t="s">
        <v>661</v>
      </c>
      <c r="I66" s="7" t="s">
        <v>682</v>
      </c>
      <c r="J66" s="7" t="s">
        <v>703</v>
      </c>
      <c r="K66" s="7" t="s">
        <v>707</v>
      </c>
      <c r="L66" s="7" t="s">
        <v>723</v>
      </c>
      <c r="M66" s="7" t="s">
        <v>731</v>
      </c>
      <c r="N66" s="7" t="s">
        <v>1492</v>
      </c>
      <c r="O66" s="9">
        <v>498.5</v>
      </c>
      <c r="P66" s="9">
        <v>755.87</v>
      </c>
      <c r="Q66" s="9">
        <f t="shared" si="3"/>
        <v>755.87</v>
      </c>
      <c r="R66" s="9" t="str">
        <f t="shared" si="4"/>
        <v>OK</v>
      </c>
      <c r="S66" s="11">
        <v>0.13</v>
      </c>
      <c r="T66" s="11" t="str">
        <f t="shared" si="5"/>
        <v>OK</v>
      </c>
      <c r="U66" s="13">
        <v>40</v>
      </c>
    </row>
    <row r="67" spans="1:21" x14ac:dyDescent="0.3">
      <c r="A67" s="7" t="s">
        <v>80</v>
      </c>
      <c r="B67" s="4">
        <v>45263</v>
      </c>
      <c r="C67" s="4">
        <v>45286</v>
      </c>
      <c r="D67" s="4" t="str">
        <f t="shared" ref="D67:D130" si="6">IF(C67&lt;B67,"Invalid","Valid")</f>
        <v>Valid</v>
      </c>
      <c r="E67" s="4">
        <f t="shared" ref="E67:E130" si="7">IF(C67&lt;B67,B67,C67)</f>
        <v>45286</v>
      </c>
      <c r="F67" s="13">
        <f t="shared" ref="F67:F130" si="8">E67-B67</f>
        <v>23</v>
      </c>
      <c r="G67" s="7" t="s">
        <v>648</v>
      </c>
      <c r="H67" s="7" t="s">
        <v>655</v>
      </c>
      <c r="I67" s="7" t="s">
        <v>1426</v>
      </c>
      <c r="J67" s="7" t="s">
        <v>702</v>
      </c>
      <c r="K67" s="7" t="s">
        <v>707</v>
      </c>
      <c r="L67" s="7" t="s">
        <v>719</v>
      </c>
      <c r="M67" s="7" t="s">
        <v>730</v>
      </c>
      <c r="N67" s="7" t="s">
        <v>1493</v>
      </c>
      <c r="O67" s="9">
        <v>1303.1099999999999</v>
      </c>
      <c r="P67" s="9">
        <v>1145.67</v>
      </c>
      <c r="Q67" s="9">
        <f t="shared" ref="Q67:Q130" si="9">ABS(P67)</f>
        <v>1145.67</v>
      </c>
      <c r="R67" s="9" t="str">
        <f t="shared" ref="R67:R130" si="10">IF(P67&lt;=0,"FLAG","OK")</f>
        <v>OK</v>
      </c>
      <c r="S67" s="11">
        <v>0.184</v>
      </c>
      <c r="T67" s="11" t="str">
        <f t="shared" ref="T67:T130" si="11">IF(S67&gt;30%,"FLAG","OK")</f>
        <v>OK</v>
      </c>
      <c r="U67" s="13">
        <v>13</v>
      </c>
    </row>
    <row r="68" spans="1:21" x14ac:dyDescent="0.3">
      <c r="A68" s="7" t="s">
        <v>81</v>
      </c>
      <c r="B68" s="4">
        <v>45004</v>
      </c>
      <c r="C68" s="4">
        <v>45025</v>
      </c>
      <c r="D68" s="4" t="str">
        <f t="shared" si="6"/>
        <v>Valid</v>
      </c>
      <c r="E68" s="4">
        <f t="shared" si="7"/>
        <v>45025</v>
      </c>
      <c r="F68" s="13">
        <f t="shared" si="8"/>
        <v>21</v>
      </c>
      <c r="G68" s="7" t="s">
        <v>649</v>
      </c>
      <c r="H68" s="7" t="s">
        <v>658</v>
      </c>
      <c r="I68" s="7" t="s">
        <v>693</v>
      </c>
      <c r="J68" s="7" t="s">
        <v>704</v>
      </c>
      <c r="K68" s="7" t="s">
        <v>707</v>
      </c>
      <c r="L68" s="7" t="s">
        <v>716</v>
      </c>
      <c r="M68" s="7" t="s">
        <v>733</v>
      </c>
      <c r="N68" s="7" t="s">
        <v>1494</v>
      </c>
      <c r="O68" s="9">
        <v>1082.17</v>
      </c>
      <c r="P68" s="9">
        <v>1234.0999999999999</v>
      </c>
      <c r="Q68" s="9">
        <f t="shared" si="9"/>
        <v>1234.0999999999999</v>
      </c>
      <c r="R68" s="9" t="str">
        <f t="shared" si="10"/>
        <v>OK</v>
      </c>
      <c r="S68" s="11">
        <v>0.189</v>
      </c>
      <c r="T68" s="11" t="str">
        <f t="shared" si="11"/>
        <v>OK</v>
      </c>
      <c r="U68" s="13">
        <v>16</v>
      </c>
    </row>
    <row r="69" spans="1:21" x14ac:dyDescent="0.3">
      <c r="A69" s="7" t="s">
        <v>82</v>
      </c>
      <c r="B69" s="4">
        <v>45434</v>
      </c>
      <c r="C69" s="4">
        <v>45449</v>
      </c>
      <c r="D69" s="4" t="str">
        <f t="shared" si="6"/>
        <v>Valid</v>
      </c>
      <c r="E69" s="4">
        <f t="shared" si="7"/>
        <v>45449</v>
      </c>
      <c r="F69" s="13">
        <f t="shared" si="8"/>
        <v>15</v>
      </c>
      <c r="G69" s="7" t="s">
        <v>647</v>
      </c>
      <c r="H69" s="7" t="s">
        <v>652</v>
      </c>
      <c r="I69" s="7" t="s">
        <v>694</v>
      </c>
      <c r="J69" s="7" t="s">
        <v>701</v>
      </c>
      <c r="K69" s="7" t="s">
        <v>710</v>
      </c>
      <c r="L69" s="7" t="s">
        <v>712</v>
      </c>
      <c r="M69" s="7" t="s">
        <v>732</v>
      </c>
      <c r="N69" s="7" t="s">
        <v>1495</v>
      </c>
      <c r="O69" s="9">
        <v>673.88</v>
      </c>
      <c r="P69" s="9">
        <v>1228.01</v>
      </c>
      <c r="Q69" s="9">
        <f t="shared" si="9"/>
        <v>1228.01</v>
      </c>
      <c r="R69" s="9" t="str">
        <f t="shared" si="10"/>
        <v>OK</v>
      </c>
      <c r="S69" s="11">
        <v>0.105</v>
      </c>
      <c r="T69" s="11" t="str">
        <f t="shared" si="11"/>
        <v>OK</v>
      </c>
      <c r="U69" s="13">
        <v>13</v>
      </c>
    </row>
    <row r="70" spans="1:21" x14ac:dyDescent="0.3">
      <c r="A70" s="7" t="s">
        <v>83</v>
      </c>
      <c r="B70" s="4">
        <v>45157</v>
      </c>
      <c r="C70" s="4">
        <v>45176</v>
      </c>
      <c r="D70" s="4" t="str">
        <f t="shared" si="6"/>
        <v>Valid</v>
      </c>
      <c r="E70" s="4">
        <f t="shared" si="7"/>
        <v>45176</v>
      </c>
      <c r="F70" s="13">
        <f t="shared" si="8"/>
        <v>19</v>
      </c>
      <c r="G70" s="7" t="s">
        <v>646</v>
      </c>
      <c r="H70" s="7" t="s">
        <v>661</v>
      </c>
      <c r="I70" s="7" t="s">
        <v>682</v>
      </c>
      <c r="J70" s="7" t="s">
        <v>706</v>
      </c>
      <c r="K70" s="7" t="s">
        <v>707</v>
      </c>
      <c r="L70" s="7" t="s">
        <v>726</v>
      </c>
      <c r="M70" s="7" t="s">
        <v>732</v>
      </c>
      <c r="N70" s="7" t="s">
        <v>1496</v>
      </c>
      <c r="O70" s="9">
        <v>494.61</v>
      </c>
      <c r="P70" s="9">
        <v>605.23</v>
      </c>
      <c r="Q70" s="9">
        <f t="shared" si="9"/>
        <v>605.23</v>
      </c>
      <c r="R70" s="9" t="str">
        <f t="shared" si="10"/>
        <v>OK</v>
      </c>
      <c r="S70" s="11">
        <v>0.20399999999999999</v>
      </c>
      <c r="T70" s="11" t="str">
        <f t="shared" si="11"/>
        <v>OK</v>
      </c>
      <c r="U70" s="13">
        <v>18</v>
      </c>
    </row>
    <row r="71" spans="1:21" x14ac:dyDescent="0.3">
      <c r="A71" s="7" t="s">
        <v>84</v>
      </c>
      <c r="B71" s="4">
        <v>45037</v>
      </c>
      <c r="C71" s="4">
        <v>45056</v>
      </c>
      <c r="D71" s="4" t="str">
        <f t="shared" si="6"/>
        <v>Valid</v>
      </c>
      <c r="E71" s="4">
        <f t="shared" si="7"/>
        <v>45056</v>
      </c>
      <c r="F71" s="13">
        <f t="shared" si="8"/>
        <v>19</v>
      </c>
      <c r="G71" s="7" t="s">
        <v>647</v>
      </c>
      <c r="H71" s="7" t="s">
        <v>659</v>
      </c>
      <c r="I71" s="7" t="s">
        <v>685</v>
      </c>
      <c r="J71" s="7" t="s">
        <v>701</v>
      </c>
      <c r="K71" s="7" t="s">
        <v>707</v>
      </c>
      <c r="L71" s="7" t="s">
        <v>720</v>
      </c>
      <c r="M71" s="7" t="s">
        <v>727</v>
      </c>
      <c r="N71" s="7" t="s">
        <v>1497</v>
      </c>
      <c r="O71" s="9">
        <v>882.33</v>
      </c>
      <c r="P71" s="9">
        <v>1880.15</v>
      </c>
      <c r="Q71" s="9">
        <f t="shared" si="9"/>
        <v>1880.15</v>
      </c>
      <c r="R71" s="9" t="str">
        <f t="shared" si="10"/>
        <v>OK</v>
      </c>
      <c r="S71" s="11">
        <v>0.05</v>
      </c>
      <c r="T71" s="11" t="str">
        <f t="shared" si="11"/>
        <v>OK</v>
      </c>
      <c r="U71" s="13">
        <v>5</v>
      </c>
    </row>
    <row r="72" spans="1:21" x14ac:dyDescent="0.3">
      <c r="A72" s="7" t="s">
        <v>85</v>
      </c>
      <c r="B72" s="4">
        <v>45369</v>
      </c>
      <c r="C72" s="4">
        <v>45372</v>
      </c>
      <c r="D72" s="4" t="str">
        <f t="shared" si="6"/>
        <v>Valid</v>
      </c>
      <c r="E72" s="4">
        <f t="shared" si="7"/>
        <v>45372</v>
      </c>
      <c r="F72" s="13">
        <f t="shared" si="8"/>
        <v>3</v>
      </c>
      <c r="G72" s="7" t="s">
        <v>649</v>
      </c>
      <c r="H72" s="7" t="s">
        <v>656</v>
      </c>
      <c r="I72" s="7" t="s">
        <v>684</v>
      </c>
      <c r="J72" s="7" t="s">
        <v>705</v>
      </c>
      <c r="K72" s="7" t="s">
        <v>708</v>
      </c>
      <c r="L72" s="7" t="s">
        <v>724</v>
      </c>
      <c r="M72" s="7" t="s">
        <v>733</v>
      </c>
      <c r="N72" s="7" t="s">
        <v>1498</v>
      </c>
      <c r="O72" s="9">
        <v>910.63</v>
      </c>
      <c r="P72" s="9">
        <v>1269.4000000000001</v>
      </c>
      <c r="Q72" s="9">
        <f t="shared" si="9"/>
        <v>1269.4000000000001</v>
      </c>
      <c r="R72" s="9" t="str">
        <f t="shared" si="10"/>
        <v>OK</v>
      </c>
      <c r="S72" s="11">
        <v>6.8000000000000005E-2</v>
      </c>
      <c r="T72" s="11" t="str">
        <f t="shared" si="11"/>
        <v>OK</v>
      </c>
      <c r="U72" s="13">
        <v>9</v>
      </c>
    </row>
    <row r="73" spans="1:21" x14ac:dyDescent="0.3">
      <c r="A73" s="7" t="s">
        <v>86</v>
      </c>
      <c r="B73" s="4">
        <v>45756</v>
      </c>
      <c r="C73" s="4">
        <v>45783</v>
      </c>
      <c r="D73" s="4" t="str">
        <f t="shared" si="6"/>
        <v>Valid</v>
      </c>
      <c r="E73" s="4">
        <f t="shared" si="7"/>
        <v>45783</v>
      </c>
      <c r="F73" s="13">
        <f t="shared" si="8"/>
        <v>27</v>
      </c>
      <c r="G73" s="7" t="s">
        <v>648</v>
      </c>
      <c r="H73" s="7" t="s">
        <v>655</v>
      </c>
      <c r="I73" s="7" t="s">
        <v>672</v>
      </c>
      <c r="J73" s="7" t="s">
        <v>706</v>
      </c>
      <c r="K73" s="7" t="s">
        <v>709</v>
      </c>
      <c r="L73" s="7" t="s">
        <v>721</v>
      </c>
      <c r="M73" s="7" t="s">
        <v>731</v>
      </c>
      <c r="N73" s="7" t="s">
        <v>1499</v>
      </c>
      <c r="O73" s="9">
        <v>264.19</v>
      </c>
      <c r="P73" s="9">
        <v>620.92999999999995</v>
      </c>
      <c r="Q73" s="9">
        <f t="shared" si="9"/>
        <v>620.92999999999995</v>
      </c>
      <c r="R73" s="9" t="str">
        <f t="shared" si="10"/>
        <v>OK</v>
      </c>
      <c r="S73" s="11">
        <v>0.14199999999999999</v>
      </c>
      <c r="T73" s="11" t="str">
        <f t="shared" si="11"/>
        <v>OK</v>
      </c>
      <c r="U73" s="13">
        <v>12</v>
      </c>
    </row>
    <row r="74" spans="1:21" x14ac:dyDescent="0.3">
      <c r="A74" s="7" t="s">
        <v>87</v>
      </c>
      <c r="B74" s="4">
        <v>45394</v>
      </c>
      <c r="C74" s="4">
        <v>45419</v>
      </c>
      <c r="D74" s="4" t="str">
        <f t="shared" si="6"/>
        <v>Valid</v>
      </c>
      <c r="E74" s="4">
        <f t="shared" si="7"/>
        <v>45419</v>
      </c>
      <c r="F74" s="13">
        <f t="shared" si="8"/>
        <v>25</v>
      </c>
      <c r="G74" s="7" t="s">
        <v>646</v>
      </c>
      <c r="H74" s="7" t="s">
        <v>661</v>
      </c>
      <c r="I74" s="7" t="s">
        <v>682</v>
      </c>
      <c r="J74" s="7" t="s">
        <v>702</v>
      </c>
      <c r="K74" s="7" t="s">
        <v>710</v>
      </c>
      <c r="L74" s="7" t="s">
        <v>720</v>
      </c>
      <c r="M74" s="7" t="s">
        <v>731</v>
      </c>
      <c r="N74" s="7" t="s">
        <v>1500</v>
      </c>
      <c r="O74" s="9">
        <v>1376.51</v>
      </c>
      <c r="P74" s="9">
        <v>1455.91</v>
      </c>
      <c r="Q74" s="9">
        <f t="shared" si="9"/>
        <v>1455.91</v>
      </c>
      <c r="R74" s="9" t="str">
        <f t="shared" si="10"/>
        <v>OK</v>
      </c>
      <c r="S74" s="11">
        <v>0.185</v>
      </c>
      <c r="T74" s="11" t="str">
        <f t="shared" si="11"/>
        <v>OK</v>
      </c>
      <c r="U74" s="13">
        <v>17</v>
      </c>
    </row>
    <row r="75" spans="1:21" x14ac:dyDescent="0.3">
      <c r="A75" s="7" t="s">
        <v>88</v>
      </c>
      <c r="B75" s="4">
        <v>45641</v>
      </c>
      <c r="C75" s="4">
        <v>45646</v>
      </c>
      <c r="D75" s="4" t="str">
        <f t="shared" si="6"/>
        <v>Valid</v>
      </c>
      <c r="E75" s="4">
        <f t="shared" si="7"/>
        <v>45646</v>
      </c>
      <c r="F75" s="13">
        <f t="shared" si="8"/>
        <v>5</v>
      </c>
      <c r="G75" s="7" t="s">
        <v>647</v>
      </c>
      <c r="H75" s="7" t="s">
        <v>659</v>
      </c>
      <c r="I75" s="7" t="s">
        <v>676</v>
      </c>
      <c r="J75" s="7" t="s">
        <v>705</v>
      </c>
      <c r="K75" s="7" t="s">
        <v>711</v>
      </c>
      <c r="L75" s="7" t="s">
        <v>713</v>
      </c>
      <c r="M75" s="7" t="s">
        <v>729</v>
      </c>
      <c r="N75" s="7" t="s">
        <v>1501</v>
      </c>
      <c r="O75" s="9">
        <v>717.55</v>
      </c>
      <c r="P75" s="9">
        <v>546.42999999999995</v>
      </c>
      <c r="Q75" s="9">
        <f t="shared" si="9"/>
        <v>546.42999999999995</v>
      </c>
      <c r="R75" s="9" t="str">
        <f t="shared" si="10"/>
        <v>OK</v>
      </c>
      <c r="S75" s="11">
        <v>4.7E-2</v>
      </c>
      <c r="T75" s="11" t="str">
        <f t="shared" si="11"/>
        <v>OK</v>
      </c>
      <c r="U75" s="13">
        <v>18</v>
      </c>
    </row>
    <row r="76" spans="1:21" x14ac:dyDescent="0.3">
      <c r="A76" s="7" t="s">
        <v>89</v>
      </c>
      <c r="B76" s="4">
        <v>45066</v>
      </c>
      <c r="C76" s="4">
        <v>45064</v>
      </c>
      <c r="D76" s="4" t="str">
        <f t="shared" si="6"/>
        <v>Invalid</v>
      </c>
      <c r="E76" s="4">
        <f t="shared" si="7"/>
        <v>45066</v>
      </c>
      <c r="F76" s="13">
        <f t="shared" si="8"/>
        <v>0</v>
      </c>
      <c r="G76" s="7" t="s">
        <v>646</v>
      </c>
      <c r="H76" s="7" t="s">
        <v>661</v>
      </c>
      <c r="I76" s="7" t="s">
        <v>687</v>
      </c>
      <c r="J76" s="7" t="s">
        <v>701</v>
      </c>
      <c r="K76" s="7" t="s">
        <v>710</v>
      </c>
      <c r="L76" s="7" t="s">
        <v>720</v>
      </c>
      <c r="M76" s="7" t="s">
        <v>727</v>
      </c>
      <c r="N76" s="7" t="s">
        <v>1502</v>
      </c>
      <c r="O76" s="9">
        <v>917.88</v>
      </c>
      <c r="P76" s="9">
        <v>1347.92</v>
      </c>
      <c r="Q76" s="9">
        <f t="shared" si="9"/>
        <v>1347.92</v>
      </c>
      <c r="R76" s="9" t="str">
        <f t="shared" si="10"/>
        <v>OK</v>
      </c>
      <c r="S76" s="11">
        <v>0.34300000000000003</v>
      </c>
      <c r="T76" s="11" t="str">
        <f t="shared" si="11"/>
        <v>FLAG</v>
      </c>
      <c r="U76" s="13">
        <v>5</v>
      </c>
    </row>
    <row r="77" spans="1:21" x14ac:dyDescent="0.3">
      <c r="A77" s="7" t="s">
        <v>90</v>
      </c>
      <c r="B77" s="4">
        <v>45187</v>
      </c>
      <c r="C77" s="4">
        <v>45207</v>
      </c>
      <c r="D77" s="4" t="str">
        <f t="shared" si="6"/>
        <v>Valid</v>
      </c>
      <c r="E77" s="4">
        <f t="shared" si="7"/>
        <v>45207</v>
      </c>
      <c r="F77" s="13">
        <f t="shared" si="8"/>
        <v>20</v>
      </c>
      <c r="G77" s="7" t="s">
        <v>647</v>
      </c>
      <c r="H77" s="7" t="s">
        <v>654</v>
      </c>
      <c r="I77" s="7" t="s">
        <v>680</v>
      </c>
      <c r="J77" s="7" t="s">
        <v>705</v>
      </c>
      <c r="K77" s="7" t="s">
        <v>711</v>
      </c>
      <c r="L77" s="7" t="s">
        <v>717</v>
      </c>
      <c r="M77" s="7" t="s">
        <v>727</v>
      </c>
      <c r="N77" s="7" t="s">
        <v>1503</v>
      </c>
      <c r="O77" s="9">
        <v>825.64</v>
      </c>
      <c r="P77" s="9">
        <v>1108.43</v>
      </c>
      <c r="Q77" s="9">
        <f t="shared" si="9"/>
        <v>1108.43</v>
      </c>
      <c r="R77" s="9" t="str">
        <f t="shared" si="10"/>
        <v>OK</v>
      </c>
      <c r="S77" s="11">
        <v>0.114</v>
      </c>
      <c r="T77" s="11" t="str">
        <f t="shared" si="11"/>
        <v>OK</v>
      </c>
      <c r="U77" s="13">
        <v>7</v>
      </c>
    </row>
    <row r="78" spans="1:21" x14ac:dyDescent="0.3">
      <c r="A78" s="7" t="s">
        <v>91</v>
      </c>
      <c r="B78" s="4">
        <v>45532</v>
      </c>
      <c r="C78" s="4">
        <v>45560</v>
      </c>
      <c r="D78" s="4" t="str">
        <f t="shared" si="6"/>
        <v>Valid</v>
      </c>
      <c r="E78" s="4">
        <f t="shared" si="7"/>
        <v>45560</v>
      </c>
      <c r="F78" s="13">
        <f t="shared" si="8"/>
        <v>28</v>
      </c>
      <c r="G78" s="7" t="s">
        <v>648</v>
      </c>
      <c r="H78" s="7" t="s">
        <v>655</v>
      </c>
      <c r="I78" s="7" t="s">
        <v>1426</v>
      </c>
      <c r="J78" s="7" t="s">
        <v>703</v>
      </c>
      <c r="K78" s="7" t="s">
        <v>708</v>
      </c>
      <c r="L78" s="7" t="s">
        <v>2057</v>
      </c>
      <c r="M78" s="7" t="s">
        <v>733</v>
      </c>
      <c r="N78" s="7" t="s">
        <v>1504</v>
      </c>
      <c r="O78" s="9">
        <v>1394.65</v>
      </c>
      <c r="P78" s="9">
        <v>3144.1</v>
      </c>
      <c r="Q78" s="9">
        <f t="shared" si="9"/>
        <v>3144.1</v>
      </c>
      <c r="R78" s="9" t="str">
        <f t="shared" si="10"/>
        <v>OK</v>
      </c>
      <c r="S78" s="11">
        <v>0.13400000000000001</v>
      </c>
      <c r="T78" s="11" t="str">
        <f t="shared" si="11"/>
        <v>OK</v>
      </c>
      <c r="U78" s="13">
        <v>13</v>
      </c>
    </row>
    <row r="79" spans="1:21" x14ac:dyDescent="0.3">
      <c r="A79" s="7" t="s">
        <v>92</v>
      </c>
      <c r="B79" s="4">
        <v>45473</v>
      </c>
      <c r="C79" s="4">
        <v>45471</v>
      </c>
      <c r="D79" s="4" t="str">
        <f t="shared" si="6"/>
        <v>Invalid</v>
      </c>
      <c r="E79" s="4">
        <f t="shared" si="7"/>
        <v>45473</v>
      </c>
      <c r="F79" s="13">
        <f t="shared" si="8"/>
        <v>0</v>
      </c>
      <c r="G79" s="7" t="s">
        <v>648</v>
      </c>
      <c r="H79" s="7" t="s">
        <v>655</v>
      </c>
      <c r="I79" s="7" t="s">
        <v>1426</v>
      </c>
      <c r="J79" s="7" t="s">
        <v>705</v>
      </c>
      <c r="K79" s="7" t="s">
        <v>711</v>
      </c>
      <c r="L79" s="7" t="s">
        <v>716</v>
      </c>
      <c r="M79" s="7" t="s">
        <v>733</v>
      </c>
      <c r="N79" s="7" t="s">
        <v>1505</v>
      </c>
      <c r="O79" s="9">
        <v>1112.98</v>
      </c>
      <c r="P79" s="9">
        <v>2095.73</v>
      </c>
      <c r="Q79" s="9">
        <f t="shared" si="9"/>
        <v>2095.73</v>
      </c>
      <c r="R79" s="9" t="str">
        <f t="shared" si="10"/>
        <v>OK</v>
      </c>
      <c r="S79" s="11">
        <v>7.1999999999999995E-2</v>
      </c>
      <c r="T79" s="11" t="str">
        <f t="shared" si="11"/>
        <v>OK</v>
      </c>
      <c r="U79" s="13">
        <v>17</v>
      </c>
    </row>
    <row r="80" spans="1:21" x14ac:dyDescent="0.3">
      <c r="A80" s="7" t="s">
        <v>93</v>
      </c>
      <c r="B80" s="4">
        <v>45091</v>
      </c>
      <c r="C80" s="4">
        <v>45093</v>
      </c>
      <c r="D80" s="4" t="str">
        <f t="shared" si="6"/>
        <v>Valid</v>
      </c>
      <c r="E80" s="4">
        <f t="shared" si="7"/>
        <v>45093</v>
      </c>
      <c r="F80" s="13">
        <f t="shared" si="8"/>
        <v>2</v>
      </c>
      <c r="G80" s="7" t="s">
        <v>649</v>
      </c>
      <c r="H80" s="7" t="s">
        <v>658</v>
      </c>
      <c r="I80" s="7" t="s">
        <v>693</v>
      </c>
      <c r="J80" s="7" t="s">
        <v>703</v>
      </c>
      <c r="K80" s="7" t="s">
        <v>711</v>
      </c>
      <c r="L80" s="7" t="s">
        <v>723</v>
      </c>
      <c r="M80" s="7" t="s">
        <v>727</v>
      </c>
      <c r="N80" s="7" t="s">
        <v>1506</v>
      </c>
      <c r="O80" s="9">
        <v>357.36</v>
      </c>
      <c r="P80" s="9">
        <v>703.62</v>
      </c>
      <c r="Q80" s="9">
        <f t="shared" si="9"/>
        <v>703.62</v>
      </c>
      <c r="R80" s="9" t="str">
        <f t="shared" si="10"/>
        <v>OK</v>
      </c>
      <c r="S80" s="11">
        <v>0.25700000000000001</v>
      </c>
      <c r="T80" s="11" t="str">
        <f t="shared" si="11"/>
        <v>OK</v>
      </c>
      <c r="U80" s="13">
        <v>20</v>
      </c>
    </row>
    <row r="81" spans="1:21" x14ac:dyDescent="0.3">
      <c r="A81" s="7" t="s">
        <v>94</v>
      </c>
      <c r="B81" s="4">
        <v>45617</v>
      </c>
      <c r="C81" s="4">
        <v>45647</v>
      </c>
      <c r="D81" s="4" t="str">
        <f t="shared" si="6"/>
        <v>Valid</v>
      </c>
      <c r="E81" s="4">
        <f t="shared" si="7"/>
        <v>45647</v>
      </c>
      <c r="F81" s="13">
        <f t="shared" si="8"/>
        <v>30</v>
      </c>
      <c r="G81" s="7" t="s">
        <v>649</v>
      </c>
      <c r="H81" s="7" t="s">
        <v>657</v>
      </c>
      <c r="I81" s="7" t="s">
        <v>673</v>
      </c>
      <c r="J81" s="7" t="s">
        <v>705</v>
      </c>
      <c r="K81" s="7" t="s">
        <v>711</v>
      </c>
      <c r="L81" s="7" t="s">
        <v>714</v>
      </c>
      <c r="M81" s="7" t="s">
        <v>732</v>
      </c>
      <c r="N81" s="7" t="s">
        <v>1507</v>
      </c>
      <c r="O81" s="9">
        <v>1122.68</v>
      </c>
      <c r="P81" s="9">
        <v>1997.19</v>
      </c>
      <c r="Q81" s="9">
        <f t="shared" si="9"/>
        <v>1997.19</v>
      </c>
      <c r="R81" s="9" t="str">
        <f t="shared" si="10"/>
        <v>OK</v>
      </c>
      <c r="S81" s="11">
        <v>0.186</v>
      </c>
      <c r="T81" s="11" t="str">
        <f t="shared" si="11"/>
        <v>OK</v>
      </c>
      <c r="U81" s="13">
        <v>3</v>
      </c>
    </row>
    <row r="82" spans="1:21" x14ac:dyDescent="0.3">
      <c r="A82" s="7" t="s">
        <v>95</v>
      </c>
      <c r="B82" s="4">
        <v>44965</v>
      </c>
      <c r="C82" s="4">
        <v>44968</v>
      </c>
      <c r="D82" s="4" t="str">
        <f t="shared" si="6"/>
        <v>Valid</v>
      </c>
      <c r="E82" s="4">
        <f t="shared" si="7"/>
        <v>44968</v>
      </c>
      <c r="F82" s="13">
        <f t="shared" si="8"/>
        <v>3</v>
      </c>
      <c r="G82" s="7" t="s">
        <v>646</v>
      </c>
      <c r="H82" s="7" t="s">
        <v>661</v>
      </c>
      <c r="I82" s="7" t="s">
        <v>695</v>
      </c>
      <c r="J82" s="7" t="s">
        <v>701</v>
      </c>
      <c r="K82" s="7" t="s">
        <v>711</v>
      </c>
      <c r="L82" s="7" t="s">
        <v>724</v>
      </c>
      <c r="M82" s="7" t="s">
        <v>729</v>
      </c>
      <c r="N82" s="7" t="s">
        <v>1508</v>
      </c>
      <c r="O82" s="9">
        <v>1410.05</v>
      </c>
      <c r="P82" s="9">
        <v>2763.95</v>
      </c>
      <c r="Q82" s="9">
        <f t="shared" si="9"/>
        <v>2763.95</v>
      </c>
      <c r="R82" s="9" t="str">
        <f t="shared" si="10"/>
        <v>OK</v>
      </c>
      <c r="S82" s="11">
        <v>0.161</v>
      </c>
      <c r="T82" s="11" t="str">
        <f t="shared" si="11"/>
        <v>OK</v>
      </c>
      <c r="U82" s="13">
        <v>26</v>
      </c>
    </row>
    <row r="83" spans="1:21" x14ac:dyDescent="0.3">
      <c r="A83" s="7" t="s">
        <v>96</v>
      </c>
      <c r="B83" s="4">
        <v>45157</v>
      </c>
      <c r="C83" s="4">
        <v>45181</v>
      </c>
      <c r="D83" s="4" t="str">
        <f t="shared" si="6"/>
        <v>Valid</v>
      </c>
      <c r="E83" s="4">
        <f t="shared" si="7"/>
        <v>45181</v>
      </c>
      <c r="F83" s="13">
        <f t="shared" si="8"/>
        <v>24</v>
      </c>
      <c r="G83" s="7" t="s">
        <v>648</v>
      </c>
      <c r="H83" s="7" t="s">
        <v>653</v>
      </c>
      <c r="I83" s="7" t="s">
        <v>688</v>
      </c>
      <c r="J83" s="7" t="s">
        <v>706</v>
      </c>
      <c r="K83" s="7" t="s">
        <v>707</v>
      </c>
      <c r="L83" s="7" t="s">
        <v>714</v>
      </c>
      <c r="M83" s="7" t="s">
        <v>728</v>
      </c>
      <c r="N83" s="7" t="s">
        <v>1509</v>
      </c>
      <c r="O83" s="9">
        <v>1183.95</v>
      </c>
      <c r="P83" s="9">
        <v>1503.53</v>
      </c>
      <c r="Q83" s="9">
        <f t="shared" si="9"/>
        <v>1503.53</v>
      </c>
      <c r="R83" s="9" t="str">
        <f t="shared" si="10"/>
        <v>OK</v>
      </c>
      <c r="S83" s="11">
        <v>0.24099999999999999</v>
      </c>
      <c r="T83" s="11" t="str">
        <f t="shared" si="11"/>
        <v>OK</v>
      </c>
      <c r="U83" s="13">
        <v>16</v>
      </c>
    </row>
    <row r="84" spans="1:21" x14ac:dyDescent="0.3">
      <c r="A84" s="7" t="s">
        <v>97</v>
      </c>
      <c r="B84" s="4">
        <v>45791</v>
      </c>
      <c r="C84" s="4">
        <v>45801</v>
      </c>
      <c r="D84" s="4" t="str">
        <f t="shared" si="6"/>
        <v>Valid</v>
      </c>
      <c r="E84" s="4">
        <f t="shared" si="7"/>
        <v>45801</v>
      </c>
      <c r="F84" s="13">
        <f t="shared" si="8"/>
        <v>10</v>
      </c>
      <c r="G84" s="7" t="s">
        <v>649</v>
      </c>
      <c r="H84" s="7" t="s">
        <v>657</v>
      </c>
      <c r="I84" s="7" t="s">
        <v>690</v>
      </c>
      <c r="J84" s="7" t="s">
        <v>705</v>
      </c>
      <c r="K84" s="7" t="s">
        <v>709</v>
      </c>
      <c r="L84" s="7" t="s">
        <v>723</v>
      </c>
      <c r="M84" s="7" t="s">
        <v>727</v>
      </c>
      <c r="N84" s="7" t="s">
        <v>1510</v>
      </c>
      <c r="O84" s="9">
        <v>170.39</v>
      </c>
      <c r="P84" s="9">
        <v>388.04</v>
      </c>
      <c r="Q84" s="9">
        <f t="shared" si="9"/>
        <v>388.04</v>
      </c>
      <c r="R84" s="9" t="str">
        <f t="shared" si="10"/>
        <v>OK</v>
      </c>
      <c r="S84" s="11">
        <v>8.4000000000000005E-2</v>
      </c>
      <c r="T84" s="11" t="str">
        <f t="shared" si="11"/>
        <v>OK</v>
      </c>
      <c r="U84" s="13">
        <v>15</v>
      </c>
    </row>
    <row r="85" spans="1:21" x14ac:dyDescent="0.3">
      <c r="A85" s="7" t="s">
        <v>98</v>
      </c>
      <c r="B85" s="4">
        <v>45770</v>
      </c>
      <c r="C85" s="4">
        <v>45769</v>
      </c>
      <c r="D85" s="4" t="str">
        <f t="shared" si="6"/>
        <v>Invalid</v>
      </c>
      <c r="E85" s="4">
        <f t="shared" si="7"/>
        <v>45770</v>
      </c>
      <c r="F85" s="13">
        <f t="shared" si="8"/>
        <v>0</v>
      </c>
      <c r="G85" s="7" t="s">
        <v>648</v>
      </c>
      <c r="H85" s="7" t="s">
        <v>1425</v>
      </c>
      <c r="I85" s="7" t="s">
        <v>686</v>
      </c>
      <c r="J85" s="7" t="s">
        <v>703</v>
      </c>
      <c r="K85" s="7" t="s">
        <v>710</v>
      </c>
      <c r="L85" s="7" t="s">
        <v>726</v>
      </c>
      <c r="M85" s="7" t="s">
        <v>732</v>
      </c>
      <c r="N85" s="7" t="s">
        <v>1511</v>
      </c>
      <c r="O85" s="9">
        <v>23.24</v>
      </c>
      <c r="P85" s="9">
        <v>44.57</v>
      </c>
      <c r="Q85" s="9">
        <f t="shared" si="9"/>
        <v>44.57</v>
      </c>
      <c r="R85" s="9" t="str">
        <f t="shared" si="10"/>
        <v>OK</v>
      </c>
      <c r="S85" s="11">
        <v>0.215</v>
      </c>
      <c r="T85" s="11" t="str">
        <f t="shared" si="11"/>
        <v>OK</v>
      </c>
      <c r="U85" s="13">
        <v>15</v>
      </c>
    </row>
    <row r="86" spans="1:21" x14ac:dyDescent="0.3">
      <c r="A86" s="7" t="s">
        <v>99</v>
      </c>
      <c r="B86" s="4">
        <v>45741</v>
      </c>
      <c r="C86" s="4">
        <v>45764</v>
      </c>
      <c r="D86" s="4" t="str">
        <f t="shared" si="6"/>
        <v>Valid</v>
      </c>
      <c r="E86" s="4">
        <f t="shared" si="7"/>
        <v>45764</v>
      </c>
      <c r="F86" s="13">
        <f t="shared" si="8"/>
        <v>23</v>
      </c>
      <c r="G86" s="7" t="s">
        <v>649</v>
      </c>
      <c r="H86" s="7" t="s">
        <v>658</v>
      </c>
      <c r="I86" s="7" t="s">
        <v>683</v>
      </c>
      <c r="J86" s="7" t="s">
        <v>704</v>
      </c>
      <c r="K86" s="7" t="s">
        <v>707</v>
      </c>
      <c r="L86" s="7" t="s">
        <v>722</v>
      </c>
      <c r="M86" s="7" t="s">
        <v>729</v>
      </c>
      <c r="N86" s="7" t="s">
        <v>1512</v>
      </c>
      <c r="O86" s="9">
        <v>1421.19</v>
      </c>
      <c r="P86" s="9">
        <v>1808.26</v>
      </c>
      <c r="Q86" s="9">
        <f t="shared" si="9"/>
        <v>1808.26</v>
      </c>
      <c r="R86" s="9" t="str">
        <f t="shared" si="10"/>
        <v>OK</v>
      </c>
      <c r="S86" s="11">
        <v>0.104</v>
      </c>
      <c r="T86" s="11" t="str">
        <f t="shared" si="11"/>
        <v>OK</v>
      </c>
      <c r="U86" s="13">
        <v>13</v>
      </c>
    </row>
    <row r="87" spans="1:21" x14ac:dyDescent="0.3">
      <c r="A87" s="7" t="s">
        <v>100</v>
      </c>
      <c r="B87" s="4">
        <v>45282</v>
      </c>
      <c r="C87" s="4">
        <v>45283</v>
      </c>
      <c r="D87" s="4" t="str">
        <f t="shared" si="6"/>
        <v>Valid</v>
      </c>
      <c r="E87" s="4">
        <f t="shared" si="7"/>
        <v>45283</v>
      </c>
      <c r="F87" s="13">
        <f t="shared" si="8"/>
        <v>1</v>
      </c>
      <c r="G87" s="7" t="s">
        <v>646</v>
      </c>
      <c r="H87" s="7" t="s">
        <v>661</v>
      </c>
      <c r="I87" s="7" t="s">
        <v>695</v>
      </c>
      <c r="J87" s="7" t="s">
        <v>703</v>
      </c>
      <c r="K87" s="7" t="s">
        <v>709</v>
      </c>
      <c r="L87" s="7" t="s">
        <v>726</v>
      </c>
      <c r="M87" s="7" t="s">
        <v>727</v>
      </c>
      <c r="N87" s="7" t="s">
        <v>1513</v>
      </c>
      <c r="O87" s="9">
        <v>1186.18</v>
      </c>
      <c r="P87" s="9">
        <v>1285.0899999999999</v>
      </c>
      <c r="Q87" s="9">
        <f t="shared" si="9"/>
        <v>1285.0899999999999</v>
      </c>
      <c r="R87" s="9" t="str">
        <f t="shared" si="10"/>
        <v>OK</v>
      </c>
      <c r="S87" s="11">
        <v>7.0000000000000007E-2</v>
      </c>
      <c r="T87" s="11" t="str">
        <f t="shared" si="11"/>
        <v>OK</v>
      </c>
      <c r="U87" s="13">
        <v>11</v>
      </c>
    </row>
    <row r="88" spans="1:21" x14ac:dyDescent="0.3">
      <c r="A88" s="7" t="s">
        <v>101</v>
      </c>
      <c r="B88" s="4">
        <v>45388</v>
      </c>
      <c r="C88" s="4">
        <v>45407</v>
      </c>
      <c r="D88" s="4" t="str">
        <f t="shared" si="6"/>
        <v>Valid</v>
      </c>
      <c r="E88" s="4">
        <f t="shared" si="7"/>
        <v>45407</v>
      </c>
      <c r="F88" s="13">
        <f t="shared" si="8"/>
        <v>19</v>
      </c>
      <c r="G88" s="7" t="s">
        <v>647</v>
      </c>
      <c r="H88" s="7" t="s">
        <v>659</v>
      </c>
      <c r="I88" s="7" t="s">
        <v>685</v>
      </c>
      <c r="J88" s="7" t="s">
        <v>701</v>
      </c>
      <c r="K88" s="7" t="s">
        <v>707</v>
      </c>
      <c r="L88" s="7" t="s">
        <v>723</v>
      </c>
      <c r="M88" s="7" t="s">
        <v>727</v>
      </c>
      <c r="N88" s="7" t="s">
        <v>1514</v>
      </c>
      <c r="O88" s="9">
        <v>1366.48</v>
      </c>
      <c r="P88" s="9">
        <v>1678.14</v>
      </c>
      <c r="Q88" s="9">
        <f t="shared" si="9"/>
        <v>1678.14</v>
      </c>
      <c r="R88" s="9" t="str">
        <f t="shared" si="10"/>
        <v>OK</v>
      </c>
      <c r="S88" s="11">
        <v>0.154</v>
      </c>
      <c r="T88" s="11" t="str">
        <f t="shared" si="11"/>
        <v>OK</v>
      </c>
      <c r="U88" s="13">
        <v>10</v>
      </c>
    </row>
    <row r="89" spans="1:21" x14ac:dyDescent="0.3">
      <c r="A89" s="7" t="s">
        <v>102</v>
      </c>
      <c r="B89" s="4">
        <v>45876</v>
      </c>
      <c r="C89" s="4">
        <v>45888</v>
      </c>
      <c r="D89" s="4" t="str">
        <f t="shared" si="6"/>
        <v>Valid</v>
      </c>
      <c r="E89" s="4">
        <f t="shared" si="7"/>
        <v>45888</v>
      </c>
      <c r="F89" s="13">
        <f t="shared" si="8"/>
        <v>12</v>
      </c>
      <c r="G89" s="7" t="s">
        <v>646</v>
      </c>
      <c r="H89" s="7" t="s">
        <v>650</v>
      </c>
      <c r="I89" s="7" t="s">
        <v>678</v>
      </c>
      <c r="J89" s="7" t="s">
        <v>701</v>
      </c>
      <c r="K89" s="7" t="s">
        <v>2057</v>
      </c>
      <c r="L89" s="7" t="s">
        <v>724</v>
      </c>
      <c r="M89" s="7" t="s">
        <v>727</v>
      </c>
      <c r="N89" s="7" t="s">
        <v>1515</v>
      </c>
      <c r="O89" s="9">
        <v>601.51</v>
      </c>
      <c r="P89" s="9">
        <v>679.35</v>
      </c>
      <c r="Q89" s="9">
        <f t="shared" si="9"/>
        <v>679.35</v>
      </c>
      <c r="R89" s="9" t="str">
        <f t="shared" si="10"/>
        <v>OK</v>
      </c>
      <c r="S89" s="11">
        <v>0.188</v>
      </c>
      <c r="T89" s="11" t="str">
        <f t="shared" si="11"/>
        <v>OK</v>
      </c>
      <c r="U89" s="13">
        <v>3</v>
      </c>
    </row>
    <row r="90" spans="1:21" x14ac:dyDescent="0.3">
      <c r="A90" s="7" t="s">
        <v>103</v>
      </c>
      <c r="B90" s="4">
        <v>45312</v>
      </c>
      <c r="C90" s="4">
        <v>45316</v>
      </c>
      <c r="D90" s="4" t="str">
        <f t="shared" si="6"/>
        <v>Valid</v>
      </c>
      <c r="E90" s="4">
        <f t="shared" si="7"/>
        <v>45316</v>
      </c>
      <c r="F90" s="13">
        <f t="shared" si="8"/>
        <v>4</v>
      </c>
      <c r="G90" s="7" t="s">
        <v>647</v>
      </c>
      <c r="H90" s="7" t="s">
        <v>654</v>
      </c>
      <c r="I90" s="7" t="s">
        <v>680</v>
      </c>
      <c r="J90" s="7" t="s">
        <v>704</v>
      </c>
      <c r="K90" s="7" t="s">
        <v>711</v>
      </c>
      <c r="L90" s="7" t="s">
        <v>712</v>
      </c>
      <c r="M90" s="7" t="s">
        <v>732</v>
      </c>
      <c r="N90" s="7" t="s">
        <v>1516</v>
      </c>
      <c r="O90" s="9">
        <v>523.70000000000005</v>
      </c>
      <c r="P90" s="9">
        <v>1109.92</v>
      </c>
      <c r="Q90" s="9">
        <f t="shared" si="9"/>
        <v>1109.92</v>
      </c>
      <c r="R90" s="9" t="str">
        <f t="shared" si="10"/>
        <v>OK</v>
      </c>
      <c r="S90" s="11">
        <v>0.03</v>
      </c>
      <c r="T90" s="11" t="str">
        <f t="shared" si="11"/>
        <v>OK</v>
      </c>
      <c r="U90" s="13">
        <v>11</v>
      </c>
    </row>
    <row r="91" spans="1:21" x14ac:dyDescent="0.3">
      <c r="A91" s="7" t="s">
        <v>104</v>
      </c>
      <c r="B91" s="4">
        <v>45106</v>
      </c>
      <c r="C91" s="4">
        <v>45109</v>
      </c>
      <c r="D91" s="4" t="str">
        <f t="shared" si="6"/>
        <v>Valid</v>
      </c>
      <c r="E91" s="4">
        <f t="shared" si="7"/>
        <v>45109</v>
      </c>
      <c r="F91" s="13">
        <f t="shared" si="8"/>
        <v>3</v>
      </c>
      <c r="G91" s="7" t="s">
        <v>647</v>
      </c>
      <c r="H91" s="7" t="s">
        <v>652</v>
      </c>
      <c r="I91" s="7" t="s">
        <v>694</v>
      </c>
      <c r="J91" s="7" t="s">
        <v>702</v>
      </c>
      <c r="K91" s="7" t="s">
        <v>709</v>
      </c>
      <c r="L91" s="7" t="s">
        <v>721</v>
      </c>
      <c r="M91" s="7" t="s">
        <v>732</v>
      </c>
      <c r="N91" s="7" t="s">
        <v>1517</v>
      </c>
      <c r="O91" s="9">
        <v>55.65</v>
      </c>
      <c r="P91" s="9">
        <v>83.57</v>
      </c>
      <c r="Q91" s="9">
        <f t="shared" si="9"/>
        <v>83.57</v>
      </c>
      <c r="R91" s="9" t="str">
        <f t="shared" si="10"/>
        <v>OK</v>
      </c>
      <c r="S91" s="11">
        <v>6.6000000000000003E-2</v>
      </c>
      <c r="T91" s="11" t="str">
        <f t="shared" si="11"/>
        <v>OK</v>
      </c>
      <c r="U91" s="13">
        <v>8</v>
      </c>
    </row>
    <row r="92" spans="1:21" x14ac:dyDescent="0.3">
      <c r="A92" s="7" t="s">
        <v>105</v>
      </c>
      <c r="B92" s="4">
        <v>45775</v>
      </c>
      <c r="C92" s="4">
        <v>45792</v>
      </c>
      <c r="D92" s="4" t="str">
        <f t="shared" si="6"/>
        <v>Valid</v>
      </c>
      <c r="E92" s="4">
        <f t="shared" si="7"/>
        <v>45792</v>
      </c>
      <c r="F92" s="13">
        <f t="shared" si="8"/>
        <v>17</v>
      </c>
      <c r="G92" s="7" t="s">
        <v>647</v>
      </c>
      <c r="H92" s="7" t="s">
        <v>652</v>
      </c>
      <c r="I92" s="7" t="s">
        <v>694</v>
      </c>
      <c r="J92" s="7" t="s">
        <v>702</v>
      </c>
      <c r="K92" s="7" t="s">
        <v>711</v>
      </c>
      <c r="L92" s="7" t="s">
        <v>725</v>
      </c>
      <c r="M92" s="7" t="s">
        <v>729</v>
      </c>
      <c r="N92" s="7" t="s">
        <v>1518</v>
      </c>
      <c r="O92" s="9">
        <v>691.19</v>
      </c>
      <c r="P92" s="9">
        <v>1284.3</v>
      </c>
      <c r="Q92" s="9">
        <f t="shared" si="9"/>
        <v>1284.3</v>
      </c>
      <c r="R92" s="9" t="str">
        <f t="shared" si="10"/>
        <v>OK</v>
      </c>
      <c r="S92" s="11">
        <v>7.3999999999999996E-2</v>
      </c>
      <c r="T92" s="11" t="str">
        <f t="shared" si="11"/>
        <v>OK</v>
      </c>
      <c r="U92" s="13">
        <v>7</v>
      </c>
    </row>
    <row r="93" spans="1:21" x14ac:dyDescent="0.3">
      <c r="A93" s="7" t="s">
        <v>106</v>
      </c>
      <c r="B93" s="4">
        <v>45817</v>
      </c>
      <c r="C93" s="4">
        <v>45833</v>
      </c>
      <c r="D93" s="4" t="str">
        <f t="shared" si="6"/>
        <v>Valid</v>
      </c>
      <c r="E93" s="4">
        <f t="shared" si="7"/>
        <v>45833</v>
      </c>
      <c r="F93" s="13">
        <f t="shared" si="8"/>
        <v>16</v>
      </c>
      <c r="G93" s="7" t="s">
        <v>647</v>
      </c>
      <c r="H93" s="7" t="s">
        <v>654</v>
      </c>
      <c r="I93" s="7" t="s">
        <v>696</v>
      </c>
      <c r="J93" s="7" t="s">
        <v>706</v>
      </c>
      <c r="K93" s="7" t="s">
        <v>710</v>
      </c>
      <c r="L93" s="7" t="s">
        <v>724</v>
      </c>
      <c r="M93" s="7" t="s">
        <v>730</v>
      </c>
      <c r="N93" s="7" t="s">
        <v>1519</v>
      </c>
      <c r="O93" s="9">
        <v>527.33000000000004</v>
      </c>
      <c r="P93" s="9">
        <v>911.72</v>
      </c>
      <c r="Q93" s="9">
        <f t="shared" si="9"/>
        <v>911.72</v>
      </c>
      <c r="R93" s="9" t="str">
        <f t="shared" si="10"/>
        <v>OK</v>
      </c>
      <c r="S93" s="11">
        <v>0.14399999999999999</v>
      </c>
      <c r="T93" s="11" t="str">
        <f t="shared" si="11"/>
        <v>OK</v>
      </c>
      <c r="U93" s="13">
        <v>25</v>
      </c>
    </row>
    <row r="94" spans="1:21" x14ac:dyDescent="0.3">
      <c r="A94" s="7" t="s">
        <v>107</v>
      </c>
      <c r="B94" s="4">
        <v>45101</v>
      </c>
      <c r="C94" s="4">
        <v>45100</v>
      </c>
      <c r="D94" s="4" t="str">
        <f t="shared" si="6"/>
        <v>Invalid</v>
      </c>
      <c r="E94" s="4">
        <f t="shared" si="7"/>
        <v>45101</v>
      </c>
      <c r="F94" s="13">
        <f t="shared" si="8"/>
        <v>0</v>
      </c>
      <c r="G94" s="7" t="s">
        <v>648</v>
      </c>
      <c r="H94" s="7" t="s">
        <v>655</v>
      </c>
      <c r="I94" s="7" t="s">
        <v>1426</v>
      </c>
      <c r="J94" s="7" t="s">
        <v>703</v>
      </c>
      <c r="K94" s="7" t="s">
        <v>707</v>
      </c>
      <c r="L94" s="7" t="s">
        <v>718</v>
      </c>
      <c r="M94" s="7" t="s">
        <v>728</v>
      </c>
      <c r="N94" s="7" t="s">
        <v>1520</v>
      </c>
      <c r="O94" s="9">
        <v>804.01</v>
      </c>
      <c r="P94" s="9">
        <v>1405.07</v>
      </c>
      <c r="Q94" s="9">
        <f t="shared" si="9"/>
        <v>1405.07</v>
      </c>
      <c r="R94" s="9" t="str">
        <f t="shared" si="10"/>
        <v>OK</v>
      </c>
      <c r="S94" s="11">
        <v>9.6000000000000002E-2</v>
      </c>
      <c r="T94" s="11" t="str">
        <f t="shared" si="11"/>
        <v>OK</v>
      </c>
      <c r="U94" s="13">
        <v>8</v>
      </c>
    </row>
    <row r="95" spans="1:21" x14ac:dyDescent="0.3">
      <c r="A95" s="7" t="s">
        <v>108</v>
      </c>
      <c r="B95" s="4">
        <v>45569</v>
      </c>
      <c r="C95" s="4">
        <v>45598</v>
      </c>
      <c r="D95" s="4" t="str">
        <f t="shared" si="6"/>
        <v>Valid</v>
      </c>
      <c r="E95" s="4">
        <f t="shared" si="7"/>
        <v>45598</v>
      </c>
      <c r="F95" s="13">
        <f t="shared" si="8"/>
        <v>29</v>
      </c>
      <c r="G95" s="7" t="s">
        <v>646</v>
      </c>
      <c r="H95" s="7" t="s">
        <v>651</v>
      </c>
      <c r="I95" s="7" t="s">
        <v>669</v>
      </c>
      <c r="J95" s="7" t="s">
        <v>701</v>
      </c>
      <c r="K95" s="7" t="s">
        <v>710</v>
      </c>
      <c r="L95" s="7" t="s">
        <v>721</v>
      </c>
      <c r="M95" s="7" t="s">
        <v>733</v>
      </c>
      <c r="N95" s="7" t="s">
        <v>1521</v>
      </c>
      <c r="O95" s="9">
        <v>412.09</v>
      </c>
      <c r="P95" s="9">
        <v>968.94</v>
      </c>
      <c r="Q95" s="9">
        <f t="shared" si="9"/>
        <v>968.94</v>
      </c>
      <c r="R95" s="9" t="str">
        <f t="shared" si="10"/>
        <v>OK</v>
      </c>
      <c r="S95" s="11">
        <v>9.9000000000000005E-2</v>
      </c>
      <c r="T95" s="11" t="str">
        <f t="shared" si="11"/>
        <v>OK</v>
      </c>
      <c r="U95" s="13">
        <v>23</v>
      </c>
    </row>
    <row r="96" spans="1:21" x14ac:dyDescent="0.3">
      <c r="A96" s="7" t="s">
        <v>109</v>
      </c>
      <c r="B96" s="4">
        <v>45910</v>
      </c>
      <c r="C96" s="4">
        <v>45930</v>
      </c>
      <c r="D96" s="4" t="str">
        <f t="shared" si="6"/>
        <v>Valid</v>
      </c>
      <c r="E96" s="4">
        <f t="shared" si="7"/>
        <v>45930</v>
      </c>
      <c r="F96" s="13">
        <f t="shared" si="8"/>
        <v>20</v>
      </c>
      <c r="G96" s="7" t="s">
        <v>646</v>
      </c>
      <c r="H96" s="7" t="s">
        <v>650</v>
      </c>
      <c r="I96" s="7" t="s">
        <v>675</v>
      </c>
      <c r="J96" s="7" t="s">
        <v>701</v>
      </c>
      <c r="K96" s="7" t="s">
        <v>711</v>
      </c>
      <c r="L96" s="7" t="s">
        <v>716</v>
      </c>
      <c r="M96" s="7" t="s">
        <v>730</v>
      </c>
      <c r="N96" s="7" t="s">
        <v>1522</v>
      </c>
      <c r="O96" s="9">
        <v>1009.48</v>
      </c>
      <c r="P96" s="9">
        <v>1088.81</v>
      </c>
      <c r="Q96" s="9">
        <f t="shared" si="9"/>
        <v>1088.81</v>
      </c>
      <c r="R96" s="9" t="str">
        <f t="shared" si="10"/>
        <v>OK</v>
      </c>
      <c r="S96" s="11">
        <v>0.16</v>
      </c>
      <c r="T96" s="11" t="str">
        <f t="shared" si="11"/>
        <v>OK</v>
      </c>
      <c r="U96" s="13">
        <v>6</v>
      </c>
    </row>
    <row r="97" spans="1:21" x14ac:dyDescent="0.3">
      <c r="A97" s="7" t="s">
        <v>110</v>
      </c>
      <c r="B97" s="4">
        <v>45022</v>
      </c>
      <c r="C97" s="4">
        <v>45043</v>
      </c>
      <c r="D97" s="4" t="str">
        <f t="shared" si="6"/>
        <v>Valid</v>
      </c>
      <c r="E97" s="4">
        <f t="shared" si="7"/>
        <v>45043</v>
      </c>
      <c r="F97" s="13">
        <f t="shared" si="8"/>
        <v>21</v>
      </c>
      <c r="G97" s="7" t="s">
        <v>649</v>
      </c>
      <c r="H97" s="7" t="s">
        <v>658</v>
      </c>
      <c r="I97" s="7" t="s">
        <v>693</v>
      </c>
      <c r="J97" s="7" t="s">
        <v>706</v>
      </c>
      <c r="K97" s="7" t="s">
        <v>710</v>
      </c>
      <c r="L97" s="7" t="s">
        <v>714</v>
      </c>
      <c r="M97" s="7" t="s">
        <v>728</v>
      </c>
      <c r="N97" s="7" t="s">
        <v>1523</v>
      </c>
      <c r="O97" s="9">
        <v>1084.79</v>
      </c>
      <c r="P97" s="9">
        <v>2484.9899999999998</v>
      </c>
      <c r="Q97" s="9">
        <f t="shared" si="9"/>
        <v>2484.9899999999998</v>
      </c>
      <c r="R97" s="9" t="str">
        <f t="shared" si="10"/>
        <v>OK</v>
      </c>
      <c r="S97" s="11">
        <v>3.4000000000000002E-2</v>
      </c>
      <c r="T97" s="11" t="str">
        <f t="shared" si="11"/>
        <v>OK</v>
      </c>
      <c r="U97" s="13">
        <v>18</v>
      </c>
    </row>
    <row r="98" spans="1:21" x14ac:dyDescent="0.3">
      <c r="A98" s="7" t="s">
        <v>111</v>
      </c>
      <c r="B98" s="4">
        <v>45870</v>
      </c>
      <c r="C98" s="4">
        <v>45885</v>
      </c>
      <c r="D98" s="4" t="str">
        <f t="shared" si="6"/>
        <v>Valid</v>
      </c>
      <c r="E98" s="4">
        <f t="shared" si="7"/>
        <v>45885</v>
      </c>
      <c r="F98" s="13">
        <f t="shared" si="8"/>
        <v>15</v>
      </c>
      <c r="G98" s="7" t="s">
        <v>647</v>
      </c>
      <c r="H98" s="7" t="s">
        <v>654</v>
      </c>
      <c r="I98" s="7" t="s">
        <v>2057</v>
      </c>
      <c r="J98" s="7" t="s">
        <v>706</v>
      </c>
      <c r="K98" s="7" t="s">
        <v>711</v>
      </c>
      <c r="L98" s="7" t="s">
        <v>719</v>
      </c>
      <c r="M98" s="7" t="s">
        <v>732</v>
      </c>
      <c r="N98" s="7" t="s">
        <v>1524</v>
      </c>
      <c r="O98" s="9">
        <v>24.44</v>
      </c>
      <c r="P98" s="9">
        <v>28.69</v>
      </c>
      <c r="Q98" s="9">
        <f t="shared" si="9"/>
        <v>28.69</v>
      </c>
      <c r="R98" s="9" t="str">
        <f t="shared" si="10"/>
        <v>OK</v>
      </c>
      <c r="S98" s="11">
        <v>0.14599999999999999</v>
      </c>
      <c r="T98" s="11" t="str">
        <f t="shared" si="11"/>
        <v>OK</v>
      </c>
      <c r="U98" s="13">
        <v>6</v>
      </c>
    </row>
    <row r="99" spans="1:21" x14ac:dyDescent="0.3">
      <c r="A99" s="7" t="s">
        <v>112</v>
      </c>
      <c r="B99" s="4">
        <v>45440</v>
      </c>
      <c r="C99" s="4">
        <v>45438</v>
      </c>
      <c r="D99" s="4" t="str">
        <f t="shared" si="6"/>
        <v>Invalid</v>
      </c>
      <c r="E99" s="4">
        <f t="shared" si="7"/>
        <v>45440</v>
      </c>
      <c r="F99" s="13">
        <f t="shared" si="8"/>
        <v>0</v>
      </c>
      <c r="G99" s="7" t="s">
        <v>646</v>
      </c>
      <c r="H99" s="7" t="s">
        <v>651</v>
      </c>
      <c r="I99" s="7" t="s">
        <v>669</v>
      </c>
      <c r="J99" s="7" t="s">
        <v>706</v>
      </c>
      <c r="K99" s="7" t="s">
        <v>708</v>
      </c>
      <c r="L99" s="7" t="s">
        <v>721</v>
      </c>
      <c r="M99" s="7" t="s">
        <v>733</v>
      </c>
      <c r="N99" s="7" t="s">
        <v>1525</v>
      </c>
      <c r="O99" s="9">
        <v>1227.08</v>
      </c>
      <c r="P99" s="9">
        <v>1896.62</v>
      </c>
      <c r="Q99" s="9">
        <f t="shared" si="9"/>
        <v>1896.62</v>
      </c>
      <c r="R99" s="9" t="str">
        <f t="shared" si="10"/>
        <v>OK</v>
      </c>
      <c r="S99" s="11">
        <v>0</v>
      </c>
      <c r="T99" s="11" t="str">
        <f t="shared" si="11"/>
        <v>OK</v>
      </c>
      <c r="U99" s="13">
        <v>18</v>
      </c>
    </row>
    <row r="100" spans="1:21" x14ac:dyDescent="0.3">
      <c r="A100" s="7" t="s">
        <v>113</v>
      </c>
      <c r="B100" s="4">
        <v>45860</v>
      </c>
      <c r="C100" s="4">
        <v>45887</v>
      </c>
      <c r="D100" s="4" t="str">
        <f t="shared" si="6"/>
        <v>Valid</v>
      </c>
      <c r="E100" s="4">
        <f t="shared" si="7"/>
        <v>45887</v>
      </c>
      <c r="F100" s="13">
        <f t="shared" si="8"/>
        <v>27</v>
      </c>
      <c r="G100" s="7" t="s">
        <v>647</v>
      </c>
      <c r="H100" s="7" t="s">
        <v>659</v>
      </c>
      <c r="I100" s="7" t="s">
        <v>676</v>
      </c>
      <c r="J100" s="7" t="s">
        <v>703</v>
      </c>
      <c r="K100" s="7" t="s">
        <v>709</v>
      </c>
      <c r="L100" s="7" t="s">
        <v>724</v>
      </c>
      <c r="M100" s="7" t="s">
        <v>729</v>
      </c>
      <c r="N100" s="7" t="s">
        <v>1526</v>
      </c>
      <c r="O100" s="9">
        <v>547.32000000000005</v>
      </c>
      <c r="P100" s="9">
        <v>419.17</v>
      </c>
      <c r="Q100" s="9">
        <f t="shared" si="9"/>
        <v>419.17</v>
      </c>
      <c r="R100" s="9" t="str">
        <f t="shared" si="10"/>
        <v>OK</v>
      </c>
      <c r="S100" s="11">
        <v>9.1999999999999998E-2</v>
      </c>
      <c r="T100" s="11" t="str">
        <f t="shared" si="11"/>
        <v>OK</v>
      </c>
      <c r="U100" s="13">
        <v>14</v>
      </c>
    </row>
    <row r="101" spans="1:21" x14ac:dyDescent="0.3">
      <c r="A101" s="7" t="s">
        <v>114</v>
      </c>
      <c r="B101" s="4">
        <v>44985</v>
      </c>
      <c r="C101" s="4">
        <v>45005</v>
      </c>
      <c r="D101" s="4" t="str">
        <f t="shared" si="6"/>
        <v>Valid</v>
      </c>
      <c r="E101" s="4">
        <f t="shared" si="7"/>
        <v>45005</v>
      </c>
      <c r="F101" s="13">
        <f t="shared" si="8"/>
        <v>20</v>
      </c>
      <c r="G101" s="7" t="s">
        <v>649</v>
      </c>
      <c r="H101" s="7" t="s">
        <v>656</v>
      </c>
      <c r="I101" s="7" t="s">
        <v>671</v>
      </c>
      <c r="J101" s="7" t="s">
        <v>705</v>
      </c>
      <c r="K101" s="7" t="s">
        <v>711</v>
      </c>
      <c r="L101" s="7" t="s">
        <v>722</v>
      </c>
      <c r="M101" s="7" t="s">
        <v>731</v>
      </c>
      <c r="N101" s="7" t="s">
        <v>1527</v>
      </c>
      <c r="O101" s="9">
        <v>1200.78</v>
      </c>
      <c r="P101" s="9">
        <v>2001.17</v>
      </c>
      <c r="Q101" s="9">
        <f t="shared" si="9"/>
        <v>2001.17</v>
      </c>
      <c r="R101" s="9" t="str">
        <f t="shared" si="10"/>
        <v>OK</v>
      </c>
      <c r="S101" s="11">
        <v>0.29199999999999998</v>
      </c>
      <c r="T101" s="11" t="str">
        <f t="shared" si="11"/>
        <v>OK</v>
      </c>
      <c r="U101" s="13">
        <v>18</v>
      </c>
    </row>
    <row r="102" spans="1:21" x14ac:dyDescent="0.3">
      <c r="A102" s="7" t="s">
        <v>115</v>
      </c>
      <c r="B102" s="4">
        <v>45684</v>
      </c>
      <c r="C102" s="4">
        <v>45703</v>
      </c>
      <c r="D102" s="4" t="str">
        <f t="shared" si="6"/>
        <v>Valid</v>
      </c>
      <c r="E102" s="4">
        <f t="shared" si="7"/>
        <v>45703</v>
      </c>
      <c r="F102" s="13">
        <f t="shared" si="8"/>
        <v>19</v>
      </c>
      <c r="G102" s="7" t="s">
        <v>647</v>
      </c>
      <c r="H102" s="7" t="s">
        <v>659</v>
      </c>
      <c r="I102" s="7" t="s">
        <v>676</v>
      </c>
      <c r="J102" s="7" t="s">
        <v>703</v>
      </c>
      <c r="K102" s="7" t="s">
        <v>711</v>
      </c>
      <c r="L102" s="7" t="s">
        <v>716</v>
      </c>
      <c r="M102" s="7" t="s">
        <v>730</v>
      </c>
      <c r="N102" s="7" t="s">
        <v>1528</v>
      </c>
      <c r="O102" s="9">
        <v>1253.22</v>
      </c>
      <c r="P102" s="9">
        <v>3104.71</v>
      </c>
      <c r="Q102" s="9">
        <f t="shared" si="9"/>
        <v>3104.71</v>
      </c>
      <c r="R102" s="9" t="str">
        <f t="shared" si="10"/>
        <v>OK</v>
      </c>
      <c r="S102" s="11">
        <v>0</v>
      </c>
      <c r="T102" s="11" t="str">
        <f t="shared" si="11"/>
        <v>OK</v>
      </c>
      <c r="U102" s="13">
        <v>17</v>
      </c>
    </row>
    <row r="103" spans="1:21" x14ac:dyDescent="0.3">
      <c r="A103" s="7" t="s">
        <v>116</v>
      </c>
      <c r="B103" s="4">
        <v>45304</v>
      </c>
      <c r="C103" s="4">
        <v>45313</v>
      </c>
      <c r="D103" s="4" t="str">
        <f t="shared" si="6"/>
        <v>Valid</v>
      </c>
      <c r="E103" s="4">
        <f t="shared" si="7"/>
        <v>45313</v>
      </c>
      <c r="F103" s="13">
        <f t="shared" si="8"/>
        <v>9</v>
      </c>
      <c r="G103" s="7" t="s">
        <v>647</v>
      </c>
      <c r="H103" s="7" t="s">
        <v>654</v>
      </c>
      <c r="I103" s="7" t="s">
        <v>691</v>
      </c>
      <c r="J103" s="7" t="s">
        <v>706</v>
      </c>
      <c r="K103" s="7" t="s">
        <v>709</v>
      </c>
      <c r="L103" s="7" t="s">
        <v>713</v>
      </c>
      <c r="M103" s="7" t="s">
        <v>727</v>
      </c>
      <c r="N103" s="7" t="s">
        <v>1529</v>
      </c>
      <c r="O103" s="9">
        <v>313.60000000000002</v>
      </c>
      <c r="P103" s="9">
        <v>334.28</v>
      </c>
      <c r="Q103" s="9">
        <f t="shared" si="9"/>
        <v>334.28</v>
      </c>
      <c r="R103" s="9" t="str">
        <f t="shared" si="10"/>
        <v>OK</v>
      </c>
      <c r="S103" s="11">
        <v>0.14000000000000001</v>
      </c>
      <c r="T103" s="11" t="str">
        <f t="shared" si="11"/>
        <v>OK</v>
      </c>
      <c r="U103" s="13">
        <v>22</v>
      </c>
    </row>
    <row r="104" spans="1:21" x14ac:dyDescent="0.3">
      <c r="A104" s="7" t="s">
        <v>117</v>
      </c>
      <c r="B104" s="4">
        <v>45747</v>
      </c>
      <c r="C104" s="4">
        <v>45751</v>
      </c>
      <c r="D104" s="4" t="str">
        <f t="shared" si="6"/>
        <v>Valid</v>
      </c>
      <c r="E104" s="4">
        <f t="shared" si="7"/>
        <v>45751</v>
      </c>
      <c r="F104" s="13">
        <f t="shared" si="8"/>
        <v>4</v>
      </c>
      <c r="G104" s="7" t="s">
        <v>646</v>
      </c>
      <c r="H104" s="7" t="s">
        <v>650</v>
      </c>
      <c r="I104" s="7" t="s">
        <v>678</v>
      </c>
      <c r="J104" s="7" t="s">
        <v>701</v>
      </c>
      <c r="K104" s="7" t="s">
        <v>711</v>
      </c>
      <c r="L104" s="7" t="s">
        <v>712</v>
      </c>
      <c r="M104" s="7" t="s">
        <v>731</v>
      </c>
      <c r="N104" s="7" t="s">
        <v>1530</v>
      </c>
      <c r="O104" s="9">
        <v>862.08</v>
      </c>
      <c r="P104" s="9">
        <v>1952.83</v>
      </c>
      <c r="Q104" s="9">
        <f t="shared" si="9"/>
        <v>1952.83</v>
      </c>
      <c r="R104" s="9" t="str">
        <f t="shared" si="10"/>
        <v>OK</v>
      </c>
      <c r="S104" s="11">
        <v>0</v>
      </c>
      <c r="T104" s="11" t="str">
        <f t="shared" si="11"/>
        <v>OK</v>
      </c>
      <c r="U104" s="13">
        <v>7</v>
      </c>
    </row>
    <row r="105" spans="1:21" x14ac:dyDescent="0.3">
      <c r="A105" s="7" t="s">
        <v>118</v>
      </c>
      <c r="B105" s="4">
        <v>45631</v>
      </c>
      <c r="C105" s="4">
        <v>45654</v>
      </c>
      <c r="D105" s="4" t="str">
        <f t="shared" si="6"/>
        <v>Valid</v>
      </c>
      <c r="E105" s="4">
        <f t="shared" si="7"/>
        <v>45654</v>
      </c>
      <c r="F105" s="13">
        <f t="shared" si="8"/>
        <v>23</v>
      </c>
      <c r="G105" s="7" t="s">
        <v>648</v>
      </c>
      <c r="H105" s="7" t="s">
        <v>653</v>
      </c>
      <c r="I105" s="7" t="s">
        <v>688</v>
      </c>
      <c r="J105" s="7" t="s">
        <v>701</v>
      </c>
      <c r="K105" s="7" t="s">
        <v>711</v>
      </c>
      <c r="L105" s="7" t="s">
        <v>721</v>
      </c>
      <c r="M105" s="7" t="s">
        <v>733</v>
      </c>
      <c r="N105" s="7" t="s">
        <v>1531</v>
      </c>
      <c r="O105" s="9">
        <v>107.03</v>
      </c>
      <c r="P105" s="9">
        <v>242.29</v>
      </c>
      <c r="Q105" s="9">
        <f t="shared" si="9"/>
        <v>242.29</v>
      </c>
      <c r="R105" s="9" t="str">
        <f t="shared" si="10"/>
        <v>OK</v>
      </c>
      <c r="S105" s="11">
        <v>0.18</v>
      </c>
      <c r="T105" s="11" t="str">
        <f t="shared" si="11"/>
        <v>OK</v>
      </c>
      <c r="U105" s="13">
        <v>30</v>
      </c>
    </row>
    <row r="106" spans="1:21" x14ac:dyDescent="0.3">
      <c r="A106" s="7" t="s">
        <v>119</v>
      </c>
      <c r="B106" s="4">
        <v>45549</v>
      </c>
      <c r="C106" s="4">
        <v>45570</v>
      </c>
      <c r="D106" s="4" t="str">
        <f t="shared" si="6"/>
        <v>Valid</v>
      </c>
      <c r="E106" s="4">
        <f t="shared" si="7"/>
        <v>45570</v>
      </c>
      <c r="F106" s="13">
        <f t="shared" si="8"/>
        <v>21</v>
      </c>
      <c r="G106" s="7" t="s">
        <v>647</v>
      </c>
      <c r="H106" s="7" t="s">
        <v>659</v>
      </c>
      <c r="I106" s="7" t="s">
        <v>685</v>
      </c>
      <c r="J106" s="7" t="s">
        <v>705</v>
      </c>
      <c r="K106" s="7" t="s">
        <v>708</v>
      </c>
      <c r="L106" s="7" t="s">
        <v>722</v>
      </c>
      <c r="M106" s="7" t="s">
        <v>731</v>
      </c>
      <c r="N106" s="7" t="s">
        <v>1532</v>
      </c>
      <c r="O106" s="9">
        <v>1405.56</v>
      </c>
      <c r="P106" s="9">
        <v>2968.87</v>
      </c>
      <c r="Q106" s="9">
        <f t="shared" si="9"/>
        <v>2968.87</v>
      </c>
      <c r="R106" s="9" t="str">
        <f t="shared" si="10"/>
        <v>OK</v>
      </c>
      <c r="S106" s="11">
        <v>0.16900000000000001</v>
      </c>
      <c r="T106" s="11" t="str">
        <f t="shared" si="11"/>
        <v>OK</v>
      </c>
      <c r="U106" s="13">
        <v>5</v>
      </c>
    </row>
    <row r="107" spans="1:21" x14ac:dyDescent="0.3">
      <c r="A107" s="7" t="s">
        <v>120</v>
      </c>
      <c r="B107" s="4">
        <v>45433</v>
      </c>
      <c r="C107" s="4">
        <v>45439</v>
      </c>
      <c r="D107" s="4" t="str">
        <f t="shared" si="6"/>
        <v>Valid</v>
      </c>
      <c r="E107" s="4">
        <f t="shared" si="7"/>
        <v>45439</v>
      </c>
      <c r="F107" s="13">
        <f t="shared" si="8"/>
        <v>6</v>
      </c>
      <c r="G107" s="7" t="s">
        <v>646</v>
      </c>
      <c r="H107" s="7" t="s">
        <v>661</v>
      </c>
      <c r="I107" s="7" t="s">
        <v>682</v>
      </c>
      <c r="J107" s="7" t="s">
        <v>703</v>
      </c>
      <c r="K107" s="7" t="s">
        <v>708</v>
      </c>
      <c r="L107" s="7" t="s">
        <v>724</v>
      </c>
      <c r="M107" s="7" t="s">
        <v>727</v>
      </c>
      <c r="N107" s="7" t="s">
        <v>1533</v>
      </c>
      <c r="O107" s="9">
        <v>1157.51</v>
      </c>
      <c r="P107" s="9">
        <v>1394.3</v>
      </c>
      <c r="Q107" s="9">
        <f t="shared" si="9"/>
        <v>1394.3</v>
      </c>
      <c r="R107" s="9" t="str">
        <f t="shared" si="10"/>
        <v>OK</v>
      </c>
      <c r="S107" s="11">
        <v>0.27800000000000002</v>
      </c>
      <c r="T107" s="11" t="str">
        <f t="shared" si="11"/>
        <v>OK</v>
      </c>
      <c r="U107" s="13">
        <v>12</v>
      </c>
    </row>
    <row r="108" spans="1:21" x14ac:dyDescent="0.3">
      <c r="A108" s="7" t="s">
        <v>121</v>
      </c>
      <c r="B108" s="4">
        <v>45057</v>
      </c>
      <c r="C108" s="4">
        <v>45084</v>
      </c>
      <c r="D108" s="4" t="str">
        <f t="shared" si="6"/>
        <v>Valid</v>
      </c>
      <c r="E108" s="4">
        <f t="shared" si="7"/>
        <v>45084</v>
      </c>
      <c r="F108" s="13">
        <f t="shared" si="8"/>
        <v>27</v>
      </c>
      <c r="G108" s="7" t="s">
        <v>646</v>
      </c>
      <c r="H108" s="7" t="s">
        <v>650</v>
      </c>
      <c r="I108" s="7" t="s">
        <v>675</v>
      </c>
      <c r="J108" s="7" t="s">
        <v>701</v>
      </c>
      <c r="K108" s="7" t="s">
        <v>708</v>
      </c>
      <c r="L108" s="7" t="s">
        <v>713</v>
      </c>
      <c r="M108" s="7" t="s">
        <v>730</v>
      </c>
      <c r="N108" s="7" t="s">
        <v>1534</v>
      </c>
      <c r="O108" s="9">
        <v>12.85</v>
      </c>
      <c r="P108" s="9">
        <v>15.41</v>
      </c>
      <c r="Q108" s="9">
        <f t="shared" si="9"/>
        <v>15.41</v>
      </c>
      <c r="R108" s="9" t="str">
        <f t="shared" si="10"/>
        <v>OK</v>
      </c>
      <c r="S108" s="11">
        <v>0.13700000000000001</v>
      </c>
      <c r="T108" s="11" t="str">
        <f t="shared" si="11"/>
        <v>OK</v>
      </c>
      <c r="U108" s="13">
        <v>39</v>
      </c>
    </row>
    <row r="109" spans="1:21" x14ac:dyDescent="0.3">
      <c r="A109" s="7" t="s">
        <v>122</v>
      </c>
      <c r="B109" s="4">
        <v>45518</v>
      </c>
      <c r="C109" s="4">
        <v>45539</v>
      </c>
      <c r="D109" s="4" t="str">
        <f t="shared" si="6"/>
        <v>Valid</v>
      </c>
      <c r="E109" s="4">
        <f t="shared" si="7"/>
        <v>45539</v>
      </c>
      <c r="F109" s="13">
        <f t="shared" si="8"/>
        <v>21</v>
      </c>
      <c r="G109" s="7" t="s">
        <v>649</v>
      </c>
      <c r="H109" s="7" t="s">
        <v>658</v>
      </c>
      <c r="I109" s="7" t="s">
        <v>693</v>
      </c>
      <c r="J109" s="7" t="s">
        <v>703</v>
      </c>
      <c r="K109" s="7" t="s">
        <v>708</v>
      </c>
      <c r="L109" s="7" t="s">
        <v>713</v>
      </c>
      <c r="M109" s="7" t="s">
        <v>730</v>
      </c>
      <c r="N109" s="7" t="s">
        <v>1535</v>
      </c>
      <c r="O109" s="9">
        <v>1138.8</v>
      </c>
      <c r="P109" s="9">
        <v>2250.81</v>
      </c>
      <c r="Q109" s="9">
        <f t="shared" si="9"/>
        <v>2250.81</v>
      </c>
      <c r="R109" s="9" t="str">
        <f t="shared" si="10"/>
        <v>OK</v>
      </c>
      <c r="S109" s="11">
        <v>0.123</v>
      </c>
      <c r="T109" s="11" t="str">
        <f t="shared" si="11"/>
        <v>OK</v>
      </c>
      <c r="U109" s="13">
        <v>12</v>
      </c>
    </row>
    <row r="110" spans="1:21" x14ac:dyDescent="0.3">
      <c r="A110" s="7" t="s">
        <v>123</v>
      </c>
      <c r="B110" s="4">
        <v>45581</v>
      </c>
      <c r="C110" s="4">
        <v>45604</v>
      </c>
      <c r="D110" s="4" t="str">
        <f t="shared" si="6"/>
        <v>Valid</v>
      </c>
      <c r="E110" s="4">
        <f t="shared" si="7"/>
        <v>45604</v>
      </c>
      <c r="F110" s="13">
        <f t="shared" si="8"/>
        <v>23</v>
      </c>
      <c r="G110" s="7" t="s">
        <v>647</v>
      </c>
      <c r="H110" s="7" t="s">
        <v>652</v>
      </c>
      <c r="I110" s="7" t="s">
        <v>666</v>
      </c>
      <c r="J110" s="7" t="s">
        <v>705</v>
      </c>
      <c r="K110" s="7" t="s">
        <v>707</v>
      </c>
      <c r="L110" s="7" t="s">
        <v>713</v>
      </c>
      <c r="M110" s="7" t="s">
        <v>729</v>
      </c>
      <c r="N110" s="7" t="s">
        <v>1536</v>
      </c>
      <c r="O110" s="9">
        <v>82.14</v>
      </c>
      <c r="P110" s="9">
        <v>166.04</v>
      </c>
      <c r="Q110" s="9">
        <f t="shared" si="9"/>
        <v>166.04</v>
      </c>
      <c r="R110" s="9" t="str">
        <f t="shared" si="10"/>
        <v>OK</v>
      </c>
      <c r="S110" s="11">
        <v>0</v>
      </c>
      <c r="T110" s="11" t="str">
        <f t="shared" si="11"/>
        <v>OK</v>
      </c>
      <c r="U110" s="13">
        <v>10</v>
      </c>
    </row>
    <row r="111" spans="1:21" x14ac:dyDescent="0.3">
      <c r="A111" s="7" t="s">
        <v>124</v>
      </c>
      <c r="B111" s="4">
        <v>45445</v>
      </c>
      <c r="C111" s="4">
        <v>45451</v>
      </c>
      <c r="D111" s="4" t="str">
        <f t="shared" si="6"/>
        <v>Valid</v>
      </c>
      <c r="E111" s="4">
        <f t="shared" si="7"/>
        <v>45451</v>
      </c>
      <c r="F111" s="13">
        <f t="shared" si="8"/>
        <v>6</v>
      </c>
      <c r="G111" s="7" t="s">
        <v>646</v>
      </c>
      <c r="H111" s="7" t="s">
        <v>650</v>
      </c>
      <c r="I111" s="7" t="s">
        <v>662</v>
      </c>
      <c r="J111" s="7" t="s">
        <v>704</v>
      </c>
      <c r="K111" s="7" t="s">
        <v>709</v>
      </c>
      <c r="L111" s="7" t="s">
        <v>720</v>
      </c>
      <c r="M111" s="7" t="s">
        <v>733</v>
      </c>
      <c r="N111" s="7" t="s">
        <v>1537</v>
      </c>
      <c r="O111" s="9">
        <v>292.94</v>
      </c>
      <c r="P111" s="9">
        <v>356.55</v>
      </c>
      <c r="Q111" s="9">
        <f t="shared" si="9"/>
        <v>356.55</v>
      </c>
      <c r="R111" s="9" t="str">
        <f t="shared" si="10"/>
        <v>OK</v>
      </c>
      <c r="S111" s="11">
        <v>0.22900000000000001</v>
      </c>
      <c r="T111" s="11" t="str">
        <f t="shared" si="11"/>
        <v>OK</v>
      </c>
      <c r="U111" s="13">
        <v>2</v>
      </c>
    </row>
    <row r="112" spans="1:21" x14ac:dyDescent="0.3">
      <c r="A112" s="7" t="s">
        <v>125</v>
      </c>
      <c r="B112" s="4">
        <v>45452</v>
      </c>
      <c r="C112" s="4">
        <v>45480</v>
      </c>
      <c r="D112" s="4" t="str">
        <f t="shared" si="6"/>
        <v>Valid</v>
      </c>
      <c r="E112" s="4">
        <f t="shared" si="7"/>
        <v>45480</v>
      </c>
      <c r="F112" s="13">
        <f t="shared" si="8"/>
        <v>28</v>
      </c>
      <c r="G112" s="7" t="s">
        <v>647</v>
      </c>
      <c r="H112" s="7" t="s">
        <v>659</v>
      </c>
      <c r="I112" s="7" t="s">
        <v>676</v>
      </c>
      <c r="J112" s="7" t="s">
        <v>701</v>
      </c>
      <c r="K112" s="7" t="s">
        <v>708</v>
      </c>
      <c r="L112" s="7" t="s">
        <v>713</v>
      </c>
      <c r="M112" s="7" t="s">
        <v>727</v>
      </c>
      <c r="N112" s="7" t="s">
        <v>1538</v>
      </c>
      <c r="O112" s="9">
        <v>550.22</v>
      </c>
      <c r="P112" s="9">
        <v>1025.05</v>
      </c>
      <c r="Q112" s="9">
        <f t="shared" si="9"/>
        <v>1025.05</v>
      </c>
      <c r="R112" s="9" t="str">
        <f t="shared" si="10"/>
        <v>OK</v>
      </c>
      <c r="S112" s="11">
        <v>0</v>
      </c>
      <c r="T112" s="11" t="str">
        <f t="shared" si="11"/>
        <v>OK</v>
      </c>
      <c r="U112" s="13">
        <v>27</v>
      </c>
    </row>
    <row r="113" spans="1:21" x14ac:dyDescent="0.3">
      <c r="A113" s="7" t="s">
        <v>126</v>
      </c>
      <c r="B113" s="4">
        <v>45453</v>
      </c>
      <c r="C113" s="4">
        <v>45454</v>
      </c>
      <c r="D113" s="4" t="str">
        <f t="shared" si="6"/>
        <v>Valid</v>
      </c>
      <c r="E113" s="4">
        <f t="shared" si="7"/>
        <v>45454</v>
      </c>
      <c r="F113" s="13">
        <f t="shared" si="8"/>
        <v>1</v>
      </c>
      <c r="G113" s="7" t="s">
        <v>649</v>
      </c>
      <c r="H113" s="7" t="s">
        <v>658</v>
      </c>
      <c r="I113" s="7" t="s">
        <v>674</v>
      </c>
      <c r="J113" s="7" t="s">
        <v>705</v>
      </c>
      <c r="K113" s="7" t="s">
        <v>709</v>
      </c>
      <c r="L113" s="7" t="s">
        <v>724</v>
      </c>
      <c r="M113" s="7" t="s">
        <v>731</v>
      </c>
      <c r="N113" s="7" t="s">
        <v>1539</v>
      </c>
      <c r="O113" s="9">
        <v>1187.1300000000001</v>
      </c>
      <c r="P113" s="9">
        <v>1795.17</v>
      </c>
      <c r="Q113" s="9">
        <f t="shared" si="9"/>
        <v>1795.17</v>
      </c>
      <c r="R113" s="9" t="str">
        <f t="shared" si="10"/>
        <v>OK</v>
      </c>
      <c r="S113" s="11">
        <v>1.2E-2</v>
      </c>
      <c r="T113" s="11" t="str">
        <f t="shared" si="11"/>
        <v>OK</v>
      </c>
      <c r="U113" s="13">
        <v>17</v>
      </c>
    </row>
    <row r="114" spans="1:21" x14ac:dyDescent="0.3">
      <c r="A114" s="7" t="s">
        <v>127</v>
      </c>
      <c r="B114" s="4">
        <v>45472</v>
      </c>
      <c r="C114" s="4">
        <v>45499</v>
      </c>
      <c r="D114" s="4" t="str">
        <f t="shared" si="6"/>
        <v>Valid</v>
      </c>
      <c r="E114" s="4">
        <f t="shared" si="7"/>
        <v>45499</v>
      </c>
      <c r="F114" s="13">
        <f t="shared" si="8"/>
        <v>27</v>
      </c>
      <c r="G114" s="7" t="s">
        <v>646</v>
      </c>
      <c r="H114" s="7" t="s">
        <v>661</v>
      </c>
      <c r="I114" s="7" t="s">
        <v>687</v>
      </c>
      <c r="J114" s="7" t="s">
        <v>706</v>
      </c>
      <c r="K114" s="7" t="s">
        <v>710</v>
      </c>
      <c r="L114" s="7" t="s">
        <v>717</v>
      </c>
      <c r="M114" s="7" t="s">
        <v>729</v>
      </c>
      <c r="N114" s="7" t="s">
        <v>1540</v>
      </c>
      <c r="O114" s="9">
        <v>5.36</v>
      </c>
      <c r="P114" s="9">
        <v>4.37</v>
      </c>
      <c r="Q114" s="9">
        <f t="shared" si="9"/>
        <v>4.37</v>
      </c>
      <c r="R114" s="9" t="str">
        <f t="shared" si="10"/>
        <v>OK</v>
      </c>
      <c r="S114" s="11">
        <v>0.11799999999999999</v>
      </c>
      <c r="T114" s="11" t="str">
        <f t="shared" si="11"/>
        <v>OK</v>
      </c>
      <c r="U114" s="13">
        <v>9</v>
      </c>
    </row>
    <row r="115" spans="1:21" x14ac:dyDescent="0.3">
      <c r="A115" s="7" t="s">
        <v>128</v>
      </c>
      <c r="B115" s="4">
        <v>45674</v>
      </c>
      <c r="C115" s="4">
        <v>45681</v>
      </c>
      <c r="D115" s="4" t="str">
        <f t="shared" si="6"/>
        <v>Valid</v>
      </c>
      <c r="E115" s="4">
        <f t="shared" si="7"/>
        <v>45681</v>
      </c>
      <c r="F115" s="13">
        <f t="shared" si="8"/>
        <v>7</v>
      </c>
      <c r="G115" s="7" t="s">
        <v>648</v>
      </c>
      <c r="H115" s="7" t="s">
        <v>1425</v>
      </c>
      <c r="I115" s="7" t="s">
        <v>697</v>
      </c>
      <c r="J115" s="7" t="s">
        <v>706</v>
      </c>
      <c r="K115" s="7" t="s">
        <v>708</v>
      </c>
      <c r="L115" s="7" t="s">
        <v>715</v>
      </c>
      <c r="M115" s="7" t="s">
        <v>733</v>
      </c>
      <c r="N115" s="7" t="s">
        <v>1541</v>
      </c>
      <c r="O115" s="9">
        <v>142.09</v>
      </c>
      <c r="P115" s="9">
        <v>218.5</v>
      </c>
      <c r="Q115" s="9">
        <f t="shared" si="9"/>
        <v>218.5</v>
      </c>
      <c r="R115" s="9" t="str">
        <f t="shared" si="10"/>
        <v>OK</v>
      </c>
      <c r="S115" s="11">
        <v>0.11899999999999999</v>
      </c>
      <c r="T115" s="11" t="str">
        <f t="shared" si="11"/>
        <v>OK</v>
      </c>
      <c r="U115" s="13">
        <v>11</v>
      </c>
    </row>
    <row r="116" spans="1:21" x14ac:dyDescent="0.3">
      <c r="A116" s="7" t="s">
        <v>129</v>
      </c>
      <c r="B116" s="4">
        <v>45250</v>
      </c>
      <c r="C116" s="4">
        <v>45265</v>
      </c>
      <c r="D116" s="4" t="str">
        <f t="shared" si="6"/>
        <v>Valid</v>
      </c>
      <c r="E116" s="4">
        <f t="shared" si="7"/>
        <v>45265</v>
      </c>
      <c r="F116" s="13">
        <f t="shared" si="8"/>
        <v>15</v>
      </c>
      <c r="G116" s="7" t="s">
        <v>647</v>
      </c>
      <c r="H116" s="7" t="s">
        <v>652</v>
      </c>
      <c r="I116" s="7" t="s">
        <v>689</v>
      </c>
      <c r="J116" s="7" t="s">
        <v>706</v>
      </c>
      <c r="K116" s="7" t="s">
        <v>707</v>
      </c>
      <c r="L116" s="7" t="s">
        <v>716</v>
      </c>
      <c r="M116" s="7" t="s">
        <v>729</v>
      </c>
      <c r="N116" s="7" t="s">
        <v>1542</v>
      </c>
      <c r="O116" s="9">
        <v>354.24</v>
      </c>
      <c r="P116" s="9">
        <v>249.87</v>
      </c>
      <c r="Q116" s="9">
        <f t="shared" si="9"/>
        <v>249.87</v>
      </c>
      <c r="R116" s="9" t="str">
        <f t="shared" si="10"/>
        <v>OK</v>
      </c>
      <c r="S116" s="11">
        <v>0</v>
      </c>
      <c r="T116" s="11" t="str">
        <f t="shared" si="11"/>
        <v>OK</v>
      </c>
      <c r="U116" s="13">
        <v>6</v>
      </c>
    </row>
    <row r="117" spans="1:21" x14ac:dyDescent="0.3">
      <c r="A117" s="7" t="s">
        <v>130</v>
      </c>
      <c r="B117" s="4">
        <v>44987</v>
      </c>
      <c r="C117" s="4">
        <v>44990</v>
      </c>
      <c r="D117" s="4" t="str">
        <f t="shared" si="6"/>
        <v>Valid</v>
      </c>
      <c r="E117" s="4">
        <f t="shared" si="7"/>
        <v>44990</v>
      </c>
      <c r="F117" s="13">
        <f t="shared" si="8"/>
        <v>3</v>
      </c>
      <c r="G117" s="7" t="s">
        <v>648</v>
      </c>
      <c r="H117" s="7" t="s">
        <v>655</v>
      </c>
      <c r="I117" s="7" t="s">
        <v>672</v>
      </c>
      <c r="J117" s="7" t="s">
        <v>706</v>
      </c>
      <c r="K117" s="7" t="s">
        <v>711</v>
      </c>
      <c r="L117" s="7" t="s">
        <v>715</v>
      </c>
      <c r="M117" s="7" t="s">
        <v>732</v>
      </c>
      <c r="N117" s="7" t="s">
        <v>1543</v>
      </c>
      <c r="O117" s="9">
        <v>1473.58</v>
      </c>
      <c r="P117" s="9">
        <v>3436.52</v>
      </c>
      <c r="Q117" s="9">
        <f t="shared" si="9"/>
        <v>3436.52</v>
      </c>
      <c r="R117" s="9" t="str">
        <f t="shared" si="10"/>
        <v>OK</v>
      </c>
      <c r="S117" s="11">
        <v>0.108</v>
      </c>
      <c r="T117" s="11" t="str">
        <f t="shared" si="11"/>
        <v>OK</v>
      </c>
      <c r="U117" s="13">
        <v>8</v>
      </c>
    </row>
    <row r="118" spans="1:21" x14ac:dyDescent="0.3">
      <c r="A118" s="7" t="s">
        <v>131</v>
      </c>
      <c r="B118" s="4">
        <v>45811</v>
      </c>
      <c r="C118" s="4">
        <v>45818</v>
      </c>
      <c r="D118" s="4" t="str">
        <f t="shared" si="6"/>
        <v>Valid</v>
      </c>
      <c r="E118" s="4">
        <f t="shared" si="7"/>
        <v>45818</v>
      </c>
      <c r="F118" s="13">
        <f t="shared" si="8"/>
        <v>7</v>
      </c>
      <c r="G118" s="7" t="s">
        <v>648</v>
      </c>
      <c r="H118" s="7" t="s">
        <v>653</v>
      </c>
      <c r="I118" s="7" t="s">
        <v>667</v>
      </c>
      <c r="J118" s="7" t="s">
        <v>704</v>
      </c>
      <c r="K118" s="7" t="s">
        <v>710</v>
      </c>
      <c r="L118" s="7" t="s">
        <v>719</v>
      </c>
      <c r="M118" s="7" t="s">
        <v>728</v>
      </c>
      <c r="N118" s="7" t="s">
        <v>1544</v>
      </c>
      <c r="O118" s="9">
        <v>75.180000000000007</v>
      </c>
      <c r="P118" s="9">
        <v>53.45</v>
      </c>
      <c r="Q118" s="9">
        <f t="shared" si="9"/>
        <v>53.45</v>
      </c>
      <c r="R118" s="9" t="str">
        <f t="shared" si="10"/>
        <v>OK</v>
      </c>
      <c r="S118" s="11">
        <v>0.157</v>
      </c>
      <c r="T118" s="11" t="str">
        <f t="shared" si="11"/>
        <v>OK</v>
      </c>
      <c r="U118" s="13">
        <v>17</v>
      </c>
    </row>
    <row r="119" spans="1:21" x14ac:dyDescent="0.3">
      <c r="A119" s="7" t="s">
        <v>132</v>
      </c>
      <c r="B119" s="4">
        <v>45653</v>
      </c>
      <c r="C119" s="4">
        <v>45659</v>
      </c>
      <c r="D119" s="4" t="str">
        <f t="shared" si="6"/>
        <v>Valid</v>
      </c>
      <c r="E119" s="4">
        <f t="shared" si="7"/>
        <v>45659</v>
      </c>
      <c r="F119" s="13">
        <f t="shared" si="8"/>
        <v>6</v>
      </c>
      <c r="G119" s="7" t="s">
        <v>649</v>
      </c>
      <c r="H119" s="7" t="s">
        <v>656</v>
      </c>
      <c r="I119" s="7" t="s">
        <v>698</v>
      </c>
      <c r="J119" s="7" t="s">
        <v>702</v>
      </c>
      <c r="K119" s="7" t="s">
        <v>711</v>
      </c>
      <c r="L119" s="7" t="s">
        <v>721</v>
      </c>
      <c r="M119" s="7" t="s">
        <v>731</v>
      </c>
      <c r="N119" s="7" t="s">
        <v>1545</v>
      </c>
      <c r="O119" s="9">
        <v>1391.99</v>
      </c>
      <c r="P119" s="9">
        <v>3469.7</v>
      </c>
      <c r="Q119" s="9">
        <f t="shared" si="9"/>
        <v>3469.7</v>
      </c>
      <c r="R119" s="9" t="str">
        <f t="shared" si="10"/>
        <v>OK</v>
      </c>
      <c r="S119" s="11">
        <v>0.184</v>
      </c>
      <c r="T119" s="11" t="str">
        <f t="shared" si="11"/>
        <v>OK</v>
      </c>
      <c r="U119" s="13">
        <v>23</v>
      </c>
    </row>
    <row r="120" spans="1:21" x14ac:dyDescent="0.3">
      <c r="A120" s="7" t="s">
        <v>133</v>
      </c>
      <c r="B120" s="4">
        <v>45086</v>
      </c>
      <c r="C120" s="4">
        <v>45096</v>
      </c>
      <c r="D120" s="4" t="str">
        <f t="shared" si="6"/>
        <v>Valid</v>
      </c>
      <c r="E120" s="4">
        <f t="shared" si="7"/>
        <v>45096</v>
      </c>
      <c r="F120" s="13">
        <f t="shared" si="8"/>
        <v>10</v>
      </c>
      <c r="G120" s="7" t="s">
        <v>647</v>
      </c>
      <c r="H120" s="7" t="s">
        <v>659</v>
      </c>
      <c r="I120" s="7" t="s">
        <v>699</v>
      </c>
      <c r="J120" s="7" t="s">
        <v>706</v>
      </c>
      <c r="K120" s="7" t="s">
        <v>707</v>
      </c>
      <c r="L120" s="7" t="s">
        <v>721</v>
      </c>
      <c r="M120" s="7" t="s">
        <v>732</v>
      </c>
      <c r="N120" s="7" t="s">
        <v>1546</v>
      </c>
      <c r="O120" s="9">
        <v>339.61</v>
      </c>
      <c r="P120" s="9">
        <v>621.02</v>
      </c>
      <c r="Q120" s="9">
        <f t="shared" si="9"/>
        <v>621.02</v>
      </c>
      <c r="R120" s="9" t="str">
        <f t="shared" si="10"/>
        <v>OK</v>
      </c>
      <c r="S120" s="11">
        <v>7.0999999999999994E-2</v>
      </c>
      <c r="T120" s="11" t="str">
        <f t="shared" si="11"/>
        <v>OK</v>
      </c>
      <c r="U120" s="13">
        <v>10</v>
      </c>
    </row>
    <row r="121" spans="1:21" x14ac:dyDescent="0.3">
      <c r="A121" s="7" t="s">
        <v>134</v>
      </c>
      <c r="B121" s="4">
        <v>45847</v>
      </c>
      <c r="C121" s="4">
        <v>45856</v>
      </c>
      <c r="D121" s="4" t="str">
        <f t="shared" si="6"/>
        <v>Valid</v>
      </c>
      <c r="E121" s="4">
        <f t="shared" si="7"/>
        <v>45856</v>
      </c>
      <c r="F121" s="13">
        <f t="shared" si="8"/>
        <v>9</v>
      </c>
      <c r="G121" s="7" t="s">
        <v>648</v>
      </c>
      <c r="H121" s="7" t="s">
        <v>653</v>
      </c>
      <c r="I121" s="7" t="s">
        <v>688</v>
      </c>
      <c r="J121" s="7" t="s">
        <v>702</v>
      </c>
      <c r="K121" s="7" t="s">
        <v>710</v>
      </c>
      <c r="L121" s="7" t="s">
        <v>714</v>
      </c>
      <c r="M121" s="7" t="s">
        <v>731</v>
      </c>
      <c r="N121" s="7" t="s">
        <v>1547</v>
      </c>
      <c r="O121" s="9">
        <v>57.96</v>
      </c>
      <c r="P121" s="9">
        <v>88.51</v>
      </c>
      <c r="Q121" s="9">
        <f t="shared" si="9"/>
        <v>88.51</v>
      </c>
      <c r="R121" s="9" t="str">
        <f t="shared" si="10"/>
        <v>OK</v>
      </c>
      <c r="S121" s="11">
        <v>4.2999999999999997E-2</v>
      </c>
      <c r="T121" s="11" t="str">
        <f t="shared" si="11"/>
        <v>OK</v>
      </c>
      <c r="U121" s="13">
        <v>7</v>
      </c>
    </row>
    <row r="122" spans="1:21" x14ac:dyDescent="0.3">
      <c r="A122" s="7" t="s">
        <v>135</v>
      </c>
      <c r="B122" s="4">
        <v>45827</v>
      </c>
      <c r="C122" s="4">
        <v>45850</v>
      </c>
      <c r="D122" s="4" t="str">
        <f t="shared" si="6"/>
        <v>Valid</v>
      </c>
      <c r="E122" s="4">
        <f t="shared" si="7"/>
        <v>45850</v>
      </c>
      <c r="F122" s="13">
        <f t="shared" si="8"/>
        <v>23</v>
      </c>
      <c r="G122" s="7" t="s">
        <v>649</v>
      </c>
      <c r="H122" s="7" t="s">
        <v>658</v>
      </c>
      <c r="I122" s="7" t="s">
        <v>2057</v>
      </c>
      <c r="J122" s="7" t="s">
        <v>703</v>
      </c>
      <c r="K122" s="7" t="s">
        <v>711</v>
      </c>
      <c r="L122" s="7" t="s">
        <v>2057</v>
      </c>
      <c r="M122" s="7" t="s">
        <v>729</v>
      </c>
      <c r="N122" s="7" t="s">
        <v>1548</v>
      </c>
      <c r="O122" s="9">
        <v>801.24</v>
      </c>
      <c r="P122" s="9">
        <v>1959.09</v>
      </c>
      <c r="Q122" s="9">
        <f t="shared" si="9"/>
        <v>1959.09</v>
      </c>
      <c r="R122" s="9" t="str">
        <f t="shared" si="10"/>
        <v>OK</v>
      </c>
      <c r="S122" s="11">
        <v>0.123</v>
      </c>
      <c r="T122" s="11" t="str">
        <f t="shared" si="11"/>
        <v>OK</v>
      </c>
      <c r="U122" s="13">
        <v>23</v>
      </c>
    </row>
    <row r="123" spans="1:21" x14ac:dyDescent="0.3">
      <c r="A123" s="7" t="s">
        <v>136</v>
      </c>
      <c r="B123" s="4">
        <v>45249</v>
      </c>
      <c r="C123" s="4">
        <v>45273</v>
      </c>
      <c r="D123" s="4" t="str">
        <f t="shared" si="6"/>
        <v>Valid</v>
      </c>
      <c r="E123" s="4">
        <f t="shared" si="7"/>
        <v>45273</v>
      </c>
      <c r="F123" s="13">
        <f t="shared" si="8"/>
        <v>24</v>
      </c>
      <c r="G123" s="7" t="s">
        <v>649</v>
      </c>
      <c r="H123" s="7" t="s">
        <v>657</v>
      </c>
      <c r="I123" s="7" t="s">
        <v>679</v>
      </c>
      <c r="J123" s="7" t="s">
        <v>703</v>
      </c>
      <c r="K123" s="7" t="s">
        <v>711</v>
      </c>
      <c r="L123" s="7" t="s">
        <v>722</v>
      </c>
      <c r="M123" s="7" t="s">
        <v>732</v>
      </c>
      <c r="N123" s="7" t="s">
        <v>1549</v>
      </c>
      <c r="O123" s="9">
        <v>1297.42</v>
      </c>
      <c r="P123" s="9">
        <v>2742.97</v>
      </c>
      <c r="Q123" s="9">
        <f t="shared" si="9"/>
        <v>2742.97</v>
      </c>
      <c r="R123" s="9" t="str">
        <f t="shared" si="10"/>
        <v>OK</v>
      </c>
      <c r="S123" s="11">
        <v>6.9000000000000006E-2</v>
      </c>
      <c r="T123" s="11" t="str">
        <f t="shared" si="11"/>
        <v>OK</v>
      </c>
      <c r="U123" s="13">
        <v>9</v>
      </c>
    </row>
    <row r="124" spans="1:21" x14ac:dyDescent="0.3">
      <c r="A124" s="7" t="s">
        <v>137</v>
      </c>
      <c r="B124" s="4">
        <v>45289</v>
      </c>
      <c r="C124" s="4">
        <v>45311</v>
      </c>
      <c r="D124" s="4" t="str">
        <f t="shared" si="6"/>
        <v>Valid</v>
      </c>
      <c r="E124" s="4">
        <f t="shared" si="7"/>
        <v>45311</v>
      </c>
      <c r="F124" s="13">
        <f t="shared" si="8"/>
        <v>22</v>
      </c>
      <c r="G124" s="7" t="s">
        <v>646</v>
      </c>
      <c r="H124" s="7" t="s">
        <v>650</v>
      </c>
      <c r="I124" s="7" t="s">
        <v>662</v>
      </c>
      <c r="J124" s="7" t="s">
        <v>701</v>
      </c>
      <c r="K124" s="7" t="s">
        <v>711</v>
      </c>
      <c r="L124" s="7" t="s">
        <v>716</v>
      </c>
      <c r="M124" s="7" t="s">
        <v>730</v>
      </c>
      <c r="N124" s="7" t="s">
        <v>1550</v>
      </c>
      <c r="O124" s="9">
        <v>1395.49</v>
      </c>
      <c r="P124" s="9">
        <v>1679.42</v>
      </c>
      <c r="Q124" s="9">
        <f t="shared" si="9"/>
        <v>1679.42</v>
      </c>
      <c r="R124" s="9" t="str">
        <f t="shared" si="10"/>
        <v>OK</v>
      </c>
      <c r="S124" s="11">
        <v>0.20300000000000001</v>
      </c>
      <c r="T124" s="11" t="str">
        <f t="shared" si="11"/>
        <v>OK</v>
      </c>
      <c r="U124" s="13">
        <v>12</v>
      </c>
    </row>
    <row r="125" spans="1:21" x14ac:dyDescent="0.3">
      <c r="A125" s="7" t="s">
        <v>138</v>
      </c>
      <c r="B125" s="4">
        <v>45598</v>
      </c>
      <c r="C125" s="4">
        <v>45625</v>
      </c>
      <c r="D125" s="4" t="str">
        <f t="shared" si="6"/>
        <v>Valid</v>
      </c>
      <c r="E125" s="4">
        <f t="shared" si="7"/>
        <v>45625</v>
      </c>
      <c r="F125" s="13">
        <f t="shared" si="8"/>
        <v>27</v>
      </c>
      <c r="G125" s="7" t="s">
        <v>648</v>
      </c>
      <c r="H125" s="7" t="s">
        <v>655</v>
      </c>
      <c r="I125" s="7" t="s">
        <v>672</v>
      </c>
      <c r="J125" s="7" t="s">
        <v>705</v>
      </c>
      <c r="K125" s="7" t="s">
        <v>711</v>
      </c>
      <c r="L125" s="7" t="s">
        <v>714</v>
      </c>
      <c r="M125" s="7" t="s">
        <v>729</v>
      </c>
      <c r="N125" s="7" t="s">
        <v>1551</v>
      </c>
      <c r="O125" s="9">
        <v>1363.51</v>
      </c>
      <c r="P125" s="9">
        <v>1433.9</v>
      </c>
      <c r="Q125" s="9">
        <f t="shared" si="9"/>
        <v>1433.9</v>
      </c>
      <c r="R125" s="9" t="str">
        <f t="shared" si="10"/>
        <v>OK</v>
      </c>
      <c r="S125" s="11">
        <v>5.7000000000000002E-2</v>
      </c>
      <c r="T125" s="11" t="str">
        <f t="shared" si="11"/>
        <v>OK</v>
      </c>
      <c r="U125" s="13">
        <v>8</v>
      </c>
    </row>
    <row r="126" spans="1:21" x14ac:dyDescent="0.3">
      <c r="A126" s="7" t="s">
        <v>139</v>
      </c>
      <c r="B126" s="4">
        <v>45159</v>
      </c>
      <c r="C126" s="4">
        <v>45173</v>
      </c>
      <c r="D126" s="4" t="str">
        <f t="shared" si="6"/>
        <v>Valid</v>
      </c>
      <c r="E126" s="4">
        <f t="shared" si="7"/>
        <v>45173</v>
      </c>
      <c r="F126" s="13">
        <f t="shared" si="8"/>
        <v>14</v>
      </c>
      <c r="G126" s="7" t="s">
        <v>648</v>
      </c>
      <c r="H126" s="7" t="s">
        <v>653</v>
      </c>
      <c r="I126" s="7" t="s">
        <v>681</v>
      </c>
      <c r="J126" s="7" t="s">
        <v>702</v>
      </c>
      <c r="K126" s="7" t="s">
        <v>710</v>
      </c>
      <c r="L126" s="7" t="s">
        <v>721</v>
      </c>
      <c r="M126" s="7" t="s">
        <v>727</v>
      </c>
      <c r="N126" s="7" t="s">
        <v>1552</v>
      </c>
      <c r="O126" s="9">
        <v>178.19</v>
      </c>
      <c r="P126" s="9">
        <v>284.43</v>
      </c>
      <c r="Q126" s="9">
        <f t="shared" si="9"/>
        <v>284.43</v>
      </c>
      <c r="R126" s="9" t="str">
        <f t="shared" si="10"/>
        <v>OK</v>
      </c>
      <c r="S126" s="11">
        <v>8.8999999999999996E-2</v>
      </c>
      <c r="T126" s="11" t="str">
        <f t="shared" si="11"/>
        <v>OK</v>
      </c>
      <c r="U126" s="13">
        <v>8</v>
      </c>
    </row>
    <row r="127" spans="1:21" x14ac:dyDescent="0.3">
      <c r="A127" s="7" t="s">
        <v>140</v>
      </c>
      <c r="B127" s="4">
        <v>45150</v>
      </c>
      <c r="C127" s="4">
        <v>45175</v>
      </c>
      <c r="D127" s="4" t="str">
        <f t="shared" si="6"/>
        <v>Valid</v>
      </c>
      <c r="E127" s="4">
        <f t="shared" si="7"/>
        <v>45175</v>
      </c>
      <c r="F127" s="13">
        <f t="shared" si="8"/>
        <v>25</v>
      </c>
      <c r="G127" s="7" t="s">
        <v>647</v>
      </c>
      <c r="H127" s="7" t="s">
        <v>659</v>
      </c>
      <c r="I127" s="7" t="s">
        <v>685</v>
      </c>
      <c r="J127" s="7" t="s">
        <v>705</v>
      </c>
      <c r="K127" s="7" t="s">
        <v>707</v>
      </c>
      <c r="L127" s="7" t="s">
        <v>717</v>
      </c>
      <c r="M127" s="7" t="s">
        <v>727</v>
      </c>
      <c r="N127" s="7" t="s">
        <v>1553</v>
      </c>
      <c r="O127" s="9">
        <v>950.77</v>
      </c>
      <c r="P127" s="9">
        <v>694.78</v>
      </c>
      <c r="Q127" s="9">
        <f t="shared" si="9"/>
        <v>694.78</v>
      </c>
      <c r="R127" s="9" t="str">
        <f t="shared" si="10"/>
        <v>OK</v>
      </c>
      <c r="S127" s="11">
        <v>8.4000000000000005E-2</v>
      </c>
      <c r="T127" s="11" t="str">
        <f t="shared" si="11"/>
        <v>OK</v>
      </c>
      <c r="U127" s="13">
        <v>14</v>
      </c>
    </row>
    <row r="128" spans="1:21" x14ac:dyDescent="0.3">
      <c r="A128" s="7" t="s">
        <v>141</v>
      </c>
      <c r="B128" s="4">
        <v>45450</v>
      </c>
      <c r="C128" s="4">
        <v>45469</v>
      </c>
      <c r="D128" s="4" t="str">
        <f t="shared" si="6"/>
        <v>Valid</v>
      </c>
      <c r="E128" s="4">
        <f t="shared" si="7"/>
        <v>45469</v>
      </c>
      <c r="F128" s="13">
        <f t="shared" si="8"/>
        <v>19</v>
      </c>
      <c r="G128" s="7" t="s">
        <v>649</v>
      </c>
      <c r="H128" s="7" t="s">
        <v>656</v>
      </c>
      <c r="I128" s="7" t="s">
        <v>671</v>
      </c>
      <c r="J128" s="7" t="s">
        <v>703</v>
      </c>
      <c r="K128" s="7" t="s">
        <v>709</v>
      </c>
      <c r="L128" s="7" t="s">
        <v>724</v>
      </c>
      <c r="M128" s="7" t="s">
        <v>727</v>
      </c>
      <c r="N128" s="7" t="s">
        <v>1554</v>
      </c>
      <c r="O128" s="9">
        <v>1064.32</v>
      </c>
      <c r="P128" s="9">
        <v>1848.39</v>
      </c>
      <c r="Q128" s="9">
        <f t="shared" si="9"/>
        <v>1848.39</v>
      </c>
      <c r="R128" s="9" t="str">
        <f t="shared" si="10"/>
        <v>OK</v>
      </c>
      <c r="S128" s="11">
        <v>7.2999999999999995E-2</v>
      </c>
      <c r="T128" s="11" t="str">
        <f t="shared" si="11"/>
        <v>OK</v>
      </c>
      <c r="U128" s="13">
        <v>38</v>
      </c>
    </row>
    <row r="129" spans="1:21" x14ac:dyDescent="0.3">
      <c r="A129" s="7" t="s">
        <v>142</v>
      </c>
      <c r="B129" s="4">
        <v>45874</v>
      </c>
      <c r="C129" s="4">
        <v>45883</v>
      </c>
      <c r="D129" s="4" t="str">
        <f t="shared" si="6"/>
        <v>Valid</v>
      </c>
      <c r="E129" s="4">
        <f t="shared" si="7"/>
        <v>45883</v>
      </c>
      <c r="F129" s="13">
        <f t="shared" si="8"/>
        <v>9</v>
      </c>
      <c r="G129" s="7" t="s">
        <v>649</v>
      </c>
      <c r="H129" s="7" t="s">
        <v>658</v>
      </c>
      <c r="I129" s="7" t="s">
        <v>683</v>
      </c>
      <c r="J129" s="7" t="s">
        <v>703</v>
      </c>
      <c r="K129" s="7" t="s">
        <v>711</v>
      </c>
      <c r="L129" s="7" t="s">
        <v>718</v>
      </c>
      <c r="M129" s="7" t="s">
        <v>727</v>
      </c>
      <c r="N129" s="7" t="s">
        <v>1555</v>
      </c>
      <c r="O129" s="9">
        <v>41.76</v>
      </c>
      <c r="P129" s="9">
        <v>45.19</v>
      </c>
      <c r="Q129" s="9">
        <f t="shared" si="9"/>
        <v>45.19</v>
      </c>
      <c r="R129" s="9" t="str">
        <f t="shared" si="10"/>
        <v>OK</v>
      </c>
      <c r="S129" s="11">
        <v>0.17899999999999999</v>
      </c>
      <c r="T129" s="11" t="str">
        <f t="shared" si="11"/>
        <v>OK</v>
      </c>
      <c r="U129" s="13">
        <v>23</v>
      </c>
    </row>
    <row r="130" spans="1:21" x14ac:dyDescent="0.3">
      <c r="A130" s="7" t="s">
        <v>143</v>
      </c>
      <c r="B130" s="4">
        <v>45442</v>
      </c>
      <c r="C130" s="4">
        <v>45456</v>
      </c>
      <c r="D130" s="4" t="str">
        <f t="shared" si="6"/>
        <v>Valid</v>
      </c>
      <c r="E130" s="4">
        <f t="shared" si="7"/>
        <v>45456</v>
      </c>
      <c r="F130" s="13">
        <f t="shared" si="8"/>
        <v>14</v>
      </c>
      <c r="G130" s="7" t="s">
        <v>648</v>
      </c>
      <c r="H130" s="7" t="s">
        <v>1425</v>
      </c>
      <c r="I130" s="7" t="s">
        <v>686</v>
      </c>
      <c r="J130" s="7" t="s">
        <v>705</v>
      </c>
      <c r="K130" s="7" t="s">
        <v>707</v>
      </c>
      <c r="L130" s="7" t="s">
        <v>721</v>
      </c>
      <c r="M130" s="7" t="s">
        <v>730</v>
      </c>
      <c r="N130" s="7" t="s">
        <v>1556</v>
      </c>
      <c r="O130" s="9">
        <v>157.78</v>
      </c>
      <c r="P130" s="9">
        <v>361.1</v>
      </c>
      <c r="Q130" s="9">
        <f t="shared" si="9"/>
        <v>361.1</v>
      </c>
      <c r="R130" s="9" t="str">
        <f t="shared" si="10"/>
        <v>OK</v>
      </c>
      <c r="S130" s="11">
        <v>0.187</v>
      </c>
      <c r="T130" s="11" t="str">
        <f t="shared" si="11"/>
        <v>OK</v>
      </c>
      <c r="U130" s="13">
        <v>9</v>
      </c>
    </row>
    <row r="131" spans="1:21" x14ac:dyDescent="0.3">
      <c r="A131" s="7" t="s">
        <v>144</v>
      </c>
      <c r="B131" s="4">
        <v>44948</v>
      </c>
      <c r="C131" s="4">
        <v>44956</v>
      </c>
      <c r="D131" s="4" t="str">
        <f t="shared" ref="D131:D194" si="12">IF(C131&lt;B131,"Invalid","Valid")</f>
        <v>Valid</v>
      </c>
      <c r="E131" s="4">
        <f t="shared" ref="E131:E194" si="13">IF(C131&lt;B131,B131,C131)</f>
        <v>44956</v>
      </c>
      <c r="F131" s="13">
        <f t="shared" ref="F131:F194" si="14">E131-B131</f>
        <v>8</v>
      </c>
      <c r="G131" s="7" t="s">
        <v>648</v>
      </c>
      <c r="H131" s="7" t="s">
        <v>1425</v>
      </c>
      <c r="I131" s="7" t="s">
        <v>686</v>
      </c>
      <c r="J131" s="7" t="s">
        <v>705</v>
      </c>
      <c r="K131" s="7" t="s">
        <v>708</v>
      </c>
      <c r="L131" s="7" t="s">
        <v>720</v>
      </c>
      <c r="M131" s="7" t="s">
        <v>729</v>
      </c>
      <c r="N131" s="7" t="s">
        <v>1557</v>
      </c>
      <c r="O131" s="9">
        <v>413.52</v>
      </c>
      <c r="P131" s="9">
        <v>1004.34</v>
      </c>
      <c r="Q131" s="9">
        <f t="shared" ref="Q131:Q194" si="15">ABS(P131)</f>
        <v>1004.34</v>
      </c>
      <c r="R131" s="9" t="str">
        <f t="shared" ref="R131:R194" si="16">IF(P131&lt;=0,"FLAG","OK")</f>
        <v>OK</v>
      </c>
      <c r="S131" s="11">
        <v>0.111</v>
      </c>
      <c r="T131" s="11" t="str">
        <f t="shared" ref="T131:T194" si="17">IF(S131&gt;30%,"FLAG","OK")</f>
        <v>OK</v>
      </c>
      <c r="U131" s="13">
        <v>18</v>
      </c>
    </row>
    <row r="132" spans="1:21" x14ac:dyDescent="0.3">
      <c r="A132" s="7" t="s">
        <v>145</v>
      </c>
      <c r="B132" s="4">
        <v>45700</v>
      </c>
      <c r="C132" s="4">
        <v>45716</v>
      </c>
      <c r="D132" s="4" t="str">
        <f t="shared" si="12"/>
        <v>Valid</v>
      </c>
      <c r="E132" s="4">
        <f t="shared" si="13"/>
        <v>45716</v>
      </c>
      <c r="F132" s="13">
        <f t="shared" si="14"/>
        <v>16</v>
      </c>
      <c r="G132" s="7" t="s">
        <v>648</v>
      </c>
      <c r="H132" s="7" t="s">
        <v>655</v>
      </c>
      <c r="I132" s="7" t="s">
        <v>670</v>
      </c>
      <c r="J132" s="7" t="s">
        <v>703</v>
      </c>
      <c r="K132" s="7" t="s">
        <v>711</v>
      </c>
      <c r="L132" s="7" t="s">
        <v>717</v>
      </c>
      <c r="M132" s="7" t="s">
        <v>732</v>
      </c>
      <c r="N132" s="7" t="s">
        <v>1558</v>
      </c>
      <c r="O132" s="9">
        <v>414.95</v>
      </c>
      <c r="P132" s="9">
        <v>1027.73</v>
      </c>
      <c r="Q132" s="9">
        <f t="shared" si="15"/>
        <v>1027.73</v>
      </c>
      <c r="R132" s="9" t="str">
        <f t="shared" si="16"/>
        <v>OK</v>
      </c>
      <c r="S132" s="11">
        <v>6.3E-2</v>
      </c>
      <c r="T132" s="11" t="str">
        <f t="shared" si="17"/>
        <v>OK</v>
      </c>
      <c r="U132" s="13">
        <v>8</v>
      </c>
    </row>
    <row r="133" spans="1:21" x14ac:dyDescent="0.3">
      <c r="A133" s="7" t="s">
        <v>146</v>
      </c>
      <c r="B133" s="4">
        <v>45719</v>
      </c>
      <c r="C133" s="4">
        <v>45740</v>
      </c>
      <c r="D133" s="4" t="str">
        <f t="shared" si="12"/>
        <v>Valid</v>
      </c>
      <c r="E133" s="4">
        <f t="shared" si="13"/>
        <v>45740</v>
      </c>
      <c r="F133" s="13">
        <f t="shared" si="14"/>
        <v>21</v>
      </c>
      <c r="G133" s="7" t="s">
        <v>646</v>
      </c>
      <c r="H133" s="7" t="s">
        <v>651</v>
      </c>
      <c r="I133" s="7" t="s">
        <v>669</v>
      </c>
      <c r="J133" s="7" t="s">
        <v>706</v>
      </c>
      <c r="K133" s="7" t="s">
        <v>711</v>
      </c>
      <c r="L133" s="7" t="s">
        <v>722</v>
      </c>
      <c r="M133" s="7" t="s">
        <v>733</v>
      </c>
      <c r="N133" s="7" t="s">
        <v>1559</v>
      </c>
      <c r="O133" s="9">
        <v>555.95000000000005</v>
      </c>
      <c r="P133" s="9">
        <v>468.09</v>
      </c>
      <c r="Q133" s="9">
        <f t="shared" si="15"/>
        <v>468.09</v>
      </c>
      <c r="R133" s="9" t="str">
        <f t="shared" si="16"/>
        <v>OK</v>
      </c>
      <c r="S133" s="11">
        <v>0.14199999999999999</v>
      </c>
      <c r="T133" s="11" t="str">
        <f t="shared" si="17"/>
        <v>OK</v>
      </c>
      <c r="U133" s="13">
        <v>11</v>
      </c>
    </row>
    <row r="134" spans="1:21" x14ac:dyDescent="0.3">
      <c r="A134" s="7" t="s">
        <v>147</v>
      </c>
      <c r="B134" s="4">
        <v>44953</v>
      </c>
      <c r="C134" s="4">
        <v>44957</v>
      </c>
      <c r="D134" s="4" t="str">
        <f t="shared" si="12"/>
        <v>Valid</v>
      </c>
      <c r="E134" s="4">
        <f t="shared" si="13"/>
        <v>44957</v>
      </c>
      <c r="F134" s="13">
        <f t="shared" si="14"/>
        <v>4</v>
      </c>
      <c r="G134" s="7" t="s">
        <v>649</v>
      </c>
      <c r="H134" s="7" t="s">
        <v>658</v>
      </c>
      <c r="I134" s="7" t="s">
        <v>693</v>
      </c>
      <c r="J134" s="7" t="s">
        <v>706</v>
      </c>
      <c r="K134" s="7" t="s">
        <v>708</v>
      </c>
      <c r="L134" s="7" t="s">
        <v>725</v>
      </c>
      <c r="M134" s="7" t="s">
        <v>731</v>
      </c>
      <c r="N134" s="7" t="s">
        <v>1560</v>
      </c>
      <c r="O134" s="9">
        <v>941.2</v>
      </c>
      <c r="P134" s="9">
        <v>668.02</v>
      </c>
      <c r="Q134" s="9">
        <f t="shared" si="15"/>
        <v>668.02</v>
      </c>
      <c r="R134" s="9" t="str">
        <f t="shared" si="16"/>
        <v>OK</v>
      </c>
      <c r="S134" s="11">
        <v>0.22</v>
      </c>
      <c r="T134" s="11" t="str">
        <f t="shared" si="17"/>
        <v>OK</v>
      </c>
      <c r="U134" s="13">
        <v>16</v>
      </c>
    </row>
    <row r="135" spans="1:21" x14ac:dyDescent="0.3">
      <c r="A135" s="7" t="s">
        <v>148</v>
      </c>
      <c r="B135" s="4">
        <v>45666</v>
      </c>
      <c r="C135" s="4">
        <v>45672</v>
      </c>
      <c r="D135" s="4" t="str">
        <f t="shared" si="12"/>
        <v>Valid</v>
      </c>
      <c r="E135" s="4">
        <f t="shared" si="13"/>
        <v>45672</v>
      </c>
      <c r="F135" s="13">
        <f t="shared" si="14"/>
        <v>6</v>
      </c>
      <c r="G135" s="7" t="s">
        <v>647</v>
      </c>
      <c r="H135" s="7" t="s">
        <v>659</v>
      </c>
      <c r="I135" s="7" t="s">
        <v>699</v>
      </c>
      <c r="J135" s="7" t="s">
        <v>702</v>
      </c>
      <c r="K135" s="7" t="s">
        <v>708</v>
      </c>
      <c r="L135" s="7" t="s">
        <v>712</v>
      </c>
      <c r="M135" s="7" t="s">
        <v>730</v>
      </c>
      <c r="N135" s="7" t="s">
        <v>1561</v>
      </c>
      <c r="O135" s="9">
        <v>304.77999999999997</v>
      </c>
      <c r="P135" s="9">
        <v>537.27</v>
      </c>
      <c r="Q135" s="9">
        <f t="shared" si="15"/>
        <v>537.27</v>
      </c>
      <c r="R135" s="9" t="str">
        <f t="shared" si="16"/>
        <v>OK</v>
      </c>
      <c r="S135" s="11">
        <v>0.187</v>
      </c>
      <c r="T135" s="11" t="str">
        <f t="shared" si="17"/>
        <v>OK</v>
      </c>
      <c r="U135" s="13">
        <v>8</v>
      </c>
    </row>
    <row r="136" spans="1:21" x14ac:dyDescent="0.3">
      <c r="A136" s="7" t="s">
        <v>149</v>
      </c>
      <c r="B136" s="4">
        <v>45647</v>
      </c>
      <c r="C136" s="4">
        <v>45652</v>
      </c>
      <c r="D136" s="4" t="str">
        <f t="shared" si="12"/>
        <v>Valid</v>
      </c>
      <c r="E136" s="4">
        <f t="shared" si="13"/>
        <v>45652</v>
      </c>
      <c r="F136" s="13">
        <f t="shared" si="14"/>
        <v>5</v>
      </c>
      <c r="G136" s="7" t="s">
        <v>648</v>
      </c>
      <c r="H136" s="7" t="s">
        <v>1425</v>
      </c>
      <c r="I136" s="7" t="s">
        <v>686</v>
      </c>
      <c r="J136" s="7" t="s">
        <v>704</v>
      </c>
      <c r="K136" s="7" t="s">
        <v>709</v>
      </c>
      <c r="L136" s="7" t="s">
        <v>724</v>
      </c>
      <c r="M136" s="7" t="s">
        <v>728</v>
      </c>
      <c r="N136" s="7" t="s">
        <v>1562</v>
      </c>
      <c r="O136" s="9">
        <v>699.57</v>
      </c>
      <c r="P136" s="9">
        <v>572.71</v>
      </c>
      <c r="Q136" s="9">
        <f t="shared" si="15"/>
        <v>572.71</v>
      </c>
      <c r="R136" s="9" t="str">
        <f t="shared" si="16"/>
        <v>OK</v>
      </c>
      <c r="S136" s="11">
        <v>0.192</v>
      </c>
      <c r="T136" s="11" t="str">
        <f t="shared" si="17"/>
        <v>OK</v>
      </c>
      <c r="U136" s="13">
        <v>26</v>
      </c>
    </row>
    <row r="137" spans="1:21" x14ac:dyDescent="0.3">
      <c r="A137" s="7" t="s">
        <v>150</v>
      </c>
      <c r="B137" s="4">
        <v>45028</v>
      </c>
      <c r="C137" s="4">
        <v>45033</v>
      </c>
      <c r="D137" s="4" t="str">
        <f t="shared" si="12"/>
        <v>Valid</v>
      </c>
      <c r="E137" s="4">
        <f t="shared" si="13"/>
        <v>45033</v>
      </c>
      <c r="F137" s="13">
        <f t="shared" si="14"/>
        <v>5</v>
      </c>
      <c r="G137" s="7" t="s">
        <v>649</v>
      </c>
      <c r="H137" s="7" t="s">
        <v>657</v>
      </c>
      <c r="I137" s="7" t="s">
        <v>679</v>
      </c>
      <c r="J137" s="7" t="s">
        <v>706</v>
      </c>
      <c r="K137" s="7" t="s">
        <v>711</v>
      </c>
      <c r="L137" s="7" t="s">
        <v>718</v>
      </c>
      <c r="M137" s="7" t="s">
        <v>732</v>
      </c>
      <c r="N137" s="7" t="s">
        <v>1563</v>
      </c>
      <c r="O137" s="9">
        <v>1087.81</v>
      </c>
      <c r="P137" s="9">
        <v>2323.87</v>
      </c>
      <c r="Q137" s="9">
        <f t="shared" si="15"/>
        <v>2323.87</v>
      </c>
      <c r="R137" s="9" t="str">
        <f t="shared" si="16"/>
        <v>OK</v>
      </c>
      <c r="S137" s="11">
        <v>9.4E-2</v>
      </c>
      <c r="T137" s="11" t="str">
        <f t="shared" si="17"/>
        <v>OK</v>
      </c>
      <c r="U137" s="13">
        <v>13</v>
      </c>
    </row>
    <row r="138" spans="1:21" x14ac:dyDescent="0.3">
      <c r="A138" s="7" t="s">
        <v>151</v>
      </c>
      <c r="B138" s="4">
        <v>45640</v>
      </c>
      <c r="C138" s="4">
        <v>45669</v>
      </c>
      <c r="D138" s="4" t="str">
        <f t="shared" si="12"/>
        <v>Valid</v>
      </c>
      <c r="E138" s="4">
        <f t="shared" si="13"/>
        <v>45669</v>
      </c>
      <c r="F138" s="13">
        <f t="shared" si="14"/>
        <v>29</v>
      </c>
      <c r="G138" s="7" t="s">
        <v>647</v>
      </c>
      <c r="H138" s="7" t="s">
        <v>659</v>
      </c>
      <c r="I138" s="7" t="s">
        <v>676</v>
      </c>
      <c r="J138" s="7" t="s">
        <v>702</v>
      </c>
      <c r="K138" s="7" t="s">
        <v>708</v>
      </c>
      <c r="L138" s="7" t="s">
        <v>713</v>
      </c>
      <c r="M138" s="7" t="s">
        <v>727</v>
      </c>
      <c r="N138" s="7" t="s">
        <v>1564</v>
      </c>
      <c r="O138" s="9">
        <v>1412.15</v>
      </c>
      <c r="P138" s="9">
        <v>1631.04</v>
      </c>
      <c r="Q138" s="9">
        <f t="shared" si="15"/>
        <v>1631.04</v>
      </c>
      <c r="R138" s="9" t="str">
        <f t="shared" si="16"/>
        <v>OK</v>
      </c>
      <c r="S138" s="11">
        <v>8.9999999999999993E-3</v>
      </c>
      <c r="T138" s="11" t="str">
        <f t="shared" si="17"/>
        <v>OK</v>
      </c>
      <c r="U138" s="13">
        <v>6</v>
      </c>
    </row>
    <row r="139" spans="1:21" x14ac:dyDescent="0.3">
      <c r="A139" s="7" t="s">
        <v>152</v>
      </c>
      <c r="B139" s="4">
        <v>45016</v>
      </c>
      <c r="C139" s="4">
        <v>45028</v>
      </c>
      <c r="D139" s="4" t="str">
        <f t="shared" si="12"/>
        <v>Valid</v>
      </c>
      <c r="E139" s="4">
        <f t="shared" si="13"/>
        <v>45028</v>
      </c>
      <c r="F139" s="13">
        <f t="shared" si="14"/>
        <v>12</v>
      </c>
      <c r="G139" s="7" t="s">
        <v>646</v>
      </c>
      <c r="H139" s="7" t="s">
        <v>650</v>
      </c>
      <c r="I139" s="7" t="s">
        <v>675</v>
      </c>
      <c r="J139" s="7" t="s">
        <v>705</v>
      </c>
      <c r="K139" s="7" t="s">
        <v>708</v>
      </c>
      <c r="L139" s="7" t="s">
        <v>712</v>
      </c>
      <c r="M139" s="7" t="s">
        <v>730</v>
      </c>
      <c r="N139" s="7" t="s">
        <v>1565</v>
      </c>
      <c r="O139" s="9">
        <v>304.22000000000003</v>
      </c>
      <c r="P139" s="9">
        <v>393.31</v>
      </c>
      <c r="Q139" s="9">
        <f t="shared" si="15"/>
        <v>393.31</v>
      </c>
      <c r="R139" s="9" t="str">
        <f t="shared" si="16"/>
        <v>OK</v>
      </c>
      <c r="S139" s="11">
        <v>0.26500000000000001</v>
      </c>
      <c r="T139" s="11" t="str">
        <f t="shared" si="17"/>
        <v>OK</v>
      </c>
      <c r="U139" s="13">
        <v>15</v>
      </c>
    </row>
    <row r="140" spans="1:21" x14ac:dyDescent="0.3">
      <c r="A140" s="7" t="s">
        <v>153</v>
      </c>
      <c r="B140" s="4">
        <v>45616</v>
      </c>
      <c r="C140" s="4">
        <v>45641</v>
      </c>
      <c r="D140" s="4" t="str">
        <f t="shared" si="12"/>
        <v>Valid</v>
      </c>
      <c r="E140" s="4">
        <f t="shared" si="13"/>
        <v>45641</v>
      </c>
      <c r="F140" s="13">
        <f t="shared" si="14"/>
        <v>25</v>
      </c>
      <c r="G140" s="7" t="s">
        <v>649</v>
      </c>
      <c r="H140" s="7" t="s">
        <v>657</v>
      </c>
      <c r="I140" s="7" t="s">
        <v>690</v>
      </c>
      <c r="J140" s="7" t="s">
        <v>701</v>
      </c>
      <c r="K140" s="7" t="s">
        <v>708</v>
      </c>
      <c r="L140" s="7" t="s">
        <v>715</v>
      </c>
      <c r="M140" s="7" t="s">
        <v>728</v>
      </c>
      <c r="N140" s="7" t="s">
        <v>1566</v>
      </c>
      <c r="O140" s="9">
        <v>1203.58</v>
      </c>
      <c r="P140" s="9">
        <v>1856.16</v>
      </c>
      <c r="Q140" s="9">
        <f t="shared" si="15"/>
        <v>1856.16</v>
      </c>
      <c r="R140" s="9" t="str">
        <f t="shared" si="16"/>
        <v>OK</v>
      </c>
      <c r="S140" s="11">
        <v>0.129</v>
      </c>
      <c r="T140" s="11" t="str">
        <f t="shared" si="17"/>
        <v>OK</v>
      </c>
      <c r="U140" s="13">
        <v>22</v>
      </c>
    </row>
    <row r="141" spans="1:21" x14ac:dyDescent="0.3">
      <c r="A141" s="7" t="s">
        <v>154</v>
      </c>
      <c r="B141" s="4">
        <v>45336</v>
      </c>
      <c r="C141" s="4">
        <v>45336</v>
      </c>
      <c r="D141" s="4" t="str">
        <f t="shared" si="12"/>
        <v>Valid</v>
      </c>
      <c r="E141" s="4">
        <f t="shared" si="13"/>
        <v>45336</v>
      </c>
      <c r="F141" s="13">
        <f t="shared" si="14"/>
        <v>0</v>
      </c>
      <c r="G141" s="7" t="s">
        <v>647</v>
      </c>
      <c r="H141" s="7" t="s">
        <v>659</v>
      </c>
      <c r="I141" s="7" t="s">
        <v>699</v>
      </c>
      <c r="J141" s="7" t="s">
        <v>701</v>
      </c>
      <c r="K141" s="7" t="s">
        <v>710</v>
      </c>
      <c r="L141" s="7" t="s">
        <v>716</v>
      </c>
      <c r="M141" s="7" t="s">
        <v>733</v>
      </c>
      <c r="N141" s="7" t="s">
        <v>1567</v>
      </c>
      <c r="O141" s="9">
        <v>65.930000000000007</v>
      </c>
      <c r="P141" s="9">
        <v>84.9</v>
      </c>
      <c r="Q141" s="9">
        <f t="shared" si="15"/>
        <v>84.9</v>
      </c>
      <c r="R141" s="9" t="str">
        <f t="shared" si="16"/>
        <v>OK</v>
      </c>
      <c r="S141" s="11">
        <v>0.25900000000000001</v>
      </c>
      <c r="T141" s="11" t="str">
        <f t="shared" si="17"/>
        <v>OK</v>
      </c>
      <c r="U141" s="13">
        <v>23</v>
      </c>
    </row>
    <row r="142" spans="1:21" x14ac:dyDescent="0.3">
      <c r="A142" s="7" t="s">
        <v>155</v>
      </c>
      <c r="B142" s="4">
        <v>45048</v>
      </c>
      <c r="C142" s="4">
        <v>45064</v>
      </c>
      <c r="D142" s="4" t="str">
        <f t="shared" si="12"/>
        <v>Valid</v>
      </c>
      <c r="E142" s="4">
        <f t="shared" si="13"/>
        <v>45064</v>
      </c>
      <c r="F142" s="13">
        <f t="shared" si="14"/>
        <v>16</v>
      </c>
      <c r="G142" s="7" t="s">
        <v>647</v>
      </c>
      <c r="H142" s="7" t="s">
        <v>654</v>
      </c>
      <c r="I142" s="7" t="s">
        <v>680</v>
      </c>
      <c r="J142" s="7" t="s">
        <v>705</v>
      </c>
      <c r="K142" s="7" t="s">
        <v>709</v>
      </c>
      <c r="L142" s="7" t="s">
        <v>723</v>
      </c>
      <c r="M142" s="7" t="s">
        <v>732</v>
      </c>
      <c r="N142" s="7" t="s">
        <v>1568</v>
      </c>
      <c r="O142" s="9">
        <v>1463.92</v>
      </c>
      <c r="P142" s="9">
        <v>2252.2399999999998</v>
      </c>
      <c r="Q142" s="9">
        <f t="shared" si="15"/>
        <v>2252.2399999999998</v>
      </c>
      <c r="R142" s="9" t="str">
        <f t="shared" si="16"/>
        <v>OK</v>
      </c>
      <c r="S142" s="11">
        <v>0.11799999999999999</v>
      </c>
      <c r="T142" s="11" t="str">
        <f t="shared" si="17"/>
        <v>OK</v>
      </c>
      <c r="U142" s="13">
        <v>44</v>
      </c>
    </row>
    <row r="143" spans="1:21" x14ac:dyDescent="0.3">
      <c r="A143" s="7" t="s">
        <v>156</v>
      </c>
      <c r="B143" s="4">
        <v>45649</v>
      </c>
      <c r="C143" s="4">
        <v>45668</v>
      </c>
      <c r="D143" s="4" t="str">
        <f t="shared" si="12"/>
        <v>Valid</v>
      </c>
      <c r="E143" s="4">
        <f t="shared" si="13"/>
        <v>45668</v>
      </c>
      <c r="F143" s="13">
        <f t="shared" si="14"/>
        <v>19</v>
      </c>
      <c r="G143" s="7" t="s">
        <v>649</v>
      </c>
      <c r="H143" s="7" t="s">
        <v>656</v>
      </c>
      <c r="I143" s="7" t="s">
        <v>671</v>
      </c>
      <c r="J143" s="7" t="s">
        <v>702</v>
      </c>
      <c r="K143" s="7" t="s">
        <v>707</v>
      </c>
      <c r="L143" s="7" t="s">
        <v>723</v>
      </c>
      <c r="M143" s="7" t="s">
        <v>730</v>
      </c>
      <c r="N143" s="7" t="s">
        <v>1569</v>
      </c>
      <c r="O143" s="9">
        <v>501.81</v>
      </c>
      <c r="P143" s="9">
        <v>921.62</v>
      </c>
      <c r="Q143" s="9">
        <f t="shared" si="15"/>
        <v>921.62</v>
      </c>
      <c r="R143" s="9" t="str">
        <f t="shared" si="16"/>
        <v>OK</v>
      </c>
      <c r="S143" s="11">
        <v>0.01</v>
      </c>
      <c r="T143" s="11" t="str">
        <f t="shared" si="17"/>
        <v>OK</v>
      </c>
      <c r="U143" s="13">
        <v>9</v>
      </c>
    </row>
    <row r="144" spans="1:21" x14ac:dyDescent="0.3">
      <c r="A144" s="7" t="s">
        <v>157</v>
      </c>
      <c r="B144" s="4">
        <v>45133</v>
      </c>
      <c r="C144" s="4">
        <v>45163</v>
      </c>
      <c r="D144" s="4" t="str">
        <f t="shared" si="12"/>
        <v>Valid</v>
      </c>
      <c r="E144" s="4">
        <f t="shared" si="13"/>
        <v>45163</v>
      </c>
      <c r="F144" s="13">
        <f t="shared" si="14"/>
        <v>30</v>
      </c>
      <c r="G144" s="7" t="s">
        <v>648</v>
      </c>
      <c r="H144" s="7" t="s">
        <v>1425</v>
      </c>
      <c r="I144" s="7" t="s">
        <v>700</v>
      </c>
      <c r="J144" s="7" t="s">
        <v>704</v>
      </c>
      <c r="K144" s="7" t="s">
        <v>707</v>
      </c>
      <c r="L144" s="7" t="s">
        <v>724</v>
      </c>
      <c r="M144" s="7" t="s">
        <v>733</v>
      </c>
      <c r="N144" s="7" t="s">
        <v>1570</v>
      </c>
      <c r="O144" s="9">
        <v>1261.48</v>
      </c>
      <c r="P144" s="9">
        <v>1643.18</v>
      </c>
      <c r="Q144" s="9">
        <f t="shared" si="15"/>
        <v>1643.18</v>
      </c>
      <c r="R144" s="9" t="str">
        <f t="shared" si="16"/>
        <v>OK</v>
      </c>
      <c r="S144" s="11">
        <v>0.151</v>
      </c>
      <c r="T144" s="11" t="str">
        <f t="shared" si="17"/>
        <v>OK</v>
      </c>
      <c r="U144" s="13">
        <v>23</v>
      </c>
    </row>
    <row r="145" spans="1:21" x14ac:dyDescent="0.3">
      <c r="A145" s="7" t="s">
        <v>158</v>
      </c>
      <c r="B145" s="4">
        <v>45458</v>
      </c>
      <c r="C145" s="4">
        <v>45479</v>
      </c>
      <c r="D145" s="4" t="str">
        <f t="shared" si="12"/>
        <v>Valid</v>
      </c>
      <c r="E145" s="4">
        <f t="shared" si="13"/>
        <v>45479</v>
      </c>
      <c r="F145" s="13">
        <f t="shared" si="14"/>
        <v>21</v>
      </c>
      <c r="G145" s="7" t="s">
        <v>648</v>
      </c>
      <c r="H145" s="7" t="s">
        <v>653</v>
      </c>
      <c r="I145" s="7" t="s">
        <v>667</v>
      </c>
      <c r="J145" s="7" t="s">
        <v>706</v>
      </c>
      <c r="K145" s="7" t="s">
        <v>710</v>
      </c>
      <c r="L145" s="7" t="s">
        <v>716</v>
      </c>
      <c r="M145" s="7" t="s">
        <v>728</v>
      </c>
      <c r="N145" s="7" t="s">
        <v>1571</v>
      </c>
      <c r="O145" s="9">
        <v>817.23</v>
      </c>
      <c r="P145" s="9">
        <v>1467.17</v>
      </c>
      <c r="Q145" s="9">
        <f t="shared" si="15"/>
        <v>1467.17</v>
      </c>
      <c r="R145" s="9" t="str">
        <f t="shared" si="16"/>
        <v>OK</v>
      </c>
      <c r="S145" s="11">
        <v>0.245</v>
      </c>
      <c r="T145" s="11" t="str">
        <f t="shared" si="17"/>
        <v>OK</v>
      </c>
      <c r="U145" s="13">
        <v>9</v>
      </c>
    </row>
    <row r="146" spans="1:21" x14ac:dyDescent="0.3">
      <c r="A146" s="7" t="s">
        <v>159</v>
      </c>
      <c r="B146" s="4">
        <v>45112</v>
      </c>
      <c r="C146" s="4">
        <v>45121</v>
      </c>
      <c r="D146" s="4" t="str">
        <f t="shared" si="12"/>
        <v>Valid</v>
      </c>
      <c r="E146" s="4">
        <f t="shared" si="13"/>
        <v>45121</v>
      </c>
      <c r="F146" s="13">
        <f t="shared" si="14"/>
        <v>9</v>
      </c>
      <c r="G146" s="7" t="s">
        <v>648</v>
      </c>
      <c r="H146" s="7" t="s">
        <v>655</v>
      </c>
      <c r="I146" s="7" t="s">
        <v>672</v>
      </c>
      <c r="J146" s="7" t="s">
        <v>706</v>
      </c>
      <c r="K146" s="7" t="s">
        <v>711</v>
      </c>
      <c r="L146" s="7" t="s">
        <v>717</v>
      </c>
      <c r="M146" s="7" t="s">
        <v>729</v>
      </c>
      <c r="N146" s="7" t="s">
        <v>1572</v>
      </c>
      <c r="O146" s="9">
        <v>578.85</v>
      </c>
      <c r="P146" s="9">
        <v>998.76</v>
      </c>
      <c r="Q146" s="9">
        <f t="shared" si="15"/>
        <v>998.76</v>
      </c>
      <c r="R146" s="9" t="str">
        <f t="shared" si="16"/>
        <v>OK</v>
      </c>
      <c r="S146" s="11">
        <v>8.2000000000000003E-2</v>
      </c>
      <c r="T146" s="11" t="str">
        <f t="shared" si="17"/>
        <v>OK</v>
      </c>
      <c r="U146" s="13">
        <v>28</v>
      </c>
    </row>
    <row r="147" spans="1:21" x14ac:dyDescent="0.3">
      <c r="A147" s="7" t="s">
        <v>160</v>
      </c>
      <c r="B147" s="4">
        <v>45260</v>
      </c>
      <c r="C147" s="4">
        <v>45259</v>
      </c>
      <c r="D147" s="4" t="str">
        <f t="shared" si="12"/>
        <v>Invalid</v>
      </c>
      <c r="E147" s="4">
        <f t="shared" si="13"/>
        <v>45260</v>
      </c>
      <c r="F147" s="13">
        <f t="shared" si="14"/>
        <v>0</v>
      </c>
      <c r="G147" s="7" t="s">
        <v>646</v>
      </c>
      <c r="H147" s="7" t="s">
        <v>661</v>
      </c>
      <c r="I147" s="7" t="s">
        <v>687</v>
      </c>
      <c r="J147" s="7" t="s">
        <v>705</v>
      </c>
      <c r="K147" s="7" t="s">
        <v>709</v>
      </c>
      <c r="L147" s="7" t="s">
        <v>718</v>
      </c>
      <c r="M147" s="7" t="s">
        <v>731</v>
      </c>
      <c r="N147" s="7" t="s">
        <v>1573</v>
      </c>
      <c r="O147" s="9">
        <v>275.56</v>
      </c>
      <c r="P147" s="9">
        <v>630.72</v>
      </c>
      <c r="Q147" s="9">
        <f t="shared" si="15"/>
        <v>630.72</v>
      </c>
      <c r="R147" s="9" t="str">
        <f t="shared" si="16"/>
        <v>OK</v>
      </c>
      <c r="S147" s="11">
        <v>0.107</v>
      </c>
      <c r="T147" s="11" t="str">
        <f t="shared" si="17"/>
        <v>OK</v>
      </c>
      <c r="U147" s="13">
        <v>23</v>
      </c>
    </row>
    <row r="148" spans="1:21" x14ac:dyDescent="0.3">
      <c r="A148" s="7" t="s">
        <v>161</v>
      </c>
      <c r="B148" s="4">
        <v>45911</v>
      </c>
      <c r="C148" s="4">
        <v>45928</v>
      </c>
      <c r="D148" s="4" t="str">
        <f t="shared" si="12"/>
        <v>Valid</v>
      </c>
      <c r="E148" s="4">
        <f t="shared" si="13"/>
        <v>45928</v>
      </c>
      <c r="F148" s="13">
        <f t="shared" si="14"/>
        <v>17</v>
      </c>
      <c r="G148" s="7" t="s">
        <v>646</v>
      </c>
      <c r="H148" s="7" t="s">
        <v>650</v>
      </c>
      <c r="I148" s="7" t="s">
        <v>664</v>
      </c>
      <c r="J148" s="7" t="s">
        <v>703</v>
      </c>
      <c r="K148" s="7" t="s">
        <v>710</v>
      </c>
      <c r="L148" s="7" t="s">
        <v>713</v>
      </c>
      <c r="M148" s="7" t="s">
        <v>731</v>
      </c>
      <c r="N148" s="7" t="s">
        <v>1574</v>
      </c>
      <c r="O148" s="9">
        <v>891.46</v>
      </c>
      <c r="P148" s="9">
        <v>728.61</v>
      </c>
      <c r="Q148" s="9">
        <f t="shared" si="15"/>
        <v>728.61</v>
      </c>
      <c r="R148" s="9" t="str">
        <f t="shared" si="16"/>
        <v>OK</v>
      </c>
      <c r="S148" s="11">
        <v>0.185</v>
      </c>
      <c r="T148" s="11" t="str">
        <f t="shared" si="17"/>
        <v>OK</v>
      </c>
      <c r="U148" s="13">
        <v>6</v>
      </c>
    </row>
    <row r="149" spans="1:21" x14ac:dyDescent="0.3">
      <c r="A149" s="7" t="s">
        <v>162</v>
      </c>
      <c r="B149" s="4">
        <v>45386</v>
      </c>
      <c r="C149" s="4">
        <v>45406</v>
      </c>
      <c r="D149" s="4" t="str">
        <f t="shared" si="12"/>
        <v>Valid</v>
      </c>
      <c r="E149" s="4">
        <f t="shared" si="13"/>
        <v>45406</v>
      </c>
      <c r="F149" s="13">
        <f t="shared" si="14"/>
        <v>20</v>
      </c>
      <c r="G149" s="7" t="s">
        <v>649</v>
      </c>
      <c r="H149" s="7" t="s">
        <v>656</v>
      </c>
      <c r="I149" s="7" t="s">
        <v>698</v>
      </c>
      <c r="J149" s="7" t="s">
        <v>703</v>
      </c>
      <c r="K149" s="7" t="s">
        <v>711</v>
      </c>
      <c r="L149" s="7" t="s">
        <v>719</v>
      </c>
      <c r="M149" s="7" t="s">
        <v>733</v>
      </c>
      <c r="N149" s="7" t="s">
        <v>1575</v>
      </c>
      <c r="O149" s="9">
        <v>683.42</v>
      </c>
      <c r="P149" s="9">
        <v>951.51</v>
      </c>
      <c r="Q149" s="9">
        <f t="shared" si="15"/>
        <v>951.51</v>
      </c>
      <c r="R149" s="9" t="str">
        <f t="shared" si="16"/>
        <v>OK</v>
      </c>
      <c r="S149" s="11">
        <v>0</v>
      </c>
      <c r="T149" s="11" t="str">
        <f t="shared" si="17"/>
        <v>OK</v>
      </c>
      <c r="U149" s="13">
        <v>14</v>
      </c>
    </row>
    <row r="150" spans="1:21" x14ac:dyDescent="0.3">
      <c r="A150" s="7" t="s">
        <v>163</v>
      </c>
      <c r="B150" s="4">
        <v>45183</v>
      </c>
      <c r="C150" s="4">
        <v>45185</v>
      </c>
      <c r="D150" s="4" t="str">
        <f t="shared" si="12"/>
        <v>Valid</v>
      </c>
      <c r="E150" s="4">
        <f t="shared" si="13"/>
        <v>45185</v>
      </c>
      <c r="F150" s="13">
        <f t="shared" si="14"/>
        <v>2</v>
      </c>
      <c r="G150" s="7" t="s">
        <v>649</v>
      </c>
      <c r="H150" s="7" t="s">
        <v>657</v>
      </c>
      <c r="I150" s="7" t="s">
        <v>679</v>
      </c>
      <c r="J150" s="7" t="s">
        <v>703</v>
      </c>
      <c r="K150" s="7" t="s">
        <v>711</v>
      </c>
      <c r="L150" s="7" t="s">
        <v>717</v>
      </c>
      <c r="M150" s="7" t="s">
        <v>728</v>
      </c>
      <c r="N150" s="7" t="s">
        <v>1576</v>
      </c>
      <c r="O150" s="9">
        <v>376.83</v>
      </c>
      <c r="P150" s="9">
        <v>732.88</v>
      </c>
      <c r="Q150" s="9">
        <f t="shared" si="15"/>
        <v>732.88</v>
      </c>
      <c r="R150" s="9" t="str">
        <f t="shared" si="16"/>
        <v>OK</v>
      </c>
      <c r="S150" s="11">
        <v>0.188</v>
      </c>
      <c r="T150" s="11" t="str">
        <f t="shared" si="17"/>
        <v>OK</v>
      </c>
      <c r="U150" s="13">
        <v>25</v>
      </c>
    </row>
    <row r="151" spans="1:21" x14ac:dyDescent="0.3">
      <c r="A151" s="7" t="s">
        <v>164</v>
      </c>
      <c r="B151" s="4">
        <v>45558</v>
      </c>
      <c r="C151" s="4">
        <v>45583</v>
      </c>
      <c r="D151" s="4" t="str">
        <f t="shared" si="12"/>
        <v>Valid</v>
      </c>
      <c r="E151" s="4">
        <f t="shared" si="13"/>
        <v>45583</v>
      </c>
      <c r="F151" s="13">
        <f t="shared" si="14"/>
        <v>25</v>
      </c>
      <c r="G151" s="7" t="s">
        <v>648</v>
      </c>
      <c r="H151" s="7" t="s">
        <v>653</v>
      </c>
      <c r="I151" s="7" t="s">
        <v>688</v>
      </c>
      <c r="J151" s="7" t="s">
        <v>705</v>
      </c>
      <c r="K151" s="7" t="s">
        <v>708</v>
      </c>
      <c r="L151" s="7" t="s">
        <v>725</v>
      </c>
      <c r="M151" s="7" t="s">
        <v>730</v>
      </c>
      <c r="N151" s="7" t="s">
        <v>1577</v>
      </c>
      <c r="O151" s="9">
        <v>1297</v>
      </c>
      <c r="P151" s="9">
        <v>2411.52</v>
      </c>
      <c r="Q151" s="9">
        <f t="shared" si="15"/>
        <v>2411.52</v>
      </c>
      <c r="R151" s="9" t="str">
        <f t="shared" si="16"/>
        <v>OK</v>
      </c>
      <c r="S151" s="11">
        <v>2.1000000000000001E-2</v>
      </c>
      <c r="T151" s="11" t="str">
        <f t="shared" si="17"/>
        <v>OK</v>
      </c>
      <c r="U151" s="13">
        <v>18</v>
      </c>
    </row>
    <row r="152" spans="1:21" x14ac:dyDescent="0.3">
      <c r="A152" s="7" t="s">
        <v>165</v>
      </c>
      <c r="B152" s="4">
        <v>45763</v>
      </c>
      <c r="C152" s="4">
        <v>45793</v>
      </c>
      <c r="D152" s="4" t="str">
        <f t="shared" si="12"/>
        <v>Valid</v>
      </c>
      <c r="E152" s="4">
        <f t="shared" si="13"/>
        <v>45793</v>
      </c>
      <c r="F152" s="13">
        <f t="shared" si="14"/>
        <v>30</v>
      </c>
      <c r="G152" s="7" t="s">
        <v>648</v>
      </c>
      <c r="H152" s="7" t="s">
        <v>653</v>
      </c>
      <c r="I152" s="7" t="s">
        <v>681</v>
      </c>
      <c r="J152" s="7" t="s">
        <v>706</v>
      </c>
      <c r="K152" s="7" t="s">
        <v>710</v>
      </c>
      <c r="L152" s="7" t="s">
        <v>723</v>
      </c>
      <c r="M152" s="7" t="s">
        <v>728</v>
      </c>
      <c r="N152" s="7" t="s">
        <v>1578</v>
      </c>
      <c r="O152" s="9">
        <v>763.32</v>
      </c>
      <c r="P152" s="9">
        <v>568.29</v>
      </c>
      <c r="Q152" s="9">
        <f t="shared" si="15"/>
        <v>568.29</v>
      </c>
      <c r="R152" s="9" t="str">
        <f t="shared" si="16"/>
        <v>OK</v>
      </c>
      <c r="S152" s="11">
        <v>0.13100000000000001</v>
      </c>
      <c r="T152" s="11" t="str">
        <f t="shared" si="17"/>
        <v>OK</v>
      </c>
      <c r="U152" s="13">
        <v>16</v>
      </c>
    </row>
    <row r="153" spans="1:21" x14ac:dyDescent="0.3">
      <c r="A153" s="7" t="s">
        <v>166</v>
      </c>
      <c r="B153" s="4">
        <v>45110</v>
      </c>
      <c r="C153" s="4">
        <v>45130</v>
      </c>
      <c r="D153" s="4" t="str">
        <f t="shared" si="12"/>
        <v>Valid</v>
      </c>
      <c r="E153" s="4">
        <f t="shared" si="13"/>
        <v>45130</v>
      </c>
      <c r="F153" s="13">
        <f t="shared" si="14"/>
        <v>20</v>
      </c>
      <c r="G153" s="7" t="s">
        <v>646</v>
      </c>
      <c r="H153" s="7" t="s">
        <v>661</v>
      </c>
      <c r="I153" s="7" t="s">
        <v>682</v>
      </c>
      <c r="J153" s="7" t="s">
        <v>705</v>
      </c>
      <c r="K153" s="7" t="s">
        <v>710</v>
      </c>
      <c r="L153" s="7" t="s">
        <v>721</v>
      </c>
      <c r="M153" s="7" t="s">
        <v>731</v>
      </c>
      <c r="N153" s="7" t="s">
        <v>1579</v>
      </c>
      <c r="O153" s="9">
        <v>1001.96</v>
      </c>
      <c r="P153" s="9">
        <v>1254.95</v>
      </c>
      <c r="Q153" s="9">
        <f t="shared" si="15"/>
        <v>1254.95</v>
      </c>
      <c r="R153" s="9" t="str">
        <f t="shared" si="16"/>
        <v>OK</v>
      </c>
      <c r="S153" s="11">
        <v>4.4999999999999998E-2</v>
      </c>
      <c r="T153" s="11" t="str">
        <f t="shared" si="17"/>
        <v>OK</v>
      </c>
      <c r="U153" s="13">
        <v>18</v>
      </c>
    </row>
    <row r="154" spans="1:21" x14ac:dyDescent="0.3">
      <c r="A154" s="7" t="s">
        <v>167</v>
      </c>
      <c r="B154" s="4">
        <v>45267</v>
      </c>
      <c r="C154" s="4">
        <v>45265</v>
      </c>
      <c r="D154" s="4" t="str">
        <f t="shared" si="12"/>
        <v>Invalid</v>
      </c>
      <c r="E154" s="4">
        <f t="shared" si="13"/>
        <v>45267</v>
      </c>
      <c r="F154" s="13">
        <f t="shared" si="14"/>
        <v>0</v>
      </c>
      <c r="G154" s="7" t="s">
        <v>647</v>
      </c>
      <c r="H154" s="7" t="s">
        <v>652</v>
      </c>
      <c r="I154" s="7" t="s">
        <v>689</v>
      </c>
      <c r="J154" s="7" t="s">
        <v>703</v>
      </c>
      <c r="K154" s="7" t="s">
        <v>709</v>
      </c>
      <c r="L154" s="7" t="s">
        <v>722</v>
      </c>
      <c r="M154" s="7" t="s">
        <v>728</v>
      </c>
      <c r="N154" s="7" t="s">
        <v>1580</v>
      </c>
      <c r="O154" s="9">
        <v>1097.5899999999999</v>
      </c>
      <c r="P154" s="9">
        <v>845.55</v>
      </c>
      <c r="Q154" s="9">
        <f t="shared" si="15"/>
        <v>845.55</v>
      </c>
      <c r="R154" s="9" t="str">
        <f t="shared" si="16"/>
        <v>OK</v>
      </c>
      <c r="S154" s="11">
        <v>0.184</v>
      </c>
      <c r="T154" s="11" t="str">
        <f t="shared" si="17"/>
        <v>OK</v>
      </c>
      <c r="U154" s="13">
        <v>6</v>
      </c>
    </row>
    <row r="155" spans="1:21" x14ac:dyDescent="0.3">
      <c r="A155" s="7" t="s">
        <v>168</v>
      </c>
      <c r="B155" s="4">
        <v>45340</v>
      </c>
      <c r="C155" s="4">
        <v>45355</v>
      </c>
      <c r="D155" s="4" t="str">
        <f t="shared" si="12"/>
        <v>Valid</v>
      </c>
      <c r="E155" s="4">
        <f t="shared" si="13"/>
        <v>45355</v>
      </c>
      <c r="F155" s="13">
        <f t="shared" si="14"/>
        <v>15</v>
      </c>
      <c r="G155" s="7" t="s">
        <v>646</v>
      </c>
      <c r="H155" s="7" t="s">
        <v>650</v>
      </c>
      <c r="I155" s="7" t="s">
        <v>662</v>
      </c>
      <c r="J155" s="7" t="s">
        <v>702</v>
      </c>
      <c r="K155" s="7" t="s">
        <v>711</v>
      </c>
      <c r="L155" s="7" t="s">
        <v>723</v>
      </c>
      <c r="M155" s="7" t="s">
        <v>728</v>
      </c>
      <c r="N155" s="7" t="s">
        <v>1581</v>
      </c>
      <c r="O155" s="9">
        <v>928.68</v>
      </c>
      <c r="P155" s="9">
        <v>2145.17</v>
      </c>
      <c r="Q155" s="9">
        <f t="shared" si="15"/>
        <v>2145.17</v>
      </c>
      <c r="R155" s="9" t="str">
        <f t="shared" si="16"/>
        <v>OK</v>
      </c>
      <c r="S155" s="11">
        <v>0.13600000000000001</v>
      </c>
      <c r="T155" s="11" t="str">
        <f t="shared" si="17"/>
        <v>OK</v>
      </c>
      <c r="U155" s="13">
        <v>16</v>
      </c>
    </row>
    <row r="156" spans="1:21" x14ac:dyDescent="0.3">
      <c r="A156" s="7" t="s">
        <v>169</v>
      </c>
      <c r="B156" s="4">
        <v>45230</v>
      </c>
      <c r="C156" s="4">
        <v>45232</v>
      </c>
      <c r="D156" s="4" t="str">
        <f t="shared" si="12"/>
        <v>Valid</v>
      </c>
      <c r="E156" s="4">
        <f t="shared" si="13"/>
        <v>45232</v>
      </c>
      <c r="F156" s="13">
        <f t="shared" si="14"/>
        <v>2</v>
      </c>
      <c r="G156" s="7" t="s">
        <v>646</v>
      </c>
      <c r="H156" s="7" t="s">
        <v>650</v>
      </c>
      <c r="I156" s="7" t="s">
        <v>662</v>
      </c>
      <c r="J156" s="7" t="s">
        <v>702</v>
      </c>
      <c r="K156" s="7" t="s">
        <v>707</v>
      </c>
      <c r="L156" s="7" t="s">
        <v>719</v>
      </c>
      <c r="M156" s="7" t="s">
        <v>733</v>
      </c>
      <c r="N156" s="7" t="s">
        <v>1582</v>
      </c>
      <c r="O156" s="9">
        <v>867.89</v>
      </c>
      <c r="P156" s="9">
        <v>1349.94</v>
      </c>
      <c r="Q156" s="9">
        <f t="shared" si="15"/>
        <v>1349.94</v>
      </c>
      <c r="R156" s="9" t="str">
        <f t="shared" si="16"/>
        <v>OK</v>
      </c>
      <c r="S156" s="11">
        <v>0.184</v>
      </c>
      <c r="T156" s="11" t="str">
        <f t="shared" si="17"/>
        <v>OK</v>
      </c>
      <c r="U156" s="13">
        <v>10</v>
      </c>
    </row>
    <row r="157" spans="1:21" x14ac:dyDescent="0.3">
      <c r="A157" s="7" t="s">
        <v>170</v>
      </c>
      <c r="B157" s="4">
        <v>45511</v>
      </c>
      <c r="C157" s="4">
        <v>45521</v>
      </c>
      <c r="D157" s="4" t="str">
        <f t="shared" si="12"/>
        <v>Valid</v>
      </c>
      <c r="E157" s="4">
        <f t="shared" si="13"/>
        <v>45521</v>
      </c>
      <c r="F157" s="13">
        <f t="shared" si="14"/>
        <v>10</v>
      </c>
      <c r="G157" s="7" t="s">
        <v>647</v>
      </c>
      <c r="H157" s="7" t="s">
        <v>652</v>
      </c>
      <c r="I157" s="7" t="s">
        <v>666</v>
      </c>
      <c r="J157" s="7" t="s">
        <v>704</v>
      </c>
      <c r="K157" s="7" t="s">
        <v>708</v>
      </c>
      <c r="L157" s="7" t="s">
        <v>723</v>
      </c>
      <c r="M157" s="7" t="s">
        <v>729</v>
      </c>
      <c r="N157" s="7" t="s">
        <v>1583</v>
      </c>
      <c r="O157" s="9">
        <v>436.58</v>
      </c>
      <c r="P157" s="9">
        <v>527.48</v>
      </c>
      <c r="Q157" s="9">
        <f t="shared" si="15"/>
        <v>527.48</v>
      </c>
      <c r="R157" s="9" t="str">
        <f t="shared" si="16"/>
        <v>OK</v>
      </c>
      <c r="S157" s="11">
        <v>0.111</v>
      </c>
      <c r="T157" s="11" t="str">
        <f t="shared" si="17"/>
        <v>OK</v>
      </c>
      <c r="U157" s="13">
        <v>19</v>
      </c>
    </row>
    <row r="158" spans="1:21" x14ac:dyDescent="0.3">
      <c r="A158" s="7" t="s">
        <v>171</v>
      </c>
      <c r="B158" s="4">
        <v>45323</v>
      </c>
      <c r="C158" s="4">
        <v>45343</v>
      </c>
      <c r="D158" s="4" t="str">
        <f t="shared" si="12"/>
        <v>Valid</v>
      </c>
      <c r="E158" s="4">
        <f t="shared" si="13"/>
        <v>45343</v>
      </c>
      <c r="F158" s="13">
        <f t="shared" si="14"/>
        <v>20</v>
      </c>
      <c r="G158" s="7" t="s">
        <v>649</v>
      </c>
      <c r="H158" s="7" t="s">
        <v>657</v>
      </c>
      <c r="I158" s="7" t="s">
        <v>690</v>
      </c>
      <c r="J158" s="7" t="s">
        <v>705</v>
      </c>
      <c r="K158" s="7" t="s">
        <v>709</v>
      </c>
      <c r="L158" s="7" t="s">
        <v>720</v>
      </c>
      <c r="M158" s="7" t="s">
        <v>729</v>
      </c>
      <c r="N158" s="7" t="s">
        <v>1584</v>
      </c>
      <c r="O158" s="9">
        <v>656.2</v>
      </c>
      <c r="P158" s="9">
        <v>1467.17</v>
      </c>
      <c r="Q158" s="9">
        <f t="shared" si="15"/>
        <v>1467.17</v>
      </c>
      <c r="R158" s="9" t="str">
        <f t="shared" si="16"/>
        <v>OK</v>
      </c>
      <c r="S158" s="11">
        <v>1.7999999999999999E-2</v>
      </c>
      <c r="T158" s="11" t="str">
        <f t="shared" si="17"/>
        <v>OK</v>
      </c>
      <c r="U158" s="13">
        <v>5</v>
      </c>
    </row>
    <row r="159" spans="1:21" x14ac:dyDescent="0.3">
      <c r="A159" s="7" t="s">
        <v>172</v>
      </c>
      <c r="B159" s="4">
        <v>45531</v>
      </c>
      <c r="C159" s="4">
        <v>45553</v>
      </c>
      <c r="D159" s="4" t="str">
        <f t="shared" si="12"/>
        <v>Valid</v>
      </c>
      <c r="E159" s="4">
        <f t="shared" si="13"/>
        <v>45553</v>
      </c>
      <c r="F159" s="13">
        <f t="shared" si="14"/>
        <v>22</v>
      </c>
      <c r="G159" s="7" t="s">
        <v>647</v>
      </c>
      <c r="H159" s="7" t="s">
        <v>654</v>
      </c>
      <c r="I159" s="7" t="s">
        <v>680</v>
      </c>
      <c r="J159" s="7" t="s">
        <v>704</v>
      </c>
      <c r="K159" s="7" t="s">
        <v>711</v>
      </c>
      <c r="L159" s="7" t="s">
        <v>717</v>
      </c>
      <c r="M159" s="7" t="s">
        <v>727</v>
      </c>
      <c r="N159" s="7" t="s">
        <v>1585</v>
      </c>
      <c r="O159" s="9">
        <v>896.75</v>
      </c>
      <c r="P159" s="9">
        <v>1651.14</v>
      </c>
      <c r="Q159" s="9">
        <f t="shared" si="15"/>
        <v>1651.14</v>
      </c>
      <c r="R159" s="9" t="str">
        <f t="shared" si="16"/>
        <v>OK</v>
      </c>
      <c r="S159" s="11">
        <v>2.5000000000000001E-2</v>
      </c>
      <c r="T159" s="11" t="str">
        <f t="shared" si="17"/>
        <v>OK</v>
      </c>
      <c r="U159" s="13">
        <v>15</v>
      </c>
    </row>
    <row r="160" spans="1:21" x14ac:dyDescent="0.3">
      <c r="A160" s="7" t="s">
        <v>173</v>
      </c>
      <c r="B160" s="4">
        <v>45703</v>
      </c>
      <c r="C160" s="4">
        <v>45703</v>
      </c>
      <c r="D160" s="4" t="str">
        <f t="shared" si="12"/>
        <v>Valid</v>
      </c>
      <c r="E160" s="4">
        <f t="shared" si="13"/>
        <v>45703</v>
      </c>
      <c r="F160" s="13">
        <f t="shared" si="14"/>
        <v>0</v>
      </c>
      <c r="G160" s="7" t="s">
        <v>649</v>
      </c>
      <c r="H160" s="7" t="s">
        <v>656</v>
      </c>
      <c r="I160" s="7" t="s">
        <v>698</v>
      </c>
      <c r="J160" s="7" t="s">
        <v>705</v>
      </c>
      <c r="K160" s="7" t="s">
        <v>709</v>
      </c>
      <c r="L160" s="7" t="s">
        <v>716</v>
      </c>
      <c r="M160" s="7" t="s">
        <v>733</v>
      </c>
      <c r="N160" s="7" t="s">
        <v>1586</v>
      </c>
      <c r="O160" s="9">
        <v>815.83</v>
      </c>
      <c r="P160" s="9">
        <v>1982.18</v>
      </c>
      <c r="Q160" s="9">
        <f t="shared" si="15"/>
        <v>1982.18</v>
      </c>
      <c r="R160" s="9" t="str">
        <f t="shared" si="16"/>
        <v>OK</v>
      </c>
      <c r="S160" s="11">
        <v>0.127</v>
      </c>
      <c r="T160" s="11" t="str">
        <f t="shared" si="17"/>
        <v>OK</v>
      </c>
      <c r="U160" s="13">
        <v>6</v>
      </c>
    </row>
    <row r="161" spans="1:21" x14ac:dyDescent="0.3">
      <c r="A161" s="7" t="s">
        <v>174</v>
      </c>
      <c r="B161" s="4">
        <v>45870</v>
      </c>
      <c r="C161" s="4">
        <v>45890</v>
      </c>
      <c r="D161" s="4" t="str">
        <f t="shared" si="12"/>
        <v>Valid</v>
      </c>
      <c r="E161" s="4">
        <f t="shared" si="13"/>
        <v>45890</v>
      </c>
      <c r="F161" s="13">
        <f t="shared" si="14"/>
        <v>20</v>
      </c>
      <c r="G161" s="7" t="s">
        <v>647</v>
      </c>
      <c r="H161" s="7" t="s">
        <v>659</v>
      </c>
      <c r="I161" s="7" t="s">
        <v>685</v>
      </c>
      <c r="J161" s="7" t="s">
        <v>701</v>
      </c>
      <c r="K161" s="7" t="s">
        <v>711</v>
      </c>
      <c r="L161" s="7" t="s">
        <v>714</v>
      </c>
      <c r="M161" s="7" t="s">
        <v>730</v>
      </c>
      <c r="N161" s="7" t="s">
        <v>1587</v>
      </c>
      <c r="O161" s="9">
        <v>1220.4100000000001</v>
      </c>
      <c r="P161" s="9">
        <v>2552.2199999999998</v>
      </c>
      <c r="Q161" s="9">
        <f t="shared" si="15"/>
        <v>2552.2199999999998</v>
      </c>
      <c r="R161" s="9" t="str">
        <f t="shared" si="16"/>
        <v>OK</v>
      </c>
      <c r="S161" s="11">
        <v>0.18099999999999999</v>
      </c>
      <c r="T161" s="11" t="str">
        <f t="shared" si="17"/>
        <v>OK</v>
      </c>
      <c r="U161" s="13">
        <v>14</v>
      </c>
    </row>
    <row r="162" spans="1:21" x14ac:dyDescent="0.3">
      <c r="A162" s="7" t="s">
        <v>175</v>
      </c>
      <c r="B162" s="4">
        <v>44977</v>
      </c>
      <c r="C162" s="4">
        <v>44989</v>
      </c>
      <c r="D162" s="4" t="str">
        <f t="shared" si="12"/>
        <v>Valid</v>
      </c>
      <c r="E162" s="4">
        <f t="shared" si="13"/>
        <v>44989</v>
      </c>
      <c r="F162" s="13">
        <f t="shared" si="14"/>
        <v>12</v>
      </c>
      <c r="G162" s="7" t="s">
        <v>647</v>
      </c>
      <c r="H162" s="7" t="s">
        <v>654</v>
      </c>
      <c r="I162" s="7" t="s">
        <v>680</v>
      </c>
      <c r="J162" s="7" t="s">
        <v>704</v>
      </c>
      <c r="K162" s="7" t="s">
        <v>710</v>
      </c>
      <c r="L162" s="7" t="s">
        <v>724</v>
      </c>
      <c r="M162" s="7" t="s">
        <v>732</v>
      </c>
      <c r="N162" s="7" t="s">
        <v>1588</v>
      </c>
      <c r="O162" s="9">
        <v>299.75</v>
      </c>
      <c r="P162" s="9">
        <v>523.01</v>
      </c>
      <c r="Q162" s="9">
        <f t="shared" si="15"/>
        <v>523.01</v>
      </c>
      <c r="R162" s="9" t="str">
        <f t="shared" si="16"/>
        <v>OK</v>
      </c>
      <c r="S162" s="11">
        <v>0.157</v>
      </c>
      <c r="T162" s="11" t="str">
        <f t="shared" si="17"/>
        <v>OK</v>
      </c>
      <c r="U162" s="13">
        <v>50</v>
      </c>
    </row>
    <row r="163" spans="1:21" x14ac:dyDescent="0.3">
      <c r="A163" s="7" t="s">
        <v>176</v>
      </c>
      <c r="B163" s="4">
        <v>45595</v>
      </c>
      <c r="C163" s="4">
        <v>45620</v>
      </c>
      <c r="D163" s="4" t="str">
        <f t="shared" si="12"/>
        <v>Valid</v>
      </c>
      <c r="E163" s="4">
        <f t="shared" si="13"/>
        <v>45620</v>
      </c>
      <c r="F163" s="13">
        <f t="shared" si="14"/>
        <v>25</v>
      </c>
      <c r="G163" s="7" t="s">
        <v>647</v>
      </c>
      <c r="H163" s="7" t="s">
        <v>659</v>
      </c>
      <c r="I163" s="7" t="s">
        <v>676</v>
      </c>
      <c r="J163" s="7" t="s">
        <v>705</v>
      </c>
      <c r="K163" s="7" t="s">
        <v>708</v>
      </c>
      <c r="L163" s="7" t="s">
        <v>718</v>
      </c>
      <c r="M163" s="7" t="s">
        <v>727</v>
      </c>
      <c r="N163" s="7" t="s">
        <v>1589</v>
      </c>
      <c r="O163" s="9">
        <v>811.05</v>
      </c>
      <c r="P163" s="9">
        <v>1217.71</v>
      </c>
      <c r="Q163" s="9">
        <f t="shared" si="15"/>
        <v>1217.71</v>
      </c>
      <c r="R163" s="9" t="str">
        <f t="shared" si="16"/>
        <v>OK</v>
      </c>
      <c r="S163" s="11">
        <v>7.1999999999999995E-2</v>
      </c>
      <c r="T163" s="11" t="str">
        <f t="shared" si="17"/>
        <v>OK</v>
      </c>
      <c r="U163" s="13">
        <v>5</v>
      </c>
    </row>
    <row r="164" spans="1:21" x14ac:dyDescent="0.3">
      <c r="A164" s="7" t="s">
        <v>177</v>
      </c>
      <c r="B164" s="4">
        <v>45385</v>
      </c>
      <c r="C164" s="4">
        <v>45389</v>
      </c>
      <c r="D164" s="4" t="str">
        <f t="shared" si="12"/>
        <v>Valid</v>
      </c>
      <c r="E164" s="4">
        <f t="shared" si="13"/>
        <v>45389</v>
      </c>
      <c r="F164" s="13">
        <f t="shared" si="14"/>
        <v>4</v>
      </c>
      <c r="G164" s="7" t="s">
        <v>648</v>
      </c>
      <c r="H164" s="7" t="s">
        <v>655</v>
      </c>
      <c r="I164" s="7" t="s">
        <v>672</v>
      </c>
      <c r="J164" s="7" t="s">
        <v>703</v>
      </c>
      <c r="K164" s="7" t="s">
        <v>711</v>
      </c>
      <c r="L164" s="7" t="s">
        <v>725</v>
      </c>
      <c r="M164" s="7" t="s">
        <v>730</v>
      </c>
      <c r="N164" s="7" t="s">
        <v>1590</v>
      </c>
      <c r="O164" s="9">
        <v>1023.27</v>
      </c>
      <c r="P164" s="9">
        <v>1343.64</v>
      </c>
      <c r="Q164" s="9">
        <f t="shared" si="15"/>
        <v>1343.64</v>
      </c>
      <c r="R164" s="9" t="str">
        <f t="shared" si="16"/>
        <v>OK</v>
      </c>
      <c r="S164" s="11">
        <v>0.13300000000000001</v>
      </c>
      <c r="T164" s="11" t="str">
        <f t="shared" si="17"/>
        <v>OK</v>
      </c>
      <c r="U164" s="13">
        <v>7</v>
      </c>
    </row>
    <row r="165" spans="1:21" x14ac:dyDescent="0.3">
      <c r="A165" s="7" t="s">
        <v>178</v>
      </c>
      <c r="B165" s="4">
        <v>45010</v>
      </c>
      <c r="C165" s="4">
        <v>45011</v>
      </c>
      <c r="D165" s="4" t="str">
        <f t="shared" si="12"/>
        <v>Valid</v>
      </c>
      <c r="E165" s="4">
        <f t="shared" si="13"/>
        <v>45011</v>
      </c>
      <c r="F165" s="13">
        <f t="shared" si="14"/>
        <v>1</v>
      </c>
      <c r="G165" s="7" t="s">
        <v>647</v>
      </c>
      <c r="H165" s="7" t="s">
        <v>652</v>
      </c>
      <c r="I165" s="7" t="s">
        <v>666</v>
      </c>
      <c r="J165" s="7" t="s">
        <v>705</v>
      </c>
      <c r="K165" s="7" t="s">
        <v>710</v>
      </c>
      <c r="L165" s="7" t="s">
        <v>714</v>
      </c>
      <c r="M165" s="7" t="s">
        <v>732</v>
      </c>
      <c r="N165" s="7" t="s">
        <v>1591</v>
      </c>
      <c r="O165" s="9">
        <v>135.12</v>
      </c>
      <c r="P165" s="9">
        <v>301.7</v>
      </c>
      <c r="Q165" s="9">
        <f t="shared" si="15"/>
        <v>301.7</v>
      </c>
      <c r="R165" s="9" t="str">
        <f t="shared" si="16"/>
        <v>OK</v>
      </c>
      <c r="S165" s="11">
        <v>0.14000000000000001</v>
      </c>
      <c r="T165" s="11" t="str">
        <f t="shared" si="17"/>
        <v>OK</v>
      </c>
      <c r="U165" s="13">
        <v>47</v>
      </c>
    </row>
    <row r="166" spans="1:21" x14ac:dyDescent="0.3">
      <c r="A166" s="7" t="s">
        <v>179</v>
      </c>
      <c r="B166" s="4">
        <v>45447</v>
      </c>
      <c r="C166" s="4">
        <v>45459</v>
      </c>
      <c r="D166" s="4" t="str">
        <f t="shared" si="12"/>
        <v>Valid</v>
      </c>
      <c r="E166" s="4">
        <f t="shared" si="13"/>
        <v>45459</v>
      </c>
      <c r="F166" s="13">
        <f t="shared" si="14"/>
        <v>12</v>
      </c>
      <c r="G166" s="7" t="s">
        <v>647</v>
      </c>
      <c r="H166" s="7" t="s">
        <v>659</v>
      </c>
      <c r="I166" s="7" t="s">
        <v>685</v>
      </c>
      <c r="J166" s="7" t="s">
        <v>701</v>
      </c>
      <c r="K166" s="7" t="s">
        <v>707</v>
      </c>
      <c r="L166" s="7" t="s">
        <v>713</v>
      </c>
      <c r="M166" s="7" t="s">
        <v>728</v>
      </c>
      <c r="N166" s="7" t="s">
        <v>1592</v>
      </c>
      <c r="O166" s="9">
        <v>918.42</v>
      </c>
      <c r="P166" s="9">
        <v>1511.71</v>
      </c>
      <c r="Q166" s="9">
        <f t="shared" si="15"/>
        <v>1511.71</v>
      </c>
      <c r="R166" s="9" t="str">
        <f t="shared" si="16"/>
        <v>OK</v>
      </c>
      <c r="S166" s="11">
        <v>0.02</v>
      </c>
      <c r="T166" s="11" t="str">
        <f t="shared" si="17"/>
        <v>OK</v>
      </c>
      <c r="U166" s="13">
        <v>8</v>
      </c>
    </row>
    <row r="167" spans="1:21" x14ac:dyDescent="0.3">
      <c r="A167" s="7" t="s">
        <v>180</v>
      </c>
      <c r="B167" s="4">
        <v>44976</v>
      </c>
      <c r="C167" s="4">
        <v>44997</v>
      </c>
      <c r="D167" s="4" t="str">
        <f t="shared" si="12"/>
        <v>Valid</v>
      </c>
      <c r="E167" s="4">
        <f t="shared" si="13"/>
        <v>44997</v>
      </c>
      <c r="F167" s="13">
        <f t="shared" si="14"/>
        <v>21</v>
      </c>
      <c r="G167" s="7" t="s">
        <v>649</v>
      </c>
      <c r="H167" s="7" t="s">
        <v>656</v>
      </c>
      <c r="I167" s="7" t="s">
        <v>671</v>
      </c>
      <c r="J167" s="7" t="s">
        <v>705</v>
      </c>
      <c r="K167" s="7" t="s">
        <v>711</v>
      </c>
      <c r="L167" s="7" t="s">
        <v>716</v>
      </c>
      <c r="M167" s="7" t="s">
        <v>732</v>
      </c>
      <c r="N167" s="7" t="s">
        <v>1593</v>
      </c>
      <c r="O167" s="9">
        <v>1234.81</v>
      </c>
      <c r="P167" s="9">
        <v>2055.2399999999998</v>
      </c>
      <c r="Q167" s="9">
        <f t="shared" si="15"/>
        <v>2055.2399999999998</v>
      </c>
      <c r="R167" s="9" t="str">
        <f t="shared" si="16"/>
        <v>OK</v>
      </c>
      <c r="S167" s="11">
        <v>5.2999999999999999E-2</v>
      </c>
      <c r="T167" s="11" t="str">
        <f t="shared" si="17"/>
        <v>OK</v>
      </c>
      <c r="U167" s="13">
        <v>44</v>
      </c>
    </row>
    <row r="168" spans="1:21" x14ac:dyDescent="0.3">
      <c r="A168" s="7" t="s">
        <v>181</v>
      </c>
      <c r="B168" s="4">
        <v>45034</v>
      </c>
      <c r="C168" s="4">
        <v>45064</v>
      </c>
      <c r="D168" s="4" t="str">
        <f t="shared" si="12"/>
        <v>Valid</v>
      </c>
      <c r="E168" s="4">
        <f t="shared" si="13"/>
        <v>45064</v>
      </c>
      <c r="F168" s="13">
        <f t="shared" si="14"/>
        <v>30</v>
      </c>
      <c r="G168" s="7" t="s">
        <v>647</v>
      </c>
      <c r="H168" s="7" t="s">
        <v>659</v>
      </c>
      <c r="I168" s="7" t="s">
        <v>676</v>
      </c>
      <c r="J168" s="7" t="s">
        <v>703</v>
      </c>
      <c r="K168" s="7" t="s">
        <v>707</v>
      </c>
      <c r="L168" s="7" t="s">
        <v>722</v>
      </c>
      <c r="M168" s="7" t="s">
        <v>731</v>
      </c>
      <c r="N168" s="7" t="s">
        <v>1594</v>
      </c>
      <c r="O168" s="9">
        <v>329.03</v>
      </c>
      <c r="P168" s="9">
        <v>391.15</v>
      </c>
      <c r="Q168" s="9">
        <f t="shared" si="15"/>
        <v>391.15</v>
      </c>
      <c r="R168" s="9" t="str">
        <f t="shared" si="16"/>
        <v>OK</v>
      </c>
      <c r="S168" s="11">
        <v>0.19700000000000001</v>
      </c>
      <c r="T168" s="11" t="str">
        <f t="shared" si="17"/>
        <v>OK</v>
      </c>
      <c r="U168" s="13">
        <v>46</v>
      </c>
    </row>
    <row r="169" spans="1:21" x14ac:dyDescent="0.3">
      <c r="A169" s="7" t="s">
        <v>182</v>
      </c>
      <c r="B169" s="4">
        <v>45435</v>
      </c>
      <c r="C169" s="4">
        <v>45457</v>
      </c>
      <c r="D169" s="4" t="str">
        <f t="shared" si="12"/>
        <v>Valid</v>
      </c>
      <c r="E169" s="4">
        <f t="shared" si="13"/>
        <v>45457</v>
      </c>
      <c r="F169" s="13">
        <f t="shared" si="14"/>
        <v>22</v>
      </c>
      <c r="G169" s="7" t="s">
        <v>649</v>
      </c>
      <c r="H169" s="7" t="s">
        <v>657</v>
      </c>
      <c r="I169" s="7" t="s">
        <v>673</v>
      </c>
      <c r="J169" s="7" t="s">
        <v>705</v>
      </c>
      <c r="K169" s="7" t="s">
        <v>708</v>
      </c>
      <c r="L169" s="7" t="s">
        <v>725</v>
      </c>
      <c r="M169" s="7" t="s">
        <v>732</v>
      </c>
      <c r="N169" s="7" t="s">
        <v>1595</v>
      </c>
      <c r="O169" s="9">
        <v>1481.74</v>
      </c>
      <c r="P169" s="9">
        <v>1848.97</v>
      </c>
      <c r="Q169" s="9">
        <f t="shared" si="15"/>
        <v>1848.97</v>
      </c>
      <c r="R169" s="9" t="str">
        <f t="shared" si="16"/>
        <v>OK</v>
      </c>
      <c r="S169" s="11">
        <v>0.254</v>
      </c>
      <c r="T169" s="11" t="str">
        <f t="shared" si="17"/>
        <v>OK</v>
      </c>
      <c r="U169" s="13">
        <v>9</v>
      </c>
    </row>
    <row r="170" spans="1:21" x14ac:dyDescent="0.3">
      <c r="A170" s="7" t="s">
        <v>183</v>
      </c>
      <c r="B170" s="4">
        <v>45206</v>
      </c>
      <c r="C170" s="4">
        <v>45222</v>
      </c>
      <c r="D170" s="4" t="str">
        <f t="shared" si="12"/>
        <v>Valid</v>
      </c>
      <c r="E170" s="4">
        <f t="shared" si="13"/>
        <v>45222</v>
      </c>
      <c r="F170" s="13">
        <f t="shared" si="14"/>
        <v>16</v>
      </c>
      <c r="G170" s="7" t="s">
        <v>647</v>
      </c>
      <c r="H170" s="7" t="s">
        <v>654</v>
      </c>
      <c r="I170" s="7" t="s">
        <v>696</v>
      </c>
      <c r="J170" s="7" t="s">
        <v>704</v>
      </c>
      <c r="K170" s="7" t="s">
        <v>707</v>
      </c>
      <c r="L170" s="7" t="s">
        <v>715</v>
      </c>
      <c r="M170" s="7" t="s">
        <v>732</v>
      </c>
      <c r="N170" s="7" t="s">
        <v>1596</v>
      </c>
      <c r="O170" s="9">
        <v>906.81</v>
      </c>
      <c r="P170" s="9">
        <v>1395.56</v>
      </c>
      <c r="Q170" s="9">
        <f t="shared" si="15"/>
        <v>1395.56</v>
      </c>
      <c r="R170" s="9" t="str">
        <f t="shared" si="16"/>
        <v>OK</v>
      </c>
      <c r="S170" s="11">
        <v>0.185</v>
      </c>
      <c r="T170" s="11" t="str">
        <f t="shared" si="17"/>
        <v>OK</v>
      </c>
      <c r="U170" s="13">
        <v>6</v>
      </c>
    </row>
    <row r="171" spans="1:21" x14ac:dyDescent="0.3">
      <c r="A171" s="7" t="s">
        <v>184</v>
      </c>
      <c r="B171" s="4">
        <v>45574</v>
      </c>
      <c r="C171" s="4">
        <v>45604</v>
      </c>
      <c r="D171" s="4" t="str">
        <f t="shared" si="12"/>
        <v>Valid</v>
      </c>
      <c r="E171" s="4">
        <f t="shared" si="13"/>
        <v>45604</v>
      </c>
      <c r="F171" s="13">
        <f t="shared" si="14"/>
        <v>30</v>
      </c>
      <c r="G171" s="7" t="s">
        <v>649</v>
      </c>
      <c r="H171" s="7" t="s">
        <v>658</v>
      </c>
      <c r="I171" s="7" t="s">
        <v>693</v>
      </c>
      <c r="J171" s="7" t="s">
        <v>705</v>
      </c>
      <c r="K171" s="7" t="s">
        <v>710</v>
      </c>
      <c r="L171" s="7" t="s">
        <v>713</v>
      </c>
      <c r="M171" s="7" t="s">
        <v>727</v>
      </c>
      <c r="N171" s="7" t="s">
        <v>1597</v>
      </c>
      <c r="O171" s="9">
        <v>343.85</v>
      </c>
      <c r="P171" s="9">
        <v>538.04</v>
      </c>
      <c r="Q171" s="9">
        <f t="shared" si="15"/>
        <v>538.04</v>
      </c>
      <c r="R171" s="9" t="str">
        <f t="shared" si="16"/>
        <v>OK</v>
      </c>
      <c r="S171" s="11">
        <v>0.13900000000000001</v>
      </c>
      <c r="T171" s="11" t="str">
        <f t="shared" si="17"/>
        <v>OK</v>
      </c>
      <c r="U171" s="13">
        <v>5</v>
      </c>
    </row>
    <row r="172" spans="1:21" x14ac:dyDescent="0.3">
      <c r="A172" s="7" t="s">
        <v>185</v>
      </c>
      <c r="B172" s="4">
        <v>45488</v>
      </c>
      <c r="C172" s="4">
        <v>45488</v>
      </c>
      <c r="D172" s="4" t="str">
        <f t="shared" si="12"/>
        <v>Valid</v>
      </c>
      <c r="E172" s="4">
        <f t="shared" si="13"/>
        <v>45488</v>
      </c>
      <c r="F172" s="13">
        <f t="shared" si="14"/>
        <v>0</v>
      </c>
      <c r="G172" s="7" t="s">
        <v>647</v>
      </c>
      <c r="H172" s="7" t="s">
        <v>652</v>
      </c>
      <c r="I172" s="7" t="s">
        <v>689</v>
      </c>
      <c r="J172" s="7" t="s">
        <v>705</v>
      </c>
      <c r="K172" s="7" t="s">
        <v>709</v>
      </c>
      <c r="L172" s="7" t="s">
        <v>715</v>
      </c>
      <c r="M172" s="7" t="s">
        <v>733</v>
      </c>
      <c r="N172" s="7" t="s">
        <v>1598</v>
      </c>
      <c r="O172" s="9">
        <v>801.77</v>
      </c>
      <c r="P172" s="9">
        <v>1218.92</v>
      </c>
      <c r="Q172" s="9">
        <f t="shared" si="15"/>
        <v>1218.92</v>
      </c>
      <c r="R172" s="9" t="str">
        <f t="shared" si="16"/>
        <v>OK</v>
      </c>
      <c r="S172" s="11">
        <v>0.254</v>
      </c>
      <c r="T172" s="11" t="str">
        <f t="shared" si="17"/>
        <v>OK</v>
      </c>
      <c r="U172" s="13">
        <v>16</v>
      </c>
    </row>
    <row r="173" spans="1:21" x14ac:dyDescent="0.3">
      <c r="A173" s="7" t="s">
        <v>186</v>
      </c>
      <c r="B173" s="4">
        <v>45190</v>
      </c>
      <c r="C173" s="4">
        <v>45209</v>
      </c>
      <c r="D173" s="4" t="str">
        <f t="shared" si="12"/>
        <v>Valid</v>
      </c>
      <c r="E173" s="4">
        <f t="shared" si="13"/>
        <v>45209</v>
      </c>
      <c r="F173" s="13">
        <f t="shared" si="14"/>
        <v>19</v>
      </c>
      <c r="G173" s="7" t="s">
        <v>647</v>
      </c>
      <c r="H173" s="7" t="s">
        <v>652</v>
      </c>
      <c r="I173" s="7" t="s">
        <v>689</v>
      </c>
      <c r="J173" s="7" t="s">
        <v>702</v>
      </c>
      <c r="K173" s="7" t="s">
        <v>708</v>
      </c>
      <c r="L173" s="7" t="s">
        <v>726</v>
      </c>
      <c r="M173" s="7" t="s">
        <v>727</v>
      </c>
      <c r="N173" s="7" t="s">
        <v>1599</v>
      </c>
      <c r="O173" s="9">
        <v>845.63</v>
      </c>
      <c r="P173" s="9">
        <v>2062.12</v>
      </c>
      <c r="Q173" s="9">
        <f t="shared" si="15"/>
        <v>2062.12</v>
      </c>
      <c r="R173" s="9" t="str">
        <f t="shared" si="16"/>
        <v>OK</v>
      </c>
      <c r="S173" s="11">
        <v>0.13400000000000001</v>
      </c>
      <c r="T173" s="11" t="str">
        <f t="shared" si="17"/>
        <v>OK</v>
      </c>
      <c r="U173" s="13">
        <v>5</v>
      </c>
    </row>
    <row r="174" spans="1:21" x14ac:dyDescent="0.3">
      <c r="A174" s="7" t="s">
        <v>187</v>
      </c>
      <c r="B174" s="4">
        <v>44981</v>
      </c>
      <c r="C174" s="4">
        <v>44994</v>
      </c>
      <c r="D174" s="4" t="str">
        <f t="shared" si="12"/>
        <v>Valid</v>
      </c>
      <c r="E174" s="4">
        <f t="shared" si="13"/>
        <v>44994</v>
      </c>
      <c r="F174" s="13">
        <f t="shared" si="14"/>
        <v>13</v>
      </c>
      <c r="G174" s="7" t="s">
        <v>648</v>
      </c>
      <c r="H174" s="7" t="s">
        <v>1425</v>
      </c>
      <c r="I174" s="7" t="s">
        <v>700</v>
      </c>
      <c r="J174" s="7" t="s">
        <v>706</v>
      </c>
      <c r="K174" s="7" t="s">
        <v>708</v>
      </c>
      <c r="L174" s="7" t="s">
        <v>724</v>
      </c>
      <c r="M174" s="7" t="s">
        <v>727</v>
      </c>
      <c r="N174" s="7" t="s">
        <v>1600</v>
      </c>
      <c r="O174" s="9">
        <v>6.85</v>
      </c>
      <c r="P174" s="9">
        <v>10.18</v>
      </c>
      <c r="Q174" s="9">
        <f t="shared" si="15"/>
        <v>10.18</v>
      </c>
      <c r="R174" s="9" t="str">
        <f t="shared" si="16"/>
        <v>OK</v>
      </c>
      <c r="S174" s="11">
        <v>4.7E-2</v>
      </c>
      <c r="T174" s="11" t="str">
        <f t="shared" si="17"/>
        <v>OK</v>
      </c>
      <c r="U174" s="13">
        <v>10</v>
      </c>
    </row>
    <row r="175" spans="1:21" x14ac:dyDescent="0.3">
      <c r="A175" s="7" t="s">
        <v>188</v>
      </c>
      <c r="B175" s="4">
        <v>45798</v>
      </c>
      <c r="C175" s="4">
        <v>45796</v>
      </c>
      <c r="D175" s="4" t="str">
        <f t="shared" si="12"/>
        <v>Invalid</v>
      </c>
      <c r="E175" s="4">
        <f t="shared" si="13"/>
        <v>45798</v>
      </c>
      <c r="F175" s="13">
        <f t="shared" si="14"/>
        <v>0</v>
      </c>
      <c r="G175" s="7" t="s">
        <v>646</v>
      </c>
      <c r="H175" s="7" t="s">
        <v>661</v>
      </c>
      <c r="I175" s="7" t="s">
        <v>682</v>
      </c>
      <c r="J175" s="7" t="s">
        <v>703</v>
      </c>
      <c r="K175" s="7" t="s">
        <v>710</v>
      </c>
      <c r="L175" s="7" t="s">
        <v>719</v>
      </c>
      <c r="M175" s="7" t="s">
        <v>731</v>
      </c>
      <c r="N175" s="7" t="s">
        <v>1601</v>
      </c>
      <c r="O175" s="9">
        <v>1263.8399999999999</v>
      </c>
      <c r="P175" s="9">
        <v>2281.7199999999998</v>
      </c>
      <c r="Q175" s="9">
        <f t="shared" si="15"/>
        <v>2281.7199999999998</v>
      </c>
      <c r="R175" s="9" t="str">
        <f t="shared" si="16"/>
        <v>OK</v>
      </c>
      <c r="S175" s="11">
        <v>7.8E-2</v>
      </c>
      <c r="T175" s="11" t="str">
        <f t="shared" si="17"/>
        <v>OK</v>
      </c>
      <c r="U175" s="13">
        <v>15</v>
      </c>
    </row>
    <row r="176" spans="1:21" x14ac:dyDescent="0.3">
      <c r="A176" s="7" t="s">
        <v>189</v>
      </c>
      <c r="B176" s="4">
        <v>45435</v>
      </c>
      <c r="C176" s="4">
        <v>45446</v>
      </c>
      <c r="D176" s="4" t="str">
        <f t="shared" si="12"/>
        <v>Valid</v>
      </c>
      <c r="E176" s="4">
        <f t="shared" si="13"/>
        <v>45446</v>
      </c>
      <c r="F176" s="13">
        <f t="shared" si="14"/>
        <v>11</v>
      </c>
      <c r="G176" s="7" t="s">
        <v>646</v>
      </c>
      <c r="H176" s="7" t="s">
        <v>661</v>
      </c>
      <c r="I176" s="7" t="s">
        <v>682</v>
      </c>
      <c r="J176" s="7" t="s">
        <v>705</v>
      </c>
      <c r="K176" s="7" t="s">
        <v>710</v>
      </c>
      <c r="L176" s="7" t="s">
        <v>721</v>
      </c>
      <c r="M176" s="7" t="s">
        <v>728</v>
      </c>
      <c r="N176" s="7" t="s">
        <v>1602</v>
      </c>
      <c r="O176" s="9">
        <v>180.89</v>
      </c>
      <c r="P176" s="9">
        <v>249.57</v>
      </c>
      <c r="Q176" s="9">
        <f t="shared" si="15"/>
        <v>249.57</v>
      </c>
      <c r="R176" s="9" t="str">
        <f t="shared" si="16"/>
        <v>OK</v>
      </c>
      <c r="S176" s="11">
        <v>2.1999999999999999E-2</v>
      </c>
      <c r="T176" s="11" t="str">
        <f t="shared" si="17"/>
        <v>OK</v>
      </c>
      <c r="U176" s="13">
        <v>8</v>
      </c>
    </row>
    <row r="177" spans="1:21" x14ac:dyDescent="0.3">
      <c r="A177" s="7" t="s">
        <v>190</v>
      </c>
      <c r="B177" s="4">
        <v>45761</v>
      </c>
      <c r="C177" s="4">
        <v>45781</v>
      </c>
      <c r="D177" s="4" t="str">
        <f t="shared" si="12"/>
        <v>Valid</v>
      </c>
      <c r="E177" s="4">
        <f t="shared" si="13"/>
        <v>45781</v>
      </c>
      <c r="F177" s="13">
        <f t="shared" si="14"/>
        <v>20</v>
      </c>
      <c r="G177" s="7" t="s">
        <v>649</v>
      </c>
      <c r="H177" s="7" t="s">
        <v>658</v>
      </c>
      <c r="I177" s="7" t="s">
        <v>674</v>
      </c>
      <c r="J177" s="7" t="s">
        <v>706</v>
      </c>
      <c r="K177" s="7" t="s">
        <v>709</v>
      </c>
      <c r="L177" s="7" t="s">
        <v>723</v>
      </c>
      <c r="M177" s="7" t="s">
        <v>732</v>
      </c>
      <c r="N177" s="7" t="s">
        <v>1603</v>
      </c>
      <c r="O177" s="9">
        <v>1413.87</v>
      </c>
      <c r="P177" s="9">
        <v>3275</v>
      </c>
      <c r="Q177" s="9">
        <f t="shared" si="15"/>
        <v>3275</v>
      </c>
      <c r="R177" s="9" t="str">
        <f t="shared" si="16"/>
        <v>OK</v>
      </c>
      <c r="S177" s="11">
        <v>0.255</v>
      </c>
      <c r="T177" s="11" t="str">
        <f t="shared" si="17"/>
        <v>OK</v>
      </c>
      <c r="U177" s="13">
        <v>38</v>
      </c>
    </row>
    <row r="178" spans="1:21" x14ac:dyDescent="0.3">
      <c r="A178" s="7" t="s">
        <v>191</v>
      </c>
      <c r="B178" s="4">
        <v>45165</v>
      </c>
      <c r="C178" s="4">
        <v>45180</v>
      </c>
      <c r="D178" s="4" t="str">
        <f t="shared" si="12"/>
        <v>Valid</v>
      </c>
      <c r="E178" s="4">
        <f t="shared" si="13"/>
        <v>45180</v>
      </c>
      <c r="F178" s="13">
        <f t="shared" si="14"/>
        <v>15</v>
      </c>
      <c r="G178" s="7" t="s">
        <v>649</v>
      </c>
      <c r="H178" s="7" t="s">
        <v>658</v>
      </c>
      <c r="I178" s="7" t="s">
        <v>683</v>
      </c>
      <c r="J178" s="7" t="s">
        <v>704</v>
      </c>
      <c r="K178" s="7" t="s">
        <v>709</v>
      </c>
      <c r="L178" s="7" t="s">
        <v>725</v>
      </c>
      <c r="M178" s="7" t="s">
        <v>728</v>
      </c>
      <c r="N178" s="7" t="s">
        <v>1604</v>
      </c>
      <c r="O178" s="9">
        <v>943.79</v>
      </c>
      <c r="P178" s="9">
        <v>1913.76</v>
      </c>
      <c r="Q178" s="9">
        <f t="shared" si="15"/>
        <v>1913.76</v>
      </c>
      <c r="R178" s="9" t="str">
        <f t="shared" si="16"/>
        <v>OK</v>
      </c>
      <c r="S178" s="11">
        <v>9.0999999999999998E-2</v>
      </c>
      <c r="T178" s="11" t="str">
        <f t="shared" si="17"/>
        <v>OK</v>
      </c>
      <c r="U178" s="13">
        <v>9</v>
      </c>
    </row>
    <row r="179" spans="1:21" x14ac:dyDescent="0.3">
      <c r="A179" s="7" t="s">
        <v>192</v>
      </c>
      <c r="B179" s="4">
        <v>45325</v>
      </c>
      <c r="C179" s="4">
        <v>45343</v>
      </c>
      <c r="D179" s="4" t="str">
        <f t="shared" si="12"/>
        <v>Valid</v>
      </c>
      <c r="E179" s="4">
        <f t="shared" si="13"/>
        <v>45343</v>
      </c>
      <c r="F179" s="13">
        <f t="shared" si="14"/>
        <v>18</v>
      </c>
      <c r="G179" s="7" t="s">
        <v>649</v>
      </c>
      <c r="H179" s="7" t="s">
        <v>656</v>
      </c>
      <c r="I179" s="7" t="s">
        <v>698</v>
      </c>
      <c r="J179" s="7" t="s">
        <v>701</v>
      </c>
      <c r="K179" s="7" t="s">
        <v>707</v>
      </c>
      <c r="L179" s="7" t="s">
        <v>722</v>
      </c>
      <c r="M179" s="7" t="s">
        <v>727</v>
      </c>
      <c r="N179" s="7" t="s">
        <v>1605</v>
      </c>
      <c r="O179" s="9">
        <v>39.229999999999997</v>
      </c>
      <c r="P179" s="9">
        <v>30.09</v>
      </c>
      <c r="Q179" s="9">
        <f t="shared" si="15"/>
        <v>30.09</v>
      </c>
      <c r="R179" s="9" t="str">
        <f t="shared" si="16"/>
        <v>OK</v>
      </c>
      <c r="S179" s="11">
        <v>0.17699999999999999</v>
      </c>
      <c r="T179" s="11" t="str">
        <f t="shared" si="17"/>
        <v>OK</v>
      </c>
      <c r="U179" s="13">
        <v>13</v>
      </c>
    </row>
    <row r="180" spans="1:21" x14ac:dyDescent="0.3">
      <c r="A180" s="7" t="s">
        <v>193</v>
      </c>
      <c r="B180" s="4">
        <v>45021</v>
      </c>
      <c r="C180" s="4">
        <v>45032</v>
      </c>
      <c r="D180" s="4" t="str">
        <f t="shared" si="12"/>
        <v>Valid</v>
      </c>
      <c r="E180" s="4">
        <f t="shared" si="13"/>
        <v>45032</v>
      </c>
      <c r="F180" s="13">
        <f t="shared" si="14"/>
        <v>11</v>
      </c>
      <c r="G180" s="7" t="s">
        <v>648</v>
      </c>
      <c r="H180" s="7" t="s">
        <v>653</v>
      </c>
      <c r="I180" s="7" t="s">
        <v>688</v>
      </c>
      <c r="J180" s="7" t="s">
        <v>703</v>
      </c>
      <c r="K180" s="7" t="s">
        <v>708</v>
      </c>
      <c r="L180" s="7" t="s">
        <v>719</v>
      </c>
      <c r="M180" s="7" t="s">
        <v>732</v>
      </c>
      <c r="N180" s="7" t="s">
        <v>1606</v>
      </c>
      <c r="O180" s="9">
        <v>213.1</v>
      </c>
      <c r="P180" s="9">
        <v>501.31</v>
      </c>
      <c r="Q180" s="9">
        <f t="shared" si="15"/>
        <v>501.31</v>
      </c>
      <c r="R180" s="9" t="str">
        <f t="shared" si="16"/>
        <v>OK</v>
      </c>
      <c r="S180" s="11">
        <v>5.6000000000000001E-2</v>
      </c>
      <c r="T180" s="11" t="str">
        <f t="shared" si="17"/>
        <v>OK</v>
      </c>
      <c r="U180" s="13">
        <v>15</v>
      </c>
    </row>
    <row r="181" spans="1:21" x14ac:dyDescent="0.3">
      <c r="A181" s="7" t="s">
        <v>194</v>
      </c>
      <c r="B181" s="4">
        <v>45890</v>
      </c>
      <c r="C181" s="4">
        <v>45912</v>
      </c>
      <c r="D181" s="4" t="str">
        <f t="shared" si="12"/>
        <v>Valid</v>
      </c>
      <c r="E181" s="4">
        <f t="shared" si="13"/>
        <v>45912</v>
      </c>
      <c r="F181" s="13">
        <f t="shared" si="14"/>
        <v>22</v>
      </c>
      <c r="G181" s="7" t="s">
        <v>647</v>
      </c>
      <c r="H181" s="7" t="s">
        <v>659</v>
      </c>
      <c r="I181" s="7" t="s">
        <v>676</v>
      </c>
      <c r="J181" s="7" t="s">
        <v>702</v>
      </c>
      <c r="K181" s="7" t="s">
        <v>707</v>
      </c>
      <c r="L181" s="7" t="s">
        <v>717</v>
      </c>
      <c r="M181" s="7" t="s">
        <v>728</v>
      </c>
      <c r="N181" s="7" t="s">
        <v>1607</v>
      </c>
      <c r="O181" s="9">
        <v>352.66</v>
      </c>
      <c r="P181" s="9">
        <v>411.18</v>
      </c>
      <c r="Q181" s="9">
        <f t="shared" si="15"/>
        <v>411.18</v>
      </c>
      <c r="R181" s="9" t="str">
        <f t="shared" si="16"/>
        <v>OK</v>
      </c>
      <c r="S181" s="11">
        <v>0.17299999999999999</v>
      </c>
      <c r="T181" s="11" t="str">
        <f t="shared" si="17"/>
        <v>OK</v>
      </c>
      <c r="U181" s="13">
        <v>13</v>
      </c>
    </row>
    <row r="182" spans="1:21" x14ac:dyDescent="0.3">
      <c r="A182" s="7" t="s">
        <v>195</v>
      </c>
      <c r="B182" s="4">
        <v>45915</v>
      </c>
      <c r="C182" s="4">
        <v>45918</v>
      </c>
      <c r="D182" s="4" t="str">
        <f t="shared" si="12"/>
        <v>Valid</v>
      </c>
      <c r="E182" s="4">
        <f t="shared" si="13"/>
        <v>45918</v>
      </c>
      <c r="F182" s="13">
        <f t="shared" si="14"/>
        <v>3</v>
      </c>
      <c r="G182" s="7" t="s">
        <v>648</v>
      </c>
      <c r="H182" s="7" t="s">
        <v>655</v>
      </c>
      <c r="I182" s="7" t="s">
        <v>1426</v>
      </c>
      <c r="J182" s="7" t="s">
        <v>703</v>
      </c>
      <c r="K182" s="7" t="s">
        <v>711</v>
      </c>
      <c r="L182" s="7" t="s">
        <v>716</v>
      </c>
      <c r="M182" s="7" t="s">
        <v>733</v>
      </c>
      <c r="N182" s="7" t="s">
        <v>1608</v>
      </c>
      <c r="O182" s="9">
        <v>5.5</v>
      </c>
      <c r="P182" s="9">
        <v>5.92</v>
      </c>
      <c r="Q182" s="9">
        <f t="shared" si="15"/>
        <v>5.92</v>
      </c>
      <c r="R182" s="9" t="str">
        <f t="shared" si="16"/>
        <v>OK</v>
      </c>
      <c r="S182" s="11">
        <v>0.21199999999999999</v>
      </c>
      <c r="T182" s="11" t="str">
        <f t="shared" si="17"/>
        <v>OK</v>
      </c>
      <c r="U182" s="13">
        <v>4</v>
      </c>
    </row>
    <row r="183" spans="1:21" x14ac:dyDescent="0.3">
      <c r="A183" s="7" t="s">
        <v>196</v>
      </c>
      <c r="B183" s="4">
        <v>45568</v>
      </c>
      <c r="C183" s="4">
        <v>45576</v>
      </c>
      <c r="D183" s="4" t="str">
        <f t="shared" si="12"/>
        <v>Valid</v>
      </c>
      <c r="E183" s="4">
        <f t="shared" si="13"/>
        <v>45576</v>
      </c>
      <c r="F183" s="13">
        <f t="shared" si="14"/>
        <v>8</v>
      </c>
      <c r="G183" s="7" t="s">
        <v>647</v>
      </c>
      <c r="H183" s="7" t="s">
        <v>659</v>
      </c>
      <c r="I183" s="7" t="s">
        <v>699</v>
      </c>
      <c r="J183" s="7" t="s">
        <v>706</v>
      </c>
      <c r="K183" s="7" t="s">
        <v>711</v>
      </c>
      <c r="L183" s="7" t="s">
        <v>717</v>
      </c>
      <c r="M183" s="7" t="s">
        <v>730</v>
      </c>
      <c r="N183" s="7" t="s">
        <v>1609</v>
      </c>
      <c r="O183" s="9">
        <v>1132.6099999999999</v>
      </c>
      <c r="P183" s="9">
        <v>2206.63</v>
      </c>
      <c r="Q183" s="9">
        <f t="shared" si="15"/>
        <v>2206.63</v>
      </c>
      <c r="R183" s="9" t="str">
        <f t="shared" si="16"/>
        <v>OK</v>
      </c>
      <c r="S183" s="11">
        <v>6.3E-2</v>
      </c>
      <c r="T183" s="11" t="str">
        <f t="shared" si="17"/>
        <v>OK</v>
      </c>
      <c r="U183" s="13">
        <v>20</v>
      </c>
    </row>
    <row r="184" spans="1:21" x14ac:dyDescent="0.3">
      <c r="A184" s="7" t="s">
        <v>197</v>
      </c>
      <c r="B184" s="4">
        <v>45690</v>
      </c>
      <c r="C184" s="4">
        <v>45720</v>
      </c>
      <c r="D184" s="4" t="str">
        <f t="shared" si="12"/>
        <v>Valid</v>
      </c>
      <c r="E184" s="4">
        <f t="shared" si="13"/>
        <v>45720</v>
      </c>
      <c r="F184" s="13">
        <f t="shared" si="14"/>
        <v>30</v>
      </c>
      <c r="G184" s="7" t="s">
        <v>647</v>
      </c>
      <c r="H184" s="7" t="s">
        <v>652</v>
      </c>
      <c r="I184" s="7" t="s">
        <v>666</v>
      </c>
      <c r="J184" s="7" t="s">
        <v>702</v>
      </c>
      <c r="K184" s="7" t="s">
        <v>710</v>
      </c>
      <c r="L184" s="7" t="s">
        <v>716</v>
      </c>
      <c r="M184" s="7" t="s">
        <v>733</v>
      </c>
      <c r="N184" s="7" t="s">
        <v>1610</v>
      </c>
      <c r="O184" s="9">
        <v>766.59</v>
      </c>
      <c r="P184" s="9">
        <v>1912.8</v>
      </c>
      <c r="Q184" s="9">
        <f t="shared" si="15"/>
        <v>1912.8</v>
      </c>
      <c r="R184" s="9" t="str">
        <f t="shared" si="16"/>
        <v>OK</v>
      </c>
      <c r="S184" s="11">
        <v>0.19600000000000001</v>
      </c>
      <c r="T184" s="11" t="str">
        <f t="shared" si="17"/>
        <v>OK</v>
      </c>
      <c r="U184" s="13">
        <v>5</v>
      </c>
    </row>
    <row r="185" spans="1:21" x14ac:dyDescent="0.3">
      <c r="A185" s="7" t="s">
        <v>198</v>
      </c>
      <c r="B185" s="4">
        <v>45157</v>
      </c>
      <c r="C185" s="4">
        <v>45161</v>
      </c>
      <c r="D185" s="4" t="str">
        <f t="shared" si="12"/>
        <v>Valid</v>
      </c>
      <c r="E185" s="4">
        <f t="shared" si="13"/>
        <v>45161</v>
      </c>
      <c r="F185" s="13">
        <f t="shared" si="14"/>
        <v>4</v>
      </c>
      <c r="G185" s="7" t="s">
        <v>646</v>
      </c>
      <c r="H185" s="7" t="s">
        <v>651</v>
      </c>
      <c r="I185" s="7" t="s">
        <v>669</v>
      </c>
      <c r="J185" s="7" t="s">
        <v>705</v>
      </c>
      <c r="K185" s="7" t="s">
        <v>708</v>
      </c>
      <c r="L185" s="7" t="s">
        <v>713</v>
      </c>
      <c r="M185" s="7" t="s">
        <v>732</v>
      </c>
      <c r="N185" s="7" t="s">
        <v>1611</v>
      </c>
      <c r="O185" s="9">
        <v>790.63</v>
      </c>
      <c r="P185" s="9">
        <v>1382.31</v>
      </c>
      <c r="Q185" s="9">
        <f t="shared" si="15"/>
        <v>1382.31</v>
      </c>
      <c r="R185" s="9" t="str">
        <f t="shared" si="16"/>
        <v>OK</v>
      </c>
      <c r="S185" s="11">
        <v>0.10100000000000001</v>
      </c>
      <c r="T185" s="11" t="str">
        <f t="shared" si="17"/>
        <v>OK</v>
      </c>
      <c r="U185" s="13">
        <v>7</v>
      </c>
    </row>
    <row r="186" spans="1:21" x14ac:dyDescent="0.3">
      <c r="A186" s="7" t="s">
        <v>199</v>
      </c>
      <c r="B186" s="4">
        <v>45587</v>
      </c>
      <c r="C186" s="4">
        <v>45594</v>
      </c>
      <c r="D186" s="4" t="str">
        <f t="shared" si="12"/>
        <v>Valid</v>
      </c>
      <c r="E186" s="4">
        <f t="shared" si="13"/>
        <v>45594</v>
      </c>
      <c r="F186" s="13">
        <f t="shared" si="14"/>
        <v>7</v>
      </c>
      <c r="G186" s="7" t="s">
        <v>646</v>
      </c>
      <c r="H186" s="7" t="s">
        <v>651</v>
      </c>
      <c r="I186" s="7" t="s">
        <v>663</v>
      </c>
      <c r="J186" s="7" t="s">
        <v>706</v>
      </c>
      <c r="K186" s="7" t="s">
        <v>710</v>
      </c>
      <c r="L186" s="7" t="s">
        <v>724</v>
      </c>
      <c r="M186" s="7" t="s">
        <v>732</v>
      </c>
      <c r="N186" s="7" t="s">
        <v>1612</v>
      </c>
      <c r="O186" s="9">
        <v>1023.06</v>
      </c>
      <c r="P186" s="9">
        <v>1355.61</v>
      </c>
      <c r="Q186" s="9">
        <f t="shared" si="15"/>
        <v>1355.61</v>
      </c>
      <c r="R186" s="9" t="str">
        <f t="shared" si="16"/>
        <v>OK</v>
      </c>
      <c r="S186" s="11">
        <v>0.153</v>
      </c>
      <c r="T186" s="11" t="str">
        <f t="shared" si="17"/>
        <v>OK</v>
      </c>
      <c r="U186" s="13">
        <v>23</v>
      </c>
    </row>
    <row r="187" spans="1:21" x14ac:dyDescent="0.3">
      <c r="A187" s="7" t="s">
        <v>200</v>
      </c>
      <c r="B187" s="4">
        <v>45099</v>
      </c>
      <c r="C187" s="4">
        <v>45128</v>
      </c>
      <c r="D187" s="4" t="str">
        <f t="shared" si="12"/>
        <v>Valid</v>
      </c>
      <c r="E187" s="4">
        <f t="shared" si="13"/>
        <v>45128</v>
      </c>
      <c r="F187" s="13">
        <f t="shared" si="14"/>
        <v>29</v>
      </c>
      <c r="G187" s="7" t="s">
        <v>649</v>
      </c>
      <c r="H187" s="7" t="s">
        <v>657</v>
      </c>
      <c r="I187" s="7" t="s">
        <v>679</v>
      </c>
      <c r="J187" s="7" t="s">
        <v>701</v>
      </c>
      <c r="K187" s="7" t="s">
        <v>707</v>
      </c>
      <c r="L187" s="7" t="s">
        <v>713</v>
      </c>
      <c r="M187" s="7" t="s">
        <v>733</v>
      </c>
      <c r="N187" s="7" t="s">
        <v>1613</v>
      </c>
      <c r="O187" s="9">
        <v>734.34</v>
      </c>
      <c r="P187" s="9">
        <v>887.9</v>
      </c>
      <c r="Q187" s="9">
        <f t="shared" si="15"/>
        <v>887.9</v>
      </c>
      <c r="R187" s="9" t="str">
        <f t="shared" si="16"/>
        <v>OK</v>
      </c>
      <c r="S187" s="11">
        <v>2.5000000000000001E-2</v>
      </c>
      <c r="T187" s="11" t="str">
        <f t="shared" si="17"/>
        <v>OK</v>
      </c>
      <c r="U187" s="13">
        <v>12</v>
      </c>
    </row>
    <row r="188" spans="1:21" x14ac:dyDescent="0.3">
      <c r="A188" s="7" t="s">
        <v>201</v>
      </c>
      <c r="B188" s="4">
        <v>45670</v>
      </c>
      <c r="C188" s="4">
        <v>45696</v>
      </c>
      <c r="D188" s="4" t="str">
        <f t="shared" si="12"/>
        <v>Valid</v>
      </c>
      <c r="E188" s="4">
        <f t="shared" si="13"/>
        <v>45696</v>
      </c>
      <c r="F188" s="13">
        <f t="shared" si="14"/>
        <v>26</v>
      </c>
      <c r="G188" s="7" t="s">
        <v>649</v>
      </c>
      <c r="H188" s="7" t="s">
        <v>657</v>
      </c>
      <c r="I188" s="7" t="s">
        <v>690</v>
      </c>
      <c r="J188" s="7" t="s">
        <v>703</v>
      </c>
      <c r="K188" s="7" t="s">
        <v>2057</v>
      </c>
      <c r="L188" s="7" t="s">
        <v>718</v>
      </c>
      <c r="M188" s="7" t="s">
        <v>732</v>
      </c>
      <c r="N188" s="7" t="s">
        <v>1614</v>
      </c>
      <c r="O188" s="9">
        <v>594.74</v>
      </c>
      <c r="P188" s="9">
        <v>1020.69</v>
      </c>
      <c r="Q188" s="9">
        <f t="shared" si="15"/>
        <v>1020.69</v>
      </c>
      <c r="R188" s="9" t="str">
        <f t="shared" si="16"/>
        <v>OK</v>
      </c>
      <c r="S188" s="11">
        <v>0.21099999999999999</v>
      </c>
      <c r="T188" s="11" t="str">
        <f t="shared" si="17"/>
        <v>OK</v>
      </c>
      <c r="U188" s="13">
        <v>6</v>
      </c>
    </row>
    <row r="189" spans="1:21" x14ac:dyDescent="0.3">
      <c r="A189" s="7" t="s">
        <v>202</v>
      </c>
      <c r="B189" s="4">
        <v>45126</v>
      </c>
      <c r="C189" s="4">
        <v>45138</v>
      </c>
      <c r="D189" s="4" t="str">
        <f t="shared" si="12"/>
        <v>Valid</v>
      </c>
      <c r="E189" s="4">
        <f t="shared" si="13"/>
        <v>45138</v>
      </c>
      <c r="F189" s="13">
        <f t="shared" si="14"/>
        <v>12</v>
      </c>
      <c r="G189" s="7" t="s">
        <v>648</v>
      </c>
      <c r="H189" s="7" t="s">
        <v>655</v>
      </c>
      <c r="I189" s="7" t="s">
        <v>1426</v>
      </c>
      <c r="J189" s="7" t="s">
        <v>701</v>
      </c>
      <c r="K189" s="7" t="s">
        <v>707</v>
      </c>
      <c r="L189" s="7" t="s">
        <v>712</v>
      </c>
      <c r="M189" s="7" t="s">
        <v>732</v>
      </c>
      <c r="N189" s="7" t="s">
        <v>1615</v>
      </c>
      <c r="O189" s="9">
        <v>1334.64</v>
      </c>
      <c r="P189" s="9">
        <v>2273.42</v>
      </c>
      <c r="Q189" s="9">
        <f t="shared" si="15"/>
        <v>2273.42</v>
      </c>
      <c r="R189" s="9" t="str">
        <f t="shared" si="16"/>
        <v>OK</v>
      </c>
      <c r="S189" s="11">
        <v>0.11799999999999999</v>
      </c>
      <c r="T189" s="11" t="str">
        <f t="shared" si="17"/>
        <v>OK</v>
      </c>
      <c r="U189" s="13">
        <v>14</v>
      </c>
    </row>
    <row r="190" spans="1:21" x14ac:dyDescent="0.3">
      <c r="A190" s="7" t="s">
        <v>203</v>
      </c>
      <c r="B190" s="4">
        <v>45431</v>
      </c>
      <c r="C190" s="4">
        <v>45451</v>
      </c>
      <c r="D190" s="4" t="str">
        <f t="shared" si="12"/>
        <v>Valid</v>
      </c>
      <c r="E190" s="4">
        <f t="shared" si="13"/>
        <v>45451</v>
      </c>
      <c r="F190" s="13">
        <f t="shared" si="14"/>
        <v>20</v>
      </c>
      <c r="G190" s="7" t="s">
        <v>648</v>
      </c>
      <c r="H190" s="7" t="s">
        <v>655</v>
      </c>
      <c r="I190" s="7" t="s">
        <v>672</v>
      </c>
      <c r="J190" s="7" t="s">
        <v>705</v>
      </c>
      <c r="K190" s="7" t="s">
        <v>707</v>
      </c>
      <c r="L190" s="7" t="s">
        <v>718</v>
      </c>
      <c r="M190" s="7" t="s">
        <v>732</v>
      </c>
      <c r="N190" s="7" t="s">
        <v>1616</v>
      </c>
      <c r="O190" s="9">
        <v>1075.9000000000001</v>
      </c>
      <c r="P190" s="9">
        <v>1242.1500000000001</v>
      </c>
      <c r="Q190" s="9">
        <f t="shared" si="15"/>
        <v>1242.1500000000001</v>
      </c>
      <c r="R190" s="9" t="str">
        <f t="shared" si="16"/>
        <v>OK</v>
      </c>
      <c r="S190" s="11">
        <v>1.2E-2</v>
      </c>
      <c r="T190" s="11" t="str">
        <f t="shared" si="17"/>
        <v>OK</v>
      </c>
      <c r="U190" s="13">
        <v>7</v>
      </c>
    </row>
    <row r="191" spans="1:21" x14ac:dyDescent="0.3">
      <c r="A191" s="7" t="s">
        <v>204</v>
      </c>
      <c r="B191" s="4">
        <v>45325</v>
      </c>
      <c r="C191" s="4">
        <v>45341</v>
      </c>
      <c r="D191" s="4" t="str">
        <f t="shared" si="12"/>
        <v>Valid</v>
      </c>
      <c r="E191" s="4">
        <f t="shared" si="13"/>
        <v>45341</v>
      </c>
      <c r="F191" s="13">
        <f t="shared" si="14"/>
        <v>16</v>
      </c>
      <c r="G191" s="7" t="s">
        <v>647</v>
      </c>
      <c r="H191" s="7" t="s">
        <v>659</v>
      </c>
      <c r="I191" s="7" t="s">
        <v>676</v>
      </c>
      <c r="J191" s="7" t="s">
        <v>705</v>
      </c>
      <c r="K191" s="7" t="s">
        <v>708</v>
      </c>
      <c r="L191" s="7" t="s">
        <v>722</v>
      </c>
      <c r="M191" s="7" t="s">
        <v>731</v>
      </c>
      <c r="N191" s="7" t="s">
        <v>1617</v>
      </c>
      <c r="O191" s="9">
        <v>993.75</v>
      </c>
      <c r="P191" s="9">
        <v>1310.29</v>
      </c>
      <c r="Q191" s="9">
        <f t="shared" si="15"/>
        <v>1310.29</v>
      </c>
      <c r="R191" s="9" t="str">
        <f t="shared" si="16"/>
        <v>OK</v>
      </c>
      <c r="S191" s="11">
        <v>0.215</v>
      </c>
      <c r="T191" s="11" t="str">
        <f t="shared" si="17"/>
        <v>OK</v>
      </c>
      <c r="U191" s="13">
        <v>19</v>
      </c>
    </row>
    <row r="192" spans="1:21" x14ac:dyDescent="0.3">
      <c r="A192" s="7" t="s">
        <v>205</v>
      </c>
      <c r="B192" s="4">
        <v>45146</v>
      </c>
      <c r="C192" s="4">
        <v>45160</v>
      </c>
      <c r="D192" s="4" t="str">
        <f t="shared" si="12"/>
        <v>Valid</v>
      </c>
      <c r="E192" s="4">
        <f t="shared" si="13"/>
        <v>45160</v>
      </c>
      <c r="F192" s="13">
        <f t="shared" si="14"/>
        <v>14</v>
      </c>
      <c r="G192" s="7" t="s">
        <v>649</v>
      </c>
      <c r="H192" s="7" t="s">
        <v>658</v>
      </c>
      <c r="I192" s="7" t="s">
        <v>674</v>
      </c>
      <c r="J192" s="7" t="s">
        <v>703</v>
      </c>
      <c r="K192" s="7" t="s">
        <v>711</v>
      </c>
      <c r="L192" s="7" t="s">
        <v>725</v>
      </c>
      <c r="M192" s="7" t="s">
        <v>732</v>
      </c>
      <c r="N192" s="7" t="s">
        <v>1618</v>
      </c>
      <c r="O192" s="9">
        <v>446.69</v>
      </c>
      <c r="P192" s="9">
        <v>967.25</v>
      </c>
      <c r="Q192" s="9">
        <f t="shared" si="15"/>
        <v>967.25</v>
      </c>
      <c r="R192" s="9" t="str">
        <f t="shared" si="16"/>
        <v>OK</v>
      </c>
      <c r="S192" s="11">
        <v>9.4E-2</v>
      </c>
      <c r="T192" s="11" t="str">
        <f t="shared" si="17"/>
        <v>OK</v>
      </c>
      <c r="U192" s="13">
        <v>10</v>
      </c>
    </row>
    <row r="193" spans="1:21" x14ac:dyDescent="0.3">
      <c r="A193" s="7" t="s">
        <v>206</v>
      </c>
      <c r="B193" s="4">
        <v>45516</v>
      </c>
      <c r="C193" s="4">
        <v>45538</v>
      </c>
      <c r="D193" s="4" t="str">
        <f t="shared" si="12"/>
        <v>Valid</v>
      </c>
      <c r="E193" s="4">
        <f t="shared" si="13"/>
        <v>45538</v>
      </c>
      <c r="F193" s="13">
        <f t="shared" si="14"/>
        <v>22</v>
      </c>
      <c r="G193" s="7" t="s">
        <v>648</v>
      </c>
      <c r="H193" s="7" t="s">
        <v>1425</v>
      </c>
      <c r="I193" s="7" t="s">
        <v>697</v>
      </c>
      <c r="J193" s="7" t="s">
        <v>704</v>
      </c>
      <c r="K193" s="7" t="s">
        <v>710</v>
      </c>
      <c r="L193" s="7" t="s">
        <v>714</v>
      </c>
      <c r="M193" s="7" t="s">
        <v>731</v>
      </c>
      <c r="N193" s="7" t="s">
        <v>1619</v>
      </c>
      <c r="O193" s="9">
        <v>797.8</v>
      </c>
      <c r="P193" s="9">
        <v>886.22</v>
      </c>
      <c r="Q193" s="9">
        <f t="shared" si="15"/>
        <v>886.22</v>
      </c>
      <c r="R193" s="9" t="str">
        <f t="shared" si="16"/>
        <v>OK</v>
      </c>
      <c r="S193" s="11">
        <v>0.23599999999999999</v>
      </c>
      <c r="T193" s="11" t="str">
        <f t="shared" si="17"/>
        <v>OK</v>
      </c>
      <c r="U193" s="13">
        <v>36</v>
      </c>
    </row>
    <row r="194" spans="1:21" x14ac:dyDescent="0.3">
      <c r="A194" s="7" t="s">
        <v>207</v>
      </c>
      <c r="B194" s="4">
        <v>45214</v>
      </c>
      <c r="C194" s="4">
        <v>45243</v>
      </c>
      <c r="D194" s="4" t="str">
        <f t="shared" si="12"/>
        <v>Valid</v>
      </c>
      <c r="E194" s="4">
        <f t="shared" si="13"/>
        <v>45243</v>
      </c>
      <c r="F194" s="13">
        <f t="shared" si="14"/>
        <v>29</v>
      </c>
      <c r="G194" s="7" t="s">
        <v>647</v>
      </c>
      <c r="H194" s="7" t="s">
        <v>659</v>
      </c>
      <c r="I194" s="7" t="s">
        <v>676</v>
      </c>
      <c r="J194" s="7" t="s">
        <v>703</v>
      </c>
      <c r="K194" s="7" t="s">
        <v>710</v>
      </c>
      <c r="L194" s="7" t="s">
        <v>713</v>
      </c>
      <c r="M194" s="7" t="s">
        <v>728</v>
      </c>
      <c r="N194" s="7" t="s">
        <v>1620</v>
      </c>
      <c r="O194" s="9">
        <v>986.44</v>
      </c>
      <c r="P194" s="9">
        <v>790.61</v>
      </c>
      <c r="Q194" s="9">
        <f t="shared" si="15"/>
        <v>790.61</v>
      </c>
      <c r="R194" s="9" t="str">
        <f t="shared" si="16"/>
        <v>OK</v>
      </c>
      <c r="S194" s="11">
        <v>7.1999999999999995E-2</v>
      </c>
      <c r="T194" s="11" t="str">
        <f t="shared" si="17"/>
        <v>OK</v>
      </c>
      <c r="U194" s="13">
        <v>6</v>
      </c>
    </row>
    <row r="195" spans="1:21" x14ac:dyDescent="0.3">
      <c r="A195" s="7" t="s">
        <v>208</v>
      </c>
      <c r="B195" s="4">
        <v>45050</v>
      </c>
      <c r="C195" s="4">
        <v>45072</v>
      </c>
      <c r="D195" s="4" t="str">
        <f t="shared" ref="D195:D258" si="18">IF(C195&lt;B195,"Invalid","Valid")</f>
        <v>Valid</v>
      </c>
      <c r="E195" s="4">
        <f t="shared" ref="E195:E258" si="19">IF(C195&lt;B195,B195,C195)</f>
        <v>45072</v>
      </c>
      <c r="F195" s="13">
        <f t="shared" ref="F195:F258" si="20">E195-B195</f>
        <v>22</v>
      </c>
      <c r="G195" s="7" t="s">
        <v>648</v>
      </c>
      <c r="H195" s="7" t="s">
        <v>1425</v>
      </c>
      <c r="I195" s="7" t="s">
        <v>686</v>
      </c>
      <c r="J195" s="7" t="s">
        <v>706</v>
      </c>
      <c r="K195" s="7" t="s">
        <v>708</v>
      </c>
      <c r="L195" s="7" t="s">
        <v>713</v>
      </c>
      <c r="M195" s="7" t="s">
        <v>729</v>
      </c>
      <c r="N195" s="7" t="s">
        <v>1621</v>
      </c>
      <c r="O195" s="9">
        <v>249.71</v>
      </c>
      <c r="P195" s="9">
        <v>361.33</v>
      </c>
      <c r="Q195" s="9">
        <f t="shared" ref="Q195:Q258" si="21">ABS(P195)</f>
        <v>361.33</v>
      </c>
      <c r="R195" s="9" t="str">
        <f t="shared" ref="R195:R258" si="22">IF(P195&lt;=0,"FLAG","OK")</f>
        <v>OK</v>
      </c>
      <c r="S195" s="11">
        <v>9.4E-2</v>
      </c>
      <c r="T195" s="11" t="str">
        <f t="shared" ref="T195:T258" si="23">IF(S195&gt;30%,"FLAG","OK")</f>
        <v>OK</v>
      </c>
      <c r="U195" s="13">
        <v>12</v>
      </c>
    </row>
    <row r="196" spans="1:21" x14ac:dyDescent="0.3">
      <c r="A196" s="7" t="s">
        <v>209</v>
      </c>
      <c r="B196" s="4">
        <v>45557</v>
      </c>
      <c r="C196" s="4">
        <v>45566</v>
      </c>
      <c r="D196" s="4" t="str">
        <f t="shared" si="18"/>
        <v>Valid</v>
      </c>
      <c r="E196" s="4">
        <f t="shared" si="19"/>
        <v>45566</v>
      </c>
      <c r="F196" s="13">
        <f t="shared" si="20"/>
        <v>9</v>
      </c>
      <c r="G196" s="7" t="s">
        <v>648</v>
      </c>
      <c r="H196" s="7" t="s">
        <v>655</v>
      </c>
      <c r="I196" s="7" t="s">
        <v>670</v>
      </c>
      <c r="J196" s="7" t="s">
        <v>703</v>
      </c>
      <c r="K196" s="7" t="s">
        <v>708</v>
      </c>
      <c r="L196" s="7" t="s">
        <v>723</v>
      </c>
      <c r="M196" s="7" t="s">
        <v>732</v>
      </c>
      <c r="N196" s="7" t="s">
        <v>1622</v>
      </c>
      <c r="O196" s="9">
        <v>1378.8</v>
      </c>
      <c r="P196" s="9">
        <v>1952.04</v>
      </c>
      <c r="Q196" s="9">
        <f t="shared" si="21"/>
        <v>1952.04</v>
      </c>
      <c r="R196" s="9" t="str">
        <f t="shared" si="22"/>
        <v>OK</v>
      </c>
      <c r="S196" s="11">
        <v>0.159</v>
      </c>
      <c r="T196" s="11" t="str">
        <f t="shared" si="23"/>
        <v>OK</v>
      </c>
      <c r="U196" s="13">
        <v>19</v>
      </c>
    </row>
    <row r="197" spans="1:21" x14ac:dyDescent="0.3">
      <c r="A197" s="7" t="s">
        <v>210</v>
      </c>
      <c r="B197" s="4">
        <v>45588</v>
      </c>
      <c r="C197" s="4">
        <v>45610</v>
      </c>
      <c r="D197" s="4" t="str">
        <f t="shared" si="18"/>
        <v>Valid</v>
      </c>
      <c r="E197" s="4">
        <f t="shared" si="19"/>
        <v>45610</v>
      </c>
      <c r="F197" s="13">
        <f t="shared" si="20"/>
        <v>22</v>
      </c>
      <c r="G197" s="7" t="s">
        <v>647</v>
      </c>
      <c r="H197" s="7" t="s">
        <v>652</v>
      </c>
      <c r="I197" s="7" t="s">
        <v>666</v>
      </c>
      <c r="J197" s="7" t="s">
        <v>703</v>
      </c>
      <c r="K197" s="7" t="s">
        <v>711</v>
      </c>
      <c r="L197" s="7" t="s">
        <v>717</v>
      </c>
      <c r="M197" s="7" t="s">
        <v>730</v>
      </c>
      <c r="N197" s="7" t="s">
        <v>1623</v>
      </c>
      <c r="O197" s="9">
        <v>1406.4</v>
      </c>
      <c r="P197" s="9">
        <v>1564.76</v>
      </c>
      <c r="Q197" s="9">
        <f t="shared" si="21"/>
        <v>1564.76</v>
      </c>
      <c r="R197" s="9" t="str">
        <f t="shared" si="22"/>
        <v>OK</v>
      </c>
      <c r="S197" s="11">
        <v>0.185</v>
      </c>
      <c r="T197" s="11" t="str">
        <f t="shared" si="23"/>
        <v>OK</v>
      </c>
      <c r="U197" s="13">
        <v>17</v>
      </c>
    </row>
    <row r="198" spans="1:21" x14ac:dyDescent="0.3">
      <c r="A198" s="7" t="s">
        <v>211</v>
      </c>
      <c r="B198" s="4">
        <v>45333</v>
      </c>
      <c r="C198" s="4">
        <v>45354</v>
      </c>
      <c r="D198" s="4" t="str">
        <f t="shared" si="18"/>
        <v>Valid</v>
      </c>
      <c r="E198" s="4">
        <f t="shared" si="19"/>
        <v>45354</v>
      </c>
      <c r="F198" s="13">
        <f t="shared" si="20"/>
        <v>21</v>
      </c>
      <c r="G198" s="7" t="s">
        <v>646</v>
      </c>
      <c r="H198" s="7" t="s">
        <v>650</v>
      </c>
      <c r="I198" s="7" t="s">
        <v>662</v>
      </c>
      <c r="J198" s="7" t="s">
        <v>706</v>
      </c>
      <c r="K198" s="7" t="s">
        <v>708</v>
      </c>
      <c r="L198" s="7" t="s">
        <v>717</v>
      </c>
      <c r="M198" s="7" t="s">
        <v>730</v>
      </c>
      <c r="N198" s="7" t="s">
        <v>1624</v>
      </c>
      <c r="O198" s="9">
        <v>516.86</v>
      </c>
      <c r="P198" s="9">
        <v>852.54</v>
      </c>
      <c r="Q198" s="9">
        <f t="shared" si="21"/>
        <v>852.54</v>
      </c>
      <c r="R198" s="9" t="str">
        <f t="shared" si="22"/>
        <v>OK</v>
      </c>
      <c r="S198" s="11">
        <v>5.0999999999999997E-2</v>
      </c>
      <c r="T198" s="11" t="str">
        <f t="shared" si="23"/>
        <v>OK</v>
      </c>
      <c r="U198" s="13">
        <v>14</v>
      </c>
    </row>
    <row r="199" spans="1:21" x14ac:dyDescent="0.3">
      <c r="A199" s="7" t="s">
        <v>212</v>
      </c>
      <c r="B199" s="4">
        <v>44956</v>
      </c>
      <c r="C199" s="4">
        <v>44978</v>
      </c>
      <c r="D199" s="4" t="str">
        <f t="shared" si="18"/>
        <v>Valid</v>
      </c>
      <c r="E199" s="4">
        <f t="shared" si="19"/>
        <v>44978</v>
      </c>
      <c r="F199" s="13">
        <f t="shared" si="20"/>
        <v>22</v>
      </c>
      <c r="G199" s="7" t="s">
        <v>649</v>
      </c>
      <c r="H199" s="7" t="s">
        <v>656</v>
      </c>
      <c r="I199" s="7" t="s">
        <v>684</v>
      </c>
      <c r="J199" s="7" t="s">
        <v>705</v>
      </c>
      <c r="K199" s="7" t="s">
        <v>709</v>
      </c>
      <c r="L199" s="7" t="s">
        <v>715</v>
      </c>
      <c r="M199" s="7" t="s">
        <v>729</v>
      </c>
      <c r="N199" s="7" t="s">
        <v>1625</v>
      </c>
      <c r="O199" s="9">
        <v>1142.8800000000001</v>
      </c>
      <c r="P199" s="9">
        <v>1465.29</v>
      </c>
      <c r="Q199" s="9">
        <f t="shared" si="21"/>
        <v>1465.29</v>
      </c>
      <c r="R199" s="9" t="str">
        <f t="shared" si="22"/>
        <v>OK</v>
      </c>
      <c r="S199" s="11">
        <v>0.186</v>
      </c>
      <c r="T199" s="11" t="str">
        <f t="shared" si="23"/>
        <v>OK</v>
      </c>
      <c r="U199" s="13">
        <v>7</v>
      </c>
    </row>
    <row r="200" spans="1:21" x14ac:dyDescent="0.3">
      <c r="A200" s="7" t="s">
        <v>213</v>
      </c>
      <c r="B200" s="4">
        <v>45030</v>
      </c>
      <c r="C200" s="4">
        <v>45059</v>
      </c>
      <c r="D200" s="4" t="str">
        <f t="shared" si="18"/>
        <v>Valid</v>
      </c>
      <c r="E200" s="4">
        <f t="shared" si="19"/>
        <v>45059</v>
      </c>
      <c r="F200" s="13">
        <f t="shared" si="20"/>
        <v>29</v>
      </c>
      <c r="G200" s="7" t="s">
        <v>649</v>
      </c>
      <c r="H200" s="7" t="s">
        <v>656</v>
      </c>
      <c r="I200" s="7" t="s">
        <v>698</v>
      </c>
      <c r="J200" s="7" t="s">
        <v>704</v>
      </c>
      <c r="K200" s="7" t="s">
        <v>711</v>
      </c>
      <c r="L200" s="7" t="s">
        <v>713</v>
      </c>
      <c r="M200" s="7" t="s">
        <v>728</v>
      </c>
      <c r="N200" s="7" t="s">
        <v>1626</v>
      </c>
      <c r="O200" s="9">
        <v>1320.33</v>
      </c>
      <c r="P200" s="9">
        <v>2645.23</v>
      </c>
      <c r="Q200" s="9">
        <f t="shared" si="21"/>
        <v>2645.23</v>
      </c>
      <c r="R200" s="9" t="str">
        <f t="shared" si="22"/>
        <v>OK</v>
      </c>
      <c r="S200" s="11">
        <v>0.155</v>
      </c>
      <c r="T200" s="11" t="str">
        <f t="shared" si="23"/>
        <v>OK</v>
      </c>
      <c r="U200" s="13">
        <v>25</v>
      </c>
    </row>
    <row r="201" spans="1:21" x14ac:dyDescent="0.3">
      <c r="A201" s="7" t="s">
        <v>214</v>
      </c>
      <c r="B201" s="4">
        <v>44939</v>
      </c>
      <c r="C201" s="4">
        <v>44945</v>
      </c>
      <c r="D201" s="4" t="str">
        <f t="shared" si="18"/>
        <v>Valid</v>
      </c>
      <c r="E201" s="4">
        <f t="shared" si="19"/>
        <v>44945</v>
      </c>
      <c r="F201" s="13">
        <f t="shared" si="20"/>
        <v>6</v>
      </c>
      <c r="G201" s="7" t="s">
        <v>648</v>
      </c>
      <c r="H201" s="7" t="s">
        <v>1425</v>
      </c>
      <c r="I201" s="7" t="s">
        <v>677</v>
      </c>
      <c r="J201" s="7" t="s">
        <v>701</v>
      </c>
      <c r="K201" s="7" t="s">
        <v>711</v>
      </c>
      <c r="L201" s="7" t="s">
        <v>722</v>
      </c>
      <c r="M201" s="7" t="s">
        <v>730</v>
      </c>
      <c r="N201" s="7" t="s">
        <v>1627</v>
      </c>
      <c r="O201" s="9">
        <v>833.57</v>
      </c>
      <c r="P201" s="9">
        <v>881.57</v>
      </c>
      <c r="Q201" s="9">
        <f t="shared" si="21"/>
        <v>881.57</v>
      </c>
      <c r="R201" s="9" t="str">
        <f t="shared" si="22"/>
        <v>OK</v>
      </c>
      <c r="S201" s="11">
        <v>5.7000000000000002E-2</v>
      </c>
      <c r="T201" s="11" t="str">
        <f t="shared" si="23"/>
        <v>OK</v>
      </c>
      <c r="U201" s="13">
        <v>18</v>
      </c>
    </row>
    <row r="202" spans="1:21" x14ac:dyDescent="0.3">
      <c r="A202" s="7" t="s">
        <v>215</v>
      </c>
      <c r="B202" s="4">
        <v>45303</v>
      </c>
      <c r="C202" s="4">
        <v>45320</v>
      </c>
      <c r="D202" s="4" t="str">
        <f t="shared" si="18"/>
        <v>Valid</v>
      </c>
      <c r="E202" s="4">
        <f t="shared" si="19"/>
        <v>45320</v>
      </c>
      <c r="F202" s="13">
        <f t="shared" si="20"/>
        <v>17</v>
      </c>
      <c r="G202" s="7" t="s">
        <v>648</v>
      </c>
      <c r="H202" s="7" t="s">
        <v>1425</v>
      </c>
      <c r="I202" s="7" t="s">
        <v>677</v>
      </c>
      <c r="J202" s="7" t="s">
        <v>702</v>
      </c>
      <c r="K202" s="7" t="s">
        <v>710</v>
      </c>
      <c r="L202" s="7" t="s">
        <v>720</v>
      </c>
      <c r="M202" s="7" t="s">
        <v>728</v>
      </c>
      <c r="N202" s="7" t="s">
        <v>1628</v>
      </c>
      <c r="O202" s="9">
        <v>493.76</v>
      </c>
      <c r="P202" s="9">
        <v>625.04</v>
      </c>
      <c r="Q202" s="9">
        <f t="shared" si="21"/>
        <v>625.04</v>
      </c>
      <c r="R202" s="9" t="str">
        <f t="shared" si="22"/>
        <v>OK</v>
      </c>
      <c r="S202" s="11">
        <v>0.25800000000000001</v>
      </c>
      <c r="T202" s="11" t="str">
        <f t="shared" si="23"/>
        <v>OK</v>
      </c>
      <c r="U202" s="13">
        <v>10</v>
      </c>
    </row>
    <row r="203" spans="1:21" x14ac:dyDescent="0.3">
      <c r="A203" s="7" t="s">
        <v>216</v>
      </c>
      <c r="B203" s="4">
        <v>45153</v>
      </c>
      <c r="C203" s="4">
        <v>45176</v>
      </c>
      <c r="D203" s="4" t="str">
        <f t="shared" si="18"/>
        <v>Valid</v>
      </c>
      <c r="E203" s="4">
        <f t="shared" si="19"/>
        <v>45176</v>
      </c>
      <c r="F203" s="13">
        <f t="shared" si="20"/>
        <v>23</v>
      </c>
      <c r="G203" s="7" t="s">
        <v>648</v>
      </c>
      <c r="H203" s="7" t="s">
        <v>1425</v>
      </c>
      <c r="I203" s="7" t="s">
        <v>700</v>
      </c>
      <c r="J203" s="7" t="s">
        <v>706</v>
      </c>
      <c r="K203" s="7" t="s">
        <v>708</v>
      </c>
      <c r="L203" s="7" t="s">
        <v>723</v>
      </c>
      <c r="M203" s="7" t="s">
        <v>730</v>
      </c>
      <c r="N203" s="7" t="s">
        <v>1629</v>
      </c>
      <c r="O203" s="9">
        <v>590.33000000000004</v>
      </c>
      <c r="P203" s="9">
        <v>973.04</v>
      </c>
      <c r="Q203" s="9">
        <f t="shared" si="21"/>
        <v>973.04</v>
      </c>
      <c r="R203" s="9" t="str">
        <f t="shared" si="22"/>
        <v>OK</v>
      </c>
      <c r="S203" s="11">
        <v>0</v>
      </c>
      <c r="T203" s="11" t="str">
        <f t="shared" si="23"/>
        <v>OK</v>
      </c>
      <c r="U203" s="13">
        <v>26</v>
      </c>
    </row>
    <row r="204" spans="1:21" x14ac:dyDescent="0.3">
      <c r="A204" s="7" t="s">
        <v>217</v>
      </c>
      <c r="B204" s="4">
        <v>44946</v>
      </c>
      <c r="C204" s="4">
        <v>44960</v>
      </c>
      <c r="D204" s="4" t="str">
        <f t="shared" si="18"/>
        <v>Valid</v>
      </c>
      <c r="E204" s="4">
        <f t="shared" si="19"/>
        <v>44960</v>
      </c>
      <c r="F204" s="13">
        <f t="shared" si="20"/>
        <v>14</v>
      </c>
      <c r="G204" s="7" t="s">
        <v>646</v>
      </c>
      <c r="H204" s="7" t="s">
        <v>650</v>
      </c>
      <c r="I204" s="7" t="s">
        <v>662</v>
      </c>
      <c r="J204" s="7" t="s">
        <v>701</v>
      </c>
      <c r="K204" s="7" t="s">
        <v>707</v>
      </c>
      <c r="L204" s="7" t="s">
        <v>724</v>
      </c>
      <c r="M204" s="7" t="s">
        <v>729</v>
      </c>
      <c r="N204" s="7" t="s">
        <v>1630</v>
      </c>
      <c r="O204" s="9">
        <v>884.36</v>
      </c>
      <c r="P204" s="9">
        <v>1545.34</v>
      </c>
      <c r="Q204" s="9">
        <f t="shared" si="21"/>
        <v>1545.34</v>
      </c>
      <c r="R204" s="9" t="str">
        <f t="shared" si="22"/>
        <v>OK</v>
      </c>
      <c r="S204" s="11">
        <v>0.24299999999999999</v>
      </c>
      <c r="T204" s="11" t="str">
        <f t="shared" si="23"/>
        <v>OK</v>
      </c>
      <c r="U204" s="13">
        <v>41</v>
      </c>
    </row>
    <row r="205" spans="1:21" x14ac:dyDescent="0.3">
      <c r="A205" s="7" t="s">
        <v>218</v>
      </c>
      <c r="B205" s="4">
        <v>45692</v>
      </c>
      <c r="C205" s="4">
        <v>45713</v>
      </c>
      <c r="D205" s="4" t="str">
        <f t="shared" si="18"/>
        <v>Valid</v>
      </c>
      <c r="E205" s="4">
        <f t="shared" si="19"/>
        <v>45713</v>
      </c>
      <c r="F205" s="13">
        <f t="shared" si="20"/>
        <v>21</v>
      </c>
      <c r="G205" s="7" t="s">
        <v>649</v>
      </c>
      <c r="H205" s="7" t="s">
        <v>658</v>
      </c>
      <c r="I205" s="7" t="s">
        <v>674</v>
      </c>
      <c r="J205" s="7" t="s">
        <v>701</v>
      </c>
      <c r="K205" s="7" t="s">
        <v>709</v>
      </c>
      <c r="L205" s="7" t="s">
        <v>726</v>
      </c>
      <c r="M205" s="7" t="s">
        <v>732</v>
      </c>
      <c r="N205" s="7" t="s">
        <v>1631</v>
      </c>
      <c r="O205" s="9">
        <v>1016.32</v>
      </c>
      <c r="P205" s="9">
        <v>2253.42</v>
      </c>
      <c r="Q205" s="9">
        <f t="shared" si="21"/>
        <v>2253.42</v>
      </c>
      <c r="R205" s="9" t="str">
        <f t="shared" si="22"/>
        <v>OK</v>
      </c>
      <c r="S205" s="11">
        <v>5.5E-2</v>
      </c>
      <c r="T205" s="11" t="str">
        <f t="shared" si="23"/>
        <v>OK</v>
      </c>
      <c r="U205" s="13">
        <v>12</v>
      </c>
    </row>
    <row r="206" spans="1:21" x14ac:dyDescent="0.3">
      <c r="A206" s="7" t="s">
        <v>219</v>
      </c>
      <c r="B206" s="4">
        <v>45035</v>
      </c>
      <c r="C206" s="4">
        <v>45044</v>
      </c>
      <c r="D206" s="4" t="str">
        <f t="shared" si="18"/>
        <v>Valid</v>
      </c>
      <c r="E206" s="4">
        <f t="shared" si="19"/>
        <v>45044</v>
      </c>
      <c r="F206" s="13">
        <f t="shared" si="20"/>
        <v>9</v>
      </c>
      <c r="G206" s="7" t="s">
        <v>649</v>
      </c>
      <c r="H206" s="7" t="s">
        <v>656</v>
      </c>
      <c r="I206" s="7" t="s">
        <v>671</v>
      </c>
      <c r="J206" s="7" t="s">
        <v>702</v>
      </c>
      <c r="K206" s="7" t="s">
        <v>708</v>
      </c>
      <c r="L206" s="7" t="s">
        <v>718</v>
      </c>
      <c r="M206" s="7" t="s">
        <v>732</v>
      </c>
      <c r="N206" s="7" t="s">
        <v>1632</v>
      </c>
      <c r="O206" s="9">
        <v>1178.42</v>
      </c>
      <c r="P206" s="9">
        <v>2446.56</v>
      </c>
      <c r="Q206" s="9">
        <f t="shared" si="21"/>
        <v>2446.56</v>
      </c>
      <c r="R206" s="9" t="str">
        <f t="shared" si="22"/>
        <v>OK</v>
      </c>
      <c r="S206" s="11">
        <v>2.9000000000000001E-2</v>
      </c>
      <c r="T206" s="11" t="str">
        <f t="shared" si="23"/>
        <v>OK</v>
      </c>
      <c r="U206" s="13">
        <v>11</v>
      </c>
    </row>
    <row r="207" spans="1:21" x14ac:dyDescent="0.3">
      <c r="A207" s="7" t="s">
        <v>220</v>
      </c>
      <c r="B207" s="4">
        <v>45109</v>
      </c>
      <c r="C207" s="4">
        <v>45139</v>
      </c>
      <c r="D207" s="4" t="str">
        <f t="shared" si="18"/>
        <v>Valid</v>
      </c>
      <c r="E207" s="4">
        <f t="shared" si="19"/>
        <v>45139</v>
      </c>
      <c r="F207" s="13">
        <f t="shared" si="20"/>
        <v>30</v>
      </c>
      <c r="G207" s="7" t="s">
        <v>649</v>
      </c>
      <c r="H207" s="7" t="s">
        <v>658</v>
      </c>
      <c r="I207" s="7" t="s">
        <v>674</v>
      </c>
      <c r="J207" s="7" t="s">
        <v>705</v>
      </c>
      <c r="K207" s="7" t="s">
        <v>707</v>
      </c>
      <c r="L207" s="7" t="s">
        <v>717</v>
      </c>
      <c r="M207" s="7" t="s">
        <v>727</v>
      </c>
      <c r="N207" s="7" t="s">
        <v>1633</v>
      </c>
      <c r="O207" s="9">
        <v>137.46</v>
      </c>
      <c r="P207" s="9">
        <v>188.3</v>
      </c>
      <c r="Q207" s="9">
        <f t="shared" si="21"/>
        <v>188.3</v>
      </c>
      <c r="R207" s="9" t="str">
        <f t="shared" si="22"/>
        <v>OK</v>
      </c>
      <c r="S207" s="11">
        <v>3.7999999999999999E-2</v>
      </c>
      <c r="T207" s="11" t="str">
        <f t="shared" si="23"/>
        <v>OK</v>
      </c>
      <c r="U207" s="13">
        <v>37</v>
      </c>
    </row>
    <row r="208" spans="1:21" x14ac:dyDescent="0.3">
      <c r="A208" s="7" t="s">
        <v>221</v>
      </c>
      <c r="B208" s="4">
        <v>45678</v>
      </c>
      <c r="C208" s="4">
        <v>45702</v>
      </c>
      <c r="D208" s="4" t="str">
        <f t="shared" si="18"/>
        <v>Valid</v>
      </c>
      <c r="E208" s="4">
        <f t="shared" si="19"/>
        <v>45702</v>
      </c>
      <c r="F208" s="13">
        <f t="shared" si="20"/>
        <v>24</v>
      </c>
      <c r="G208" s="7" t="s">
        <v>646</v>
      </c>
      <c r="H208" s="7" t="s">
        <v>650</v>
      </c>
      <c r="I208" s="7" t="s">
        <v>664</v>
      </c>
      <c r="J208" s="7" t="s">
        <v>705</v>
      </c>
      <c r="K208" s="7" t="s">
        <v>707</v>
      </c>
      <c r="L208" s="7" t="s">
        <v>713</v>
      </c>
      <c r="M208" s="7" t="s">
        <v>733</v>
      </c>
      <c r="N208" s="7" t="s">
        <v>1634</v>
      </c>
      <c r="O208" s="9">
        <v>1030.44</v>
      </c>
      <c r="P208" s="9">
        <v>2562.84</v>
      </c>
      <c r="Q208" s="9">
        <f t="shared" si="21"/>
        <v>2562.84</v>
      </c>
      <c r="R208" s="9" t="str">
        <f t="shared" si="22"/>
        <v>OK</v>
      </c>
      <c r="S208" s="11">
        <v>0.14799999999999999</v>
      </c>
      <c r="T208" s="11" t="str">
        <f t="shared" si="23"/>
        <v>OK</v>
      </c>
      <c r="U208" s="13">
        <v>13</v>
      </c>
    </row>
    <row r="209" spans="1:21" x14ac:dyDescent="0.3">
      <c r="A209" s="7" t="s">
        <v>222</v>
      </c>
      <c r="B209" s="4">
        <v>45545</v>
      </c>
      <c r="C209" s="4">
        <v>45572</v>
      </c>
      <c r="D209" s="4" t="str">
        <f t="shared" si="18"/>
        <v>Valid</v>
      </c>
      <c r="E209" s="4">
        <f t="shared" si="19"/>
        <v>45572</v>
      </c>
      <c r="F209" s="13">
        <f t="shared" si="20"/>
        <v>27</v>
      </c>
      <c r="G209" s="7" t="s">
        <v>646</v>
      </c>
      <c r="H209" s="7" t="s">
        <v>650</v>
      </c>
      <c r="I209" s="7" t="s">
        <v>662</v>
      </c>
      <c r="J209" s="7" t="s">
        <v>704</v>
      </c>
      <c r="K209" s="7" t="s">
        <v>707</v>
      </c>
      <c r="L209" s="7" t="s">
        <v>716</v>
      </c>
      <c r="M209" s="7" t="s">
        <v>728</v>
      </c>
      <c r="N209" s="7" t="s">
        <v>1635</v>
      </c>
      <c r="O209" s="9">
        <v>1248.3900000000001</v>
      </c>
      <c r="P209" s="9">
        <v>1805.11</v>
      </c>
      <c r="Q209" s="9">
        <f t="shared" si="21"/>
        <v>1805.11</v>
      </c>
      <c r="R209" s="9" t="str">
        <f t="shared" si="22"/>
        <v>OK</v>
      </c>
      <c r="S209" s="11">
        <v>0.20300000000000001</v>
      </c>
      <c r="T209" s="11" t="str">
        <f t="shared" si="23"/>
        <v>OK</v>
      </c>
      <c r="U209" s="13">
        <v>11</v>
      </c>
    </row>
    <row r="210" spans="1:21" x14ac:dyDescent="0.3">
      <c r="A210" s="7" t="s">
        <v>223</v>
      </c>
      <c r="B210" s="4">
        <v>45859</v>
      </c>
      <c r="C210" s="4">
        <v>45876</v>
      </c>
      <c r="D210" s="4" t="str">
        <f t="shared" si="18"/>
        <v>Valid</v>
      </c>
      <c r="E210" s="4">
        <f t="shared" si="19"/>
        <v>45876</v>
      </c>
      <c r="F210" s="13">
        <f t="shared" si="20"/>
        <v>17</v>
      </c>
      <c r="G210" s="7" t="s">
        <v>646</v>
      </c>
      <c r="H210" s="7" t="s">
        <v>651</v>
      </c>
      <c r="I210" s="7" t="s">
        <v>665</v>
      </c>
      <c r="J210" s="7" t="s">
        <v>706</v>
      </c>
      <c r="K210" s="7" t="s">
        <v>711</v>
      </c>
      <c r="L210" s="7" t="s">
        <v>724</v>
      </c>
      <c r="M210" s="7" t="s">
        <v>733</v>
      </c>
      <c r="N210" s="7" t="s">
        <v>1636</v>
      </c>
      <c r="O210" s="9">
        <v>1204.95</v>
      </c>
      <c r="P210" s="9">
        <v>2065.73</v>
      </c>
      <c r="Q210" s="9">
        <f t="shared" si="21"/>
        <v>2065.73</v>
      </c>
      <c r="R210" s="9" t="str">
        <f t="shared" si="22"/>
        <v>OK</v>
      </c>
      <c r="S210" s="11">
        <v>0.13600000000000001</v>
      </c>
      <c r="T210" s="11" t="str">
        <f t="shared" si="23"/>
        <v>OK</v>
      </c>
      <c r="U210" s="13">
        <v>10</v>
      </c>
    </row>
    <row r="211" spans="1:21" x14ac:dyDescent="0.3">
      <c r="A211" s="7" t="s">
        <v>224</v>
      </c>
      <c r="B211" s="4">
        <v>45567</v>
      </c>
      <c r="C211" s="4">
        <v>45588</v>
      </c>
      <c r="D211" s="4" t="str">
        <f t="shared" si="18"/>
        <v>Valid</v>
      </c>
      <c r="E211" s="4">
        <f t="shared" si="19"/>
        <v>45588</v>
      </c>
      <c r="F211" s="13">
        <f t="shared" si="20"/>
        <v>21</v>
      </c>
      <c r="G211" s="7" t="s">
        <v>646</v>
      </c>
      <c r="H211" s="7" t="s">
        <v>661</v>
      </c>
      <c r="I211" s="7" t="s">
        <v>687</v>
      </c>
      <c r="J211" s="7" t="s">
        <v>701</v>
      </c>
      <c r="K211" s="7" t="s">
        <v>709</v>
      </c>
      <c r="L211" s="7" t="s">
        <v>720</v>
      </c>
      <c r="M211" s="7" t="s">
        <v>727</v>
      </c>
      <c r="N211" s="7" t="s">
        <v>1637</v>
      </c>
      <c r="O211" s="9">
        <v>1095.6099999999999</v>
      </c>
      <c r="P211" s="9">
        <v>2366.5100000000002</v>
      </c>
      <c r="Q211" s="9">
        <f t="shared" si="21"/>
        <v>2366.5100000000002</v>
      </c>
      <c r="R211" s="9" t="str">
        <f t="shared" si="22"/>
        <v>OK</v>
      </c>
      <c r="S211" s="11">
        <v>0.152</v>
      </c>
      <c r="T211" s="11" t="str">
        <f t="shared" si="23"/>
        <v>OK</v>
      </c>
      <c r="U211" s="13">
        <v>9</v>
      </c>
    </row>
    <row r="212" spans="1:21" x14ac:dyDescent="0.3">
      <c r="A212" s="7" t="s">
        <v>225</v>
      </c>
      <c r="B212" s="4">
        <v>45852</v>
      </c>
      <c r="C212" s="4">
        <v>45873</v>
      </c>
      <c r="D212" s="4" t="str">
        <f t="shared" si="18"/>
        <v>Valid</v>
      </c>
      <c r="E212" s="4">
        <f t="shared" si="19"/>
        <v>45873</v>
      </c>
      <c r="F212" s="13">
        <f t="shared" si="20"/>
        <v>21</v>
      </c>
      <c r="G212" s="7" t="s">
        <v>648</v>
      </c>
      <c r="H212" s="7" t="s">
        <v>653</v>
      </c>
      <c r="I212" s="7" t="s">
        <v>681</v>
      </c>
      <c r="J212" s="7" t="s">
        <v>704</v>
      </c>
      <c r="K212" s="7" t="s">
        <v>708</v>
      </c>
      <c r="L212" s="7" t="s">
        <v>722</v>
      </c>
      <c r="M212" s="7" t="s">
        <v>732</v>
      </c>
      <c r="N212" s="7" t="s">
        <v>1638</v>
      </c>
      <c r="O212" s="9">
        <v>90.3</v>
      </c>
      <c r="P212" s="9">
        <v>131.76</v>
      </c>
      <c r="Q212" s="9">
        <f t="shared" si="21"/>
        <v>131.76</v>
      </c>
      <c r="R212" s="9" t="str">
        <f t="shared" si="22"/>
        <v>OK</v>
      </c>
      <c r="S212" s="11">
        <v>0.10199999999999999</v>
      </c>
      <c r="T212" s="11" t="str">
        <f t="shared" si="23"/>
        <v>OK</v>
      </c>
      <c r="U212" s="13">
        <v>15</v>
      </c>
    </row>
    <row r="213" spans="1:21" x14ac:dyDescent="0.3">
      <c r="A213" s="7" t="s">
        <v>226</v>
      </c>
      <c r="B213" s="4">
        <v>45544</v>
      </c>
      <c r="C213" s="4">
        <v>45566</v>
      </c>
      <c r="D213" s="4" t="str">
        <f t="shared" si="18"/>
        <v>Valid</v>
      </c>
      <c r="E213" s="4">
        <f t="shared" si="19"/>
        <v>45566</v>
      </c>
      <c r="F213" s="13">
        <f t="shared" si="20"/>
        <v>22</v>
      </c>
      <c r="G213" s="7" t="s">
        <v>647</v>
      </c>
      <c r="H213" s="7" t="s">
        <v>659</v>
      </c>
      <c r="I213" s="7" t="s">
        <v>676</v>
      </c>
      <c r="J213" s="7" t="s">
        <v>704</v>
      </c>
      <c r="K213" s="7" t="s">
        <v>711</v>
      </c>
      <c r="L213" s="7" t="s">
        <v>716</v>
      </c>
      <c r="M213" s="7" t="s">
        <v>728</v>
      </c>
      <c r="N213" s="7" t="s">
        <v>1639</v>
      </c>
      <c r="O213" s="9">
        <v>1166.18</v>
      </c>
      <c r="P213" s="9">
        <v>1335.02</v>
      </c>
      <c r="Q213" s="9">
        <f t="shared" si="21"/>
        <v>1335.02</v>
      </c>
      <c r="R213" s="9" t="str">
        <f t="shared" si="22"/>
        <v>OK</v>
      </c>
      <c r="S213" s="11">
        <v>0.128</v>
      </c>
      <c r="T213" s="11" t="str">
        <f t="shared" si="23"/>
        <v>OK</v>
      </c>
      <c r="U213" s="13">
        <v>6</v>
      </c>
    </row>
    <row r="214" spans="1:21" x14ac:dyDescent="0.3">
      <c r="A214" s="7" t="s">
        <v>227</v>
      </c>
      <c r="B214" s="4">
        <v>45686</v>
      </c>
      <c r="C214" s="4">
        <v>45694</v>
      </c>
      <c r="D214" s="4" t="str">
        <f t="shared" si="18"/>
        <v>Valid</v>
      </c>
      <c r="E214" s="4">
        <f t="shared" si="19"/>
        <v>45694</v>
      </c>
      <c r="F214" s="13">
        <f t="shared" si="20"/>
        <v>8</v>
      </c>
      <c r="G214" s="7" t="s">
        <v>646</v>
      </c>
      <c r="H214" s="7" t="s">
        <v>650</v>
      </c>
      <c r="I214" s="7" t="s">
        <v>662</v>
      </c>
      <c r="J214" s="7" t="s">
        <v>702</v>
      </c>
      <c r="K214" s="7" t="s">
        <v>707</v>
      </c>
      <c r="L214" s="7" t="s">
        <v>717</v>
      </c>
      <c r="M214" s="7" t="s">
        <v>730</v>
      </c>
      <c r="N214" s="7" t="s">
        <v>1640</v>
      </c>
      <c r="O214" s="9">
        <v>1445.27</v>
      </c>
      <c r="P214" s="9">
        <v>2691.45</v>
      </c>
      <c r="Q214" s="9">
        <f t="shared" si="21"/>
        <v>2691.45</v>
      </c>
      <c r="R214" s="9" t="str">
        <f t="shared" si="22"/>
        <v>OK</v>
      </c>
      <c r="S214" s="11">
        <v>0</v>
      </c>
      <c r="T214" s="11" t="str">
        <f t="shared" si="23"/>
        <v>OK</v>
      </c>
      <c r="U214" s="13">
        <v>9</v>
      </c>
    </row>
    <row r="215" spans="1:21" x14ac:dyDescent="0.3">
      <c r="A215" s="7" t="s">
        <v>228</v>
      </c>
      <c r="B215" s="4">
        <v>45240</v>
      </c>
      <c r="C215" s="4">
        <v>45258</v>
      </c>
      <c r="D215" s="4" t="str">
        <f t="shared" si="18"/>
        <v>Valid</v>
      </c>
      <c r="E215" s="4">
        <f t="shared" si="19"/>
        <v>45258</v>
      </c>
      <c r="F215" s="13">
        <f t="shared" si="20"/>
        <v>18</v>
      </c>
      <c r="G215" s="7" t="s">
        <v>648</v>
      </c>
      <c r="H215" s="7" t="s">
        <v>655</v>
      </c>
      <c r="I215" s="7" t="s">
        <v>672</v>
      </c>
      <c r="J215" s="7" t="s">
        <v>702</v>
      </c>
      <c r="K215" s="7" t="s">
        <v>709</v>
      </c>
      <c r="L215" s="7" t="s">
        <v>716</v>
      </c>
      <c r="M215" s="7" t="s">
        <v>733</v>
      </c>
      <c r="N215" s="7" t="s">
        <v>1641</v>
      </c>
      <c r="O215" s="9">
        <v>388.51</v>
      </c>
      <c r="P215" s="9">
        <v>776.46</v>
      </c>
      <c r="Q215" s="9">
        <f t="shared" si="21"/>
        <v>776.46</v>
      </c>
      <c r="R215" s="9" t="str">
        <f t="shared" si="22"/>
        <v>OK</v>
      </c>
      <c r="S215" s="11">
        <v>0.157</v>
      </c>
      <c r="T215" s="11" t="str">
        <f t="shared" si="23"/>
        <v>OK</v>
      </c>
      <c r="U215" s="13">
        <v>12</v>
      </c>
    </row>
    <row r="216" spans="1:21" x14ac:dyDescent="0.3">
      <c r="A216" s="7" t="s">
        <v>229</v>
      </c>
      <c r="B216" s="4">
        <v>45351</v>
      </c>
      <c r="C216" s="4">
        <v>45381</v>
      </c>
      <c r="D216" s="4" t="str">
        <f t="shared" si="18"/>
        <v>Valid</v>
      </c>
      <c r="E216" s="4">
        <f t="shared" si="19"/>
        <v>45381</v>
      </c>
      <c r="F216" s="13">
        <f t="shared" si="20"/>
        <v>30</v>
      </c>
      <c r="G216" s="7" t="s">
        <v>647</v>
      </c>
      <c r="H216" s="7" t="s">
        <v>652</v>
      </c>
      <c r="I216" s="7" t="s">
        <v>694</v>
      </c>
      <c r="J216" s="7" t="s">
        <v>705</v>
      </c>
      <c r="K216" s="7" t="s">
        <v>711</v>
      </c>
      <c r="L216" s="7" t="s">
        <v>714</v>
      </c>
      <c r="M216" s="7" t="s">
        <v>729</v>
      </c>
      <c r="N216" s="7" t="s">
        <v>1642</v>
      </c>
      <c r="O216" s="9">
        <v>231.11</v>
      </c>
      <c r="P216" s="9">
        <v>318.17</v>
      </c>
      <c r="Q216" s="9">
        <f t="shared" si="21"/>
        <v>318.17</v>
      </c>
      <c r="R216" s="9" t="str">
        <f t="shared" si="22"/>
        <v>OK</v>
      </c>
      <c r="S216" s="11">
        <v>0.20100000000000001</v>
      </c>
      <c r="T216" s="11" t="str">
        <f t="shared" si="23"/>
        <v>OK</v>
      </c>
      <c r="U216" s="13">
        <v>60</v>
      </c>
    </row>
    <row r="217" spans="1:21" x14ac:dyDescent="0.3">
      <c r="A217" s="7" t="s">
        <v>230</v>
      </c>
      <c r="B217" s="4">
        <v>45280</v>
      </c>
      <c r="C217" s="4">
        <v>45305</v>
      </c>
      <c r="D217" s="4" t="str">
        <f t="shared" si="18"/>
        <v>Valid</v>
      </c>
      <c r="E217" s="4">
        <f t="shared" si="19"/>
        <v>45305</v>
      </c>
      <c r="F217" s="13">
        <f t="shared" si="20"/>
        <v>25</v>
      </c>
      <c r="G217" s="7" t="s">
        <v>647</v>
      </c>
      <c r="H217" s="7" t="s">
        <v>654</v>
      </c>
      <c r="I217" s="7" t="s">
        <v>691</v>
      </c>
      <c r="J217" s="7" t="s">
        <v>703</v>
      </c>
      <c r="K217" s="7" t="s">
        <v>709</v>
      </c>
      <c r="L217" s="7" t="s">
        <v>716</v>
      </c>
      <c r="M217" s="7" t="s">
        <v>732</v>
      </c>
      <c r="N217" s="7" t="s">
        <v>1643</v>
      </c>
      <c r="O217" s="9">
        <v>1085.6099999999999</v>
      </c>
      <c r="P217" s="9">
        <v>1246.4100000000001</v>
      </c>
      <c r="Q217" s="9">
        <f t="shared" si="21"/>
        <v>1246.4100000000001</v>
      </c>
      <c r="R217" s="9" t="str">
        <f t="shared" si="22"/>
        <v>OK</v>
      </c>
      <c r="S217" s="11">
        <v>0.113</v>
      </c>
      <c r="T217" s="11" t="str">
        <f t="shared" si="23"/>
        <v>OK</v>
      </c>
      <c r="U217" s="13">
        <v>7</v>
      </c>
    </row>
    <row r="218" spans="1:21" x14ac:dyDescent="0.3">
      <c r="A218" s="7" t="s">
        <v>231</v>
      </c>
      <c r="B218" s="4">
        <v>44948</v>
      </c>
      <c r="C218" s="4">
        <v>44947</v>
      </c>
      <c r="D218" s="4" t="str">
        <f t="shared" si="18"/>
        <v>Invalid</v>
      </c>
      <c r="E218" s="4">
        <f t="shared" si="19"/>
        <v>44948</v>
      </c>
      <c r="F218" s="13">
        <f t="shared" si="20"/>
        <v>0</v>
      </c>
      <c r="G218" s="7" t="s">
        <v>649</v>
      </c>
      <c r="H218" s="7" t="s">
        <v>656</v>
      </c>
      <c r="I218" s="7" t="s">
        <v>684</v>
      </c>
      <c r="J218" s="7" t="s">
        <v>701</v>
      </c>
      <c r="K218" s="7" t="s">
        <v>711</v>
      </c>
      <c r="L218" s="7" t="s">
        <v>721</v>
      </c>
      <c r="M218" s="7" t="s">
        <v>732</v>
      </c>
      <c r="N218" s="7" t="s">
        <v>1644</v>
      </c>
      <c r="O218" s="9">
        <v>150.86000000000001</v>
      </c>
      <c r="P218" s="9">
        <v>346.96</v>
      </c>
      <c r="Q218" s="9">
        <f t="shared" si="21"/>
        <v>346.96</v>
      </c>
      <c r="R218" s="9" t="str">
        <f t="shared" si="22"/>
        <v>OK</v>
      </c>
      <c r="S218" s="11">
        <v>0.19600000000000001</v>
      </c>
      <c r="T218" s="11" t="str">
        <f t="shared" si="23"/>
        <v>OK</v>
      </c>
      <c r="U218" s="13">
        <v>8</v>
      </c>
    </row>
    <row r="219" spans="1:21" x14ac:dyDescent="0.3">
      <c r="A219" s="7" t="s">
        <v>232</v>
      </c>
      <c r="B219" s="4">
        <v>45576</v>
      </c>
      <c r="C219" s="4">
        <v>45605</v>
      </c>
      <c r="D219" s="4" t="str">
        <f t="shared" si="18"/>
        <v>Valid</v>
      </c>
      <c r="E219" s="4">
        <f t="shared" si="19"/>
        <v>45605</v>
      </c>
      <c r="F219" s="13">
        <f t="shared" si="20"/>
        <v>29</v>
      </c>
      <c r="G219" s="7" t="s">
        <v>647</v>
      </c>
      <c r="H219" s="7" t="s">
        <v>659</v>
      </c>
      <c r="I219" s="7" t="s">
        <v>685</v>
      </c>
      <c r="J219" s="7" t="s">
        <v>703</v>
      </c>
      <c r="K219" s="7" t="s">
        <v>708</v>
      </c>
      <c r="L219" s="7" t="s">
        <v>721</v>
      </c>
      <c r="M219" s="7" t="s">
        <v>728</v>
      </c>
      <c r="N219" s="7" t="s">
        <v>1645</v>
      </c>
      <c r="O219" s="9">
        <v>391.64</v>
      </c>
      <c r="P219" s="9">
        <v>504.76</v>
      </c>
      <c r="Q219" s="9">
        <f t="shared" si="21"/>
        <v>504.76</v>
      </c>
      <c r="R219" s="9" t="str">
        <f t="shared" si="22"/>
        <v>OK</v>
      </c>
      <c r="S219" s="11">
        <v>4.0000000000000001E-3</v>
      </c>
      <c r="T219" s="11" t="str">
        <f t="shared" si="23"/>
        <v>OK</v>
      </c>
      <c r="U219" s="13">
        <v>13</v>
      </c>
    </row>
    <row r="220" spans="1:21" x14ac:dyDescent="0.3">
      <c r="A220" s="7" t="s">
        <v>233</v>
      </c>
      <c r="B220" s="4">
        <v>45554</v>
      </c>
      <c r="C220" s="4">
        <v>45579</v>
      </c>
      <c r="D220" s="4" t="str">
        <f t="shared" si="18"/>
        <v>Valid</v>
      </c>
      <c r="E220" s="4">
        <f t="shared" si="19"/>
        <v>45579</v>
      </c>
      <c r="F220" s="13">
        <f t="shared" si="20"/>
        <v>25</v>
      </c>
      <c r="G220" s="7" t="s">
        <v>648</v>
      </c>
      <c r="H220" s="7" t="s">
        <v>655</v>
      </c>
      <c r="I220" s="7" t="s">
        <v>1426</v>
      </c>
      <c r="J220" s="7" t="s">
        <v>705</v>
      </c>
      <c r="K220" s="7" t="s">
        <v>707</v>
      </c>
      <c r="L220" s="7" t="s">
        <v>723</v>
      </c>
      <c r="M220" s="7" t="s">
        <v>728</v>
      </c>
      <c r="N220" s="7" t="s">
        <v>1646</v>
      </c>
      <c r="O220" s="9">
        <v>386.96</v>
      </c>
      <c r="P220" s="9">
        <v>937.46</v>
      </c>
      <c r="Q220" s="9">
        <f t="shared" si="21"/>
        <v>937.46</v>
      </c>
      <c r="R220" s="9" t="str">
        <f t="shared" si="22"/>
        <v>OK</v>
      </c>
      <c r="S220" s="11">
        <v>0.26600000000000001</v>
      </c>
      <c r="T220" s="11" t="str">
        <f t="shared" si="23"/>
        <v>OK</v>
      </c>
      <c r="U220" s="13">
        <v>41</v>
      </c>
    </row>
    <row r="221" spans="1:21" x14ac:dyDescent="0.3">
      <c r="A221" s="7" t="s">
        <v>234</v>
      </c>
      <c r="B221" s="4">
        <v>45894</v>
      </c>
      <c r="C221" s="4">
        <v>45924</v>
      </c>
      <c r="D221" s="4" t="str">
        <f t="shared" si="18"/>
        <v>Valid</v>
      </c>
      <c r="E221" s="4">
        <f t="shared" si="19"/>
        <v>45924</v>
      </c>
      <c r="F221" s="13">
        <f t="shared" si="20"/>
        <v>30</v>
      </c>
      <c r="G221" s="7" t="s">
        <v>646</v>
      </c>
      <c r="H221" s="7" t="s">
        <v>650</v>
      </c>
      <c r="I221" s="7" t="s">
        <v>664</v>
      </c>
      <c r="J221" s="7" t="s">
        <v>704</v>
      </c>
      <c r="K221" s="7" t="s">
        <v>711</v>
      </c>
      <c r="L221" s="7" t="s">
        <v>717</v>
      </c>
      <c r="M221" s="7" t="s">
        <v>727</v>
      </c>
      <c r="N221" s="7" t="s">
        <v>1647</v>
      </c>
      <c r="O221" s="9">
        <v>589.14</v>
      </c>
      <c r="P221" s="9">
        <v>1300.58</v>
      </c>
      <c r="Q221" s="9">
        <f t="shared" si="21"/>
        <v>1300.58</v>
      </c>
      <c r="R221" s="9" t="str">
        <f t="shared" si="22"/>
        <v>OK</v>
      </c>
      <c r="S221" s="11">
        <v>5.5E-2</v>
      </c>
      <c r="T221" s="11" t="str">
        <f t="shared" si="23"/>
        <v>OK</v>
      </c>
      <c r="U221" s="13">
        <v>11</v>
      </c>
    </row>
    <row r="222" spans="1:21" x14ac:dyDescent="0.3">
      <c r="A222" s="7" t="s">
        <v>235</v>
      </c>
      <c r="B222" s="4">
        <v>45194</v>
      </c>
      <c r="C222" s="4">
        <v>45201</v>
      </c>
      <c r="D222" s="4" t="str">
        <f t="shared" si="18"/>
        <v>Valid</v>
      </c>
      <c r="E222" s="4">
        <f t="shared" si="19"/>
        <v>45201</v>
      </c>
      <c r="F222" s="13">
        <f t="shared" si="20"/>
        <v>7</v>
      </c>
      <c r="G222" s="7" t="s">
        <v>648</v>
      </c>
      <c r="H222" s="7" t="s">
        <v>1425</v>
      </c>
      <c r="I222" s="7" t="s">
        <v>700</v>
      </c>
      <c r="J222" s="7" t="s">
        <v>702</v>
      </c>
      <c r="K222" s="7" t="s">
        <v>709</v>
      </c>
      <c r="L222" s="7" t="s">
        <v>714</v>
      </c>
      <c r="M222" s="7" t="s">
        <v>733</v>
      </c>
      <c r="N222" s="7" t="s">
        <v>1648</v>
      </c>
      <c r="O222" s="9">
        <v>145.58000000000001</v>
      </c>
      <c r="P222" s="9">
        <v>228.15</v>
      </c>
      <c r="Q222" s="9">
        <f t="shared" si="21"/>
        <v>228.15</v>
      </c>
      <c r="R222" s="9" t="str">
        <f t="shared" si="22"/>
        <v>OK</v>
      </c>
      <c r="S222" s="11">
        <v>0.20399999999999999</v>
      </c>
      <c r="T222" s="11" t="str">
        <f t="shared" si="23"/>
        <v>OK</v>
      </c>
      <c r="U222" s="13">
        <v>5</v>
      </c>
    </row>
    <row r="223" spans="1:21" x14ac:dyDescent="0.3">
      <c r="A223" s="7" t="s">
        <v>236</v>
      </c>
      <c r="B223" s="4">
        <v>45164</v>
      </c>
      <c r="C223" s="4">
        <v>45179</v>
      </c>
      <c r="D223" s="4" t="str">
        <f t="shared" si="18"/>
        <v>Valid</v>
      </c>
      <c r="E223" s="4">
        <f t="shared" si="19"/>
        <v>45179</v>
      </c>
      <c r="F223" s="13">
        <f t="shared" si="20"/>
        <v>15</v>
      </c>
      <c r="G223" s="7" t="s">
        <v>646</v>
      </c>
      <c r="H223" s="7" t="s">
        <v>661</v>
      </c>
      <c r="I223" s="7" t="s">
        <v>695</v>
      </c>
      <c r="J223" s="7" t="s">
        <v>703</v>
      </c>
      <c r="K223" s="7" t="s">
        <v>711</v>
      </c>
      <c r="L223" s="7" t="s">
        <v>725</v>
      </c>
      <c r="M223" s="7" t="s">
        <v>727</v>
      </c>
      <c r="N223" s="7" t="s">
        <v>1649</v>
      </c>
      <c r="O223" s="9">
        <v>241.14</v>
      </c>
      <c r="P223" s="9">
        <v>496.52</v>
      </c>
      <c r="Q223" s="9">
        <f t="shared" si="21"/>
        <v>496.52</v>
      </c>
      <c r="R223" s="9" t="str">
        <f t="shared" si="22"/>
        <v>OK</v>
      </c>
      <c r="S223" s="11">
        <v>9.2999999999999999E-2</v>
      </c>
      <c r="T223" s="11" t="str">
        <f t="shared" si="23"/>
        <v>OK</v>
      </c>
      <c r="U223" s="13">
        <v>10</v>
      </c>
    </row>
    <row r="224" spans="1:21" x14ac:dyDescent="0.3">
      <c r="A224" s="7" t="s">
        <v>237</v>
      </c>
      <c r="B224" s="4">
        <v>45854</v>
      </c>
      <c r="C224" s="4">
        <v>45855</v>
      </c>
      <c r="D224" s="4" t="str">
        <f t="shared" si="18"/>
        <v>Valid</v>
      </c>
      <c r="E224" s="4">
        <f t="shared" si="19"/>
        <v>45855</v>
      </c>
      <c r="F224" s="13">
        <f t="shared" si="20"/>
        <v>1</v>
      </c>
      <c r="G224" s="7" t="s">
        <v>646</v>
      </c>
      <c r="H224" s="7" t="s">
        <v>661</v>
      </c>
      <c r="I224" s="7" t="s">
        <v>687</v>
      </c>
      <c r="J224" s="7" t="s">
        <v>705</v>
      </c>
      <c r="K224" s="7" t="s">
        <v>710</v>
      </c>
      <c r="L224" s="7" t="s">
        <v>717</v>
      </c>
      <c r="M224" s="7" t="s">
        <v>729</v>
      </c>
      <c r="N224" s="7" t="s">
        <v>1650</v>
      </c>
      <c r="O224" s="9">
        <v>1198.9000000000001</v>
      </c>
      <c r="P224" s="9">
        <v>2941.2</v>
      </c>
      <c r="Q224" s="9">
        <f t="shared" si="21"/>
        <v>2941.2</v>
      </c>
      <c r="R224" s="9" t="str">
        <f t="shared" si="22"/>
        <v>OK</v>
      </c>
      <c r="S224" s="11">
        <v>5.0999999999999997E-2</v>
      </c>
      <c r="T224" s="11" t="str">
        <f t="shared" si="23"/>
        <v>OK</v>
      </c>
      <c r="U224" s="13">
        <v>24</v>
      </c>
    </row>
    <row r="225" spans="1:21" x14ac:dyDescent="0.3">
      <c r="A225" s="7" t="s">
        <v>238</v>
      </c>
      <c r="B225" s="4">
        <v>45035</v>
      </c>
      <c r="C225" s="4">
        <v>45053</v>
      </c>
      <c r="D225" s="4" t="str">
        <f t="shared" si="18"/>
        <v>Valid</v>
      </c>
      <c r="E225" s="4">
        <f t="shared" si="19"/>
        <v>45053</v>
      </c>
      <c r="F225" s="13">
        <f t="shared" si="20"/>
        <v>18</v>
      </c>
      <c r="G225" s="7" t="s">
        <v>649</v>
      </c>
      <c r="H225" s="7" t="s">
        <v>658</v>
      </c>
      <c r="I225" s="7" t="s">
        <v>674</v>
      </c>
      <c r="J225" s="7" t="s">
        <v>706</v>
      </c>
      <c r="K225" s="7" t="s">
        <v>707</v>
      </c>
      <c r="L225" s="7" t="s">
        <v>725</v>
      </c>
      <c r="M225" s="7" t="s">
        <v>731</v>
      </c>
      <c r="N225" s="7" t="s">
        <v>1651</v>
      </c>
      <c r="O225" s="9">
        <v>1089.1500000000001</v>
      </c>
      <c r="P225" s="9">
        <v>1088.2</v>
      </c>
      <c r="Q225" s="9">
        <f t="shared" si="21"/>
        <v>1088.2</v>
      </c>
      <c r="R225" s="9" t="str">
        <f t="shared" si="22"/>
        <v>OK</v>
      </c>
      <c r="S225" s="11">
        <v>5.0999999999999997E-2</v>
      </c>
      <c r="T225" s="11" t="str">
        <f t="shared" si="23"/>
        <v>OK</v>
      </c>
      <c r="U225" s="13">
        <v>15</v>
      </c>
    </row>
    <row r="226" spans="1:21" x14ac:dyDescent="0.3">
      <c r="A226" s="7" t="s">
        <v>239</v>
      </c>
      <c r="B226" s="4">
        <v>45279</v>
      </c>
      <c r="C226" s="4">
        <v>45280</v>
      </c>
      <c r="D226" s="4" t="str">
        <f t="shared" si="18"/>
        <v>Valid</v>
      </c>
      <c r="E226" s="4">
        <f t="shared" si="19"/>
        <v>45280</v>
      </c>
      <c r="F226" s="13">
        <f t="shared" si="20"/>
        <v>1</v>
      </c>
      <c r="G226" s="7" t="s">
        <v>648</v>
      </c>
      <c r="H226" s="7" t="s">
        <v>655</v>
      </c>
      <c r="I226" s="7" t="s">
        <v>1426</v>
      </c>
      <c r="J226" s="7" t="s">
        <v>704</v>
      </c>
      <c r="K226" s="7" t="s">
        <v>710</v>
      </c>
      <c r="L226" s="7" t="s">
        <v>713</v>
      </c>
      <c r="M226" s="7" t="s">
        <v>730</v>
      </c>
      <c r="N226" s="7" t="s">
        <v>1652</v>
      </c>
      <c r="O226" s="9">
        <v>1080.43</v>
      </c>
      <c r="P226" s="9">
        <v>2529.15</v>
      </c>
      <c r="Q226" s="9">
        <f t="shared" si="21"/>
        <v>2529.15</v>
      </c>
      <c r="R226" s="9" t="str">
        <f t="shared" si="22"/>
        <v>OK</v>
      </c>
      <c r="S226" s="11">
        <v>0.14699999999999999</v>
      </c>
      <c r="T226" s="11" t="str">
        <f t="shared" si="23"/>
        <v>OK</v>
      </c>
      <c r="U226" s="13">
        <v>10</v>
      </c>
    </row>
    <row r="227" spans="1:21" x14ac:dyDescent="0.3">
      <c r="A227" s="7" t="s">
        <v>240</v>
      </c>
      <c r="B227" s="4">
        <v>45137</v>
      </c>
      <c r="C227" s="4">
        <v>45145</v>
      </c>
      <c r="D227" s="4" t="str">
        <f t="shared" si="18"/>
        <v>Valid</v>
      </c>
      <c r="E227" s="4">
        <f t="shared" si="19"/>
        <v>45145</v>
      </c>
      <c r="F227" s="13">
        <f t="shared" si="20"/>
        <v>8</v>
      </c>
      <c r="G227" s="7" t="s">
        <v>647</v>
      </c>
      <c r="H227" s="7" t="s">
        <v>652</v>
      </c>
      <c r="I227" s="7" t="s">
        <v>694</v>
      </c>
      <c r="J227" s="7" t="s">
        <v>702</v>
      </c>
      <c r="K227" s="7" t="s">
        <v>709</v>
      </c>
      <c r="L227" s="7" t="s">
        <v>720</v>
      </c>
      <c r="M227" s="7" t="s">
        <v>729</v>
      </c>
      <c r="N227" s="7" t="s">
        <v>1653</v>
      </c>
      <c r="O227" s="9">
        <v>1352.44</v>
      </c>
      <c r="P227" s="9">
        <v>2698.01</v>
      </c>
      <c r="Q227" s="9">
        <f t="shared" si="21"/>
        <v>2698.01</v>
      </c>
      <c r="R227" s="9" t="str">
        <f t="shared" si="22"/>
        <v>OK</v>
      </c>
      <c r="S227" s="11">
        <v>0.13100000000000001</v>
      </c>
      <c r="T227" s="11" t="str">
        <f t="shared" si="23"/>
        <v>OK</v>
      </c>
      <c r="U227" s="13">
        <v>13</v>
      </c>
    </row>
    <row r="228" spans="1:21" x14ac:dyDescent="0.3">
      <c r="A228" s="7" t="s">
        <v>241</v>
      </c>
      <c r="B228" s="4">
        <v>45203</v>
      </c>
      <c r="C228" s="4">
        <v>45228</v>
      </c>
      <c r="D228" s="4" t="str">
        <f t="shared" si="18"/>
        <v>Valid</v>
      </c>
      <c r="E228" s="4">
        <f t="shared" si="19"/>
        <v>45228</v>
      </c>
      <c r="F228" s="13">
        <f t="shared" si="20"/>
        <v>25</v>
      </c>
      <c r="G228" s="7" t="s">
        <v>648</v>
      </c>
      <c r="H228" s="7" t="s">
        <v>1425</v>
      </c>
      <c r="I228" s="7" t="s">
        <v>686</v>
      </c>
      <c r="J228" s="7" t="s">
        <v>705</v>
      </c>
      <c r="K228" s="7" t="s">
        <v>710</v>
      </c>
      <c r="L228" s="7" t="s">
        <v>719</v>
      </c>
      <c r="M228" s="7" t="s">
        <v>733</v>
      </c>
      <c r="N228" s="7" t="s">
        <v>1654</v>
      </c>
      <c r="O228" s="9">
        <v>1239.8399999999999</v>
      </c>
      <c r="P228" s="9">
        <v>1482.75</v>
      </c>
      <c r="Q228" s="9">
        <f t="shared" si="21"/>
        <v>1482.75</v>
      </c>
      <c r="R228" s="9" t="str">
        <f t="shared" si="22"/>
        <v>OK</v>
      </c>
      <c r="S228" s="11">
        <v>6.7000000000000004E-2</v>
      </c>
      <c r="T228" s="11" t="str">
        <f t="shared" si="23"/>
        <v>OK</v>
      </c>
      <c r="U228" s="13">
        <v>4</v>
      </c>
    </row>
    <row r="229" spans="1:21" x14ac:dyDescent="0.3">
      <c r="A229" s="7" t="s">
        <v>242</v>
      </c>
      <c r="B229" s="4">
        <v>45879</v>
      </c>
      <c r="C229" s="4">
        <v>45899</v>
      </c>
      <c r="D229" s="4" t="str">
        <f t="shared" si="18"/>
        <v>Valid</v>
      </c>
      <c r="E229" s="4">
        <f t="shared" si="19"/>
        <v>45899</v>
      </c>
      <c r="F229" s="13">
        <f t="shared" si="20"/>
        <v>20</v>
      </c>
      <c r="G229" s="7" t="s">
        <v>648</v>
      </c>
      <c r="H229" s="7" t="s">
        <v>1425</v>
      </c>
      <c r="I229" s="7" t="s">
        <v>686</v>
      </c>
      <c r="J229" s="7" t="s">
        <v>701</v>
      </c>
      <c r="K229" s="7" t="s">
        <v>709</v>
      </c>
      <c r="L229" s="7" t="s">
        <v>723</v>
      </c>
      <c r="M229" s="7" t="s">
        <v>728</v>
      </c>
      <c r="N229" s="7" t="s">
        <v>1655</v>
      </c>
      <c r="O229" s="9">
        <v>933.29</v>
      </c>
      <c r="P229" s="9">
        <v>1456.81</v>
      </c>
      <c r="Q229" s="9">
        <f t="shared" si="21"/>
        <v>1456.81</v>
      </c>
      <c r="R229" s="9" t="str">
        <f t="shared" si="22"/>
        <v>OK</v>
      </c>
      <c r="S229" s="11">
        <v>0.123</v>
      </c>
      <c r="T229" s="11" t="str">
        <f t="shared" si="23"/>
        <v>OK</v>
      </c>
      <c r="U229" s="13">
        <v>13</v>
      </c>
    </row>
    <row r="230" spans="1:21" x14ac:dyDescent="0.3">
      <c r="A230" s="7" t="s">
        <v>243</v>
      </c>
      <c r="B230" s="4">
        <v>44992</v>
      </c>
      <c r="C230" s="4">
        <v>45017</v>
      </c>
      <c r="D230" s="4" t="str">
        <f t="shared" si="18"/>
        <v>Valid</v>
      </c>
      <c r="E230" s="4">
        <f t="shared" si="19"/>
        <v>45017</v>
      </c>
      <c r="F230" s="13">
        <f t="shared" si="20"/>
        <v>25</v>
      </c>
      <c r="G230" s="7" t="s">
        <v>646</v>
      </c>
      <c r="H230" s="7" t="s">
        <v>650</v>
      </c>
      <c r="I230" s="7" t="s">
        <v>664</v>
      </c>
      <c r="J230" s="7" t="s">
        <v>704</v>
      </c>
      <c r="K230" s="7" t="s">
        <v>709</v>
      </c>
      <c r="L230" s="7" t="s">
        <v>726</v>
      </c>
      <c r="M230" s="7" t="s">
        <v>728</v>
      </c>
      <c r="N230" s="7" t="s">
        <v>1656</v>
      </c>
      <c r="O230" s="9">
        <v>1024.0999999999999</v>
      </c>
      <c r="P230" s="9">
        <v>918.19</v>
      </c>
      <c r="Q230" s="9">
        <f t="shared" si="21"/>
        <v>918.19</v>
      </c>
      <c r="R230" s="9" t="str">
        <f t="shared" si="22"/>
        <v>OK</v>
      </c>
      <c r="S230" s="11">
        <v>0.189</v>
      </c>
      <c r="T230" s="11" t="str">
        <f t="shared" si="23"/>
        <v>OK</v>
      </c>
      <c r="U230" s="13">
        <v>10</v>
      </c>
    </row>
    <row r="231" spans="1:21" x14ac:dyDescent="0.3">
      <c r="A231" s="7" t="s">
        <v>244</v>
      </c>
      <c r="B231" s="4">
        <v>45069</v>
      </c>
      <c r="C231" s="4">
        <v>45087</v>
      </c>
      <c r="D231" s="4" t="str">
        <f t="shared" si="18"/>
        <v>Valid</v>
      </c>
      <c r="E231" s="4">
        <f t="shared" si="19"/>
        <v>45087</v>
      </c>
      <c r="F231" s="13">
        <f t="shared" si="20"/>
        <v>18</v>
      </c>
      <c r="G231" s="7" t="s">
        <v>647</v>
      </c>
      <c r="H231" s="7" t="s">
        <v>659</v>
      </c>
      <c r="I231" s="7" t="s">
        <v>685</v>
      </c>
      <c r="J231" s="7" t="s">
        <v>701</v>
      </c>
      <c r="K231" s="7" t="s">
        <v>710</v>
      </c>
      <c r="L231" s="7" t="s">
        <v>718</v>
      </c>
      <c r="M231" s="7" t="s">
        <v>727</v>
      </c>
      <c r="N231" s="7" t="s">
        <v>1657</v>
      </c>
      <c r="O231" s="9">
        <v>54.62</v>
      </c>
      <c r="P231" s="9">
        <v>48.94</v>
      </c>
      <c r="Q231" s="9">
        <f t="shared" si="21"/>
        <v>48.94</v>
      </c>
      <c r="R231" s="9" t="str">
        <f t="shared" si="22"/>
        <v>OK</v>
      </c>
      <c r="S231" s="11">
        <v>0.14799999999999999</v>
      </c>
      <c r="T231" s="11" t="str">
        <f t="shared" si="23"/>
        <v>OK</v>
      </c>
      <c r="U231" s="13">
        <v>16</v>
      </c>
    </row>
    <row r="232" spans="1:21" x14ac:dyDescent="0.3">
      <c r="A232" s="7" t="s">
        <v>245</v>
      </c>
      <c r="B232" s="4">
        <v>45771</v>
      </c>
      <c r="C232" s="4">
        <v>45783</v>
      </c>
      <c r="D232" s="4" t="str">
        <f t="shared" si="18"/>
        <v>Valid</v>
      </c>
      <c r="E232" s="4">
        <f t="shared" si="19"/>
        <v>45783</v>
      </c>
      <c r="F232" s="13">
        <f t="shared" si="20"/>
        <v>12</v>
      </c>
      <c r="G232" s="7" t="s">
        <v>648</v>
      </c>
      <c r="H232" s="7" t="s">
        <v>655</v>
      </c>
      <c r="I232" s="7" t="s">
        <v>672</v>
      </c>
      <c r="J232" s="7" t="s">
        <v>704</v>
      </c>
      <c r="K232" s="7" t="s">
        <v>708</v>
      </c>
      <c r="L232" s="7" t="s">
        <v>712</v>
      </c>
      <c r="M232" s="7" t="s">
        <v>730</v>
      </c>
      <c r="N232" s="7" t="s">
        <v>1658</v>
      </c>
      <c r="O232" s="9">
        <v>394.13</v>
      </c>
      <c r="P232" s="9">
        <v>932.29</v>
      </c>
      <c r="Q232" s="9">
        <f t="shared" si="21"/>
        <v>932.29</v>
      </c>
      <c r="R232" s="9" t="str">
        <f t="shared" si="22"/>
        <v>OK</v>
      </c>
      <c r="S232" s="11">
        <v>0.109</v>
      </c>
      <c r="T232" s="11" t="str">
        <f t="shared" si="23"/>
        <v>OK</v>
      </c>
      <c r="U232" s="13">
        <v>7</v>
      </c>
    </row>
    <row r="233" spans="1:21" x14ac:dyDescent="0.3">
      <c r="A233" s="7" t="s">
        <v>246</v>
      </c>
      <c r="B233" s="4">
        <v>45538</v>
      </c>
      <c r="C233" s="4">
        <v>45543</v>
      </c>
      <c r="D233" s="4" t="str">
        <f t="shared" si="18"/>
        <v>Valid</v>
      </c>
      <c r="E233" s="4">
        <f t="shared" si="19"/>
        <v>45543</v>
      </c>
      <c r="F233" s="13">
        <f t="shared" si="20"/>
        <v>5</v>
      </c>
      <c r="G233" s="7" t="s">
        <v>646</v>
      </c>
      <c r="H233" s="7" t="s">
        <v>651</v>
      </c>
      <c r="I233" s="7" t="s">
        <v>665</v>
      </c>
      <c r="J233" s="7" t="s">
        <v>705</v>
      </c>
      <c r="K233" s="7" t="s">
        <v>711</v>
      </c>
      <c r="L233" s="7" t="s">
        <v>723</v>
      </c>
      <c r="M233" s="7" t="s">
        <v>728</v>
      </c>
      <c r="N233" s="7" t="s">
        <v>1659</v>
      </c>
      <c r="O233" s="9">
        <v>197.63</v>
      </c>
      <c r="P233" s="9">
        <v>325.79000000000002</v>
      </c>
      <c r="Q233" s="9">
        <f t="shared" si="21"/>
        <v>325.79000000000002</v>
      </c>
      <c r="R233" s="9" t="str">
        <f t="shared" si="22"/>
        <v>OK</v>
      </c>
      <c r="S233" s="11">
        <v>0.11600000000000001</v>
      </c>
      <c r="T233" s="11" t="str">
        <f t="shared" si="23"/>
        <v>OK</v>
      </c>
      <c r="U233" s="13">
        <v>10</v>
      </c>
    </row>
    <row r="234" spans="1:21" x14ac:dyDescent="0.3">
      <c r="A234" s="7" t="s">
        <v>247</v>
      </c>
      <c r="B234" s="4">
        <v>45540</v>
      </c>
      <c r="C234" s="4">
        <v>45560</v>
      </c>
      <c r="D234" s="4" t="str">
        <f t="shared" si="18"/>
        <v>Valid</v>
      </c>
      <c r="E234" s="4">
        <f t="shared" si="19"/>
        <v>45560</v>
      </c>
      <c r="F234" s="13">
        <f t="shared" si="20"/>
        <v>20</v>
      </c>
      <c r="G234" s="7" t="s">
        <v>647</v>
      </c>
      <c r="H234" s="7" t="s">
        <v>652</v>
      </c>
      <c r="I234" s="7" t="s">
        <v>666</v>
      </c>
      <c r="J234" s="7" t="s">
        <v>706</v>
      </c>
      <c r="K234" s="7" t="s">
        <v>710</v>
      </c>
      <c r="L234" s="7" t="s">
        <v>726</v>
      </c>
      <c r="M234" s="7" t="s">
        <v>732</v>
      </c>
      <c r="N234" s="7" t="s">
        <v>1660</v>
      </c>
      <c r="O234" s="9">
        <v>195.54</v>
      </c>
      <c r="P234" s="9">
        <v>405.97</v>
      </c>
      <c r="Q234" s="9">
        <f t="shared" si="21"/>
        <v>405.97</v>
      </c>
      <c r="R234" s="9" t="str">
        <f t="shared" si="22"/>
        <v>OK</v>
      </c>
      <c r="S234" s="11">
        <v>0.187</v>
      </c>
      <c r="T234" s="11" t="str">
        <f t="shared" si="23"/>
        <v>OK</v>
      </c>
      <c r="U234" s="13">
        <v>16</v>
      </c>
    </row>
    <row r="235" spans="1:21" x14ac:dyDescent="0.3">
      <c r="A235" s="7" t="s">
        <v>248</v>
      </c>
      <c r="B235" s="4">
        <v>44999</v>
      </c>
      <c r="C235" s="4">
        <v>45015</v>
      </c>
      <c r="D235" s="4" t="str">
        <f t="shared" si="18"/>
        <v>Valid</v>
      </c>
      <c r="E235" s="4">
        <f t="shared" si="19"/>
        <v>45015</v>
      </c>
      <c r="F235" s="13">
        <f t="shared" si="20"/>
        <v>16</v>
      </c>
      <c r="G235" s="7" t="s">
        <v>646</v>
      </c>
      <c r="H235" s="7" t="s">
        <v>661</v>
      </c>
      <c r="I235" s="7" t="s">
        <v>695</v>
      </c>
      <c r="J235" s="7" t="s">
        <v>704</v>
      </c>
      <c r="K235" s="7" t="s">
        <v>710</v>
      </c>
      <c r="L235" s="7" t="s">
        <v>723</v>
      </c>
      <c r="M235" s="7" t="s">
        <v>727</v>
      </c>
      <c r="N235" s="7" t="s">
        <v>1661</v>
      </c>
      <c r="O235" s="9">
        <v>1309.77</v>
      </c>
      <c r="P235" s="9">
        <v>1589.07</v>
      </c>
      <c r="Q235" s="9">
        <f t="shared" si="21"/>
        <v>1589.07</v>
      </c>
      <c r="R235" s="9" t="str">
        <f t="shared" si="22"/>
        <v>OK</v>
      </c>
      <c r="S235" s="11">
        <v>0.10199999999999999</v>
      </c>
      <c r="T235" s="11" t="str">
        <f t="shared" si="23"/>
        <v>OK</v>
      </c>
      <c r="U235" s="13">
        <v>10</v>
      </c>
    </row>
    <row r="236" spans="1:21" x14ac:dyDescent="0.3">
      <c r="A236" s="7" t="s">
        <v>249</v>
      </c>
      <c r="B236" s="4">
        <v>45302</v>
      </c>
      <c r="C236" s="4">
        <v>45324</v>
      </c>
      <c r="D236" s="4" t="str">
        <f t="shared" si="18"/>
        <v>Valid</v>
      </c>
      <c r="E236" s="4">
        <f t="shared" si="19"/>
        <v>45324</v>
      </c>
      <c r="F236" s="13">
        <f t="shared" si="20"/>
        <v>22</v>
      </c>
      <c r="G236" s="7" t="s">
        <v>647</v>
      </c>
      <c r="H236" s="7" t="s">
        <v>652</v>
      </c>
      <c r="I236" s="7" t="s">
        <v>694</v>
      </c>
      <c r="J236" s="7" t="s">
        <v>705</v>
      </c>
      <c r="K236" s="7" t="s">
        <v>708</v>
      </c>
      <c r="L236" s="7" t="s">
        <v>2057</v>
      </c>
      <c r="M236" s="7" t="s">
        <v>728</v>
      </c>
      <c r="N236" s="7" t="s">
        <v>1662</v>
      </c>
      <c r="O236" s="9">
        <v>1237.68</v>
      </c>
      <c r="P236" s="9">
        <v>1432.8</v>
      </c>
      <c r="Q236" s="9">
        <f t="shared" si="21"/>
        <v>1432.8</v>
      </c>
      <c r="R236" s="9" t="str">
        <f t="shared" si="22"/>
        <v>OK</v>
      </c>
      <c r="S236" s="11">
        <v>6.8000000000000005E-2</v>
      </c>
      <c r="T236" s="11" t="str">
        <f t="shared" si="23"/>
        <v>OK</v>
      </c>
      <c r="U236" s="13">
        <v>13</v>
      </c>
    </row>
    <row r="237" spans="1:21" x14ac:dyDescent="0.3">
      <c r="A237" s="7" t="s">
        <v>250</v>
      </c>
      <c r="B237" s="4">
        <v>45548</v>
      </c>
      <c r="C237" s="4">
        <v>45567</v>
      </c>
      <c r="D237" s="4" t="str">
        <f t="shared" si="18"/>
        <v>Valid</v>
      </c>
      <c r="E237" s="4">
        <f t="shared" si="19"/>
        <v>45567</v>
      </c>
      <c r="F237" s="13">
        <f t="shared" si="20"/>
        <v>19</v>
      </c>
      <c r="G237" s="7" t="s">
        <v>646</v>
      </c>
      <c r="H237" s="7" t="s">
        <v>650</v>
      </c>
      <c r="I237" s="7" t="s">
        <v>675</v>
      </c>
      <c r="J237" s="7" t="s">
        <v>705</v>
      </c>
      <c r="K237" s="7" t="s">
        <v>707</v>
      </c>
      <c r="L237" s="7" t="s">
        <v>724</v>
      </c>
      <c r="M237" s="7" t="s">
        <v>730</v>
      </c>
      <c r="N237" s="7" t="s">
        <v>1663</v>
      </c>
      <c r="O237" s="9">
        <v>1338.99</v>
      </c>
      <c r="P237" s="9">
        <v>1765.76</v>
      </c>
      <c r="Q237" s="9">
        <f t="shared" si="21"/>
        <v>1765.76</v>
      </c>
      <c r="R237" s="9" t="str">
        <f t="shared" si="22"/>
        <v>OK</v>
      </c>
      <c r="S237" s="11">
        <v>0.126</v>
      </c>
      <c r="T237" s="11" t="str">
        <f t="shared" si="23"/>
        <v>OK</v>
      </c>
      <c r="U237" s="13">
        <v>24</v>
      </c>
    </row>
    <row r="238" spans="1:21" x14ac:dyDescent="0.3">
      <c r="A238" s="7" t="s">
        <v>251</v>
      </c>
      <c r="B238" s="4">
        <v>45855</v>
      </c>
      <c r="C238" s="4">
        <v>45861</v>
      </c>
      <c r="D238" s="4" t="str">
        <f t="shared" si="18"/>
        <v>Valid</v>
      </c>
      <c r="E238" s="4">
        <f t="shared" si="19"/>
        <v>45861</v>
      </c>
      <c r="F238" s="13">
        <f t="shared" si="20"/>
        <v>6</v>
      </c>
      <c r="G238" s="7" t="s">
        <v>648</v>
      </c>
      <c r="H238" s="7" t="s">
        <v>653</v>
      </c>
      <c r="I238" s="7" t="s">
        <v>688</v>
      </c>
      <c r="J238" s="7" t="s">
        <v>704</v>
      </c>
      <c r="K238" s="7" t="s">
        <v>708</v>
      </c>
      <c r="L238" s="7" t="s">
        <v>722</v>
      </c>
      <c r="M238" s="7" t="s">
        <v>727</v>
      </c>
      <c r="N238" s="7" t="s">
        <v>1664</v>
      </c>
      <c r="O238" s="9">
        <v>1364.89</v>
      </c>
      <c r="P238" s="9">
        <v>2757.54</v>
      </c>
      <c r="Q238" s="9">
        <f t="shared" si="21"/>
        <v>2757.54</v>
      </c>
      <c r="R238" s="9" t="str">
        <f t="shared" si="22"/>
        <v>OK</v>
      </c>
      <c r="S238" s="11">
        <v>0.17199999999999999</v>
      </c>
      <c r="T238" s="11" t="str">
        <f t="shared" si="23"/>
        <v>OK</v>
      </c>
      <c r="U238" s="13">
        <v>61</v>
      </c>
    </row>
    <row r="239" spans="1:21" x14ac:dyDescent="0.3">
      <c r="A239" s="7" t="s">
        <v>252</v>
      </c>
      <c r="B239" s="4">
        <v>45258</v>
      </c>
      <c r="C239" s="4">
        <v>45267</v>
      </c>
      <c r="D239" s="4" t="str">
        <f t="shared" si="18"/>
        <v>Valid</v>
      </c>
      <c r="E239" s="4">
        <f t="shared" si="19"/>
        <v>45267</v>
      </c>
      <c r="F239" s="13">
        <f t="shared" si="20"/>
        <v>9</v>
      </c>
      <c r="G239" s="7" t="s">
        <v>647</v>
      </c>
      <c r="H239" s="7" t="s">
        <v>654</v>
      </c>
      <c r="I239" s="7" t="s">
        <v>680</v>
      </c>
      <c r="J239" s="7" t="s">
        <v>706</v>
      </c>
      <c r="K239" s="7" t="s">
        <v>709</v>
      </c>
      <c r="L239" s="7" t="s">
        <v>716</v>
      </c>
      <c r="M239" s="7" t="s">
        <v>730</v>
      </c>
      <c r="N239" s="7" t="s">
        <v>1665</v>
      </c>
      <c r="O239" s="9">
        <v>699.33</v>
      </c>
      <c r="P239" s="9">
        <v>873.75</v>
      </c>
      <c r="Q239" s="9">
        <f t="shared" si="21"/>
        <v>873.75</v>
      </c>
      <c r="R239" s="9" t="str">
        <f t="shared" si="22"/>
        <v>OK</v>
      </c>
      <c r="S239" s="11">
        <v>0.23499999999999999</v>
      </c>
      <c r="T239" s="11" t="str">
        <f t="shared" si="23"/>
        <v>OK</v>
      </c>
      <c r="U239" s="13">
        <v>10</v>
      </c>
    </row>
    <row r="240" spans="1:21" x14ac:dyDescent="0.3">
      <c r="A240" s="7" t="s">
        <v>253</v>
      </c>
      <c r="B240" s="4">
        <v>45381</v>
      </c>
      <c r="C240" s="4">
        <v>45406</v>
      </c>
      <c r="D240" s="4" t="str">
        <f t="shared" si="18"/>
        <v>Valid</v>
      </c>
      <c r="E240" s="4">
        <f t="shared" si="19"/>
        <v>45406</v>
      </c>
      <c r="F240" s="13">
        <f t="shared" si="20"/>
        <v>25</v>
      </c>
      <c r="G240" s="7" t="s">
        <v>648</v>
      </c>
      <c r="H240" s="7" t="s">
        <v>1425</v>
      </c>
      <c r="I240" s="7" t="s">
        <v>697</v>
      </c>
      <c r="J240" s="7" t="s">
        <v>703</v>
      </c>
      <c r="K240" s="7" t="s">
        <v>708</v>
      </c>
      <c r="L240" s="7" t="s">
        <v>715</v>
      </c>
      <c r="M240" s="7" t="s">
        <v>731</v>
      </c>
      <c r="N240" s="7" t="s">
        <v>1666</v>
      </c>
      <c r="O240" s="9">
        <v>160.82</v>
      </c>
      <c r="P240" s="9">
        <v>258.52</v>
      </c>
      <c r="Q240" s="9">
        <f t="shared" si="21"/>
        <v>258.52</v>
      </c>
      <c r="R240" s="9" t="str">
        <f t="shared" si="22"/>
        <v>OK</v>
      </c>
      <c r="S240" s="11">
        <v>0.13</v>
      </c>
      <c r="T240" s="11" t="str">
        <f t="shared" si="23"/>
        <v>OK</v>
      </c>
      <c r="U240" s="13">
        <v>17</v>
      </c>
    </row>
    <row r="241" spans="1:21" x14ac:dyDescent="0.3">
      <c r="A241" s="7" t="s">
        <v>254</v>
      </c>
      <c r="B241" s="4">
        <v>45188</v>
      </c>
      <c r="C241" s="4">
        <v>45207</v>
      </c>
      <c r="D241" s="4" t="str">
        <f t="shared" si="18"/>
        <v>Valid</v>
      </c>
      <c r="E241" s="4">
        <f t="shared" si="19"/>
        <v>45207</v>
      </c>
      <c r="F241" s="13">
        <f t="shared" si="20"/>
        <v>19</v>
      </c>
      <c r="G241" s="7" t="s">
        <v>647</v>
      </c>
      <c r="H241" s="7" t="s">
        <v>654</v>
      </c>
      <c r="I241" s="7" t="s">
        <v>668</v>
      </c>
      <c r="J241" s="7" t="s">
        <v>702</v>
      </c>
      <c r="K241" s="7" t="s">
        <v>711</v>
      </c>
      <c r="L241" s="7" t="s">
        <v>713</v>
      </c>
      <c r="M241" s="7" t="s">
        <v>728</v>
      </c>
      <c r="N241" s="7" t="s">
        <v>1667</v>
      </c>
      <c r="O241" s="9">
        <v>385.32</v>
      </c>
      <c r="P241" s="9">
        <v>606.76</v>
      </c>
      <c r="Q241" s="9">
        <f t="shared" si="21"/>
        <v>606.76</v>
      </c>
      <c r="R241" s="9" t="str">
        <f t="shared" si="22"/>
        <v>OK</v>
      </c>
      <c r="S241" s="11">
        <v>8.5999999999999993E-2</v>
      </c>
      <c r="T241" s="11" t="str">
        <f t="shared" si="23"/>
        <v>OK</v>
      </c>
      <c r="U241" s="13">
        <v>8</v>
      </c>
    </row>
    <row r="242" spans="1:21" x14ac:dyDescent="0.3">
      <c r="A242" s="7" t="s">
        <v>255</v>
      </c>
      <c r="B242" s="4">
        <v>45793</v>
      </c>
      <c r="C242" s="4">
        <v>45804</v>
      </c>
      <c r="D242" s="4" t="str">
        <f t="shared" si="18"/>
        <v>Valid</v>
      </c>
      <c r="E242" s="4">
        <f t="shared" si="19"/>
        <v>45804</v>
      </c>
      <c r="F242" s="13">
        <f t="shared" si="20"/>
        <v>11</v>
      </c>
      <c r="G242" s="7" t="s">
        <v>647</v>
      </c>
      <c r="H242" s="7" t="s">
        <v>659</v>
      </c>
      <c r="I242" s="7" t="s">
        <v>699</v>
      </c>
      <c r="J242" s="7" t="s">
        <v>706</v>
      </c>
      <c r="K242" s="7" t="s">
        <v>708</v>
      </c>
      <c r="L242" s="7" t="s">
        <v>721</v>
      </c>
      <c r="M242" s="7" t="s">
        <v>730</v>
      </c>
      <c r="N242" s="7" t="s">
        <v>1668</v>
      </c>
      <c r="O242" s="9">
        <v>918.12</v>
      </c>
      <c r="P242" s="9">
        <v>1337.69</v>
      </c>
      <c r="Q242" s="9">
        <f t="shared" si="21"/>
        <v>1337.69</v>
      </c>
      <c r="R242" s="9" t="str">
        <f t="shared" si="22"/>
        <v>OK</v>
      </c>
      <c r="S242" s="11">
        <v>9.5000000000000001E-2</v>
      </c>
      <c r="T242" s="11" t="str">
        <f t="shared" si="23"/>
        <v>OK</v>
      </c>
      <c r="U242" s="13">
        <v>8</v>
      </c>
    </row>
    <row r="243" spans="1:21" x14ac:dyDescent="0.3">
      <c r="A243" s="7" t="s">
        <v>256</v>
      </c>
      <c r="B243" s="4">
        <v>45871</v>
      </c>
      <c r="C243" s="4">
        <v>45877</v>
      </c>
      <c r="D243" s="4" t="str">
        <f t="shared" si="18"/>
        <v>Valid</v>
      </c>
      <c r="E243" s="4">
        <f t="shared" si="19"/>
        <v>45877</v>
      </c>
      <c r="F243" s="13">
        <f t="shared" si="20"/>
        <v>6</v>
      </c>
      <c r="G243" s="7" t="s">
        <v>647</v>
      </c>
      <c r="H243" s="7" t="s">
        <v>652</v>
      </c>
      <c r="I243" s="7" t="s">
        <v>666</v>
      </c>
      <c r="J243" s="7" t="s">
        <v>704</v>
      </c>
      <c r="K243" s="7" t="s">
        <v>711</v>
      </c>
      <c r="L243" s="7" t="s">
        <v>725</v>
      </c>
      <c r="M243" s="7" t="s">
        <v>731</v>
      </c>
      <c r="N243" s="7" t="s">
        <v>1669</v>
      </c>
      <c r="O243" s="9">
        <v>1225.94</v>
      </c>
      <c r="P243" s="9">
        <v>1793.08</v>
      </c>
      <c r="Q243" s="9">
        <f t="shared" si="21"/>
        <v>1793.08</v>
      </c>
      <c r="R243" s="9" t="str">
        <f t="shared" si="22"/>
        <v>OK</v>
      </c>
      <c r="S243" s="11">
        <v>0.13600000000000001</v>
      </c>
      <c r="T243" s="11" t="str">
        <f t="shared" si="23"/>
        <v>OK</v>
      </c>
      <c r="U243" s="13">
        <v>22</v>
      </c>
    </row>
    <row r="244" spans="1:21" x14ac:dyDescent="0.3">
      <c r="A244" s="7" t="s">
        <v>257</v>
      </c>
      <c r="B244" s="4">
        <v>45630</v>
      </c>
      <c r="C244" s="4">
        <v>45638</v>
      </c>
      <c r="D244" s="4" t="str">
        <f t="shared" si="18"/>
        <v>Valid</v>
      </c>
      <c r="E244" s="4">
        <f t="shared" si="19"/>
        <v>45638</v>
      </c>
      <c r="F244" s="13">
        <f t="shared" si="20"/>
        <v>8</v>
      </c>
      <c r="G244" s="7" t="s">
        <v>649</v>
      </c>
      <c r="H244" s="7" t="s">
        <v>656</v>
      </c>
      <c r="I244" s="7" t="s">
        <v>698</v>
      </c>
      <c r="J244" s="7" t="s">
        <v>706</v>
      </c>
      <c r="K244" s="7" t="s">
        <v>709</v>
      </c>
      <c r="L244" s="7" t="s">
        <v>717</v>
      </c>
      <c r="M244" s="7" t="s">
        <v>728</v>
      </c>
      <c r="N244" s="7" t="s">
        <v>1670</v>
      </c>
      <c r="O244" s="9">
        <v>72.06</v>
      </c>
      <c r="P244" s="9">
        <v>122.74</v>
      </c>
      <c r="Q244" s="9">
        <f t="shared" si="21"/>
        <v>122.74</v>
      </c>
      <c r="R244" s="9" t="str">
        <f t="shared" si="22"/>
        <v>OK</v>
      </c>
      <c r="S244" s="11">
        <v>0.23799999999999999</v>
      </c>
      <c r="T244" s="11" t="str">
        <f t="shared" si="23"/>
        <v>OK</v>
      </c>
      <c r="U244" s="13">
        <v>8</v>
      </c>
    </row>
    <row r="245" spans="1:21" x14ac:dyDescent="0.3">
      <c r="A245" s="7" t="s">
        <v>258</v>
      </c>
      <c r="B245" s="4">
        <v>45035</v>
      </c>
      <c r="C245" s="4">
        <v>45044</v>
      </c>
      <c r="D245" s="4" t="str">
        <f t="shared" si="18"/>
        <v>Valid</v>
      </c>
      <c r="E245" s="4">
        <f t="shared" si="19"/>
        <v>45044</v>
      </c>
      <c r="F245" s="13">
        <f t="shared" si="20"/>
        <v>9</v>
      </c>
      <c r="G245" s="7" t="s">
        <v>648</v>
      </c>
      <c r="H245" s="7" t="s">
        <v>655</v>
      </c>
      <c r="I245" s="7" t="s">
        <v>1426</v>
      </c>
      <c r="J245" s="7" t="s">
        <v>701</v>
      </c>
      <c r="K245" s="7" t="s">
        <v>710</v>
      </c>
      <c r="L245" s="7" t="s">
        <v>724</v>
      </c>
      <c r="M245" s="7" t="s">
        <v>730</v>
      </c>
      <c r="N245" s="7" t="s">
        <v>1671</v>
      </c>
      <c r="O245" s="9">
        <v>1013.54</v>
      </c>
      <c r="P245" s="9">
        <v>927.93</v>
      </c>
      <c r="Q245" s="9">
        <f t="shared" si="21"/>
        <v>927.93</v>
      </c>
      <c r="R245" s="9" t="str">
        <f t="shared" si="22"/>
        <v>OK</v>
      </c>
      <c r="S245" s="11">
        <v>0.17499999999999999</v>
      </c>
      <c r="T245" s="11" t="str">
        <f t="shared" si="23"/>
        <v>OK</v>
      </c>
      <c r="U245" s="13">
        <v>16</v>
      </c>
    </row>
    <row r="246" spans="1:21" x14ac:dyDescent="0.3">
      <c r="A246" s="7" t="s">
        <v>259</v>
      </c>
      <c r="B246" s="4">
        <v>45357</v>
      </c>
      <c r="C246" s="4">
        <v>45377</v>
      </c>
      <c r="D246" s="4" t="str">
        <f t="shared" si="18"/>
        <v>Valid</v>
      </c>
      <c r="E246" s="4">
        <f t="shared" si="19"/>
        <v>45377</v>
      </c>
      <c r="F246" s="13">
        <f t="shared" si="20"/>
        <v>20</v>
      </c>
      <c r="G246" s="7" t="s">
        <v>646</v>
      </c>
      <c r="H246" s="7" t="s">
        <v>651</v>
      </c>
      <c r="I246" s="7" t="s">
        <v>663</v>
      </c>
      <c r="J246" s="7" t="s">
        <v>704</v>
      </c>
      <c r="K246" s="7" t="s">
        <v>709</v>
      </c>
      <c r="L246" s="7" t="s">
        <v>714</v>
      </c>
      <c r="M246" s="7" t="s">
        <v>730</v>
      </c>
      <c r="N246" s="7" t="s">
        <v>1672</v>
      </c>
      <c r="O246" s="9">
        <v>65.64</v>
      </c>
      <c r="P246" s="9">
        <v>151.88</v>
      </c>
      <c r="Q246" s="9">
        <f t="shared" si="21"/>
        <v>151.88</v>
      </c>
      <c r="R246" s="9" t="str">
        <f t="shared" si="22"/>
        <v>OK</v>
      </c>
      <c r="S246" s="11">
        <v>0.16700000000000001</v>
      </c>
      <c r="T246" s="11" t="str">
        <f t="shared" si="23"/>
        <v>OK</v>
      </c>
      <c r="U246" s="13">
        <v>23</v>
      </c>
    </row>
    <row r="247" spans="1:21" x14ac:dyDescent="0.3">
      <c r="A247" s="7" t="s">
        <v>260</v>
      </c>
      <c r="B247" s="4">
        <v>45338</v>
      </c>
      <c r="C247" s="4">
        <v>45355</v>
      </c>
      <c r="D247" s="4" t="str">
        <f t="shared" si="18"/>
        <v>Valid</v>
      </c>
      <c r="E247" s="4">
        <f t="shared" si="19"/>
        <v>45355</v>
      </c>
      <c r="F247" s="13">
        <f t="shared" si="20"/>
        <v>17</v>
      </c>
      <c r="G247" s="7" t="s">
        <v>648</v>
      </c>
      <c r="H247" s="7" t="s">
        <v>653</v>
      </c>
      <c r="I247" s="7" t="s">
        <v>681</v>
      </c>
      <c r="J247" s="7" t="s">
        <v>703</v>
      </c>
      <c r="K247" s="7" t="s">
        <v>707</v>
      </c>
      <c r="L247" s="7" t="s">
        <v>726</v>
      </c>
      <c r="M247" s="7" t="s">
        <v>731</v>
      </c>
      <c r="N247" s="7" t="s">
        <v>1673</v>
      </c>
      <c r="O247" s="9">
        <v>1350.98</v>
      </c>
      <c r="P247" s="9">
        <v>2210.4</v>
      </c>
      <c r="Q247" s="9">
        <f t="shared" si="21"/>
        <v>2210.4</v>
      </c>
      <c r="R247" s="9" t="str">
        <f t="shared" si="22"/>
        <v>OK</v>
      </c>
      <c r="S247" s="11">
        <v>0.26300000000000001</v>
      </c>
      <c r="T247" s="11" t="str">
        <f t="shared" si="23"/>
        <v>OK</v>
      </c>
      <c r="U247" s="13">
        <v>6</v>
      </c>
    </row>
    <row r="248" spans="1:21" x14ac:dyDescent="0.3">
      <c r="A248" s="7" t="s">
        <v>261</v>
      </c>
      <c r="B248" s="4">
        <v>45769</v>
      </c>
      <c r="C248" s="4">
        <v>45779</v>
      </c>
      <c r="D248" s="4" t="str">
        <f t="shared" si="18"/>
        <v>Valid</v>
      </c>
      <c r="E248" s="4">
        <f t="shared" si="19"/>
        <v>45779</v>
      </c>
      <c r="F248" s="13">
        <f t="shared" si="20"/>
        <v>10</v>
      </c>
      <c r="G248" s="7" t="s">
        <v>649</v>
      </c>
      <c r="H248" s="7" t="s">
        <v>656</v>
      </c>
      <c r="I248" s="7" t="s">
        <v>671</v>
      </c>
      <c r="J248" s="7" t="s">
        <v>701</v>
      </c>
      <c r="K248" s="7" t="s">
        <v>709</v>
      </c>
      <c r="L248" s="7" t="s">
        <v>712</v>
      </c>
      <c r="M248" s="7" t="s">
        <v>732</v>
      </c>
      <c r="N248" s="7" t="s">
        <v>1674</v>
      </c>
      <c r="O248" s="9">
        <v>20.149999999999999</v>
      </c>
      <c r="P248" s="9">
        <v>39.74</v>
      </c>
      <c r="Q248" s="9">
        <f t="shared" si="21"/>
        <v>39.74</v>
      </c>
      <c r="R248" s="9" t="str">
        <f t="shared" si="22"/>
        <v>OK</v>
      </c>
      <c r="S248" s="11">
        <v>0.151</v>
      </c>
      <c r="T248" s="11" t="str">
        <f t="shared" si="23"/>
        <v>OK</v>
      </c>
      <c r="U248" s="13">
        <v>18</v>
      </c>
    </row>
    <row r="249" spans="1:21" x14ac:dyDescent="0.3">
      <c r="A249" s="7" t="s">
        <v>262</v>
      </c>
      <c r="B249" s="4">
        <v>45604</v>
      </c>
      <c r="C249" s="4">
        <v>45604</v>
      </c>
      <c r="D249" s="4" t="str">
        <f t="shared" si="18"/>
        <v>Valid</v>
      </c>
      <c r="E249" s="4">
        <f t="shared" si="19"/>
        <v>45604</v>
      </c>
      <c r="F249" s="13">
        <f t="shared" si="20"/>
        <v>0</v>
      </c>
      <c r="G249" s="7" t="s">
        <v>646</v>
      </c>
      <c r="H249" s="7" t="s">
        <v>650</v>
      </c>
      <c r="I249" s="7" t="s">
        <v>678</v>
      </c>
      <c r="J249" s="7" t="s">
        <v>706</v>
      </c>
      <c r="K249" s="7" t="s">
        <v>709</v>
      </c>
      <c r="L249" s="7" t="s">
        <v>724</v>
      </c>
      <c r="M249" s="7" t="s">
        <v>729</v>
      </c>
      <c r="N249" s="7" t="s">
        <v>1675</v>
      </c>
      <c r="O249" s="9">
        <v>803.28</v>
      </c>
      <c r="P249" s="9">
        <v>1009</v>
      </c>
      <c r="Q249" s="9">
        <f t="shared" si="21"/>
        <v>1009</v>
      </c>
      <c r="R249" s="9" t="str">
        <f t="shared" si="22"/>
        <v>OK</v>
      </c>
      <c r="S249" s="11">
        <v>0.11</v>
      </c>
      <c r="T249" s="11" t="str">
        <f t="shared" si="23"/>
        <v>OK</v>
      </c>
      <c r="U249" s="13">
        <v>4</v>
      </c>
    </row>
    <row r="250" spans="1:21" x14ac:dyDescent="0.3">
      <c r="A250" s="7" t="s">
        <v>263</v>
      </c>
      <c r="B250" s="4">
        <v>45912</v>
      </c>
      <c r="C250" s="4">
        <v>45930</v>
      </c>
      <c r="D250" s="4" t="str">
        <f t="shared" si="18"/>
        <v>Valid</v>
      </c>
      <c r="E250" s="4">
        <f t="shared" si="19"/>
        <v>45930</v>
      </c>
      <c r="F250" s="13">
        <f t="shared" si="20"/>
        <v>18</v>
      </c>
      <c r="G250" s="7" t="s">
        <v>647</v>
      </c>
      <c r="H250" s="7" t="s">
        <v>652</v>
      </c>
      <c r="I250" s="7" t="s">
        <v>694</v>
      </c>
      <c r="J250" s="7" t="s">
        <v>703</v>
      </c>
      <c r="K250" s="7" t="s">
        <v>709</v>
      </c>
      <c r="L250" s="7" t="s">
        <v>721</v>
      </c>
      <c r="M250" s="7" t="s">
        <v>732</v>
      </c>
      <c r="N250" s="7" t="s">
        <v>1676</v>
      </c>
      <c r="O250" s="9">
        <v>1212.99</v>
      </c>
      <c r="P250" s="9">
        <v>1653.64</v>
      </c>
      <c r="Q250" s="9">
        <f t="shared" si="21"/>
        <v>1653.64</v>
      </c>
      <c r="R250" s="9" t="str">
        <f t="shared" si="22"/>
        <v>OK</v>
      </c>
      <c r="S250" s="11">
        <v>0.107</v>
      </c>
      <c r="T250" s="11" t="str">
        <f t="shared" si="23"/>
        <v>OK</v>
      </c>
      <c r="U250" s="13">
        <v>8</v>
      </c>
    </row>
    <row r="251" spans="1:21" x14ac:dyDescent="0.3">
      <c r="A251" s="7" t="s">
        <v>264</v>
      </c>
      <c r="B251" s="4">
        <v>45537</v>
      </c>
      <c r="C251" s="4">
        <v>45543</v>
      </c>
      <c r="D251" s="4" t="str">
        <f t="shared" si="18"/>
        <v>Valid</v>
      </c>
      <c r="E251" s="4">
        <f t="shared" si="19"/>
        <v>45543</v>
      </c>
      <c r="F251" s="13">
        <f t="shared" si="20"/>
        <v>6</v>
      </c>
      <c r="G251" s="7" t="s">
        <v>648</v>
      </c>
      <c r="H251" s="7" t="s">
        <v>1425</v>
      </c>
      <c r="I251" s="7" t="s">
        <v>697</v>
      </c>
      <c r="J251" s="7" t="s">
        <v>704</v>
      </c>
      <c r="K251" s="7" t="s">
        <v>711</v>
      </c>
      <c r="L251" s="7" t="s">
        <v>722</v>
      </c>
      <c r="M251" s="7" t="s">
        <v>727</v>
      </c>
      <c r="N251" s="7" t="s">
        <v>1677</v>
      </c>
      <c r="O251" s="9">
        <v>462.94</v>
      </c>
      <c r="P251" s="9">
        <v>1015.7</v>
      </c>
      <c r="Q251" s="9">
        <f t="shared" si="21"/>
        <v>1015.7</v>
      </c>
      <c r="R251" s="9" t="str">
        <f t="shared" si="22"/>
        <v>OK</v>
      </c>
      <c r="S251" s="11">
        <v>0.14299999999999999</v>
      </c>
      <c r="T251" s="11" t="str">
        <f t="shared" si="23"/>
        <v>OK</v>
      </c>
      <c r="U251" s="13">
        <v>14</v>
      </c>
    </row>
    <row r="252" spans="1:21" x14ac:dyDescent="0.3">
      <c r="A252" s="7" t="s">
        <v>265</v>
      </c>
      <c r="B252" s="4">
        <v>44989</v>
      </c>
      <c r="C252" s="4">
        <v>45009</v>
      </c>
      <c r="D252" s="4" t="str">
        <f t="shared" si="18"/>
        <v>Valid</v>
      </c>
      <c r="E252" s="4">
        <f t="shared" si="19"/>
        <v>45009</v>
      </c>
      <c r="F252" s="13">
        <f t="shared" si="20"/>
        <v>20</v>
      </c>
      <c r="G252" s="7" t="s">
        <v>648</v>
      </c>
      <c r="H252" s="7" t="s">
        <v>653</v>
      </c>
      <c r="I252" s="7" t="s">
        <v>681</v>
      </c>
      <c r="J252" s="7" t="s">
        <v>704</v>
      </c>
      <c r="K252" s="7" t="s">
        <v>710</v>
      </c>
      <c r="L252" s="7" t="s">
        <v>714</v>
      </c>
      <c r="M252" s="7" t="s">
        <v>731</v>
      </c>
      <c r="N252" s="7" t="s">
        <v>1678</v>
      </c>
      <c r="O252" s="9">
        <v>481.71</v>
      </c>
      <c r="P252" s="9">
        <v>912.45</v>
      </c>
      <c r="Q252" s="9">
        <f t="shared" si="21"/>
        <v>912.45</v>
      </c>
      <c r="R252" s="9" t="str">
        <f t="shared" si="22"/>
        <v>OK</v>
      </c>
      <c r="S252" s="11">
        <v>0.20300000000000001</v>
      </c>
      <c r="T252" s="11" t="str">
        <f t="shared" si="23"/>
        <v>OK</v>
      </c>
      <c r="U252" s="13">
        <v>24</v>
      </c>
    </row>
    <row r="253" spans="1:21" x14ac:dyDescent="0.3">
      <c r="A253" s="7" t="s">
        <v>266</v>
      </c>
      <c r="B253" s="4">
        <v>45366</v>
      </c>
      <c r="C253" s="4">
        <v>45391</v>
      </c>
      <c r="D253" s="4" t="str">
        <f t="shared" si="18"/>
        <v>Valid</v>
      </c>
      <c r="E253" s="4">
        <f t="shared" si="19"/>
        <v>45391</v>
      </c>
      <c r="F253" s="13">
        <f t="shared" si="20"/>
        <v>25</v>
      </c>
      <c r="G253" s="7" t="s">
        <v>648</v>
      </c>
      <c r="H253" s="7" t="s">
        <v>653</v>
      </c>
      <c r="I253" s="7" t="s">
        <v>688</v>
      </c>
      <c r="J253" s="7" t="s">
        <v>704</v>
      </c>
      <c r="K253" s="7" t="s">
        <v>708</v>
      </c>
      <c r="L253" s="7" t="s">
        <v>721</v>
      </c>
      <c r="M253" s="7" t="s">
        <v>732</v>
      </c>
      <c r="N253" s="7" t="s">
        <v>1679</v>
      </c>
      <c r="O253" s="9">
        <v>648.64</v>
      </c>
      <c r="P253" s="9">
        <v>815.19</v>
      </c>
      <c r="Q253" s="9">
        <f t="shared" si="21"/>
        <v>815.19</v>
      </c>
      <c r="R253" s="9" t="str">
        <f t="shared" si="22"/>
        <v>OK</v>
      </c>
      <c r="S253" s="11">
        <v>0.22500000000000001</v>
      </c>
      <c r="T253" s="11" t="str">
        <f t="shared" si="23"/>
        <v>OK</v>
      </c>
      <c r="U253" s="13">
        <v>28</v>
      </c>
    </row>
    <row r="254" spans="1:21" x14ac:dyDescent="0.3">
      <c r="A254" s="7" t="s">
        <v>267</v>
      </c>
      <c r="B254" s="4">
        <v>45502</v>
      </c>
      <c r="C254" s="4">
        <v>45504</v>
      </c>
      <c r="D254" s="4" t="str">
        <f t="shared" si="18"/>
        <v>Valid</v>
      </c>
      <c r="E254" s="4">
        <f t="shared" si="19"/>
        <v>45504</v>
      </c>
      <c r="F254" s="13">
        <f t="shared" si="20"/>
        <v>2</v>
      </c>
      <c r="G254" s="7" t="s">
        <v>648</v>
      </c>
      <c r="H254" s="7" t="s">
        <v>1425</v>
      </c>
      <c r="I254" s="7" t="s">
        <v>700</v>
      </c>
      <c r="J254" s="7" t="s">
        <v>702</v>
      </c>
      <c r="K254" s="7" t="s">
        <v>709</v>
      </c>
      <c r="L254" s="7" t="s">
        <v>714</v>
      </c>
      <c r="M254" s="7" t="s">
        <v>728</v>
      </c>
      <c r="N254" s="7" t="s">
        <v>1680</v>
      </c>
      <c r="O254" s="9">
        <v>798.97</v>
      </c>
      <c r="P254" s="9">
        <v>1814.06</v>
      </c>
      <c r="Q254" s="9">
        <f t="shared" si="21"/>
        <v>1814.06</v>
      </c>
      <c r="R254" s="9" t="str">
        <f t="shared" si="22"/>
        <v>OK</v>
      </c>
      <c r="S254" s="11">
        <v>0.122</v>
      </c>
      <c r="T254" s="11" t="str">
        <f t="shared" si="23"/>
        <v>OK</v>
      </c>
      <c r="U254" s="13">
        <v>16</v>
      </c>
    </row>
    <row r="255" spans="1:21" x14ac:dyDescent="0.3">
      <c r="A255" s="7" t="s">
        <v>268</v>
      </c>
      <c r="B255" s="4">
        <v>45592</v>
      </c>
      <c r="C255" s="4">
        <v>45616</v>
      </c>
      <c r="D255" s="4" t="str">
        <f t="shared" si="18"/>
        <v>Valid</v>
      </c>
      <c r="E255" s="4">
        <f t="shared" si="19"/>
        <v>45616</v>
      </c>
      <c r="F255" s="13">
        <f t="shared" si="20"/>
        <v>24</v>
      </c>
      <c r="G255" s="7" t="s">
        <v>647</v>
      </c>
      <c r="H255" s="7" t="s">
        <v>652</v>
      </c>
      <c r="I255" s="7" t="s">
        <v>694</v>
      </c>
      <c r="J255" s="7" t="s">
        <v>703</v>
      </c>
      <c r="K255" s="7" t="s">
        <v>708</v>
      </c>
      <c r="L255" s="7" t="s">
        <v>722</v>
      </c>
      <c r="M255" s="7" t="s">
        <v>732</v>
      </c>
      <c r="N255" s="7" t="s">
        <v>1681</v>
      </c>
      <c r="O255" s="9">
        <v>317.25</v>
      </c>
      <c r="P255" s="9">
        <v>758.92</v>
      </c>
      <c r="Q255" s="9">
        <f t="shared" si="21"/>
        <v>758.92</v>
      </c>
      <c r="R255" s="9" t="str">
        <f t="shared" si="22"/>
        <v>OK</v>
      </c>
      <c r="S255" s="11">
        <v>5.2999999999999999E-2</v>
      </c>
      <c r="T255" s="11" t="str">
        <f t="shared" si="23"/>
        <v>OK</v>
      </c>
      <c r="U255" s="13">
        <v>9</v>
      </c>
    </row>
    <row r="256" spans="1:21" x14ac:dyDescent="0.3">
      <c r="A256" s="7" t="s">
        <v>269</v>
      </c>
      <c r="B256" s="4">
        <v>45411</v>
      </c>
      <c r="C256" s="4">
        <v>45431</v>
      </c>
      <c r="D256" s="4" t="str">
        <f t="shared" si="18"/>
        <v>Valid</v>
      </c>
      <c r="E256" s="4">
        <f t="shared" si="19"/>
        <v>45431</v>
      </c>
      <c r="F256" s="13">
        <f t="shared" si="20"/>
        <v>20</v>
      </c>
      <c r="G256" s="7" t="s">
        <v>649</v>
      </c>
      <c r="H256" s="7" t="s">
        <v>656</v>
      </c>
      <c r="I256" s="7" t="s">
        <v>698</v>
      </c>
      <c r="J256" s="7" t="s">
        <v>706</v>
      </c>
      <c r="K256" s="7" t="s">
        <v>709</v>
      </c>
      <c r="L256" s="7" t="s">
        <v>712</v>
      </c>
      <c r="M256" s="7" t="s">
        <v>731</v>
      </c>
      <c r="N256" s="7" t="s">
        <v>1682</v>
      </c>
      <c r="O256" s="9">
        <v>668.97</v>
      </c>
      <c r="P256" s="9">
        <v>1667.44</v>
      </c>
      <c r="Q256" s="9">
        <f t="shared" si="21"/>
        <v>1667.44</v>
      </c>
      <c r="R256" s="9" t="str">
        <f t="shared" si="22"/>
        <v>OK</v>
      </c>
      <c r="S256" s="11">
        <v>3.4000000000000002E-2</v>
      </c>
      <c r="T256" s="11" t="str">
        <f t="shared" si="23"/>
        <v>OK</v>
      </c>
      <c r="U256" s="13">
        <v>15</v>
      </c>
    </row>
    <row r="257" spans="1:21" x14ac:dyDescent="0.3">
      <c r="A257" s="7" t="s">
        <v>270</v>
      </c>
      <c r="B257" s="4">
        <v>45204</v>
      </c>
      <c r="C257" s="4">
        <v>45205</v>
      </c>
      <c r="D257" s="4" t="str">
        <f t="shared" si="18"/>
        <v>Valid</v>
      </c>
      <c r="E257" s="4">
        <f t="shared" si="19"/>
        <v>45205</v>
      </c>
      <c r="F257" s="13">
        <f t="shared" si="20"/>
        <v>1</v>
      </c>
      <c r="G257" s="7" t="s">
        <v>647</v>
      </c>
      <c r="H257" s="7" t="s">
        <v>654</v>
      </c>
      <c r="I257" s="7" t="s">
        <v>668</v>
      </c>
      <c r="J257" s="7" t="s">
        <v>703</v>
      </c>
      <c r="K257" s="7" t="s">
        <v>708</v>
      </c>
      <c r="L257" s="7" t="s">
        <v>714</v>
      </c>
      <c r="M257" s="7" t="s">
        <v>727</v>
      </c>
      <c r="N257" s="7" t="s">
        <v>1683</v>
      </c>
      <c r="O257" s="9">
        <v>1470.26</v>
      </c>
      <c r="P257" s="9">
        <v>2562.5500000000002</v>
      </c>
      <c r="Q257" s="9">
        <f t="shared" si="21"/>
        <v>2562.5500000000002</v>
      </c>
      <c r="R257" s="9" t="str">
        <f t="shared" si="22"/>
        <v>OK</v>
      </c>
      <c r="S257" s="11">
        <v>0.17299999999999999</v>
      </c>
      <c r="T257" s="11" t="str">
        <f t="shared" si="23"/>
        <v>OK</v>
      </c>
      <c r="U257" s="13">
        <v>9</v>
      </c>
    </row>
    <row r="258" spans="1:21" x14ac:dyDescent="0.3">
      <c r="A258" s="7" t="s">
        <v>271</v>
      </c>
      <c r="B258" s="4">
        <v>45035</v>
      </c>
      <c r="C258" s="4">
        <v>45053</v>
      </c>
      <c r="D258" s="4" t="str">
        <f t="shared" si="18"/>
        <v>Valid</v>
      </c>
      <c r="E258" s="4">
        <f t="shared" si="19"/>
        <v>45053</v>
      </c>
      <c r="F258" s="13">
        <f t="shared" si="20"/>
        <v>18</v>
      </c>
      <c r="G258" s="7" t="s">
        <v>649</v>
      </c>
      <c r="H258" s="7" t="s">
        <v>658</v>
      </c>
      <c r="I258" s="7" t="s">
        <v>683</v>
      </c>
      <c r="J258" s="7" t="s">
        <v>703</v>
      </c>
      <c r="K258" s="7" t="s">
        <v>711</v>
      </c>
      <c r="L258" s="7" t="s">
        <v>722</v>
      </c>
      <c r="M258" s="7" t="s">
        <v>729</v>
      </c>
      <c r="N258" s="7" t="s">
        <v>1684</v>
      </c>
      <c r="O258" s="9">
        <v>516.96</v>
      </c>
      <c r="P258" s="9">
        <v>745.38</v>
      </c>
      <c r="Q258" s="9">
        <f t="shared" si="21"/>
        <v>745.38</v>
      </c>
      <c r="R258" s="9" t="str">
        <f t="shared" si="22"/>
        <v>OK</v>
      </c>
      <c r="S258" s="11">
        <v>0.19700000000000001</v>
      </c>
      <c r="T258" s="11" t="str">
        <f t="shared" si="23"/>
        <v>OK</v>
      </c>
      <c r="U258" s="13">
        <v>4</v>
      </c>
    </row>
    <row r="259" spans="1:21" x14ac:dyDescent="0.3">
      <c r="A259" s="7" t="s">
        <v>272</v>
      </c>
      <c r="B259" s="4">
        <v>45835</v>
      </c>
      <c r="C259" s="4">
        <v>45843</v>
      </c>
      <c r="D259" s="4" t="str">
        <f t="shared" ref="D259:D322" si="24">IF(C259&lt;B259,"Invalid","Valid")</f>
        <v>Valid</v>
      </c>
      <c r="E259" s="4">
        <f t="shared" ref="E259:E322" si="25">IF(C259&lt;B259,B259,C259)</f>
        <v>45843</v>
      </c>
      <c r="F259" s="13">
        <f t="shared" ref="F259:F322" si="26">E259-B259</f>
        <v>8</v>
      </c>
      <c r="G259" s="7" t="s">
        <v>649</v>
      </c>
      <c r="H259" s="7" t="s">
        <v>656</v>
      </c>
      <c r="I259" s="7" t="s">
        <v>684</v>
      </c>
      <c r="J259" s="7" t="s">
        <v>705</v>
      </c>
      <c r="K259" s="7" t="s">
        <v>711</v>
      </c>
      <c r="L259" s="7" t="s">
        <v>715</v>
      </c>
      <c r="M259" s="7" t="s">
        <v>732</v>
      </c>
      <c r="N259" s="7" t="s">
        <v>1685</v>
      </c>
      <c r="O259" s="9">
        <v>314.93</v>
      </c>
      <c r="P259" s="9">
        <v>687.95</v>
      </c>
      <c r="Q259" s="9">
        <f t="shared" ref="Q259:Q322" si="27">ABS(P259)</f>
        <v>687.95</v>
      </c>
      <c r="R259" s="9" t="str">
        <f t="shared" ref="R259:R322" si="28">IF(P259&lt;=0,"FLAG","OK")</f>
        <v>OK</v>
      </c>
      <c r="S259" s="11">
        <v>0.20499999999999999</v>
      </c>
      <c r="T259" s="11" t="str">
        <f t="shared" ref="T259:T322" si="29">IF(S259&gt;30%,"FLAG","OK")</f>
        <v>OK</v>
      </c>
      <c r="U259" s="13">
        <v>8</v>
      </c>
    </row>
    <row r="260" spans="1:21" x14ac:dyDescent="0.3">
      <c r="A260" s="7" t="s">
        <v>273</v>
      </c>
      <c r="B260" s="4">
        <v>45210</v>
      </c>
      <c r="C260" s="4">
        <v>45212</v>
      </c>
      <c r="D260" s="4" t="str">
        <f t="shared" si="24"/>
        <v>Valid</v>
      </c>
      <c r="E260" s="4">
        <f t="shared" si="25"/>
        <v>45212</v>
      </c>
      <c r="F260" s="13">
        <f t="shared" si="26"/>
        <v>2</v>
      </c>
      <c r="G260" s="7" t="s">
        <v>648</v>
      </c>
      <c r="H260" s="7" t="s">
        <v>655</v>
      </c>
      <c r="I260" s="7" t="s">
        <v>672</v>
      </c>
      <c r="J260" s="7" t="s">
        <v>704</v>
      </c>
      <c r="K260" s="7" t="s">
        <v>710</v>
      </c>
      <c r="L260" s="7" t="s">
        <v>2057</v>
      </c>
      <c r="M260" s="7" t="s">
        <v>733</v>
      </c>
      <c r="N260" s="7" t="s">
        <v>1686</v>
      </c>
      <c r="O260" s="9">
        <v>715.94</v>
      </c>
      <c r="P260" s="9">
        <v>550.07000000000005</v>
      </c>
      <c r="Q260" s="9">
        <f t="shared" si="27"/>
        <v>550.07000000000005</v>
      </c>
      <c r="R260" s="9" t="str">
        <f t="shared" si="28"/>
        <v>OK</v>
      </c>
      <c r="S260" s="11">
        <v>0.14000000000000001</v>
      </c>
      <c r="T260" s="11" t="str">
        <f t="shared" si="29"/>
        <v>OK</v>
      </c>
      <c r="U260" s="13">
        <v>16</v>
      </c>
    </row>
    <row r="261" spans="1:21" x14ac:dyDescent="0.3">
      <c r="A261" s="7" t="s">
        <v>274</v>
      </c>
      <c r="B261" s="4">
        <v>45066</v>
      </c>
      <c r="C261" s="4">
        <v>45084</v>
      </c>
      <c r="D261" s="4" t="str">
        <f t="shared" si="24"/>
        <v>Valid</v>
      </c>
      <c r="E261" s="4">
        <f t="shared" si="25"/>
        <v>45084</v>
      </c>
      <c r="F261" s="13">
        <f t="shared" si="26"/>
        <v>18</v>
      </c>
      <c r="G261" s="7" t="s">
        <v>646</v>
      </c>
      <c r="H261" s="7" t="s">
        <v>651</v>
      </c>
      <c r="I261" s="7" t="s">
        <v>663</v>
      </c>
      <c r="J261" s="7" t="s">
        <v>706</v>
      </c>
      <c r="K261" s="7" t="s">
        <v>710</v>
      </c>
      <c r="L261" s="7" t="s">
        <v>718</v>
      </c>
      <c r="M261" s="7" t="s">
        <v>727</v>
      </c>
      <c r="N261" s="7" t="s">
        <v>1687</v>
      </c>
      <c r="O261" s="9">
        <v>1120.06</v>
      </c>
      <c r="P261" s="9">
        <v>2068.21</v>
      </c>
      <c r="Q261" s="9">
        <f t="shared" si="27"/>
        <v>2068.21</v>
      </c>
      <c r="R261" s="9" t="str">
        <f t="shared" si="28"/>
        <v>OK</v>
      </c>
      <c r="S261" s="11">
        <v>7.8E-2</v>
      </c>
      <c r="T261" s="11" t="str">
        <f t="shared" si="29"/>
        <v>OK</v>
      </c>
      <c r="U261" s="13">
        <v>12</v>
      </c>
    </row>
    <row r="262" spans="1:21" x14ac:dyDescent="0.3">
      <c r="A262" s="7" t="s">
        <v>275</v>
      </c>
      <c r="B262" s="4">
        <v>45073</v>
      </c>
      <c r="C262" s="4">
        <v>45096</v>
      </c>
      <c r="D262" s="4" t="str">
        <f t="shared" si="24"/>
        <v>Valid</v>
      </c>
      <c r="E262" s="4">
        <f t="shared" si="25"/>
        <v>45096</v>
      </c>
      <c r="F262" s="13">
        <f t="shared" si="26"/>
        <v>23</v>
      </c>
      <c r="G262" s="7" t="s">
        <v>649</v>
      </c>
      <c r="H262" s="7" t="s">
        <v>656</v>
      </c>
      <c r="I262" s="7" t="s">
        <v>671</v>
      </c>
      <c r="J262" s="7" t="s">
        <v>702</v>
      </c>
      <c r="K262" s="7" t="s">
        <v>707</v>
      </c>
      <c r="L262" s="7" t="s">
        <v>719</v>
      </c>
      <c r="M262" s="7" t="s">
        <v>733</v>
      </c>
      <c r="N262" s="7" t="s">
        <v>1688</v>
      </c>
      <c r="O262" s="9">
        <v>1471.58</v>
      </c>
      <c r="P262" s="9">
        <v>2576.65</v>
      </c>
      <c r="Q262" s="9">
        <f t="shared" si="27"/>
        <v>2576.65</v>
      </c>
      <c r="R262" s="9" t="str">
        <f t="shared" si="28"/>
        <v>OK</v>
      </c>
      <c r="S262" s="11">
        <v>4.0000000000000001E-3</v>
      </c>
      <c r="T262" s="11" t="str">
        <f t="shared" si="29"/>
        <v>OK</v>
      </c>
      <c r="U262" s="13">
        <v>7</v>
      </c>
    </row>
    <row r="263" spans="1:21" x14ac:dyDescent="0.3">
      <c r="A263" s="7" t="s">
        <v>276</v>
      </c>
      <c r="B263" s="4">
        <v>45142</v>
      </c>
      <c r="C263" s="4">
        <v>45162</v>
      </c>
      <c r="D263" s="4" t="str">
        <f t="shared" si="24"/>
        <v>Valid</v>
      </c>
      <c r="E263" s="4">
        <f t="shared" si="25"/>
        <v>45162</v>
      </c>
      <c r="F263" s="13">
        <f t="shared" si="26"/>
        <v>20</v>
      </c>
      <c r="G263" s="7" t="s">
        <v>648</v>
      </c>
      <c r="H263" s="7" t="s">
        <v>655</v>
      </c>
      <c r="I263" s="7" t="s">
        <v>672</v>
      </c>
      <c r="J263" s="7" t="s">
        <v>703</v>
      </c>
      <c r="K263" s="7" t="s">
        <v>711</v>
      </c>
      <c r="L263" s="7" t="s">
        <v>2057</v>
      </c>
      <c r="M263" s="7" t="s">
        <v>729</v>
      </c>
      <c r="N263" s="7" t="s">
        <v>1689</v>
      </c>
      <c r="O263" s="9">
        <v>582.88</v>
      </c>
      <c r="P263" s="9">
        <v>1044.1400000000001</v>
      </c>
      <c r="Q263" s="9">
        <f t="shared" si="27"/>
        <v>1044.1400000000001</v>
      </c>
      <c r="R263" s="9" t="str">
        <f t="shared" si="28"/>
        <v>OK</v>
      </c>
      <c r="S263" s="11">
        <v>0.216</v>
      </c>
      <c r="T263" s="11" t="str">
        <f t="shared" si="29"/>
        <v>OK</v>
      </c>
      <c r="U263" s="13">
        <v>10</v>
      </c>
    </row>
    <row r="264" spans="1:21" x14ac:dyDescent="0.3">
      <c r="A264" s="7" t="s">
        <v>277</v>
      </c>
      <c r="B264" s="4">
        <v>45829</v>
      </c>
      <c r="C264" s="4">
        <v>45835</v>
      </c>
      <c r="D264" s="4" t="str">
        <f t="shared" si="24"/>
        <v>Valid</v>
      </c>
      <c r="E264" s="4">
        <f t="shared" si="25"/>
        <v>45835</v>
      </c>
      <c r="F264" s="13">
        <f t="shared" si="26"/>
        <v>6</v>
      </c>
      <c r="G264" s="7" t="s">
        <v>646</v>
      </c>
      <c r="H264" s="7" t="s">
        <v>661</v>
      </c>
      <c r="I264" s="7" t="s">
        <v>687</v>
      </c>
      <c r="J264" s="7" t="s">
        <v>706</v>
      </c>
      <c r="K264" s="7" t="s">
        <v>710</v>
      </c>
      <c r="L264" s="7" t="s">
        <v>725</v>
      </c>
      <c r="M264" s="7" t="s">
        <v>730</v>
      </c>
      <c r="N264" s="7" t="s">
        <v>1690</v>
      </c>
      <c r="O264" s="9">
        <v>93.91</v>
      </c>
      <c r="P264" s="9">
        <v>99.04</v>
      </c>
      <c r="Q264" s="9">
        <f t="shared" si="27"/>
        <v>99.04</v>
      </c>
      <c r="R264" s="9" t="str">
        <f t="shared" si="28"/>
        <v>OK</v>
      </c>
      <c r="S264" s="11">
        <v>5.7000000000000002E-2</v>
      </c>
      <c r="T264" s="11" t="str">
        <f t="shared" si="29"/>
        <v>OK</v>
      </c>
      <c r="U264" s="13">
        <v>6</v>
      </c>
    </row>
    <row r="265" spans="1:21" x14ac:dyDescent="0.3">
      <c r="A265" s="7" t="s">
        <v>278</v>
      </c>
      <c r="B265" s="4">
        <v>45763</v>
      </c>
      <c r="C265" s="4">
        <v>45773</v>
      </c>
      <c r="D265" s="4" t="str">
        <f t="shared" si="24"/>
        <v>Valid</v>
      </c>
      <c r="E265" s="4">
        <f t="shared" si="25"/>
        <v>45773</v>
      </c>
      <c r="F265" s="13">
        <f t="shared" si="26"/>
        <v>10</v>
      </c>
      <c r="G265" s="7" t="s">
        <v>646</v>
      </c>
      <c r="H265" s="7" t="s">
        <v>651</v>
      </c>
      <c r="I265" s="7" t="s">
        <v>663</v>
      </c>
      <c r="J265" s="7" t="s">
        <v>706</v>
      </c>
      <c r="K265" s="7" t="s">
        <v>709</v>
      </c>
      <c r="L265" s="7" t="s">
        <v>721</v>
      </c>
      <c r="M265" s="7" t="s">
        <v>731</v>
      </c>
      <c r="N265" s="7" t="s">
        <v>1691</v>
      </c>
      <c r="O265" s="9">
        <v>1457.44</v>
      </c>
      <c r="P265" s="9">
        <v>1996.81</v>
      </c>
      <c r="Q265" s="9">
        <f t="shared" si="27"/>
        <v>1996.81</v>
      </c>
      <c r="R265" s="9" t="str">
        <f t="shared" si="28"/>
        <v>OK</v>
      </c>
      <c r="S265" s="11">
        <v>0.126</v>
      </c>
      <c r="T265" s="11" t="str">
        <f t="shared" si="29"/>
        <v>OK</v>
      </c>
      <c r="U265" s="13">
        <v>23</v>
      </c>
    </row>
    <row r="266" spans="1:21" x14ac:dyDescent="0.3">
      <c r="A266" s="7" t="s">
        <v>279</v>
      </c>
      <c r="B266" s="4">
        <v>45902</v>
      </c>
      <c r="C266" s="4">
        <v>45911</v>
      </c>
      <c r="D266" s="4" t="str">
        <f t="shared" si="24"/>
        <v>Valid</v>
      </c>
      <c r="E266" s="4">
        <f t="shared" si="25"/>
        <v>45911</v>
      </c>
      <c r="F266" s="13">
        <f t="shared" si="26"/>
        <v>9</v>
      </c>
      <c r="G266" s="7" t="s">
        <v>648</v>
      </c>
      <c r="H266" s="7" t="s">
        <v>653</v>
      </c>
      <c r="I266" s="7" t="s">
        <v>667</v>
      </c>
      <c r="J266" s="7" t="s">
        <v>701</v>
      </c>
      <c r="K266" s="7" t="s">
        <v>710</v>
      </c>
      <c r="L266" s="7" t="s">
        <v>724</v>
      </c>
      <c r="M266" s="7" t="s">
        <v>728</v>
      </c>
      <c r="N266" s="7" t="s">
        <v>1692</v>
      </c>
      <c r="O266" s="9">
        <v>1207.6300000000001</v>
      </c>
      <c r="P266" s="9">
        <v>921.68</v>
      </c>
      <c r="Q266" s="9">
        <f t="shared" si="27"/>
        <v>921.68</v>
      </c>
      <c r="R266" s="9" t="str">
        <f t="shared" si="28"/>
        <v>OK</v>
      </c>
      <c r="S266" s="11">
        <v>0.19600000000000001</v>
      </c>
      <c r="T266" s="11" t="str">
        <f t="shared" si="29"/>
        <v>OK</v>
      </c>
      <c r="U266" s="13">
        <v>17</v>
      </c>
    </row>
    <row r="267" spans="1:21" x14ac:dyDescent="0.3">
      <c r="A267" s="7" t="s">
        <v>280</v>
      </c>
      <c r="B267" s="4">
        <v>45573</v>
      </c>
      <c r="C267" s="4">
        <v>45573</v>
      </c>
      <c r="D267" s="4" t="str">
        <f t="shared" si="24"/>
        <v>Valid</v>
      </c>
      <c r="E267" s="4">
        <f t="shared" si="25"/>
        <v>45573</v>
      </c>
      <c r="F267" s="13">
        <f t="shared" si="26"/>
        <v>0</v>
      </c>
      <c r="G267" s="7" t="s">
        <v>649</v>
      </c>
      <c r="H267" s="7" t="s">
        <v>658</v>
      </c>
      <c r="I267" s="7" t="s">
        <v>683</v>
      </c>
      <c r="J267" s="7" t="s">
        <v>701</v>
      </c>
      <c r="K267" s="7" t="s">
        <v>708</v>
      </c>
      <c r="L267" s="7" t="s">
        <v>718</v>
      </c>
      <c r="M267" s="7" t="s">
        <v>732</v>
      </c>
      <c r="N267" s="7" t="s">
        <v>1693</v>
      </c>
      <c r="O267" s="9">
        <v>1108.1099999999999</v>
      </c>
      <c r="P267" s="9">
        <v>2503.79</v>
      </c>
      <c r="Q267" s="9">
        <f t="shared" si="27"/>
        <v>2503.79</v>
      </c>
      <c r="R267" s="9" t="str">
        <f t="shared" si="28"/>
        <v>OK</v>
      </c>
      <c r="S267" s="11">
        <v>0.184</v>
      </c>
      <c r="T267" s="11" t="str">
        <f t="shared" si="29"/>
        <v>OK</v>
      </c>
      <c r="U267" s="13">
        <v>19</v>
      </c>
    </row>
    <row r="268" spans="1:21" x14ac:dyDescent="0.3">
      <c r="A268" s="7" t="s">
        <v>281</v>
      </c>
      <c r="B268" s="4">
        <v>45053</v>
      </c>
      <c r="C268" s="4">
        <v>45051</v>
      </c>
      <c r="D268" s="4" t="str">
        <f t="shared" si="24"/>
        <v>Invalid</v>
      </c>
      <c r="E268" s="4">
        <f t="shared" si="25"/>
        <v>45053</v>
      </c>
      <c r="F268" s="13">
        <f t="shared" si="26"/>
        <v>0</v>
      </c>
      <c r="G268" s="7" t="s">
        <v>646</v>
      </c>
      <c r="H268" s="7" t="s">
        <v>651</v>
      </c>
      <c r="I268" s="7" t="s">
        <v>663</v>
      </c>
      <c r="J268" s="7" t="s">
        <v>703</v>
      </c>
      <c r="K268" s="7" t="s">
        <v>709</v>
      </c>
      <c r="L268" s="7" t="s">
        <v>720</v>
      </c>
      <c r="M268" s="7" t="s">
        <v>727</v>
      </c>
      <c r="N268" s="7" t="s">
        <v>1694</v>
      </c>
      <c r="O268" s="9">
        <v>1269.6500000000001</v>
      </c>
      <c r="P268" s="9">
        <v>2462.77</v>
      </c>
      <c r="Q268" s="9">
        <f t="shared" si="27"/>
        <v>2462.77</v>
      </c>
      <c r="R268" s="9" t="str">
        <f t="shared" si="28"/>
        <v>OK</v>
      </c>
      <c r="S268" s="11">
        <v>0.107</v>
      </c>
      <c r="T268" s="11" t="str">
        <f t="shared" si="29"/>
        <v>OK</v>
      </c>
      <c r="U268" s="13">
        <v>8</v>
      </c>
    </row>
    <row r="269" spans="1:21" x14ac:dyDescent="0.3">
      <c r="A269" s="7" t="s">
        <v>282</v>
      </c>
      <c r="B269" s="4">
        <v>45284</v>
      </c>
      <c r="C269" s="4">
        <v>45292</v>
      </c>
      <c r="D269" s="4" t="str">
        <f t="shared" si="24"/>
        <v>Valid</v>
      </c>
      <c r="E269" s="4">
        <f t="shared" si="25"/>
        <v>45292</v>
      </c>
      <c r="F269" s="13">
        <f t="shared" si="26"/>
        <v>8</v>
      </c>
      <c r="G269" s="7" t="s">
        <v>648</v>
      </c>
      <c r="H269" s="7" t="s">
        <v>655</v>
      </c>
      <c r="I269" s="7" t="s">
        <v>670</v>
      </c>
      <c r="J269" s="7" t="s">
        <v>702</v>
      </c>
      <c r="K269" s="7" t="s">
        <v>711</v>
      </c>
      <c r="L269" s="7" t="s">
        <v>712</v>
      </c>
      <c r="M269" s="7" t="s">
        <v>730</v>
      </c>
      <c r="N269" s="7" t="s">
        <v>1695</v>
      </c>
      <c r="O269" s="9">
        <v>526.49</v>
      </c>
      <c r="P269" s="9">
        <v>496.2</v>
      </c>
      <c r="Q269" s="9">
        <f t="shared" si="27"/>
        <v>496.2</v>
      </c>
      <c r="R269" s="9" t="str">
        <f t="shared" si="28"/>
        <v>OK</v>
      </c>
      <c r="S269" s="11">
        <v>0</v>
      </c>
      <c r="T269" s="11" t="str">
        <f t="shared" si="29"/>
        <v>OK</v>
      </c>
      <c r="U269" s="13">
        <v>14</v>
      </c>
    </row>
    <row r="270" spans="1:21" x14ac:dyDescent="0.3">
      <c r="A270" s="7" t="s">
        <v>283</v>
      </c>
      <c r="B270" s="4">
        <v>45301</v>
      </c>
      <c r="C270" s="4">
        <v>45314</v>
      </c>
      <c r="D270" s="4" t="str">
        <f t="shared" si="24"/>
        <v>Valid</v>
      </c>
      <c r="E270" s="4">
        <f t="shared" si="25"/>
        <v>45314</v>
      </c>
      <c r="F270" s="13">
        <f t="shared" si="26"/>
        <v>13</v>
      </c>
      <c r="G270" s="7" t="s">
        <v>649</v>
      </c>
      <c r="H270" s="7" t="s">
        <v>657</v>
      </c>
      <c r="I270" s="7" t="s">
        <v>673</v>
      </c>
      <c r="J270" s="7" t="s">
        <v>701</v>
      </c>
      <c r="K270" s="7" t="s">
        <v>711</v>
      </c>
      <c r="L270" s="7" t="s">
        <v>720</v>
      </c>
      <c r="M270" s="7" t="s">
        <v>728</v>
      </c>
      <c r="N270" s="7" t="s">
        <v>1696</v>
      </c>
      <c r="O270" s="9">
        <v>720</v>
      </c>
      <c r="P270" s="9">
        <v>907.59</v>
      </c>
      <c r="Q270" s="9">
        <f t="shared" si="27"/>
        <v>907.59</v>
      </c>
      <c r="R270" s="9" t="str">
        <f t="shared" si="28"/>
        <v>OK</v>
      </c>
      <c r="S270" s="11">
        <v>0.154</v>
      </c>
      <c r="T270" s="11" t="str">
        <f t="shared" si="29"/>
        <v>OK</v>
      </c>
      <c r="U270" s="13">
        <v>10</v>
      </c>
    </row>
    <row r="271" spans="1:21" x14ac:dyDescent="0.3">
      <c r="A271" s="7" t="s">
        <v>284</v>
      </c>
      <c r="B271" s="4">
        <v>45141</v>
      </c>
      <c r="C271" s="4">
        <v>45152</v>
      </c>
      <c r="D271" s="4" t="str">
        <f t="shared" si="24"/>
        <v>Valid</v>
      </c>
      <c r="E271" s="4">
        <f t="shared" si="25"/>
        <v>45152</v>
      </c>
      <c r="F271" s="13">
        <f t="shared" si="26"/>
        <v>11</v>
      </c>
      <c r="G271" s="7" t="s">
        <v>648</v>
      </c>
      <c r="H271" s="7" t="s">
        <v>655</v>
      </c>
      <c r="I271" s="7" t="s">
        <v>672</v>
      </c>
      <c r="J271" s="7" t="s">
        <v>701</v>
      </c>
      <c r="K271" s="7" t="s">
        <v>711</v>
      </c>
      <c r="L271" s="7" t="s">
        <v>713</v>
      </c>
      <c r="M271" s="7" t="s">
        <v>733</v>
      </c>
      <c r="N271" s="7" t="s">
        <v>1697</v>
      </c>
      <c r="O271" s="9">
        <v>232.73</v>
      </c>
      <c r="P271" s="9">
        <v>334.19</v>
      </c>
      <c r="Q271" s="9">
        <f t="shared" si="27"/>
        <v>334.19</v>
      </c>
      <c r="R271" s="9" t="str">
        <f t="shared" si="28"/>
        <v>OK</v>
      </c>
      <c r="S271" s="11">
        <v>0.13400000000000001</v>
      </c>
      <c r="T271" s="11" t="str">
        <f t="shared" si="29"/>
        <v>OK</v>
      </c>
      <c r="U271" s="13">
        <v>25</v>
      </c>
    </row>
    <row r="272" spans="1:21" x14ac:dyDescent="0.3">
      <c r="A272" s="7" t="s">
        <v>285</v>
      </c>
      <c r="B272" s="4">
        <v>45707</v>
      </c>
      <c r="C272" s="4">
        <v>45725</v>
      </c>
      <c r="D272" s="4" t="str">
        <f t="shared" si="24"/>
        <v>Valid</v>
      </c>
      <c r="E272" s="4">
        <f t="shared" si="25"/>
        <v>45725</v>
      </c>
      <c r="F272" s="13">
        <f t="shared" si="26"/>
        <v>18</v>
      </c>
      <c r="G272" s="7" t="s">
        <v>647</v>
      </c>
      <c r="H272" s="7" t="s">
        <v>654</v>
      </c>
      <c r="I272" s="7" t="s">
        <v>680</v>
      </c>
      <c r="J272" s="7" t="s">
        <v>705</v>
      </c>
      <c r="K272" s="7" t="s">
        <v>711</v>
      </c>
      <c r="L272" s="7" t="s">
        <v>719</v>
      </c>
      <c r="M272" s="7" t="s">
        <v>732</v>
      </c>
      <c r="N272" s="7" t="s">
        <v>1698</v>
      </c>
      <c r="O272" s="9">
        <v>325.87</v>
      </c>
      <c r="P272" s="9">
        <v>538.79</v>
      </c>
      <c r="Q272" s="9">
        <f t="shared" si="27"/>
        <v>538.79</v>
      </c>
      <c r="R272" s="9" t="str">
        <f t="shared" si="28"/>
        <v>OK</v>
      </c>
      <c r="S272" s="11">
        <v>0.17399999999999999</v>
      </c>
      <c r="T272" s="11" t="str">
        <f t="shared" si="29"/>
        <v>OK</v>
      </c>
      <c r="U272" s="13">
        <v>16</v>
      </c>
    </row>
    <row r="273" spans="1:21" x14ac:dyDescent="0.3">
      <c r="A273" s="7" t="s">
        <v>286</v>
      </c>
      <c r="B273" s="4">
        <v>45382</v>
      </c>
      <c r="C273" s="4">
        <v>45399</v>
      </c>
      <c r="D273" s="4" t="str">
        <f t="shared" si="24"/>
        <v>Valid</v>
      </c>
      <c r="E273" s="4">
        <f t="shared" si="25"/>
        <v>45399</v>
      </c>
      <c r="F273" s="13">
        <f t="shared" si="26"/>
        <v>17</v>
      </c>
      <c r="G273" s="7" t="s">
        <v>649</v>
      </c>
      <c r="H273" s="7" t="s">
        <v>656</v>
      </c>
      <c r="I273" s="7" t="s">
        <v>698</v>
      </c>
      <c r="J273" s="7" t="s">
        <v>702</v>
      </c>
      <c r="K273" s="7" t="s">
        <v>711</v>
      </c>
      <c r="L273" s="7" t="s">
        <v>722</v>
      </c>
      <c r="M273" s="7" t="s">
        <v>732</v>
      </c>
      <c r="N273" s="7" t="s">
        <v>1699</v>
      </c>
      <c r="O273" s="9">
        <v>1025.51</v>
      </c>
      <c r="P273" s="9">
        <v>1436.54</v>
      </c>
      <c r="Q273" s="9">
        <f t="shared" si="27"/>
        <v>1436.54</v>
      </c>
      <c r="R273" s="9" t="str">
        <f t="shared" si="28"/>
        <v>OK</v>
      </c>
      <c r="S273" s="11">
        <v>0.13900000000000001</v>
      </c>
      <c r="T273" s="11" t="str">
        <f t="shared" si="29"/>
        <v>OK</v>
      </c>
      <c r="U273" s="13">
        <v>28</v>
      </c>
    </row>
    <row r="274" spans="1:21" x14ac:dyDescent="0.3">
      <c r="A274" s="7" t="s">
        <v>287</v>
      </c>
      <c r="B274" s="4">
        <v>45131</v>
      </c>
      <c r="C274" s="4">
        <v>45151</v>
      </c>
      <c r="D274" s="4" t="str">
        <f t="shared" si="24"/>
        <v>Valid</v>
      </c>
      <c r="E274" s="4">
        <f t="shared" si="25"/>
        <v>45151</v>
      </c>
      <c r="F274" s="13">
        <f t="shared" si="26"/>
        <v>20</v>
      </c>
      <c r="G274" s="7" t="s">
        <v>648</v>
      </c>
      <c r="H274" s="7" t="s">
        <v>653</v>
      </c>
      <c r="I274" s="7" t="s">
        <v>681</v>
      </c>
      <c r="J274" s="7" t="s">
        <v>702</v>
      </c>
      <c r="K274" s="7" t="s">
        <v>711</v>
      </c>
      <c r="L274" s="7" t="s">
        <v>712</v>
      </c>
      <c r="M274" s="7" t="s">
        <v>732</v>
      </c>
      <c r="N274" s="7" t="s">
        <v>1700</v>
      </c>
      <c r="O274" s="9">
        <v>1082.3800000000001</v>
      </c>
      <c r="P274" s="9">
        <v>1766.55</v>
      </c>
      <c r="Q274" s="9">
        <f t="shared" si="27"/>
        <v>1766.55</v>
      </c>
      <c r="R274" s="9" t="str">
        <f t="shared" si="28"/>
        <v>OK</v>
      </c>
      <c r="S274" s="11">
        <v>0.16400000000000001</v>
      </c>
      <c r="T274" s="11" t="str">
        <f t="shared" si="29"/>
        <v>OK</v>
      </c>
      <c r="U274" s="13">
        <v>20</v>
      </c>
    </row>
    <row r="275" spans="1:21" x14ac:dyDescent="0.3">
      <c r="A275" s="7" t="s">
        <v>288</v>
      </c>
      <c r="B275" s="4">
        <v>45367</v>
      </c>
      <c r="C275" s="4">
        <v>45395</v>
      </c>
      <c r="D275" s="4" t="str">
        <f t="shared" si="24"/>
        <v>Valid</v>
      </c>
      <c r="E275" s="4">
        <f t="shared" si="25"/>
        <v>45395</v>
      </c>
      <c r="F275" s="13">
        <f t="shared" si="26"/>
        <v>28</v>
      </c>
      <c r="G275" s="7" t="s">
        <v>649</v>
      </c>
      <c r="H275" s="7" t="s">
        <v>657</v>
      </c>
      <c r="I275" s="7" t="s">
        <v>690</v>
      </c>
      <c r="J275" s="7" t="s">
        <v>705</v>
      </c>
      <c r="K275" s="7" t="s">
        <v>708</v>
      </c>
      <c r="L275" s="7" t="s">
        <v>723</v>
      </c>
      <c r="M275" s="7" t="s">
        <v>728</v>
      </c>
      <c r="N275" s="7" t="s">
        <v>1701</v>
      </c>
      <c r="O275" s="9">
        <v>287.61</v>
      </c>
      <c r="P275" s="9">
        <v>628.54</v>
      </c>
      <c r="Q275" s="9">
        <f t="shared" si="27"/>
        <v>628.54</v>
      </c>
      <c r="R275" s="9" t="str">
        <f t="shared" si="28"/>
        <v>OK</v>
      </c>
      <c r="S275" s="11">
        <v>0.13500000000000001</v>
      </c>
      <c r="T275" s="11" t="str">
        <f t="shared" si="29"/>
        <v>OK</v>
      </c>
      <c r="U275" s="13">
        <v>21</v>
      </c>
    </row>
    <row r="276" spans="1:21" x14ac:dyDescent="0.3">
      <c r="A276" s="7" t="s">
        <v>289</v>
      </c>
      <c r="B276" s="4">
        <v>45316</v>
      </c>
      <c r="C276" s="4">
        <v>45318</v>
      </c>
      <c r="D276" s="4" t="str">
        <f t="shared" si="24"/>
        <v>Valid</v>
      </c>
      <c r="E276" s="4">
        <f t="shared" si="25"/>
        <v>45318</v>
      </c>
      <c r="F276" s="13">
        <f t="shared" si="26"/>
        <v>2</v>
      </c>
      <c r="G276" s="7" t="s">
        <v>648</v>
      </c>
      <c r="H276" s="7" t="s">
        <v>655</v>
      </c>
      <c r="I276" s="7" t="s">
        <v>670</v>
      </c>
      <c r="J276" s="7" t="s">
        <v>703</v>
      </c>
      <c r="K276" s="7" t="s">
        <v>709</v>
      </c>
      <c r="L276" s="7" t="s">
        <v>725</v>
      </c>
      <c r="M276" s="7" t="s">
        <v>731</v>
      </c>
      <c r="N276" s="7" t="s">
        <v>1702</v>
      </c>
      <c r="O276" s="9">
        <v>1410.97</v>
      </c>
      <c r="P276" s="9">
        <v>1650.75</v>
      </c>
      <c r="Q276" s="9">
        <f t="shared" si="27"/>
        <v>1650.75</v>
      </c>
      <c r="R276" s="9" t="str">
        <f t="shared" si="28"/>
        <v>OK</v>
      </c>
      <c r="S276" s="11">
        <v>0.13500000000000001</v>
      </c>
      <c r="T276" s="11" t="str">
        <f t="shared" si="29"/>
        <v>OK</v>
      </c>
      <c r="U276" s="13">
        <v>6</v>
      </c>
    </row>
    <row r="277" spans="1:21" x14ac:dyDescent="0.3">
      <c r="A277" s="7" t="s">
        <v>290</v>
      </c>
      <c r="B277" s="4">
        <v>45378</v>
      </c>
      <c r="C277" s="4">
        <v>45393</v>
      </c>
      <c r="D277" s="4" t="str">
        <f t="shared" si="24"/>
        <v>Valid</v>
      </c>
      <c r="E277" s="4">
        <f t="shared" si="25"/>
        <v>45393</v>
      </c>
      <c r="F277" s="13">
        <f t="shared" si="26"/>
        <v>15</v>
      </c>
      <c r="G277" s="7" t="s">
        <v>648</v>
      </c>
      <c r="H277" s="7" t="s">
        <v>1425</v>
      </c>
      <c r="I277" s="7" t="s">
        <v>686</v>
      </c>
      <c r="J277" s="7" t="s">
        <v>705</v>
      </c>
      <c r="K277" s="7" t="s">
        <v>711</v>
      </c>
      <c r="L277" s="7" t="s">
        <v>719</v>
      </c>
      <c r="M277" s="7" t="s">
        <v>729</v>
      </c>
      <c r="N277" s="7" t="s">
        <v>1703</v>
      </c>
      <c r="O277" s="9">
        <v>1338.35</v>
      </c>
      <c r="P277" s="9">
        <v>2247.14</v>
      </c>
      <c r="Q277" s="9">
        <f t="shared" si="27"/>
        <v>2247.14</v>
      </c>
      <c r="R277" s="9" t="str">
        <f t="shared" si="28"/>
        <v>OK</v>
      </c>
      <c r="S277" s="11">
        <v>0.115</v>
      </c>
      <c r="T277" s="11" t="str">
        <f t="shared" si="29"/>
        <v>OK</v>
      </c>
      <c r="U277" s="13">
        <v>40</v>
      </c>
    </row>
    <row r="278" spans="1:21" x14ac:dyDescent="0.3">
      <c r="A278" s="7" t="s">
        <v>291</v>
      </c>
      <c r="B278" s="4">
        <v>45832</v>
      </c>
      <c r="C278" s="4">
        <v>45852</v>
      </c>
      <c r="D278" s="4" t="str">
        <f t="shared" si="24"/>
        <v>Valid</v>
      </c>
      <c r="E278" s="4">
        <f t="shared" si="25"/>
        <v>45852</v>
      </c>
      <c r="F278" s="13">
        <f t="shared" si="26"/>
        <v>20</v>
      </c>
      <c r="G278" s="7" t="s">
        <v>649</v>
      </c>
      <c r="H278" s="7" t="s">
        <v>656</v>
      </c>
      <c r="I278" s="7" t="s">
        <v>671</v>
      </c>
      <c r="J278" s="7" t="s">
        <v>701</v>
      </c>
      <c r="K278" s="7" t="s">
        <v>711</v>
      </c>
      <c r="L278" s="7" t="s">
        <v>719</v>
      </c>
      <c r="M278" s="7" t="s">
        <v>733</v>
      </c>
      <c r="N278" s="7" t="s">
        <v>1704</v>
      </c>
      <c r="O278" s="9">
        <v>385.08</v>
      </c>
      <c r="P278" s="9">
        <v>893.19</v>
      </c>
      <c r="Q278" s="9">
        <f t="shared" si="27"/>
        <v>893.19</v>
      </c>
      <c r="R278" s="9" t="str">
        <f t="shared" si="28"/>
        <v>OK</v>
      </c>
      <c r="S278" s="11">
        <v>0.151</v>
      </c>
      <c r="T278" s="11" t="str">
        <f t="shared" si="29"/>
        <v>OK</v>
      </c>
      <c r="U278" s="13">
        <v>8</v>
      </c>
    </row>
    <row r="279" spans="1:21" x14ac:dyDescent="0.3">
      <c r="A279" s="7" t="s">
        <v>292</v>
      </c>
      <c r="B279" s="4">
        <v>45459</v>
      </c>
      <c r="C279" s="4">
        <v>45476</v>
      </c>
      <c r="D279" s="4" t="str">
        <f t="shared" si="24"/>
        <v>Valid</v>
      </c>
      <c r="E279" s="4">
        <f t="shared" si="25"/>
        <v>45476</v>
      </c>
      <c r="F279" s="13">
        <f t="shared" si="26"/>
        <v>17</v>
      </c>
      <c r="G279" s="7" t="s">
        <v>646</v>
      </c>
      <c r="H279" s="7" t="s">
        <v>661</v>
      </c>
      <c r="I279" s="7" t="s">
        <v>682</v>
      </c>
      <c r="J279" s="7" t="s">
        <v>706</v>
      </c>
      <c r="K279" s="7" t="s">
        <v>709</v>
      </c>
      <c r="L279" s="7" t="s">
        <v>721</v>
      </c>
      <c r="M279" s="7" t="s">
        <v>730</v>
      </c>
      <c r="N279" s="7" t="s">
        <v>1705</v>
      </c>
      <c r="O279" s="9">
        <v>1173.83</v>
      </c>
      <c r="P279" s="9">
        <v>2328.9</v>
      </c>
      <c r="Q279" s="9">
        <f t="shared" si="27"/>
        <v>2328.9</v>
      </c>
      <c r="R279" s="9" t="str">
        <f t="shared" si="28"/>
        <v>OK</v>
      </c>
      <c r="S279" s="11">
        <v>0.12</v>
      </c>
      <c r="T279" s="11" t="str">
        <f t="shared" si="29"/>
        <v>OK</v>
      </c>
      <c r="U279" s="13">
        <v>17</v>
      </c>
    </row>
    <row r="280" spans="1:21" x14ac:dyDescent="0.3">
      <c r="A280" s="7" t="s">
        <v>293</v>
      </c>
      <c r="B280" s="4">
        <v>45229</v>
      </c>
      <c r="C280" s="4">
        <v>45244</v>
      </c>
      <c r="D280" s="4" t="str">
        <f t="shared" si="24"/>
        <v>Valid</v>
      </c>
      <c r="E280" s="4">
        <f t="shared" si="25"/>
        <v>45244</v>
      </c>
      <c r="F280" s="13">
        <f t="shared" si="26"/>
        <v>15</v>
      </c>
      <c r="G280" s="7" t="s">
        <v>647</v>
      </c>
      <c r="H280" s="7" t="s">
        <v>654</v>
      </c>
      <c r="I280" s="7" t="s">
        <v>668</v>
      </c>
      <c r="J280" s="7" t="s">
        <v>701</v>
      </c>
      <c r="K280" s="7" t="s">
        <v>708</v>
      </c>
      <c r="L280" s="7" t="s">
        <v>721</v>
      </c>
      <c r="M280" s="7" t="s">
        <v>731</v>
      </c>
      <c r="N280" s="7" t="s">
        <v>1706</v>
      </c>
      <c r="O280" s="9">
        <v>953.46</v>
      </c>
      <c r="P280" s="9">
        <v>2066.75</v>
      </c>
      <c r="Q280" s="9">
        <f t="shared" si="27"/>
        <v>2066.75</v>
      </c>
      <c r="R280" s="9" t="str">
        <f t="shared" si="28"/>
        <v>OK</v>
      </c>
      <c r="S280" s="11">
        <v>0.13800000000000001</v>
      </c>
      <c r="T280" s="11" t="str">
        <f t="shared" si="29"/>
        <v>OK</v>
      </c>
      <c r="U280" s="13">
        <v>5</v>
      </c>
    </row>
    <row r="281" spans="1:21" x14ac:dyDescent="0.3">
      <c r="A281" s="7" t="s">
        <v>294</v>
      </c>
      <c r="B281" s="4">
        <v>45092</v>
      </c>
      <c r="C281" s="4">
        <v>45100</v>
      </c>
      <c r="D281" s="4" t="str">
        <f t="shared" si="24"/>
        <v>Valid</v>
      </c>
      <c r="E281" s="4">
        <f t="shared" si="25"/>
        <v>45100</v>
      </c>
      <c r="F281" s="13">
        <f t="shared" si="26"/>
        <v>8</v>
      </c>
      <c r="G281" s="7" t="s">
        <v>648</v>
      </c>
      <c r="H281" s="7" t="s">
        <v>1425</v>
      </c>
      <c r="I281" s="7" t="s">
        <v>686</v>
      </c>
      <c r="J281" s="7" t="s">
        <v>704</v>
      </c>
      <c r="K281" s="7" t="s">
        <v>710</v>
      </c>
      <c r="L281" s="7" t="s">
        <v>719</v>
      </c>
      <c r="M281" s="7" t="s">
        <v>732</v>
      </c>
      <c r="N281" s="7" t="s">
        <v>1707</v>
      </c>
      <c r="O281" s="9">
        <v>1097.0899999999999</v>
      </c>
      <c r="P281" s="9">
        <v>2182.31</v>
      </c>
      <c r="Q281" s="9">
        <f t="shared" si="27"/>
        <v>2182.31</v>
      </c>
      <c r="R281" s="9" t="str">
        <f t="shared" si="28"/>
        <v>OK</v>
      </c>
      <c r="S281" s="11">
        <v>0.112</v>
      </c>
      <c r="T281" s="11" t="str">
        <f t="shared" si="29"/>
        <v>OK</v>
      </c>
      <c r="U281" s="13">
        <v>9</v>
      </c>
    </row>
    <row r="282" spans="1:21" x14ac:dyDescent="0.3">
      <c r="A282" s="7" t="s">
        <v>295</v>
      </c>
      <c r="B282" s="4">
        <v>45730</v>
      </c>
      <c r="C282" s="4">
        <v>45745</v>
      </c>
      <c r="D282" s="4" t="str">
        <f t="shared" si="24"/>
        <v>Valid</v>
      </c>
      <c r="E282" s="4">
        <f t="shared" si="25"/>
        <v>45745</v>
      </c>
      <c r="F282" s="13">
        <f t="shared" si="26"/>
        <v>15</v>
      </c>
      <c r="G282" s="7" t="s">
        <v>647</v>
      </c>
      <c r="H282" s="7" t="s">
        <v>652</v>
      </c>
      <c r="I282" s="7" t="s">
        <v>689</v>
      </c>
      <c r="J282" s="7" t="s">
        <v>703</v>
      </c>
      <c r="K282" s="7" t="s">
        <v>711</v>
      </c>
      <c r="L282" s="7" t="s">
        <v>722</v>
      </c>
      <c r="M282" s="7" t="s">
        <v>729</v>
      </c>
      <c r="N282" s="7" t="s">
        <v>1708</v>
      </c>
      <c r="O282" s="9">
        <v>1106.96</v>
      </c>
      <c r="P282" s="9">
        <v>2726.62</v>
      </c>
      <c r="Q282" s="9">
        <f t="shared" si="27"/>
        <v>2726.62</v>
      </c>
      <c r="R282" s="9" t="str">
        <f t="shared" si="28"/>
        <v>OK</v>
      </c>
      <c r="S282" s="11">
        <v>0.317</v>
      </c>
      <c r="T282" s="11" t="str">
        <f t="shared" si="29"/>
        <v>FLAG</v>
      </c>
      <c r="U282" s="13">
        <v>7</v>
      </c>
    </row>
    <row r="283" spans="1:21" x14ac:dyDescent="0.3">
      <c r="A283" s="7" t="s">
        <v>296</v>
      </c>
      <c r="B283" s="4">
        <v>45153</v>
      </c>
      <c r="C283" s="4">
        <v>45163</v>
      </c>
      <c r="D283" s="4" t="str">
        <f t="shared" si="24"/>
        <v>Valid</v>
      </c>
      <c r="E283" s="4">
        <f t="shared" si="25"/>
        <v>45163</v>
      </c>
      <c r="F283" s="13">
        <f t="shared" si="26"/>
        <v>10</v>
      </c>
      <c r="G283" s="7" t="s">
        <v>646</v>
      </c>
      <c r="H283" s="7" t="s">
        <v>650</v>
      </c>
      <c r="I283" s="7" t="s">
        <v>664</v>
      </c>
      <c r="J283" s="7" t="s">
        <v>705</v>
      </c>
      <c r="K283" s="7" t="s">
        <v>707</v>
      </c>
      <c r="L283" s="7" t="s">
        <v>725</v>
      </c>
      <c r="M283" s="7" t="s">
        <v>730</v>
      </c>
      <c r="N283" s="7" t="s">
        <v>1709</v>
      </c>
      <c r="O283" s="9">
        <v>91.85</v>
      </c>
      <c r="P283" s="9">
        <v>111.29</v>
      </c>
      <c r="Q283" s="9">
        <f t="shared" si="27"/>
        <v>111.29</v>
      </c>
      <c r="R283" s="9" t="str">
        <f t="shared" si="28"/>
        <v>OK</v>
      </c>
      <c r="S283" s="11">
        <v>0</v>
      </c>
      <c r="T283" s="11" t="str">
        <f t="shared" si="29"/>
        <v>OK</v>
      </c>
      <c r="U283" s="13">
        <v>6</v>
      </c>
    </row>
    <row r="284" spans="1:21" x14ac:dyDescent="0.3">
      <c r="A284" s="7" t="s">
        <v>297</v>
      </c>
      <c r="B284" s="4">
        <v>45794</v>
      </c>
      <c r="C284" s="4">
        <v>45805</v>
      </c>
      <c r="D284" s="4" t="str">
        <f t="shared" si="24"/>
        <v>Valid</v>
      </c>
      <c r="E284" s="4">
        <f t="shared" si="25"/>
        <v>45805</v>
      </c>
      <c r="F284" s="13">
        <f t="shared" si="26"/>
        <v>11</v>
      </c>
      <c r="G284" s="7" t="s">
        <v>647</v>
      </c>
      <c r="H284" s="7" t="s">
        <v>654</v>
      </c>
      <c r="I284" s="7" t="s">
        <v>668</v>
      </c>
      <c r="J284" s="7" t="s">
        <v>701</v>
      </c>
      <c r="K284" s="7" t="s">
        <v>710</v>
      </c>
      <c r="L284" s="7" t="s">
        <v>717</v>
      </c>
      <c r="M284" s="7" t="s">
        <v>731</v>
      </c>
      <c r="N284" s="7" t="s">
        <v>1710</v>
      </c>
      <c r="O284" s="9">
        <v>623.4</v>
      </c>
      <c r="P284" s="9">
        <v>1100.0899999999999</v>
      </c>
      <c r="Q284" s="9">
        <f t="shared" si="27"/>
        <v>1100.0899999999999</v>
      </c>
      <c r="R284" s="9" t="str">
        <f t="shared" si="28"/>
        <v>OK</v>
      </c>
      <c r="S284" s="11">
        <v>0.114</v>
      </c>
      <c r="T284" s="11" t="str">
        <f t="shared" si="29"/>
        <v>OK</v>
      </c>
      <c r="U284" s="13">
        <v>12</v>
      </c>
    </row>
    <row r="285" spans="1:21" x14ac:dyDescent="0.3">
      <c r="A285" s="7" t="s">
        <v>298</v>
      </c>
      <c r="B285" s="4">
        <v>45304</v>
      </c>
      <c r="C285" s="4">
        <v>45327</v>
      </c>
      <c r="D285" s="4" t="str">
        <f t="shared" si="24"/>
        <v>Valid</v>
      </c>
      <c r="E285" s="4">
        <f t="shared" si="25"/>
        <v>45327</v>
      </c>
      <c r="F285" s="13">
        <f t="shared" si="26"/>
        <v>23</v>
      </c>
      <c r="G285" s="7" t="s">
        <v>649</v>
      </c>
      <c r="H285" s="7" t="s">
        <v>656</v>
      </c>
      <c r="I285" s="7" t="s">
        <v>698</v>
      </c>
      <c r="J285" s="7" t="s">
        <v>702</v>
      </c>
      <c r="K285" s="7" t="s">
        <v>711</v>
      </c>
      <c r="L285" s="7" t="s">
        <v>717</v>
      </c>
      <c r="M285" s="7" t="s">
        <v>731</v>
      </c>
      <c r="N285" s="7" t="s">
        <v>1711</v>
      </c>
      <c r="O285" s="9">
        <v>1017.93</v>
      </c>
      <c r="P285" s="9">
        <v>1529.14</v>
      </c>
      <c r="Q285" s="9">
        <f t="shared" si="27"/>
        <v>1529.14</v>
      </c>
      <c r="R285" s="9" t="str">
        <f t="shared" si="28"/>
        <v>OK</v>
      </c>
      <c r="S285" s="11">
        <v>0.155</v>
      </c>
      <c r="T285" s="11" t="str">
        <f t="shared" si="29"/>
        <v>OK</v>
      </c>
      <c r="U285" s="13">
        <v>12</v>
      </c>
    </row>
    <row r="286" spans="1:21" x14ac:dyDescent="0.3">
      <c r="A286" s="7" t="s">
        <v>299</v>
      </c>
      <c r="B286" s="4">
        <v>45101</v>
      </c>
      <c r="C286" s="4">
        <v>45128</v>
      </c>
      <c r="D286" s="4" t="str">
        <f t="shared" si="24"/>
        <v>Valid</v>
      </c>
      <c r="E286" s="4">
        <f t="shared" si="25"/>
        <v>45128</v>
      </c>
      <c r="F286" s="13">
        <f t="shared" si="26"/>
        <v>27</v>
      </c>
      <c r="G286" s="7" t="s">
        <v>647</v>
      </c>
      <c r="H286" s="7" t="s">
        <v>652</v>
      </c>
      <c r="I286" s="7" t="s">
        <v>694</v>
      </c>
      <c r="J286" s="7" t="s">
        <v>704</v>
      </c>
      <c r="K286" s="7" t="s">
        <v>709</v>
      </c>
      <c r="L286" s="7" t="s">
        <v>713</v>
      </c>
      <c r="M286" s="7" t="s">
        <v>730</v>
      </c>
      <c r="N286" s="7" t="s">
        <v>1712</v>
      </c>
      <c r="O286" s="9">
        <v>554.76</v>
      </c>
      <c r="P286" s="9">
        <v>728.69</v>
      </c>
      <c r="Q286" s="9">
        <f t="shared" si="27"/>
        <v>728.69</v>
      </c>
      <c r="R286" s="9" t="str">
        <f t="shared" si="28"/>
        <v>OK</v>
      </c>
      <c r="S286" s="11">
        <v>0.22</v>
      </c>
      <c r="T286" s="11" t="str">
        <f t="shared" si="29"/>
        <v>OK</v>
      </c>
      <c r="U286" s="13">
        <v>7</v>
      </c>
    </row>
    <row r="287" spans="1:21" x14ac:dyDescent="0.3">
      <c r="A287" s="7" t="s">
        <v>300</v>
      </c>
      <c r="B287" s="4">
        <v>45751</v>
      </c>
      <c r="C287" s="4">
        <v>45760</v>
      </c>
      <c r="D287" s="4" t="str">
        <f t="shared" si="24"/>
        <v>Valid</v>
      </c>
      <c r="E287" s="4">
        <f t="shared" si="25"/>
        <v>45760</v>
      </c>
      <c r="F287" s="13">
        <f t="shared" si="26"/>
        <v>9</v>
      </c>
      <c r="G287" s="7" t="s">
        <v>649</v>
      </c>
      <c r="H287" s="7" t="s">
        <v>656</v>
      </c>
      <c r="I287" s="7" t="s">
        <v>684</v>
      </c>
      <c r="J287" s="7" t="s">
        <v>704</v>
      </c>
      <c r="K287" s="7" t="s">
        <v>709</v>
      </c>
      <c r="L287" s="7" t="s">
        <v>721</v>
      </c>
      <c r="M287" s="7" t="s">
        <v>730</v>
      </c>
      <c r="N287" s="7" t="s">
        <v>1713</v>
      </c>
      <c r="O287" s="9">
        <v>7.02</v>
      </c>
      <c r="P287" s="9">
        <v>6.28</v>
      </c>
      <c r="Q287" s="9">
        <f t="shared" si="27"/>
        <v>6.28</v>
      </c>
      <c r="R287" s="9" t="str">
        <f t="shared" si="28"/>
        <v>OK</v>
      </c>
      <c r="S287" s="11">
        <v>0.13400000000000001</v>
      </c>
      <c r="T287" s="11" t="str">
        <f t="shared" si="29"/>
        <v>OK</v>
      </c>
      <c r="U287" s="13">
        <v>14</v>
      </c>
    </row>
    <row r="288" spans="1:21" x14ac:dyDescent="0.3">
      <c r="A288" s="7" t="s">
        <v>301</v>
      </c>
      <c r="B288" s="4">
        <v>45542</v>
      </c>
      <c r="C288" s="4">
        <v>45542</v>
      </c>
      <c r="D288" s="4" t="str">
        <f t="shared" si="24"/>
        <v>Valid</v>
      </c>
      <c r="E288" s="4">
        <f t="shared" si="25"/>
        <v>45542</v>
      </c>
      <c r="F288" s="13">
        <f t="shared" si="26"/>
        <v>0</v>
      </c>
      <c r="G288" s="7" t="s">
        <v>647</v>
      </c>
      <c r="H288" s="7" t="s">
        <v>654</v>
      </c>
      <c r="I288" s="7" t="s">
        <v>691</v>
      </c>
      <c r="J288" s="7" t="s">
        <v>702</v>
      </c>
      <c r="K288" s="7" t="s">
        <v>710</v>
      </c>
      <c r="L288" s="7" t="s">
        <v>717</v>
      </c>
      <c r="M288" s="7" t="s">
        <v>729</v>
      </c>
      <c r="N288" s="7" t="s">
        <v>1714</v>
      </c>
      <c r="O288" s="9">
        <v>1066.6500000000001</v>
      </c>
      <c r="P288" s="9">
        <v>2569.77</v>
      </c>
      <c r="Q288" s="9">
        <f t="shared" si="27"/>
        <v>2569.77</v>
      </c>
      <c r="R288" s="9" t="str">
        <f t="shared" si="28"/>
        <v>OK</v>
      </c>
      <c r="S288" s="11">
        <v>0.13400000000000001</v>
      </c>
      <c r="T288" s="11" t="str">
        <f t="shared" si="29"/>
        <v>OK</v>
      </c>
      <c r="U288" s="13">
        <v>9</v>
      </c>
    </row>
    <row r="289" spans="1:21" x14ac:dyDescent="0.3">
      <c r="A289" s="7" t="s">
        <v>302</v>
      </c>
      <c r="B289" s="4">
        <v>45319</v>
      </c>
      <c r="C289" s="4">
        <v>45321</v>
      </c>
      <c r="D289" s="4" t="str">
        <f t="shared" si="24"/>
        <v>Valid</v>
      </c>
      <c r="E289" s="4">
        <f t="shared" si="25"/>
        <v>45321</v>
      </c>
      <c r="F289" s="13">
        <f t="shared" si="26"/>
        <v>2</v>
      </c>
      <c r="G289" s="7" t="s">
        <v>646</v>
      </c>
      <c r="H289" s="7" t="s">
        <v>661</v>
      </c>
      <c r="I289" s="7" t="s">
        <v>695</v>
      </c>
      <c r="J289" s="7" t="s">
        <v>704</v>
      </c>
      <c r="K289" s="7" t="s">
        <v>711</v>
      </c>
      <c r="L289" s="7" t="s">
        <v>721</v>
      </c>
      <c r="M289" s="7" t="s">
        <v>733</v>
      </c>
      <c r="N289" s="7" t="s">
        <v>1715</v>
      </c>
      <c r="O289" s="9">
        <v>798.45</v>
      </c>
      <c r="P289" s="9">
        <v>1592.02</v>
      </c>
      <c r="Q289" s="9">
        <f t="shared" si="27"/>
        <v>1592.02</v>
      </c>
      <c r="R289" s="9" t="str">
        <f t="shared" si="28"/>
        <v>OK</v>
      </c>
      <c r="S289" s="11">
        <v>6.6000000000000003E-2</v>
      </c>
      <c r="T289" s="11" t="str">
        <f t="shared" si="29"/>
        <v>OK</v>
      </c>
      <c r="U289" s="13">
        <v>18</v>
      </c>
    </row>
    <row r="290" spans="1:21" x14ac:dyDescent="0.3">
      <c r="A290" s="7" t="s">
        <v>303</v>
      </c>
      <c r="B290" s="4">
        <v>45125</v>
      </c>
      <c r="C290" s="4">
        <v>45148</v>
      </c>
      <c r="D290" s="4" t="str">
        <f t="shared" si="24"/>
        <v>Valid</v>
      </c>
      <c r="E290" s="4">
        <f t="shared" si="25"/>
        <v>45148</v>
      </c>
      <c r="F290" s="13">
        <f t="shared" si="26"/>
        <v>23</v>
      </c>
      <c r="G290" s="7" t="s">
        <v>646</v>
      </c>
      <c r="H290" s="7" t="s">
        <v>661</v>
      </c>
      <c r="I290" s="7" t="s">
        <v>682</v>
      </c>
      <c r="J290" s="7" t="s">
        <v>705</v>
      </c>
      <c r="K290" s="7" t="s">
        <v>707</v>
      </c>
      <c r="L290" s="7" t="s">
        <v>716</v>
      </c>
      <c r="M290" s="7" t="s">
        <v>727</v>
      </c>
      <c r="N290" s="7" t="s">
        <v>1716</v>
      </c>
      <c r="O290" s="9">
        <v>1271.56</v>
      </c>
      <c r="P290" s="9">
        <v>995.47</v>
      </c>
      <c r="Q290" s="9">
        <f t="shared" si="27"/>
        <v>995.47</v>
      </c>
      <c r="R290" s="9" t="str">
        <f t="shared" si="28"/>
        <v>OK</v>
      </c>
      <c r="S290" s="11">
        <v>0.192</v>
      </c>
      <c r="T290" s="11" t="str">
        <f t="shared" si="29"/>
        <v>OK</v>
      </c>
      <c r="U290" s="13">
        <v>13</v>
      </c>
    </row>
    <row r="291" spans="1:21" x14ac:dyDescent="0.3">
      <c r="A291" s="7" t="s">
        <v>304</v>
      </c>
      <c r="B291" s="4">
        <v>45897</v>
      </c>
      <c r="C291" s="4">
        <v>45895</v>
      </c>
      <c r="D291" s="4" t="str">
        <f t="shared" si="24"/>
        <v>Invalid</v>
      </c>
      <c r="E291" s="4">
        <f t="shared" si="25"/>
        <v>45897</v>
      </c>
      <c r="F291" s="13">
        <f t="shared" si="26"/>
        <v>0</v>
      </c>
      <c r="G291" s="7" t="s">
        <v>646</v>
      </c>
      <c r="H291" s="7" t="s">
        <v>651</v>
      </c>
      <c r="I291" s="7" t="s">
        <v>663</v>
      </c>
      <c r="J291" s="7" t="s">
        <v>705</v>
      </c>
      <c r="K291" s="7" t="s">
        <v>707</v>
      </c>
      <c r="L291" s="7" t="s">
        <v>720</v>
      </c>
      <c r="M291" s="7" t="s">
        <v>733</v>
      </c>
      <c r="N291" s="7" t="s">
        <v>1717</v>
      </c>
      <c r="O291" s="9">
        <v>521.05999999999995</v>
      </c>
      <c r="P291" s="9">
        <v>1240.31</v>
      </c>
      <c r="Q291" s="9">
        <f t="shared" si="27"/>
        <v>1240.31</v>
      </c>
      <c r="R291" s="9" t="str">
        <f t="shared" si="28"/>
        <v>OK</v>
      </c>
      <c r="S291" s="11">
        <v>0.14599999999999999</v>
      </c>
      <c r="T291" s="11" t="str">
        <f t="shared" si="29"/>
        <v>OK</v>
      </c>
      <c r="U291" s="13">
        <v>18</v>
      </c>
    </row>
    <row r="292" spans="1:21" x14ac:dyDescent="0.3">
      <c r="A292" s="7" t="s">
        <v>305</v>
      </c>
      <c r="B292" s="4">
        <v>45746</v>
      </c>
      <c r="C292" s="4">
        <v>45754</v>
      </c>
      <c r="D292" s="4" t="str">
        <f t="shared" si="24"/>
        <v>Valid</v>
      </c>
      <c r="E292" s="4">
        <f t="shared" si="25"/>
        <v>45754</v>
      </c>
      <c r="F292" s="13">
        <f t="shared" si="26"/>
        <v>8</v>
      </c>
      <c r="G292" s="7" t="s">
        <v>648</v>
      </c>
      <c r="H292" s="7" t="s">
        <v>655</v>
      </c>
      <c r="I292" s="7" t="s">
        <v>670</v>
      </c>
      <c r="J292" s="7" t="s">
        <v>703</v>
      </c>
      <c r="K292" s="7" t="s">
        <v>711</v>
      </c>
      <c r="L292" s="7" t="s">
        <v>716</v>
      </c>
      <c r="M292" s="7" t="s">
        <v>728</v>
      </c>
      <c r="N292" s="7" t="s">
        <v>1718</v>
      </c>
      <c r="O292" s="9">
        <v>71.62</v>
      </c>
      <c r="P292" s="9">
        <v>118.37</v>
      </c>
      <c r="Q292" s="9">
        <f t="shared" si="27"/>
        <v>118.37</v>
      </c>
      <c r="R292" s="9" t="str">
        <f t="shared" si="28"/>
        <v>OK</v>
      </c>
      <c r="S292" s="11">
        <v>0.156</v>
      </c>
      <c r="T292" s="11" t="str">
        <f t="shared" si="29"/>
        <v>OK</v>
      </c>
      <c r="U292" s="13">
        <v>11</v>
      </c>
    </row>
    <row r="293" spans="1:21" x14ac:dyDescent="0.3">
      <c r="A293" s="7" t="s">
        <v>306</v>
      </c>
      <c r="B293" s="4">
        <v>45220</v>
      </c>
      <c r="C293" s="4">
        <v>45239</v>
      </c>
      <c r="D293" s="4" t="str">
        <f t="shared" si="24"/>
        <v>Valid</v>
      </c>
      <c r="E293" s="4">
        <f t="shared" si="25"/>
        <v>45239</v>
      </c>
      <c r="F293" s="13">
        <f t="shared" si="26"/>
        <v>19</v>
      </c>
      <c r="G293" s="7" t="s">
        <v>649</v>
      </c>
      <c r="H293" s="7" t="s">
        <v>658</v>
      </c>
      <c r="I293" s="7" t="s">
        <v>683</v>
      </c>
      <c r="J293" s="7" t="s">
        <v>703</v>
      </c>
      <c r="K293" s="7" t="s">
        <v>711</v>
      </c>
      <c r="L293" s="7" t="s">
        <v>720</v>
      </c>
      <c r="M293" s="7" t="s">
        <v>733</v>
      </c>
      <c r="N293" s="7" t="s">
        <v>1719</v>
      </c>
      <c r="O293" s="9">
        <v>1142.48</v>
      </c>
      <c r="P293" s="9">
        <v>2105.5300000000002</v>
      </c>
      <c r="Q293" s="9">
        <f t="shared" si="27"/>
        <v>2105.5300000000002</v>
      </c>
      <c r="R293" s="9" t="str">
        <f t="shared" si="28"/>
        <v>OK</v>
      </c>
      <c r="S293" s="11">
        <v>0.20699999999999999</v>
      </c>
      <c r="T293" s="11" t="str">
        <f t="shared" si="29"/>
        <v>OK</v>
      </c>
      <c r="U293" s="13">
        <v>14</v>
      </c>
    </row>
    <row r="294" spans="1:21" x14ac:dyDescent="0.3">
      <c r="A294" s="7" t="s">
        <v>307</v>
      </c>
      <c r="B294" s="4">
        <v>45161</v>
      </c>
      <c r="C294" s="4">
        <v>45191</v>
      </c>
      <c r="D294" s="4" t="str">
        <f t="shared" si="24"/>
        <v>Valid</v>
      </c>
      <c r="E294" s="4">
        <f t="shared" si="25"/>
        <v>45191</v>
      </c>
      <c r="F294" s="13">
        <f t="shared" si="26"/>
        <v>30</v>
      </c>
      <c r="G294" s="7" t="s">
        <v>649</v>
      </c>
      <c r="H294" s="7" t="s">
        <v>658</v>
      </c>
      <c r="I294" s="7" t="s">
        <v>683</v>
      </c>
      <c r="J294" s="7" t="s">
        <v>704</v>
      </c>
      <c r="K294" s="7" t="s">
        <v>710</v>
      </c>
      <c r="L294" s="7" t="s">
        <v>719</v>
      </c>
      <c r="M294" s="7" t="s">
        <v>733</v>
      </c>
      <c r="N294" s="7" t="s">
        <v>1720</v>
      </c>
      <c r="O294" s="9">
        <v>209.81</v>
      </c>
      <c r="P294" s="9">
        <v>523</v>
      </c>
      <c r="Q294" s="9">
        <f t="shared" si="27"/>
        <v>523</v>
      </c>
      <c r="R294" s="9" t="str">
        <f t="shared" si="28"/>
        <v>OK</v>
      </c>
      <c r="S294" s="11">
        <v>5.8999999999999997E-2</v>
      </c>
      <c r="T294" s="11" t="str">
        <f t="shared" si="29"/>
        <v>OK</v>
      </c>
      <c r="U294" s="13">
        <v>15</v>
      </c>
    </row>
    <row r="295" spans="1:21" x14ac:dyDescent="0.3">
      <c r="A295" s="7" t="s">
        <v>308</v>
      </c>
      <c r="B295" s="4">
        <v>45758</v>
      </c>
      <c r="C295" s="4">
        <v>45781</v>
      </c>
      <c r="D295" s="4" t="str">
        <f t="shared" si="24"/>
        <v>Valid</v>
      </c>
      <c r="E295" s="4">
        <f t="shared" si="25"/>
        <v>45781</v>
      </c>
      <c r="F295" s="13">
        <f t="shared" si="26"/>
        <v>23</v>
      </c>
      <c r="G295" s="7" t="s">
        <v>647</v>
      </c>
      <c r="H295" s="7" t="s">
        <v>652</v>
      </c>
      <c r="I295" s="7" t="s">
        <v>666</v>
      </c>
      <c r="J295" s="7" t="s">
        <v>705</v>
      </c>
      <c r="K295" s="7" t="s">
        <v>708</v>
      </c>
      <c r="L295" s="7" t="s">
        <v>724</v>
      </c>
      <c r="M295" s="7" t="s">
        <v>727</v>
      </c>
      <c r="N295" s="7" t="s">
        <v>1721</v>
      </c>
      <c r="O295" s="9">
        <v>786.2</v>
      </c>
      <c r="P295" s="9">
        <v>1075.3</v>
      </c>
      <c r="Q295" s="9">
        <f t="shared" si="27"/>
        <v>1075.3</v>
      </c>
      <c r="R295" s="9" t="str">
        <f t="shared" si="28"/>
        <v>OK</v>
      </c>
      <c r="S295" s="11">
        <v>0.08</v>
      </c>
      <c r="T295" s="11" t="str">
        <f t="shared" si="29"/>
        <v>OK</v>
      </c>
      <c r="U295" s="13">
        <v>9</v>
      </c>
    </row>
    <row r="296" spans="1:21" x14ac:dyDescent="0.3">
      <c r="A296" s="7" t="s">
        <v>309</v>
      </c>
      <c r="B296" s="4">
        <v>45809</v>
      </c>
      <c r="C296" s="4">
        <v>45835</v>
      </c>
      <c r="D296" s="4" t="str">
        <f t="shared" si="24"/>
        <v>Valid</v>
      </c>
      <c r="E296" s="4">
        <f t="shared" si="25"/>
        <v>45835</v>
      </c>
      <c r="F296" s="13">
        <f t="shared" si="26"/>
        <v>26</v>
      </c>
      <c r="G296" s="7" t="s">
        <v>649</v>
      </c>
      <c r="H296" s="7" t="s">
        <v>656</v>
      </c>
      <c r="I296" s="7" t="s">
        <v>684</v>
      </c>
      <c r="J296" s="7" t="s">
        <v>704</v>
      </c>
      <c r="K296" s="7" t="s">
        <v>710</v>
      </c>
      <c r="L296" s="7" t="s">
        <v>718</v>
      </c>
      <c r="M296" s="7" t="s">
        <v>731</v>
      </c>
      <c r="N296" s="7" t="s">
        <v>1722</v>
      </c>
      <c r="O296" s="9">
        <v>1362.31</v>
      </c>
      <c r="P296" s="9">
        <v>3294.57</v>
      </c>
      <c r="Q296" s="9">
        <f t="shared" si="27"/>
        <v>3294.57</v>
      </c>
      <c r="R296" s="9" t="str">
        <f t="shared" si="28"/>
        <v>OK</v>
      </c>
      <c r="S296" s="11">
        <v>0.113</v>
      </c>
      <c r="T296" s="11" t="str">
        <f t="shared" si="29"/>
        <v>OK</v>
      </c>
      <c r="U296" s="13">
        <v>7</v>
      </c>
    </row>
    <row r="297" spans="1:21" x14ac:dyDescent="0.3">
      <c r="A297" s="7" t="s">
        <v>310</v>
      </c>
      <c r="B297" s="4">
        <v>45353</v>
      </c>
      <c r="C297" s="4">
        <v>45367</v>
      </c>
      <c r="D297" s="4" t="str">
        <f t="shared" si="24"/>
        <v>Valid</v>
      </c>
      <c r="E297" s="4">
        <f t="shared" si="25"/>
        <v>45367</v>
      </c>
      <c r="F297" s="13">
        <f t="shared" si="26"/>
        <v>14</v>
      </c>
      <c r="G297" s="7" t="s">
        <v>648</v>
      </c>
      <c r="H297" s="7" t="s">
        <v>653</v>
      </c>
      <c r="I297" s="7" t="s">
        <v>688</v>
      </c>
      <c r="J297" s="7" t="s">
        <v>703</v>
      </c>
      <c r="K297" s="7" t="s">
        <v>711</v>
      </c>
      <c r="L297" s="7" t="s">
        <v>719</v>
      </c>
      <c r="M297" s="7" t="s">
        <v>728</v>
      </c>
      <c r="N297" s="7" t="s">
        <v>1723</v>
      </c>
      <c r="O297" s="9">
        <v>248.24</v>
      </c>
      <c r="P297" s="9">
        <v>464.05</v>
      </c>
      <c r="Q297" s="9">
        <f t="shared" si="27"/>
        <v>464.05</v>
      </c>
      <c r="R297" s="9" t="str">
        <f t="shared" si="28"/>
        <v>OK</v>
      </c>
      <c r="S297" s="11">
        <v>0.16900000000000001</v>
      </c>
      <c r="T297" s="11" t="str">
        <f t="shared" si="29"/>
        <v>OK</v>
      </c>
      <c r="U297" s="13">
        <v>11</v>
      </c>
    </row>
    <row r="298" spans="1:21" x14ac:dyDescent="0.3">
      <c r="A298" s="7" t="s">
        <v>311</v>
      </c>
      <c r="B298" s="4">
        <v>45097</v>
      </c>
      <c r="C298" s="4">
        <v>45115</v>
      </c>
      <c r="D298" s="4" t="str">
        <f t="shared" si="24"/>
        <v>Valid</v>
      </c>
      <c r="E298" s="4">
        <f t="shared" si="25"/>
        <v>45115</v>
      </c>
      <c r="F298" s="13">
        <f t="shared" si="26"/>
        <v>18</v>
      </c>
      <c r="G298" s="7" t="s">
        <v>648</v>
      </c>
      <c r="H298" s="7" t="s">
        <v>1425</v>
      </c>
      <c r="I298" s="7" t="s">
        <v>697</v>
      </c>
      <c r="J298" s="7" t="s">
        <v>703</v>
      </c>
      <c r="K298" s="7" t="s">
        <v>711</v>
      </c>
      <c r="L298" s="7" t="s">
        <v>721</v>
      </c>
      <c r="M298" s="7" t="s">
        <v>732</v>
      </c>
      <c r="N298" s="7" t="s">
        <v>1724</v>
      </c>
      <c r="O298" s="9">
        <v>337</v>
      </c>
      <c r="P298" s="9">
        <v>511.03</v>
      </c>
      <c r="Q298" s="9">
        <f t="shared" si="27"/>
        <v>511.03</v>
      </c>
      <c r="R298" s="9" t="str">
        <f t="shared" si="28"/>
        <v>OK</v>
      </c>
      <c r="S298" s="11">
        <v>0.108</v>
      </c>
      <c r="T298" s="11" t="str">
        <f t="shared" si="29"/>
        <v>OK</v>
      </c>
      <c r="U298" s="13">
        <v>7</v>
      </c>
    </row>
    <row r="299" spans="1:21" x14ac:dyDescent="0.3">
      <c r="A299" s="7" t="s">
        <v>312</v>
      </c>
      <c r="B299" s="4">
        <v>45377</v>
      </c>
      <c r="C299" s="4">
        <v>45387</v>
      </c>
      <c r="D299" s="4" t="str">
        <f t="shared" si="24"/>
        <v>Valid</v>
      </c>
      <c r="E299" s="4">
        <f t="shared" si="25"/>
        <v>45387</v>
      </c>
      <c r="F299" s="13">
        <f t="shared" si="26"/>
        <v>10</v>
      </c>
      <c r="G299" s="7" t="s">
        <v>648</v>
      </c>
      <c r="H299" s="7" t="s">
        <v>1425</v>
      </c>
      <c r="I299" s="7" t="s">
        <v>697</v>
      </c>
      <c r="J299" s="7" t="s">
        <v>704</v>
      </c>
      <c r="K299" s="7" t="s">
        <v>711</v>
      </c>
      <c r="L299" s="7" t="s">
        <v>713</v>
      </c>
      <c r="M299" s="7" t="s">
        <v>732</v>
      </c>
      <c r="N299" s="7" t="s">
        <v>1725</v>
      </c>
      <c r="O299" s="9">
        <v>5.66</v>
      </c>
      <c r="P299" s="9">
        <v>4.22</v>
      </c>
      <c r="Q299" s="9">
        <f t="shared" si="27"/>
        <v>4.22</v>
      </c>
      <c r="R299" s="9" t="str">
        <f t="shared" si="28"/>
        <v>OK</v>
      </c>
      <c r="S299" s="11">
        <v>0.11899999999999999</v>
      </c>
      <c r="T299" s="11" t="str">
        <f t="shared" si="29"/>
        <v>OK</v>
      </c>
      <c r="U299" s="13">
        <v>18</v>
      </c>
    </row>
    <row r="300" spans="1:21" x14ac:dyDescent="0.3">
      <c r="A300" s="7" t="s">
        <v>313</v>
      </c>
      <c r="B300" s="4">
        <v>45679</v>
      </c>
      <c r="C300" s="4">
        <v>45679</v>
      </c>
      <c r="D300" s="4" t="str">
        <f t="shared" si="24"/>
        <v>Valid</v>
      </c>
      <c r="E300" s="4">
        <f t="shared" si="25"/>
        <v>45679</v>
      </c>
      <c r="F300" s="13">
        <f t="shared" si="26"/>
        <v>0</v>
      </c>
      <c r="G300" s="7" t="s">
        <v>649</v>
      </c>
      <c r="H300" s="7" t="s">
        <v>657</v>
      </c>
      <c r="I300" s="7" t="s">
        <v>679</v>
      </c>
      <c r="J300" s="7" t="s">
        <v>705</v>
      </c>
      <c r="K300" s="7" t="s">
        <v>708</v>
      </c>
      <c r="L300" s="7" t="s">
        <v>717</v>
      </c>
      <c r="M300" s="7" t="s">
        <v>733</v>
      </c>
      <c r="N300" s="7" t="s">
        <v>1726</v>
      </c>
      <c r="O300" s="9">
        <v>591.72</v>
      </c>
      <c r="P300" s="9">
        <v>577.24</v>
      </c>
      <c r="Q300" s="9">
        <f t="shared" si="27"/>
        <v>577.24</v>
      </c>
      <c r="R300" s="9" t="str">
        <f t="shared" si="28"/>
        <v>OK</v>
      </c>
      <c r="S300" s="11">
        <v>0</v>
      </c>
      <c r="T300" s="11" t="str">
        <f t="shared" si="29"/>
        <v>OK</v>
      </c>
      <c r="U300" s="13">
        <v>22</v>
      </c>
    </row>
    <row r="301" spans="1:21" x14ac:dyDescent="0.3">
      <c r="A301" s="7" t="s">
        <v>314</v>
      </c>
      <c r="B301" s="4">
        <v>45787</v>
      </c>
      <c r="C301" s="4">
        <v>45804</v>
      </c>
      <c r="D301" s="4" t="str">
        <f t="shared" si="24"/>
        <v>Valid</v>
      </c>
      <c r="E301" s="4">
        <f t="shared" si="25"/>
        <v>45804</v>
      </c>
      <c r="F301" s="13">
        <f t="shared" si="26"/>
        <v>17</v>
      </c>
      <c r="G301" s="7" t="s">
        <v>648</v>
      </c>
      <c r="H301" s="7" t="s">
        <v>653</v>
      </c>
      <c r="I301" s="7" t="s">
        <v>688</v>
      </c>
      <c r="J301" s="7" t="s">
        <v>702</v>
      </c>
      <c r="K301" s="7" t="s">
        <v>711</v>
      </c>
      <c r="L301" s="7" t="s">
        <v>712</v>
      </c>
      <c r="M301" s="7" t="s">
        <v>727</v>
      </c>
      <c r="N301" s="7" t="s">
        <v>1727</v>
      </c>
      <c r="O301" s="9">
        <v>862.89</v>
      </c>
      <c r="P301" s="9">
        <v>1426.03</v>
      </c>
      <c r="Q301" s="9">
        <f t="shared" si="27"/>
        <v>1426.03</v>
      </c>
      <c r="R301" s="9" t="str">
        <f t="shared" si="28"/>
        <v>OK</v>
      </c>
      <c r="S301" s="11">
        <v>5.6000000000000001E-2</v>
      </c>
      <c r="T301" s="11" t="str">
        <f t="shared" si="29"/>
        <v>OK</v>
      </c>
      <c r="U301" s="13">
        <v>19</v>
      </c>
    </row>
    <row r="302" spans="1:21" x14ac:dyDescent="0.3">
      <c r="A302" s="7" t="s">
        <v>315</v>
      </c>
      <c r="B302" s="4">
        <v>45204</v>
      </c>
      <c r="C302" s="4">
        <v>45230</v>
      </c>
      <c r="D302" s="4" t="str">
        <f t="shared" si="24"/>
        <v>Valid</v>
      </c>
      <c r="E302" s="4">
        <f t="shared" si="25"/>
        <v>45230</v>
      </c>
      <c r="F302" s="13">
        <f t="shared" si="26"/>
        <v>26</v>
      </c>
      <c r="G302" s="7" t="s">
        <v>647</v>
      </c>
      <c r="H302" s="7" t="s">
        <v>659</v>
      </c>
      <c r="I302" s="7" t="s">
        <v>685</v>
      </c>
      <c r="J302" s="7" t="s">
        <v>704</v>
      </c>
      <c r="K302" s="7" t="s">
        <v>2057</v>
      </c>
      <c r="L302" s="7" t="s">
        <v>713</v>
      </c>
      <c r="M302" s="7" t="s">
        <v>728</v>
      </c>
      <c r="N302" s="7" t="s">
        <v>1728</v>
      </c>
      <c r="O302" s="9">
        <v>649.91</v>
      </c>
      <c r="P302" s="9">
        <v>1360.12</v>
      </c>
      <c r="Q302" s="9">
        <f t="shared" si="27"/>
        <v>1360.12</v>
      </c>
      <c r="R302" s="9" t="str">
        <f t="shared" si="28"/>
        <v>OK</v>
      </c>
      <c r="S302" s="11">
        <v>0.19400000000000001</v>
      </c>
      <c r="T302" s="11" t="str">
        <f t="shared" si="29"/>
        <v>OK</v>
      </c>
      <c r="U302" s="13">
        <v>9</v>
      </c>
    </row>
    <row r="303" spans="1:21" x14ac:dyDescent="0.3">
      <c r="A303" s="7" t="s">
        <v>316</v>
      </c>
      <c r="B303" s="4">
        <v>45125</v>
      </c>
      <c r="C303" s="4">
        <v>45129</v>
      </c>
      <c r="D303" s="4" t="str">
        <f t="shared" si="24"/>
        <v>Valid</v>
      </c>
      <c r="E303" s="4">
        <f t="shared" si="25"/>
        <v>45129</v>
      </c>
      <c r="F303" s="13">
        <f t="shared" si="26"/>
        <v>4</v>
      </c>
      <c r="G303" s="7" t="s">
        <v>648</v>
      </c>
      <c r="H303" s="7" t="s">
        <v>655</v>
      </c>
      <c r="I303" s="7" t="s">
        <v>670</v>
      </c>
      <c r="J303" s="7" t="s">
        <v>704</v>
      </c>
      <c r="K303" s="7" t="s">
        <v>711</v>
      </c>
      <c r="L303" s="7" t="s">
        <v>721</v>
      </c>
      <c r="M303" s="7" t="s">
        <v>729</v>
      </c>
      <c r="N303" s="7" t="s">
        <v>1729</v>
      </c>
      <c r="O303" s="9">
        <v>1269.55</v>
      </c>
      <c r="P303" s="9">
        <v>2071.1</v>
      </c>
      <c r="Q303" s="9">
        <f t="shared" si="27"/>
        <v>2071.1</v>
      </c>
      <c r="R303" s="9" t="str">
        <f t="shared" si="28"/>
        <v>OK</v>
      </c>
      <c r="S303" s="11">
        <v>0.129</v>
      </c>
      <c r="T303" s="11" t="str">
        <f t="shared" si="29"/>
        <v>OK</v>
      </c>
      <c r="U303" s="13">
        <v>22</v>
      </c>
    </row>
    <row r="304" spans="1:21" x14ac:dyDescent="0.3">
      <c r="A304" s="7" t="s">
        <v>317</v>
      </c>
      <c r="B304" s="4">
        <v>45830</v>
      </c>
      <c r="C304" s="4">
        <v>45846</v>
      </c>
      <c r="D304" s="4" t="str">
        <f t="shared" si="24"/>
        <v>Valid</v>
      </c>
      <c r="E304" s="4">
        <f t="shared" si="25"/>
        <v>45846</v>
      </c>
      <c r="F304" s="13">
        <f t="shared" si="26"/>
        <v>16</v>
      </c>
      <c r="G304" s="7" t="s">
        <v>649</v>
      </c>
      <c r="H304" s="7" t="s">
        <v>658</v>
      </c>
      <c r="I304" s="7" t="s">
        <v>683</v>
      </c>
      <c r="J304" s="7" t="s">
        <v>702</v>
      </c>
      <c r="K304" s="7" t="s">
        <v>711</v>
      </c>
      <c r="L304" s="7" t="s">
        <v>720</v>
      </c>
      <c r="M304" s="7" t="s">
        <v>730</v>
      </c>
      <c r="N304" s="7" t="s">
        <v>1730</v>
      </c>
      <c r="O304" s="9">
        <v>892.73</v>
      </c>
      <c r="P304" s="9">
        <v>979.84</v>
      </c>
      <c r="Q304" s="9">
        <f t="shared" si="27"/>
        <v>979.84</v>
      </c>
      <c r="R304" s="9" t="str">
        <f t="shared" si="28"/>
        <v>OK</v>
      </c>
      <c r="S304" s="11">
        <v>0.17399999999999999</v>
      </c>
      <c r="T304" s="11" t="str">
        <f t="shared" si="29"/>
        <v>OK</v>
      </c>
      <c r="U304" s="13">
        <v>10</v>
      </c>
    </row>
    <row r="305" spans="1:21" x14ac:dyDescent="0.3">
      <c r="A305" s="7" t="s">
        <v>318</v>
      </c>
      <c r="B305" s="4">
        <v>45462</v>
      </c>
      <c r="C305" s="4">
        <v>45463</v>
      </c>
      <c r="D305" s="4" t="str">
        <f t="shared" si="24"/>
        <v>Valid</v>
      </c>
      <c r="E305" s="4">
        <f t="shared" si="25"/>
        <v>45463</v>
      </c>
      <c r="F305" s="13">
        <f t="shared" si="26"/>
        <v>1</v>
      </c>
      <c r="G305" s="7" t="s">
        <v>646</v>
      </c>
      <c r="H305" s="7" t="s">
        <v>650</v>
      </c>
      <c r="I305" s="7" t="s">
        <v>662</v>
      </c>
      <c r="J305" s="7" t="s">
        <v>705</v>
      </c>
      <c r="K305" s="7" t="s">
        <v>711</v>
      </c>
      <c r="L305" s="7" t="s">
        <v>713</v>
      </c>
      <c r="M305" s="7" t="s">
        <v>731</v>
      </c>
      <c r="N305" s="7" t="s">
        <v>1731</v>
      </c>
      <c r="O305" s="9">
        <v>231.63</v>
      </c>
      <c r="P305" s="9">
        <v>537.39</v>
      </c>
      <c r="Q305" s="9">
        <f t="shared" si="27"/>
        <v>537.39</v>
      </c>
      <c r="R305" s="9" t="str">
        <f t="shared" si="28"/>
        <v>OK</v>
      </c>
      <c r="S305" s="11">
        <v>0.08</v>
      </c>
      <c r="T305" s="11" t="str">
        <f t="shared" si="29"/>
        <v>OK</v>
      </c>
      <c r="U305" s="13">
        <v>12</v>
      </c>
    </row>
    <row r="306" spans="1:21" x14ac:dyDescent="0.3">
      <c r="A306" s="7" t="s">
        <v>319</v>
      </c>
      <c r="B306" s="4">
        <v>45756</v>
      </c>
      <c r="C306" s="4">
        <v>45759</v>
      </c>
      <c r="D306" s="4" t="str">
        <f t="shared" si="24"/>
        <v>Valid</v>
      </c>
      <c r="E306" s="4">
        <f t="shared" si="25"/>
        <v>45759</v>
      </c>
      <c r="F306" s="13">
        <f t="shared" si="26"/>
        <v>3</v>
      </c>
      <c r="G306" s="7" t="s">
        <v>649</v>
      </c>
      <c r="H306" s="7" t="s">
        <v>657</v>
      </c>
      <c r="I306" s="7" t="s">
        <v>679</v>
      </c>
      <c r="J306" s="7" t="s">
        <v>705</v>
      </c>
      <c r="K306" s="7" t="s">
        <v>710</v>
      </c>
      <c r="L306" s="7" t="s">
        <v>722</v>
      </c>
      <c r="M306" s="7" t="s">
        <v>732</v>
      </c>
      <c r="N306" s="7" t="s">
        <v>1732</v>
      </c>
      <c r="O306" s="9">
        <v>86.68</v>
      </c>
      <c r="P306" s="9">
        <v>213.32</v>
      </c>
      <c r="Q306" s="9">
        <f t="shared" si="27"/>
        <v>213.32</v>
      </c>
      <c r="R306" s="9" t="str">
        <f t="shared" si="28"/>
        <v>OK</v>
      </c>
      <c r="S306" s="11">
        <v>3.7999999999999999E-2</v>
      </c>
      <c r="T306" s="11" t="str">
        <f t="shared" si="29"/>
        <v>OK</v>
      </c>
      <c r="U306" s="13">
        <v>8</v>
      </c>
    </row>
    <row r="307" spans="1:21" x14ac:dyDescent="0.3">
      <c r="A307" s="7" t="s">
        <v>320</v>
      </c>
      <c r="B307" s="4">
        <v>45741</v>
      </c>
      <c r="C307" s="4">
        <v>45742</v>
      </c>
      <c r="D307" s="4" t="str">
        <f t="shared" si="24"/>
        <v>Valid</v>
      </c>
      <c r="E307" s="4">
        <f t="shared" si="25"/>
        <v>45742</v>
      </c>
      <c r="F307" s="13">
        <f t="shared" si="26"/>
        <v>1</v>
      </c>
      <c r="G307" s="7" t="s">
        <v>646</v>
      </c>
      <c r="H307" s="7" t="s">
        <v>651</v>
      </c>
      <c r="I307" s="7" t="s">
        <v>665</v>
      </c>
      <c r="J307" s="7" t="s">
        <v>702</v>
      </c>
      <c r="K307" s="7" t="s">
        <v>710</v>
      </c>
      <c r="L307" s="7" t="s">
        <v>715</v>
      </c>
      <c r="M307" s="7" t="s">
        <v>733</v>
      </c>
      <c r="N307" s="7" t="s">
        <v>1733</v>
      </c>
      <c r="O307" s="9">
        <v>1450.43</v>
      </c>
      <c r="P307" s="9">
        <v>1994.67</v>
      </c>
      <c r="Q307" s="9">
        <f t="shared" si="27"/>
        <v>1994.67</v>
      </c>
      <c r="R307" s="9" t="str">
        <f t="shared" si="28"/>
        <v>OK</v>
      </c>
      <c r="S307" s="11">
        <v>0.1</v>
      </c>
      <c r="T307" s="11" t="str">
        <f t="shared" si="29"/>
        <v>OK</v>
      </c>
      <c r="U307" s="13">
        <v>24</v>
      </c>
    </row>
    <row r="308" spans="1:21" x14ac:dyDescent="0.3">
      <c r="A308" s="7" t="s">
        <v>321</v>
      </c>
      <c r="B308" s="4">
        <v>45795</v>
      </c>
      <c r="C308" s="4">
        <v>45817</v>
      </c>
      <c r="D308" s="4" t="str">
        <f t="shared" si="24"/>
        <v>Valid</v>
      </c>
      <c r="E308" s="4">
        <f t="shared" si="25"/>
        <v>45817</v>
      </c>
      <c r="F308" s="13">
        <f t="shared" si="26"/>
        <v>22</v>
      </c>
      <c r="G308" s="7" t="s">
        <v>648</v>
      </c>
      <c r="H308" s="7" t="s">
        <v>1425</v>
      </c>
      <c r="I308" s="7" t="s">
        <v>700</v>
      </c>
      <c r="J308" s="7" t="s">
        <v>704</v>
      </c>
      <c r="K308" s="7" t="s">
        <v>707</v>
      </c>
      <c r="L308" s="7" t="s">
        <v>722</v>
      </c>
      <c r="M308" s="7" t="s">
        <v>729</v>
      </c>
      <c r="N308" s="7" t="s">
        <v>1734</v>
      </c>
      <c r="O308" s="9">
        <v>382.96</v>
      </c>
      <c r="P308" s="9">
        <v>552.84</v>
      </c>
      <c r="Q308" s="9">
        <f t="shared" si="27"/>
        <v>552.84</v>
      </c>
      <c r="R308" s="9" t="str">
        <f t="shared" si="28"/>
        <v>OK</v>
      </c>
      <c r="S308" s="11">
        <v>0.17599999999999999</v>
      </c>
      <c r="T308" s="11" t="str">
        <f t="shared" si="29"/>
        <v>OK</v>
      </c>
      <c r="U308" s="13">
        <v>8</v>
      </c>
    </row>
    <row r="309" spans="1:21" x14ac:dyDescent="0.3">
      <c r="A309" s="7" t="s">
        <v>322</v>
      </c>
      <c r="B309" s="4">
        <v>45679</v>
      </c>
      <c r="C309" s="4">
        <v>45692</v>
      </c>
      <c r="D309" s="4" t="str">
        <f t="shared" si="24"/>
        <v>Valid</v>
      </c>
      <c r="E309" s="4">
        <f t="shared" si="25"/>
        <v>45692</v>
      </c>
      <c r="F309" s="13">
        <f t="shared" si="26"/>
        <v>13</v>
      </c>
      <c r="G309" s="7" t="s">
        <v>647</v>
      </c>
      <c r="H309" s="7" t="s">
        <v>652</v>
      </c>
      <c r="I309" s="7" t="s">
        <v>689</v>
      </c>
      <c r="J309" s="7" t="s">
        <v>705</v>
      </c>
      <c r="K309" s="7" t="s">
        <v>710</v>
      </c>
      <c r="L309" s="7" t="s">
        <v>716</v>
      </c>
      <c r="M309" s="7" t="s">
        <v>728</v>
      </c>
      <c r="N309" s="7" t="s">
        <v>1735</v>
      </c>
      <c r="O309" s="9">
        <v>122.29</v>
      </c>
      <c r="P309" s="9">
        <v>224.95</v>
      </c>
      <c r="Q309" s="9">
        <f t="shared" si="27"/>
        <v>224.95</v>
      </c>
      <c r="R309" s="9" t="str">
        <f t="shared" si="28"/>
        <v>OK</v>
      </c>
      <c r="S309" s="11">
        <v>0.153</v>
      </c>
      <c r="T309" s="11" t="str">
        <f t="shared" si="29"/>
        <v>OK</v>
      </c>
      <c r="U309" s="13">
        <v>28</v>
      </c>
    </row>
    <row r="310" spans="1:21" x14ac:dyDescent="0.3">
      <c r="A310" s="7" t="s">
        <v>323</v>
      </c>
      <c r="B310" s="4">
        <v>44936</v>
      </c>
      <c r="C310" s="4">
        <v>44955</v>
      </c>
      <c r="D310" s="4" t="str">
        <f t="shared" si="24"/>
        <v>Valid</v>
      </c>
      <c r="E310" s="4">
        <f t="shared" si="25"/>
        <v>44955</v>
      </c>
      <c r="F310" s="13">
        <f t="shared" si="26"/>
        <v>19</v>
      </c>
      <c r="G310" s="7" t="s">
        <v>649</v>
      </c>
      <c r="H310" s="7" t="s">
        <v>657</v>
      </c>
      <c r="I310" s="7" t="s">
        <v>679</v>
      </c>
      <c r="J310" s="7" t="s">
        <v>703</v>
      </c>
      <c r="K310" s="7" t="s">
        <v>711</v>
      </c>
      <c r="L310" s="7" t="s">
        <v>726</v>
      </c>
      <c r="M310" s="7" t="s">
        <v>731</v>
      </c>
      <c r="N310" s="7" t="s">
        <v>1736</v>
      </c>
      <c r="O310" s="9">
        <v>401.66</v>
      </c>
      <c r="P310" s="9">
        <v>772.09</v>
      </c>
      <c r="Q310" s="9">
        <f t="shared" si="27"/>
        <v>772.09</v>
      </c>
      <c r="R310" s="9" t="str">
        <f t="shared" si="28"/>
        <v>OK</v>
      </c>
      <c r="S310" s="11">
        <v>8.8999999999999996E-2</v>
      </c>
      <c r="T310" s="11" t="str">
        <f t="shared" si="29"/>
        <v>OK</v>
      </c>
      <c r="U310" s="13">
        <v>14</v>
      </c>
    </row>
    <row r="311" spans="1:21" x14ac:dyDescent="0.3">
      <c r="A311" s="7" t="s">
        <v>324</v>
      </c>
      <c r="B311" s="4">
        <v>45655</v>
      </c>
      <c r="C311" s="4">
        <v>45669</v>
      </c>
      <c r="D311" s="4" t="str">
        <f t="shared" si="24"/>
        <v>Valid</v>
      </c>
      <c r="E311" s="4">
        <f t="shared" si="25"/>
        <v>45669</v>
      </c>
      <c r="F311" s="13">
        <f t="shared" si="26"/>
        <v>14</v>
      </c>
      <c r="G311" s="7" t="s">
        <v>649</v>
      </c>
      <c r="H311" s="7" t="s">
        <v>658</v>
      </c>
      <c r="I311" s="7" t="s">
        <v>693</v>
      </c>
      <c r="J311" s="7" t="s">
        <v>701</v>
      </c>
      <c r="K311" s="7" t="s">
        <v>711</v>
      </c>
      <c r="L311" s="7" t="s">
        <v>717</v>
      </c>
      <c r="M311" s="7" t="s">
        <v>732</v>
      </c>
      <c r="N311" s="7" t="s">
        <v>1737</v>
      </c>
      <c r="O311" s="9">
        <v>1399.72</v>
      </c>
      <c r="P311" s="9">
        <v>3149.21</v>
      </c>
      <c r="Q311" s="9">
        <f t="shared" si="27"/>
        <v>3149.21</v>
      </c>
      <c r="R311" s="9" t="str">
        <f t="shared" si="28"/>
        <v>OK</v>
      </c>
      <c r="S311" s="11">
        <v>0.185</v>
      </c>
      <c r="T311" s="11" t="str">
        <f t="shared" si="29"/>
        <v>OK</v>
      </c>
      <c r="U311" s="13">
        <v>12</v>
      </c>
    </row>
    <row r="312" spans="1:21" x14ac:dyDescent="0.3">
      <c r="A312" s="7" t="s">
        <v>325</v>
      </c>
      <c r="B312" s="4">
        <v>45435</v>
      </c>
      <c r="C312" s="4">
        <v>45449</v>
      </c>
      <c r="D312" s="4" t="str">
        <f t="shared" si="24"/>
        <v>Valid</v>
      </c>
      <c r="E312" s="4">
        <f t="shared" si="25"/>
        <v>45449</v>
      </c>
      <c r="F312" s="13">
        <f t="shared" si="26"/>
        <v>14</v>
      </c>
      <c r="G312" s="7" t="s">
        <v>648</v>
      </c>
      <c r="H312" s="7" t="s">
        <v>655</v>
      </c>
      <c r="I312" s="7" t="s">
        <v>1426</v>
      </c>
      <c r="J312" s="7" t="s">
        <v>703</v>
      </c>
      <c r="K312" s="7" t="s">
        <v>708</v>
      </c>
      <c r="L312" s="7" t="s">
        <v>714</v>
      </c>
      <c r="M312" s="7" t="s">
        <v>729</v>
      </c>
      <c r="N312" s="7" t="s">
        <v>1738</v>
      </c>
      <c r="O312" s="9">
        <v>51.13</v>
      </c>
      <c r="P312" s="9">
        <v>57.53</v>
      </c>
      <c r="Q312" s="9">
        <f t="shared" si="27"/>
        <v>57.53</v>
      </c>
      <c r="R312" s="9" t="str">
        <f t="shared" si="28"/>
        <v>OK</v>
      </c>
      <c r="S312" s="11">
        <v>4.4999999999999998E-2</v>
      </c>
      <c r="T312" s="11" t="str">
        <f t="shared" si="29"/>
        <v>OK</v>
      </c>
      <c r="U312" s="13">
        <v>16</v>
      </c>
    </row>
    <row r="313" spans="1:21" x14ac:dyDescent="0.3">
      <c r="A313" s="7" t="s">
        <v>326</v>
      </c>
      <c r="B313" s="4">
        <v>45101</v>
      </c>
      <c r="C313" s="4">
        <v>45099</v>
      </c>
      <c r="D313" s="4" t="str">
        <f t="shared" si="24"/>
        <v>Invalid</v>
      </c>
      <c r="E313" s="4">
        <f t="shared" si="25"/>
        <v>45101</v>
      </c>
      <c r="F313" s="13">
        <f t="shared" si="26"/>
        <v>0</v>
      </c>
      <c r="G313" s="7" t="s">
        <v>648</v>
      </c>
      <c r="H313" s="7" t="s">
        <v>653</v>
      </c>
      <c r="I313" s="7" t="s">
        <v>667</v>
      </c>
      <c r="J313" s="7" t="s">
        <v>703</v>
      </c>
      <c r="K313" s="7" t="s">
        <v>707</v>
      </c>
      <c r="L313" s="7" t="s">
        <v>724</v>
      </c>
      <c r="M313" s="7" t="s">
        <v>733</v>
      </c>
      <c r="N313" s="7" t="s">
        <v>1739</v>
      </c>
      <c r="O313" s="9">
        <v>471.42</v>
      </c>
      <c r="P313" s="9">
        <v>824.81</v>
      </c>
      <c r="Q313" s="9">
        <f t="shared" si="27"/>
        <v>824.81</v>
      </c>
      <c r="R313" s="9" t="str">
        <f t="shared" si="28"/>
        <v>OK</v>
      </c>
      <c r="S313" s="11">
        <v>8.7999999999999995E-2</v>
      </c>
      <c r="T313" s="11" t="str">
        <f t="shared" si="29"/>
        <v>OK</v>
      </c>
      <c r="U313" s="13">
        <v>15</v>
      </c>
    </row>
    <row r="314" spans="1:21" x14ac:dyDescent="0.3">
      <c r="A314" s="7" t="s">
        <v>327</v>
      </c>
      <c r="B314" s="4">
        <v>45600</v>
      </c>
      <c r="C314" s="4">
        <v>45601</v>
      </c>
      <c r="D314" s="4" t="str">
        <f t="shared" si="24"/>
        <v>Valid</v>
      </c>
      <c r="E314" s="4">
        <f t="shared" si="25"/>
        <v>45601</v>
      </c>
      <c r="F314" s="13">
        <f t="shared" si="26"/>
        <v>1</v>
      </c>
      <c r="G314" s="7" t="s">
        <v>649</v>
      </c>
      <c r="H314" s="7" t="s">
        <v>658</v>
      </c>
      <c r="I314" s="7" t="s">
        <v>683</v>
      </c>
      <c r="J314" s="7" t="s">
        <v>701</v>
      </c>
      <c r="K314" s="7" t="s">
        <v>707</v>
      </c>
      <c r="L314" s="7" t="s">
        <v>724</v>
      </c>
      <c r="M314" s="7" t="s">
        <v>728</v>
      </c>
      <c r="N314" s="7" t="s">
        <v>1740</v>
      </c>
      <c r="O314" s="9">
        <v>840.68</v>
      </c>
      <c r="P314" s="9">
        <v>1493.53</v>
      </c>
      <c r="Q314" s="9">
        <f t="shared" si="27"/>
        <v>1493.53</v>
      </c>
      <c r="R314" s="9" t="str">
        <f t="shared" si="28"/>
        <v>OK</v>
      </c>
      <c r="S314" s="11">
        <v>0</v>
      </c>
      <c r="T314" s="11" t="str">
        <f t="shared" si="29"/>
        <v>OK</v>
      </c>
      <c r="U314" s="13">
        <v>27</v>
      </c>
    </row>
    <row r="315" spans="1:21" x14ac:dyDescent="0.3">
      <c r="A315" s="7" t="s">
        <v>328</v>
      </c>
      <c r="B315" s="4">
        <v>45451</v>
      </c>
      <c r="C315" s="4">
        <v>45467</v>
      </c>
      <c r="D315" s="4" t="str">
        <f t="shared" si="24"/>
        <v>Valid</v>
      </c>
      <c r="E315" s="4">
        <f t="shared" si="25"/>
        <v>45467</v>
      </c>
      <c r="F315" s="13">
        <f t="shared" si="26"/>
        <v>16</v>
      </c>
      <c r="G315" s="7" t="s">
        <v>646</v>
      </c>
      <c r="H315" s="7" t="s">
        <v>661</v>
      </c>
      <c r="I315" s="7" t="s">
        <v>687</v>
      </c>
      <c r="J315" s="7" t="s">
        <v>702</v>
      </c>
      <c r="K315" s="7" t="s">
        <v>710</v>
      </c>
      <c r="L315" s="7" t="s">
        <v>722</v>
      </c>
      <c r="M315" s="7" t="s">
        <v>732</v>
      </c>
      <c r="N315" s="7" t="s">
        <v>1741</v>
      </c>
      <c r="O315" s="9">
        <v>597.85</v>
      </c>
      <c r="P315" s="9">
        <v>741.92</v>
      </c>
      <c r="Q315" s="9">
        <f t="shared" si="27"/>
        <v>741.92</v>
      </c>
      <c r="R315" s="9" t="str">
        <f t="shared" si="28"/>
        <v>OK</v>
      </c>
      <c r="S315" s="11">
        <v>3.1E-2</v>
      </c>
      <c r="T315" s="11" t="str">
        <f t="shared" si="29"/>
        <v>OK</v>
      </c>
      <c r="U315" s="13">
        <v>7</v>
      </c>
    </row>
    <row r="316" spans="1:21" x14ac:dyDescent="0.3">
      <c r="A316" s="7" t="s">
        <v>329</v>
      </c>
      <c r="B316" s="4">
        <v>45809</v>
      </c>
      <c r="C316" s="4">
        <v>45814</v>
      </c>
      <c r="D316" s="4" t="str">
        <f t="shared" si="24"/>
        <v>Valid</v>
      </c>
      <c r="E316" s="4">
        <f t="shared" si="25"/>
        <v>45814</v>
      </c>
      <c r="F316" s="13">
        <f t="shared" si="26"/>
        <v>5</v>
      </c>
      <c r="G316" s="7" t="s">
        <v>649</v>
      </c>
      <c r="H316" s="7" t="s">
        <v>657</v>
      </c>
      <c r="I316" s="7" t="s">
        <v>690</v>
      </c>
      <c r="J316" s="7" t="s">
        <v>704</v>
      </c>
      <c r="K316" s="7" t="s">
        <v>710</v>
      </c>
      <c r="L316" s="7" t="s">
        <v>715</v>
      </c>
      <c r="M316" s="7" t="s">
        <v>727</v>
      </c>
      <c r="N316" s="7" t="s">
        <v>1742</v>
      </c>
      <c r="O316" s="9">
        <v>379.45</v>
      </c>
      <c r="P316" s="9">
        <v>742.23</v>
      </c>
      <c r="Q316" s="9">
        <f t="shared" si="27"/>
        <v>742.23</v>
      </c>
      <c r="R316" s="9" t="str">
        <f t="shared" si="28"/>
        <v>OK</v>
      </c>
      <c r="S316" s="11">
        <v>0.09</v>
      </c>
      <c r="T316" s="11" t="str">
        <f t="shared" si="29"/>
        <v>OK</v>
      </c>
      <c r="U316" s="13">
        <v>13</v>
      </c>
    </row>
    <row r="317" spans="1:21" x14ac:dyDescent="0.3">
      <c r="A317" s="7" t="s">
        <v>330</v>
      </c>
      <c r="B317" s="4">
        <v>45052</v>
      </c>
      <c r="C317" s="4">
        <v>45060</v>
      </c>
      <c r="D317" s="4" t="str">
        <f t="shared" si="24"/>
        <v>Valid</v>
      </c>
      <c r="E317" s="4">
        <f t="shared" si="25"/>
        <v>45060</v>
      </c>
      <c r="F317" s="13">
        <f t="shared" si="26"/>
        <v>8</v>
      </c>
      <c r="G317" s="7" t="s">
        <v>647</v>
      </c>
      <c r="H317" s="7" t="s">
        <v>652</v>
      </c>
      <c r="I317" s="7" t="s">
        <v>666</v>
      </c>
      <c r="J317" s="7" t="s">
        <v>706</v>
      </c>
      <c r="K317" s="7" t="s">
        <v>709</v>
      </c>
      <c r="L317" s="7" t="s">
        <v>717</v>
      </c>
      <c r="M317" s="7" t="s">
        <v>730</v>
      </c>
      <c r="N317" s="7" t="s">
        <v>1743</v>
      </c>
      <c r="O317" s="9">
        <v>291.18</v>
      </c>
      <c r="P317" s="9">
        <v>479.54</v>
      </c>
      <c r="Q317" s="9">
        <f t="shared" si="27"/>
        <v>479.54</v>
      </c>
      <c r="R317" s="9" t="str">
        <f t="shared" si="28"/>
        <v>OK</v>
      </c>
      <c r="S317" s="11">
        <v>0.14099999999999999</v>
      </c>
      <c r="T317" s="11" t="str">
        <f t="shared" si="29"/>
        <v>OK</v>
      </c>
      <c r="U317" s="13">
        <v>22</v>
      </c>
    </row>
    <row r="318" spans="1:21" x14ac:dyDescent="0.3">
      <c r="A318" s="7" t="s">
        <v>331</v>
      </c>
      <c r="B318" s="4">
        <v>45244</v>
      </c>
      <c r="C318" s="4">
        <v>45260</v>
      </c>
      <c r="D318" s="4" t="str">
        <f t="shared" si="24"/>
        <v>Valid</v>
      </c>
      <c r="E318" s="4">
        <f t="shared" si="25"/>
        <v>45260</v>
      </c>
      <c r="F318" s="13">
        <f t="shared" si="26"/>
        <v>16</v>
      </c>
      <c r="G318" s="7" t="s">
        <v>648</v>
      </c>
      <c r="H318" s="7" t="s">
        <v>655</v>
      </c>
      <c r="I318" s="7" t="s">
        <v>670</v>
      </c>
      <c r="J318" s="7" t="s">
        <v>706</v>
      </c>
      <c r="K318" s="7" t="s">
        <v>711</v>
      </c>
      <c r="L318" s="7" t="s">
        <v>723</v>
      </c>
      <c r="M318" s="7" t="s">
        <v>729</v>
      </c>
      <c r="N318" s="7" t="s">
        <v>1744</v>
      </c>
      <c r="O318" s="9">
        <v>1017.92</v>
      </c>
      <c r="P318" s="9">
        <v>1175.25</v>
      </c>
      <c r="Q318" s="9">
        <f t="shared" si="27"/>
        <v>1175.25</v>
      </c>
      <c r="R318" s="9" t="str">
        <f t="shared" si="28"/>
        <v>OK</v>
      </c>
      <c r="S318" s="11">
        <v>7.4999999999999997E-2</v>
      </c>
      <c r="T318" s="11" t="str">
        <f t="shared" si="29"/>
        <v>OK</v>
      </c>
      <c r="U318" s="13">
        <v>15</v>
      </c>
    </row>
    <row r="319" spans="1:21" x14ac:dyDescent="0.3">
      <c r="A319" s="7" t="s">
        <v>332</v>
      </c>
      <c r="B319" s="4">
        <v>45748</v>
      </c>
      <c r="C319" s="4">
        <v>45774</v>
      </c>
      <c r="D319" s="4" t="str">
        <f t="shared" si="24"/>
        <v>Valid</v>
      </c>
      <c r="E319" s="4">
        <f t="shared" si="25"/>
        <v>45774</v>
      </c>
      <c r="F319" s="13">
        <f t="shared" si="26"/>
        <v>26</v>
      </c>
      <c r="G319" s="7" t="s">
        <v>648</v>
      </c>
      <c r="H319" s="7" t="s">
        <v>1425</v>
      </c>
      <c r="I319" s="7" t="s">
        <v>686</v>
      </c>
      <c r="J319" s="7" t="s">
        <v>701</v>
      </c>
      <c r="K319" s="7" t="s">
        <v>711</v>
      </c>
      <c r="L319" s="7" t="s">
        <v>714</v>
      </c>
      <c r="M319" s="7" t="s">
        <v>732</v>
      </c>
      <c r="N319" s="7" t="s">
        <v>1745</v>
      </c>
      <c r="O319" s="9">
        <v>156.55000000000001</v>
      </c>
      <c r="P319" s="9">
        <v>227.45</v>
      </c>
      <c r="Q319" s="9">
        <f t="shared" si="27"/>
        <v>227.45</v>
      </c>
      <c r="R319" s="9" t="str">
        <f t="shared" si="28"/>
        <v>OK</v>
      </c>
      <c r="S319" s="11">
        <v>1.4E-2</v>
      </c>
      <c r="T319" s="11" t="str">
        <f t="shared" si="29"/>
        <v>OK</v>
      </c>
      <c r="U319" s="13">
        <v>13</v>
      </c>
    </row>
    <row r="320" spans="1:21" x14ac:dyDescent="0.3">
      <c r="A320" s="7" t="s">
        <v>333</v>
      </c>
      <c r="B320" s="4">
        <v>45008</v>
      </c>
      <c r="C320" s="4">
        <v>45031</v>
      </c>
      <c r="D320" s="4" t="str">
        <f t="shared" si="24"/>
        <v>Valid</v>
      </c>
      <c r="E320" s="4">
        <f t="shared" si="25"/>
        <v>45031</v>
      </c>
      <c r="F320" s="13">
        <f t="shared" si="26"/>
        <v>23</v>
      </c>
      <c r="G320" s="7" t="s">
        <v>646</v>
      </c>
      <c r="H320" s="7" t="s">
        <v>650</v>
      </c>
      <c r="I320" s="7" t="s">
        <v>675</v>
      </c>
      <c r="J320" s="7" t="s">
        <v>705</v>
      </c>
      <c r="K320" s="7" t="s">
        <v>707</v>
      </c>
      <c r="L320" s="7" t="s">
        <v>712</v>
      </c>
      <c r="M320" s="7" t="s">
        <v>733</v>
      </c>
      <c r="N320" s="7" t="s">
        <v>1746</v>
      </c>
      <c r="O320" s="9">
        <v>875.36</v>
      </c>
      <c r="P320" s="9">
        <v>1178.6199999999999</v>
      </c>
      <c r="Q320" s="9">
        <f t="shared" si="27"/>
        <v>1178.6199999999999</v>
      </c>
      <c r="R320" s="9" t="str">
        <f t="shared" si="28"/>
        <v>OK</v>
      </c>
      <c r="S320" s="11">
        <v>0.151</v>
      </c>
      <c r="T320" s="11" t="str">
        <f t="shared" si="29"/>
        <v>OK</v>
      </c>
      <c r="U320" s="13">
        <v>53</v>
      </c>
    </row>
    <row r="321" spans="1:21" x14ac:dyDescent="0.3">
      <c r="A321" s="7" t="s">
        <v>334</v>
      </c>
      <c r="B321" s="4">
        <v>45440</v>
      </c>
      <c r="C321" s="4">
        <v>45461</v>
      </c>
      <c r="D321" s="4" t="str">
        <f t="shared" si="24"/>
        <v>Valid</v>
      </c>
      <c r="E321" s="4">
        <f t="shared" si="25"/>
        <v>45461</v>
      </c>
      <c r="F321" s="13">
        <f t="shared" si="26"/>
        <v>21</v>
      </c>
      <c r="G321" s="7" t="s">
        <v>649</v>
      </c>
      <c r="H321" s="7" t="s">
        <v>656</v>
      </c>
      <c r="I321" s="7" t="s">
        <v>698</v>
      </c>
      <c r="J321" s="7" t="s">
        <v>705</v>
      </c>
      <c r="K321" s="7" t="s">
        <v>708</v>
      </c>
      <c r="L321" s="7" t="s">
        <v>718</v>
      </c>
      <c r="M321" s="7" t="s">
        <v>730</v>
      </c>
      <c r="N321" s="7" t="s">
        <v>1747</v>
      </c>
      <c r="O321" s="9">
        <v>986.85</v>
      </c>
      <c r="P321" s="9">
        <v>2422.1</v>
      </c>
      <c r="Q321" s="9">
        <f t="shared" si="27"/>
        <v>2422.1</v>
      </c>
      <c r="R321" s="9" t="str">
        <f t="shared" si="28"/>
        <v>OK</v>
      </c>
      <c r="S321" s="11">
        <v>7.5999999999999998E-2</v>
      </c>
      <c r="T321" s="11" t="str">
        <f t="shared" si="29"/>
        <v>OK</v>
      </c>
      <c r="U321" s="13">
        <v>10</v>
      </c>
    </row>
    <row r="322" spans="1:21" x14ac:dyDescent="0.3">
      <c r="A322" s="7" t="s">
        <v>335</v>
      </c>
      <c r="B322" s="4">
        <v>45293</v>
      </c>
      <c r="C322" s="4">
        <v>45292</v>
      </c>
      <c r="D322" s="4" t="str">
        <f t="shared" si="24"/>
        <v>Invalid</v>
      </c>
      <c r="E322" s="4">
        <f t="shared" si="25"/>
        <v>45293</v>
      </c>
      <c r="F322" s="13">
        <f t="shared" si="26"/>
        <v>0</v>
      </c>
      <c r="G322" s="7" t="s">
        <v>648</v>
      </c>
      <c r="H322" s="7" t="s">
        <v>1425</v>
      </c>
      <c r="I322" s="7" t="s">
        <v>677</v>
      </c>
      <c r="J322" s="7" t="s">
        <v>702</v>
      </c>
      <c r="K322" s="7" t="s">
        <v>709</v>
      </c>
      <c r="L322" s="7" t="s">
        <v>717</v>
      </c>
      <c r="M322" s="7" t="s">
        <v>729</v>
      </c>
      <c r="N322" s="7" t="s">
        <v>1748</v>
      </c>
      <c r="O322" s="9">
        <v>404.77</v>
      </c>
      <c r="P322" s="9">
        <v>433.88</v>
      </c>
      <c r="Q322" s="9">
        <f t="shared" si="27"/>
        <v>433.88</v>
      </c>
      <c r="R322" s="9" t="str">
        <f t="shared" si="28"/>
        <v>OK</v>
      </c>
      <c r="S322" s="11">
        <v>0.215</v>
      </c>
      <c r="T322" s="11" t="str">
        <f t="shared" si="29"/>
        <v>OK</v>
      </c>
      <c r="U322" s="13">
        <v>22</v>
      </c>
    </row>
    <row r="323" spans="1:21" x14ac:dyDescent="0.3">
      <c r="A323" s="7" t="s">
        <v>336</v>
      </c>
      <c r="B323" s="4">
        <v>44985</v>
      </c>
      <c r="C323" s="4">
        <v>44984</v>
      </c>
      <c r="D323" s="4" t="str">
        <f t="shared" ref="D323:D386" si="30">IF(C323&lt;B323,"Invalid","Valid")</f>
        <v>Invalid</v>
      </c>
      <c r="E323" s="4">
        <f t="shared" ref="E323:E386" si="31">IF(C323&lt;B323,B323,C323)</f>
        <v>44985</v>
      </c>
      <c r="F323" s="13">
        <f t="shared" ref="F323:F386" si="32">E323-B323</f>
        <v>0</v>
      </c>
      <c r="G323" s="7" t="s">
        <v>649</v>
      </c>
      <c r="H323" s="7" t="s">
        <v>657</v>
      </c>
      <c r="I323" s="7" t="s">
        <v>673</v>
      </c>
      <c r="J323" s="7" t="s">
        <v>701</v>
      </c>
      <c r="K323" s="7" t="s">
        <v>707</v>
      </c>
      <c r="L323" s="7" t="s">
        <v>723</v>
      </c>
      <c r="M323" s="7" t="s">
        <v>729</v>
      </c>
      <c r="N323" s="7" t="s">
        <v>1749</v>
      </c>
      <c r="O323" s="9">
        <v>1299.81</v>
      </c>
      <c r="P323" s="9">
        <v>3149.13</v>
      </c>
      <c r="Q323" s="9">
        <f t="shared" ref="Q323:Q386" si="33">ABS(P323)</f>
        <v>3149.13</v>
      </c>
      <c r="R323" s="9" t="str">
        <f t="shared" ref="R323:R386" si="34">IF(P323&lt;=0,"FLAG","OK")</f>
        <v>OK</v>
      </c>
      <c r="S323" s="11">
        <v>0.10299999999999999</v>
      </c>
      <c r="T323" s="11" t="str">
        <f t="shared" ref="T323:T386" si="35">IF(S323&gt;30%,"FLAG","OK")</f>
        <v>OK</v>
      </c>
      <c r="U323" s="13">
        <v>14</v>
      </c>
    </row>
    <row r="324" spans="1:21" x14ac:dyDescent="0.3">
      <c r="A324" s="7" t="s">
        <v>337</v>
      </c>
      <c r="B324" s="4">
        <v>45340</v>
      </c>
      <c r="C324" s="4">
        <v>45362</v>
      </c>
      <c r="D324" s="4" t="str">
        <f t="shared" si="30"/>
        <v>Valid</v>
      </c>
      <c r="E324" s="4">
        <f t="shared" si="31"/>
        <v>45362</v>
      </c>
      <c r="F324" s="13">
        <f t="shared" si="32"/>
        <v>22</v>
      </c>
      <c r="G324" s="7" t="s">
        <v>648</v>
      </c>
      <c r="H324" s="7" t="s">
        <v>655</v>
      </c>
      <c r="I324" s="7" t="s">
        <v>670</v>
      </c>
      <c r="J324" s="7" t="s">
        <v>704</v>
      </c>
      <c r="K324" s="7" t="s">
        <v>708</v>
      </c>
      <c r="L324" s="7" t="s">
        <v>720</v>
      </c>
      <c r="M324" s="7" t="s">
        <v>727</v>
      </c>
      <c r="N324" s="7" t="s">
        <v>1750</v>
      </c>
      <c r="O324" s="9">
        <v>80.48</v>
      </c>
      <c r="P324" s="9">
        <v>65.650000000000006</v>
      </c>
      <c r="Q324" s="9">
        <f t="shared" si="33"/>
        <v>65.650000000000006</v>
      </c>
      <c r="R324" s="9" t="str">
        <f t="shared" si="34"/>
        <v>OK</v>
      </c>
      <c r="S324" s="11">
        <v>0.17599999999999999</v>
      </c>
      <c r="T324" s="11" t="str">
        <f t="shared" si="35"/>
        <v>OK</v>
      </c>
      <c r="U324" s="13">
        <v>13</v>
      </c>
    </row>
    <row r="325" spans="1:21" x14ac:dyDescent="0.3">
      <c r="A325" s="7" t="s">
        <v>338</v>
      </c>
      <c r="B325" s="4">
        <v>45544</v>
      </c>
      <c r="C325" s="4">
        <v>45573</v>
      </c>
      <c r="D325" s="4" t="str">
        <f t="shared" si="30"/>
        <v>Valid</v>
      </c>
      <c r="E325" s="4">
        <f t="shared" si="31"/>
        <v>45573</v>
      </c>
      <c r="F325" s="13">
        <f t="shared" si="32"/>
        <v>29</v>
      </c>
      <c r="G325" s="7" t="s">
        <v>648</v>
      </c>
      <c r="H325" s="7" t="s">
        <v>655</v>
      </c>
      <c r="I325" s="7" t="s">
        <v>670</v>
      </c>
      <c r="J325" s="7" t="s">
        <v>702</v>
      </c>
      <c r="K325" s="7" t="s">
        <v>711</v>
      </c>
      <c r="L325" s="7" t="s">
        <v>713</v>
      </c>
      <c r="M325" s="7" t="s">
        <v>727</v>
      </c>
      <c r="N325" s="7" t="s">
        <v>1751</v>
      </c>
      <c r="O325" s="9">
        <v>1010.33</v>
      </c>
      <c r="P325" s="9">
        <v>2492.14</v>
      </c>
      <c r="Q325" s="9">
        <f t="shared" si="33"/>
        <v>2492.14</v>
      </c>
      <c r="R325" s="9" t="str">
        <f t="shared" si="34"/>
        <v>OK</v>
      </c>
      <c r="S325" s="11">
        <v>5.0999999999999997E-2</v>
      </c>
      <c r="T325" s="11" t="str">
        <f t="shared" si="35"/>
        <v>OK</v>
      </c>
      <c r="U325" s="13">
        <v>11</v>
      </c>
    </row>
    <row r="326" spans="1:21" x14ac:dyDescent="0.3">
      <c r="A326" s="7" t="s">
        <v>339</v>
      </c>
      <c r="B326" s="4">
        <v>45053</v>
      </c>
      <c r="C326" s="4">
        <v>45075</v>
      </c>
      <c r="D326" s="4" t="str">
        <f t="shared" si="30"/>
        <v>Valid</v>
      </c>
      <c r="E326" s="4">
        <f t="shared" si="31"/>
        <v>45075</v>
      </c>
      <c r="F326" s="13">
        <f t="shared" si="32"/>
        <v>22</v>
      </c>
      <c r="G326" s="7" t="s">
        <v>646</v>
      </c>
      <c r="H326" s="7" t="s">
        <v>661</v>
      </c>
      <c r="I326" s="7" t="s">
        <v>687</v>
      </c>
      <c r="J326" s="7" t="s">
        <v>702</v>
      </c>
      <c r="K326" s="7" t="s">
        <v>710</v>
      </c>
      <c r="L326" s="7" t="s">
        <v>723</v>
      </c>
      <c r="M326" s="7" t="s">
        <v>733</v>
      </c>
      <c r="N326" s="7" t="s">
        <v>1752</v>
      </c>
      <c r="O326" s="9">
        <v>653.86</v>
      </c>
      <c r="P326" s="9">
        <v>931.84</v>
      </c>
      <c r="Q326" s="9">
        <f t="shared" si="33"/>
        <v>931.84</v>
      </c>
      <c r="R326" s="9" t="str">
        <f t="shared" si="34"/>
        <v>OK</v>
      </c>
      <c r="S326" s="11">
        <v>0.121</v>
      </c>
      <c r="T326" s="11" t="str">
        <f t="shared" si="35"/>
        <v>OK</v>
      </c>
      <c r="U326" s="13">
        <v>12</v>
      </c>
    </row>
    <row r="327" spans="1:21" x14ac:dyDescent="0.3">
      <c r="A327" s="7" t="s">
        <v>340</v>
      </c>
      <c r="B327" s="4">
        <v>45303</v>
      </c>
      <c r="C327" s="4">
        <v>45320</v>
      </c>
      <c r="D327" s="4" t="str">
        <f t="shared" si="30"/>
        <v>Valid</v>
      </c>
      <c r="E327" s="4">
        <f t="shared" si="31"/>
        <v>45320</v>
      </c>
      <c r="F327" s="13">
        <f t="shared" si="32"/>
        <v>17</v>
      </c>
      <c r="G327" s="7" t="s">
        <v>647</v>
      </c>
      <c r="H327" s="7" t="s">
        <v>654</v>
      </c>
      <c r="I327" s="7" t="s">
        <v>696</v>
      </c>
      <c r="J327" s="7" t="s">
        <v>705</v>
      </c>
      <c r="K327" s="7" t="s">
        <v>711</v>
      </c>
      <c r="L327" s="7" t="s">
        <v>717</v>
      </c>
      <c r="M327" s="7" t="s">
        <v>727</v>
      </c>
      <c r="N327" s="7" t="s">
        <v>1753</v>
      </c>
      <c r="O327" s="9">
        <v>310.02</v>
      </c>
      <c r="P327" s="9">
        <v>619.51</v>
      </c>
      <c r="Q327" s="9">
        <f t="shared" si="33"/>
        <v>619.51</v>
      </c>
      <c r="R327" s="9" t="str">
        <f t="shared" si="34"/>
        <v>OK</v>
      </c>
      <c r="S327" s="11">
        <v>4.2000000000000003E-2</v>
      </c>
      <c r="T327" s="11" t="str">
        <f t="shared" si="35"/>
        <v>OK</v>
      </c>
      <c r="U327" s="13">
        <v>4</v>
      </c>
    </row>
    <row r="328" spans="1:21" x14ac:dyDescent="0.3">
      <c r="A328" s="7" t="s">
        <v>341</v>
      </c>
      <c r="B328" s="4">
        <v>45087</v>
      </c>
      <c r="C328" s="4">
        <v>45095</v>
      </c>
      <c r="D328" s="4" t="str">
        <f t="shared" si="30"/>
        <v>Valid</v>
      </c>
      <c r="E328" s="4">
        <f t="shared" si="31"/>
        <v>45095</v>
      </c>
      <c r="F328" s="13">
        <f t="shared" si="32"/>
        <v>8</v>
      </c>
      <c r="G328" s="7" t="s">
        <v>646</v>
      </c>
      <c r="H328" s="7" t="s">
        <v>650</v>
      </c>
      <c r="I328" s="7" t="s">
        <v>678</v>
      </c>
      <c r="J328" s="7" t="s">
        <v>706</v>
      </c>
      <c r="K328" s="7" t="s">
        <v>711</v>
      </c>
      <c r="L328" s="7" t="s">
        <v>722</v>
      </c>
      <c r="M328" s="7" t="s">
        <v>730</v>
      </c>
      <c r="N328" s="7" t="s">
        <v>1754</v>
      </c>
      <c r="O328" s="9">
        <v>894.23</v>
      </c>
      <c r="P328" s="9">
        <v>1421.55</v>
      </c>
      <c r="Q328" s="9">
        <f t="shared" si="33"/>
        <v>1421.55</v>
      </c>
      <c r="R328" s="9" t="str">
        <f t="shared" si="34"/>
        <v>OK</v>
      </c>
      <c r="S328" s="11">
        <v>0.109</v>
      </c>
      <c r="T328" s="11" t="str">
        <f t="shared" si="35"/>
        <v>OK</v>
      </c>
      <c r="U328" s="13">
        <v>3</v>
      </c>
    </row>
    <row r="329" spans="1:21" x14ac:dyDescent="0.3">
      <c r="A329" s="7" t="s">
        <v>342</v>
      </c>
      <c r="B329" s="4">
        <v>45796</v>
      </c>
      <c r="C329" s="4">
        <v>45794</v>
      </c>
      <c r="D329" s="4" t="str">
        <f t="shared" si="30"/>
        <v>Invalid</v>
      </c>
      <c r="E329" s="4">
        <f t="shared" si="31"/>
        <v>45796</v>
      </c>
      <c r="F329" s="13">
        <f t="shared" si="32"/>
        <v>0</v>
      </c>
      <c r="G329" s="7" t="s">
        <v>648</v>
      </c>
      <c r="H329" s="7" t="s">
        <v>655</v>
      </c>
      <c r="I329" s="7" t="s">
        <v>670</v>
      </c>
      <c r="J329" s="7" t="s">
        <v>705</v>
      </c>
      <c r="K329" s="7" t="s">
        <v>710</v>
      </c>
      <c r="L329" s="7" t="s">
        <v>716</v>
      </c>
      <c r="M329" s="7" t="s">
        <v>732</v>
      </c>
      <c r="N329" s="7" t="s">
        <v>1755</v>
      </c>
      <c r="O329" s="9">
        <v>383.77</v>
      </c>
      <c r="P329" s="9">
        <v>952.56</v>
      </c>
      <c r="Q329" s="9">
        <f t="shared" si="33"/>
        <v>952.56</v>
      </c>
      <c r="R329" s="9" t="str">
        <f t="shared" si="34"/>
        <v>OK</v>
      </c>
      <c r="S329" s="11">
        <v>0.34599999999999997</v>
      </c>
      <c r="T329" s="11" t="str">
        <f t="shared" si="35"/>
        <v>FLAG</v>
      </c>
      <c r="U329" s="13">
        <v>10</v>
      </c>
    </row>
    <row r="330" spans="1:21" x14ac:dyDescent="0.3">
      <c r="A330" s="7" t="s">
        <v>343</v>
      </c>
      <c r="B330" s="4">
        <v>45221</v>
      </c>
      <c r="C330" s="4">
        <v>45246</v>
      </c>
      <c r="D330" s="4" t="str">
        <f t="shared" si="30"/>
        <v>Valid</v>
      </c>
      <c r="E330" s="4">
        <f t="shared" si="31"/>
        <v>45246</v>
      </c>
      <c r="F330" s="13">
        <f t="shared" si="32"/>
        <v>25</v>
      </c>
      <c r="G330" s="7" t="s">
        <v>648</v>
      </c>
      <c r="H330" s="7" t="s">
        <v>653</v>
      </c>
      <c r="I330" s="7" t="s">
        <v>667</v>
      </c>
      <c r="J330" s="7" t="s">
        <v>705</v>
      </c>
      <c r="K330" s="7" t="s">
        <v>709</v>
      </c>
      <c r="L330" s="7" t="s">
        <v>714</v>
      </c>
      <c r="M330" s="7" t="s">
        <v>731</v>
      </c>
      <c r="N330" s="7" t="s">
        <v>1756</v>
      </c>
      <c r="O330" s="9">
        <v>1373.31</v>
      </c>
      <c r="P330" s="9">
        <v>3154.14</v>
      </c>
      <c r="Q330" s="9">
        <f t="shared" si="33"/>
        <v>3154.14</v>
      </c>
      <c r="R330" s="9" t="str">
        <f t="shared" si="34"/>
        <v>OK</v>
      </c>
      <c r="S330" s="11">
        <v>0.2</v>
      </c>
      <c r="T330" s="11" t="str">
        <f t="shared" si="35"/>
        <v>OK</v>
      </c>
      <c r="U330" s="13">
        <v>11</v>
      </c>
    </row>
    <row r="331" spans="1:21" x14ac:dyDescent="0.3">
      <c r="A331" s="7" t="s">
        <v>344</v>
      </c>
      <c r="B331" s="4">
        <v>45668</v>
      </c>
      <c r="C331" s="4">
        <v>45680</v>
      </c>
      <c r="D331" s="4" t="str">
        <f t="shared" si="30"/>
        <v>Valid</v>
      </c>
      <c r="E331" s="4">
        <f t="shared" si="31"/>
        <v>45680</v>
      </c>
      <c r="F331" s="13">
        <f t="shared" si="32"/>
        <v>12</v>
      </c>
      <c r="G331" s="7" t="s">
        <v>648</v>
      </c>
      <c r="H331" s="7" t="s">
        <v>1425</v>
      </c>
      <c r="I331" s="7" t="s">
        <v>697</v>
      </c>
      <c r="J331" s="7" t="s">
        <v>704</v>
      </c>
      <c r="K331" s="7" t="s">
        <v>710</v>
      </c>
      <c r="L331" s="7" t="s">
        <v>722</v>
      </c>
      <c r="M331" s="7" t="s">
        <v>730</v>
      </c>
      <c r="N331" s="7" t="s">
        <v>1757</v>
      </c>
      <c r="O331" s="9">
        <v>100.69</v>
      </c>
      <c r="P331" s="9">
        <v>226.14</v>
      </c>
      <c r="Q331" s="9">
        <f t="shared" si="33"/>
        <v>226.14</v>
      </c>
      <c r="R331" s="9" t="str">
        <f t="shared" si="34"/>
        <v>OK</v>
      </c>
      <c r="S331" s="11">
        <v>6.5000000000000002E-2</v>
      </c>
      <c r="T331" s="11" t="str">
        <f t="shared" si="35"/>
        <v>OK</v>
      </c>
      <c r="U331" s="13">
        <v>12</v>
      </c>
    </row>
    <row r="332" spans="1:21" x14ac:dyDescent="0.3">
      <c r="A332" s="7" t="s">
        <v>345</v>
      </c>
      <c r="B332" s="4">
        <v>45914</v>
      </c>
      <c r="C332" s="4">
        <v>45926</v>
      </c>
      <c r="D332" s="4" t="str">
        <f t="shared" si="30"/>
        <v>Valid</v>
      </c>
      <c r="E332" s="4">
        <f t="shared" si="31"/>
        <v>45926</v>
      </c>
      <c r="F332" s="13">
        <f t="shared" si="32"/>
        <v>12</v>
      </c>
      <c r="G332" s="7" t="s">
        <v>649</v>
      </c>
      <c r="H332" s="7" t="s">
        <v>658</v>
      </c>
      <c r="I332" s="7" t="s">
        <v>683</v>
      </c>
      <c r="J332" s="7" t="s">
        <v>705</v>
      </c>
      <c r="K332" s="7" t="s">
        <v>711</v>
      </c>
      <c r="L332" s="7" t="s">
        <v>725</v>
      </c>
      <c r="M332" s="7" t="s">
        <v>729</v>
      </c>
      <c r="N332" s="7" t="s">
        <v>1758</v>
      </c>
      <c r="O332" s="9">
        <v>425.15</v>
      </c>
      <c r="P332" s="9">
        <v>885.92</v>
      </c>
      <c r="Q332" s="9">
        <f t="shared" si="33"/>
        <v>885.92</v>
      </c>
      <c r="R332" s="9" t="str">
        <f t="shared" si="34"/>
        <v>OK</v>
      </c>
      <c r="S332" s="11">
        <v>0.23899999999999999</v>
      </c>
      <c r="T332" s="11" t="str">
        <f t="shared" si="35"/>
        <v>OK</v>
      </c>
      <c r="U332" s="13">
        <v>13</v>
      </c>
    </row>
    <row r="333" spans="1:21" x14ac:dyDescent="0.3">
      <c r="A333" s="7" t="s">
        <v>346</v>
      </c>
      <c r="B333" s="4">
        <v>45168</v>
      </c>
      <c r="C333" s="4">
        <v>45172</v>
      </c>
      <c r="D333" s="4" t="str">
        <f t="shared" si="30"/>
        <v>Valid</v>
      </c>
      <c r="E333" s="4">
        <f t="shared" si="31"/>
        <v>45172</v>
      </c>
      <c r="F333" s="13">
        <f t="shared" si="32"/>
        <v>4</v>
      </c>
      <c r="G333" s="7" t="s">
        <v>647</v>
      </c>
      <c r="H333" s="7" t="s">
        <v>654</v>
      </c>
      <c r="I333" s="7" t="s">
        <v>680</v>
      </c>
      <c r="J333" s="7" t="s">
        <v>705</v>
      </c>
      <c r="K333" s="7" t="s">
        <v>709</v>
      </c>
      <c r="L333" s="7" t="s">
        <v>716</v>
      </c>
      <c r="M333" s="7" t="s">
        <v>733</v>
      </c>
      <c r="N333" s="7" t="s">
        <v>1759</v>
      </c>
      <c r="O333" s="9">
        <v>1082.25</v>
      </c>
      <c r="P333" s="9">
        <v>2433.34</v>
      </c>
      <c r="Q333" s="9">
        <f t="shared" si="33"/>
        <v>2433.34</v>
      </c>
      <c r="R333" s="9" t="str">
        <f t="shared" si="34"/>
        <v>OK</v>
      </c>
      <c r="S333" s="11">
        <v>0.27</v>
      </c>
      <c r="T333" s="11" t="str">
        <f t="shared" si="35"/>
        <v>OK</v>
      </c>
      <c r="U333" s="13">
        <v>4</v>
      </c>
    </row>
    <row r="334" spans="1:21" x14ac:dyDescent="0.3">
      <c r="A334" s="7" t="s">
        <v>347</v>
      </c>
      <c r="B334" s="4">
        <v>45245</v>
      </c>
      <c r="C334" s="4">
        <v>45266</v>
      </c>
      <c r="D334" s="4" t="str">
        <f t="shared" si="30"/>
        <v>Valid</v>
      </c>
      <c r="E334" s="4">
        <f t="shared" si="31"/>
        <v>45266</v>
      </c>
      <c r="F334" s="13">
        <f t="shared" si="32"/>
        <v>21</v>
      </c>
      <c r="G334" s="7" t="s">
        <v>649</v>
      </c>
      <c r="H334" s="7" t="s">
        <v>658</v>
      </c>
      <c r="I334" s="7" t="s">
        <v>693</v>
      </c>
      <c r="J334" s="7" t="s">
        <v>702</v>
      </c>
      <c r="K334" s="7" t="s">
        <v>711</v>
      </c>
      <c r="L334" s="7" t="s">
        <v>722</v>
      </c>
      <c r="M334" s="7" t="s">
        <v>733</v>
      </c>
      <c r="N334" s="7" t="s">
        <v>1760</v>
      </c>
      <c r="O334" s="9">
        <v>1184.99</v>
      </c>
      <c r="P334" s="9">
        <v>1154.3399999999999</v>
      </c>
      <c r="Q334" s="9">
        <f t="shared" si="33"/>
        <v>1154.3399999999999</v>
      </c>
      <c r="R334" s="9" t="str">
        <f t="shared" si="34"/>
        <v>OK</v>
      </c>
      <c r="S334" s="11">
        <v>2.8000000000000001E-2</v>
      </c>
      <c r="T334" s="11" t="str">
        <f t="shared" si="35"/>
        <v>OK</v>
      </c>
      <c r="U334" s="13">
        <v>5</v>
      </c>
    </row>
    <row r="335" spans="1:21" x14ac:dyDescent="0.3">
      <c r="A335" s="7" t="s">
        <v>348</v>
      </c>
      <c r="B335" s="4">
        <v>45774</v>
      </c>
      <c r="C335" s="4">
        <v>45804</v>
      </c>
      <c r="D335" s="4" t="str">
        <f t="shared" si="30"/>
        <v>Valid</v>
      </c>
      <c r="E335" s="4">
        <f t="shared" si="31"/>
        <v>45804</v>
      </c>
      <c r="F335" s="13">
        <f t="shared" si="32"/>
        <v>30</v>
      </c>
      <c r="G335" s="7" t="s">
        <v>647</v>
      </c>
      <c r="H335" s="7" t="s">
        <v>654</v>
      </c>
      <c r="I335" s="7" t="s">
        <v>2057</v>
      </c>
      <c r="J335" s="7" t="s">
        <v>706</v>
      </c>
      <c r="K335" s="7" t="s">
        <v>709</v>
      </c>
      <c r="L335" s="7" t="s">
        <v>722</v>
      </c>
      <c r="M335" s="7" t="s">
        <v>730</v>
      </c>
      <c r="N335" s="7" t="s">
        <v>1761</v>
      </c>
      <c r="O335" s="9">
        <v>481.32</v>
      </c>
      <c r="P335" s="9">
        <v>1135.99</v>
      </c>
      <c r="Q335" s="9">
        <f t="shared" si="33"/>
        <v>1135.99</v>
      </c>
      <c r="R335" s="9" t="str">
        <f t="shared" si="34"/>
        <v>OK</v>
      </c>
      <c r="S335" s="11">
        <v>0.14499999999999999</v>
      </c>
      <c r="T335" s="11" t="str">
        <f t="shared" si="35"/>
        <v>OK</v>
      </c>
      <c r="U335" s="13">
        <v>5</v>
      </c>
    </row>
    <row r="336" spans="1:21" x14ac:dyDescent="0.3">
      <c r="A336" s="7" t="s">
        <v>349</v>
      </c>
      <c r="B336" s="4">
        <v>45391</v>
      </c>
      <c r="C336" s="4">
        <v>45400</v>
      </c>
      <c r="D336" s="4" t="str">
        <f t="shared" si="30"/>
        <v>Valid</v>
      </c>
      <c r="E336" s="4">
        <f t="shared" si="31"/>
        <v>45400</v>
      </c>
      <c r="F336" s="13">
        <f t="shared" si="32"/>
        <v>9</v>
      </c>
      <c r="G336" s="7" t="s">
        <v>649</v>
      </c>
      <c r="H336" s="7" t="s">
        <v>657</v>
      </c>
      <c r="I336" s="7" t="s">
        <v>679</v>
      </c>
      <c r="J336" s="7" t="s">
        <v>704</v>
      </c>
      <c r="K336" s="7" t="s">
        <v>708</v>
      </c>
      <c r="L336" s="7" t="s">
        <v>718</v>
      </c>
      <c r="M336" s="7" t="s">
        <v>728</v>
      </c>
      <c r="N336" s="7" t="s">
        <v>1762</v>
      </c>
      <c r="O336" s="9">
        <v>1288.8499999999999</v>
      </c>
      <c r="P336" s="9">
        <v>2751.84</v>
      </c>
      <c r="Q336" s="9">
        <f t="shared" si="33"/>
        <v>2751.84</v>
      </c>
      <c r="R336" s="9" t="str">
        <f t="shared" si="34"/>
        <v>OK</v>
      </c>
      <c r="S336" s="11">
        <v>0.158</v>
      </c>
      <c r="T336" s="11" t="str">
        <f t="shared" si="35"/>
        <v>OK</v>
      </c>
      <c r="U336" s="13">
        <v>7</v>
      </c>
    </row>
    <row r="337" spans="1:21" x14ac:dyDescent="0.3">
      <c r="A337" s="7" t="s">
        <v>350</v>
      </c>
      <c r="B337" s="4">
        <v>45484</v>
      </c>
      <c r="C337" s="4">
        <v>45504</v>
      </c>
      <c r="D337" s="4" t="str">
        <f t="shared" si="30"/>
        <v>Valid</v>
      </c>
      <c r="E337" s="4">
        <f t="shared" si="31"/>
        <v>45504</v>
      </c>
      <c r="F337" s="13">
        <f t="shared" si="32"/>
        <v>20</v>
      </c>
      <c r="G337" s="7" t="s">
        <v>647</v>
      </c>
      <c r="H337" s="7" t="s">
        <v>659</v>
      </c>
      <c r="I337" s="7" t="s">
        <v>676</v>
      </c>
      <c r="J337" s="7" t="s">
        <v>704</v>
      </c>
      <c r="K337" s="7" t="s">
        <v>708</v>
      </c>
      <c r="L337" s="7" t="s">
        <v>715</v>
      </c>
      <c r="M337" s="7" t="s">
        <v>730</v>
      </c>
      <c r="N337" s="7" t="s">
        <v>1763</v>
      </c>
      <c r="O337" s="9">
        <v>647.26</v>
      </c>
      <c r="P337" s="9">
        <v>1374.72</v>
      </c>
      <c r="Q337" s="9">
        <f t="shared" si="33"/>
        <v>1374.72</v>
      </c>
      <c r="R337" s="9" t="str">
        <f t="shared" si="34"/>
        <v>OK</v>
      </c>
      <c r="S337" s="11">
        <v>6.6000000000000003E-2</v>
      </c>
      <c r="T337" s="11" t="str">
        <f t="shared" si="35"/>
        <v>OK</v>
      </c>
      <c r="U337" s="13">
        <v>22</v>
      </c>
    </row>
    <row r="338" spans="1:21" x14ac:dyDescent="0.3">
      <c r="A338" s="7" t="s">
        <v>351</v>
      </c>
      <c r="B338" s="4">
        <v>45340</v>
      </c>
      <c r="C338" s="4">
        <v>45354</v>
      </c>
      <c r="D338" s="4" t="str">
        <f t="shared" si="30"/>
        <v>Valid</v>
      </c>
      <c r="E338" s="4">
        <f t="shared" si="31"/>
        <v>45354</v>
      </c>
      <c r="F338" s="13">
        <f t="shared" si="32"/>
        <v>14</v>
      </c>
      <c r="G338" s="7" t="s">
        <v>648</v>
      </c>
      <c r="H338" s="7" t="s">
        <v>655</v>
      </c>
      <c r="I338" s="7" t="s">
        <v>2057</v>
      </c>
      <c r="J338" s="7" t="s">
        <v>706</v>
      </c>
      <c r="K338" s="7" t="s">
        <v>710</v>
      </c>
      <c r="L338" s="7" t="s">
        <v>720</v>
      </c>
      <c r="M338" s="7" t="s">
        <v>728</v>
      </c>
      <c r="N338" s="7" t="s">
        <v>1764</v>
      </c>
      <c r="O338" s="9">
        <v>624.23</v>
      </c>
      <c r="P338" s="9">
        <v>1318.37</v>
      </c>
      <c r="Q338" s="9">
        <f t="shared" si="33"/>
        <v>1318.37</v>
      </c>
      <c r="R338" s="9" t="str">
        <f t="shared" si="34"/>
        <v>OK</v>
      </c>
      <c r="S338" s="11">
        <v>0.21</v>
      </c>
      <c r="T338" s="11" t="str">
        <f t="shared" si="35"/>
        <v>OK</v>
      </c>
      <c r="U338" s="13">
        <v>37</v>
      </c>
    </row>
    <row r="339" spans="1:21" x14ac:dyDescent="0.3">
      <c r="A339" s="7" t="s">
        <v>352</v>
      </c>
      <c r="B339" s="4">
        <v>45132</v>
      </c>
      <c r="C339" s="4">
        <v>45148</v>
      </c>
      <c r="D339" s="4" t="str">
        <f t="shared" si="30"/>
        <v>Valid</v>
      </c>
      <c r="E339" s="4">
        <f t="shared" si="31"/>
        <v>45148</v>
      </c>
      <c r="F339" s="13">
        <f t="shared" si="32"/>
        <v>16</v>
      </c>
      <c r="G339" s="7" t="s">
        <v>646</v>
      </c>
      <c r="H339" s="7" t="s">
        <v>651</v>
      </c>
      <c r="I339" s="7" t="s">
        <v>663</v>
      </c>
      <c r="J339" s="7" t="s">
        <v>701</v>
      </c>
      <c r="K339" s="7" t="s">
        <v>710</v>
      </c>
      <c r="L339" s="7" t="s">
        <v>714</v>
      </c>
      <c r="M339" s="7" t="s">
        <v>733</v>
      </c>
      <c r="N339" s="7" t="s">
        <v>1765</v>
      </c>
      <c r="O339" s="9">
        <v>506.83</v>
      </c>
      <c r="P339" s="9">
        <v>441.74</v>
      </c>
      <c r="Q339" s="9">
        <f t="shared" si="33"/>
        <v>441.74</v>
      </c>
      <c r="R339" s="9" t="str">
        <f t="shared" si="34"/>
        <v>OK</v>
      </c>
      <c r="S339" s="11">
        <v>0.24</v>
      </c>
      <c r="T339" s="11" t="str">
        <f t="shared" si="35"/>
        <v>OK</v>
      </c>
      <c r="U339" s="13">
        <v>9</v>
      </c>
    </row>
    <row r="340" spans="1:21" x14ac:dyDescent="0.3">
      <c r="A340" s="7" t="s">
        <v>353</v>
      </c>
      <c r="B340" s="4">
        <v>45121</v>
      </c>
      <c r="C340" s="4">
        <v>45128</v>
      </c>
      <c r="D340" s="4" t="str">
        <f t="shared" si="30"/>
        <v>Valid</v>
      </c>
      <c r="E340" s="4">
        <f t="shared" si="31"/>
        <v>45128</v>
      </c>
      <c r="F340" s="13">
        <f t="shared" si="32"/>
        <v>7</v>
      </c>
      <c r="G340" s="7" t="s">
        <v>646</v>
      </c>
      <c r="H340" s="7" t="s">
        <v>661</v>
      </c>
      <c r="I340" s="7" t="s">
        <v>687</v>
      </c>
      <c r="J340" s="7" t="s">
        <v>706</v>
      </c>
      <c r="K340" s="7" t="s">
        <v>709</v>
      </c>
      <c r="L340" s="7" t="s">
        <v>2057</v>
      </c>
      <c r="M340" s="7" t="s">
        <v>732</v>
      </c>
      <c r="N340" s="7" t="s">
        <v>1766</v>
      </c>
      <c r="O340" s="9">
        <v>620.74</v>
      </c>
      <c r="P340" s="9">
        <v>1330.07</v>
      </c>
      <c r="Q340" s="9">
        <f t="shared" si="33"/>
        <v>1330.07</v>
      </c>
      <c r="R340" s="9" t="str">
        <f t="shared" si="34"/>
        <v>OK</v>
      </c>
      <c r="S340" s="11">
        <v>0.29899999999999999</v>
      </c>
      <c r="T340" s="11" t="str">
        <f t="shared" si="35"/>
        <v>OK</v>
      </c>
      <c r="U340" s="13">
        <v>28</v>
      </c>
    </row>
    <row r="341" spans="1:21" x14ac:dyDescent="0.3">
      <c r="A341" s="7" t="s">
        <v>354</v>
      </c>
      <c r="B341" s="4">
        <v>45131</v>
      </c>
      <c r="C341" s="4">
        <v>45157</v>
      </c>
      <c r="D341" s="4" t="str">
        <f t="shared" si="30"/>
        <v>Valid</v>
      </c>
      <c r="E341" s="4">
        <f t="shared" si="31"/>
        <v>45157</v>
      </c>
      <c r="F341" s="13">
        <f t="shared" si="32"/>
        <v>26</v>
      </c>
      <c r="G341" s="7" t="s">
        <v>646</v>
      </c>
      <c r="H341" s="7" t="s">
        <v>650</v>
      </c>
      <c r="I341" s="7" t="s">
        <v>664</v>
      </c>
      <c r="J341" s="7" t="s">
        <v>706</v>
      </c>
      <c r="K341" s="7" t="s">
        <v>710</v>
      </c>
      <c r="L341" s="7" t="s">
        <v>724</v>
      </c>
      <c r="M341" s="7" t="s">
        <v>733</v>
      </c>
      <c r="N341" s="7" t="s">
        <v>1767</v>
      </c>
      <c r="O341" s="9">
        <v>661.45</v>
      </c>
      <c r="P341" s="9">
        <v>1634.86</v>
      </c>
      <c r="Q341" s="9">
        <f t="shared" si="33"/>
        <v>1634.86</v>
      </c>
      <c r="R341" s="9" t="str">
        <f t="shared" si="34"/>
        <v>OK</v>
      </c>
      <c r="S341" s="11">
        <v>0.56499999999999995</v>
      </c>
      <c r="T341" s="11" t="str">
        <f t="shared" si="35"/>
        <v>FLAG</v>
      </c>
      <c r="U341" s="13">
        <v>24</v>
      </c>
    </row>
    <row r="342" spans="1:21" x14ac:dyDescent="0.3">
      <c r="A342" s="7" t="s">
        <v>355</v>
      </c>
      <c r="B342" s="4">
        <v>45029</v>
      </c>
      <c r="C342" s="4">
        <v>45027</v>
      </c>
      <c r="D342" s="4" t="str">
        <f t="shared" si="30"/>
        <v>Invalid</v>
      </c>
      <c r="E342" s="4">
        <f t="shared" si="31"/>
        <v>45029</v>
      </c>
      <c r="F342" s="13">
        <f t="shared" si="32"/>
        <v>0</v>
      </c>
      <c r="G342" s="7" t="s">
        <v>648</v>
      </c>
      <c r="H342" s="7" t="s">
        <v>1425</v>
      </c>
      <c r="I342" s="7" t="s">
        <v>686</v>
      </c>
      <c r="J342" s="7" t="s">
        <v>702</v>
      </c>
      <c r="K342" s="7" t="s">
        <v>709</v>
      </c>
      <c r="L342" s="7" t="s">
        <v>715</v>
      </c>
      <c r="M342" s="7" t="s">
        <v>729</v>
      </c>
      <c r="N342" s="7" t="s">
        <v>1768</v>
      </c>
      <c r="O342" s="9">
        <v>32.1</v>
      </c>
      <c r="P342" s="9">
        <v>70.599999999999994</v>
      </c>
      <c r="Q342" s="9">
        <f t="shared" si="33"/>
        <v>70.599999999999994</v>
      </c>
      <c r="R342" s="9" t="str">
        <f t="shared" si="34"/>
        <v>OK</v>
      </c>
      <c r="S342" s="11">
        <v>0.28199999999999997</v>
      </c>
      <c r="T342" s="11" t="str">
        <f t="shared" si="35"/>
        <v>OK</v>
      </c>
      <c r="U342" s="13">
        <v>22</v>
      </c>
    </row>
    <row r="343" spans="1:21" x14ac:dyDescent="0.3">
      <c r="A343" s="7" t="s">
        <v>356</v>
      </c>
      <c r="B343" s="4">
        <v>45594</v>
      </c>
      <c r="C343" s="4">
        <v>45600</v>
      </c>
      <c r="D343" s="4" t="str">
        <f t="shared" si="30"/>
        <v>Valid</v>
      </c>
      <c r="E343" s="4">
        <f t="shared" si="31"/>
        <v>45600</v>
      </c>
      <c r="F343" s="13">
        <f t="shared" si="32"/>
        <v>6</v>
      </c>
      <c r="G343" s="7" t="s">
        <v>646</v>
      </c>
      <c r="H343" s="7" t="s">
        <v>650</v>
      </c>
      <c r="I343" s="7" t="s">
        <v>664</v>
      </c>
      <c r="J343" s="7" t="s">
        <v>701</v>
      </c>
      <c r="K343" s="7" t="s">
        <v>710</v>
      </c>
      <c r="L343" s="7" t="s">
        <v>724</v>
      </c>
      <c r="M343" s="7" t="s">
        <v>728</v>
      </c>
      <c r="N343" s="7" t="s">
        <v>1769</v>
      </c>
      <c r="O343" s="9">
        <v>805.81</v>
      </c>
      <c r="P343" s="9">
        <v>1823.04</v>
      </c>
      <c r="Q343" s="9">
        <f t="shared" si="33"/>
        <v>1823.04</v>
      </c>
      <c r="R343" s="9" t="str">
        <f t="shared" si="34"/>
        <v>OK</v>
      </c>
      <c r="S343" s="11">
        <v>0</v>
      </c>
      <c r="T343" s="11" t="str">
        <f t="shared" si="35"/>
        <v>OK</v>
      </c>
      <c r="U343" s="13">
        <v>11</v>
      </c>
    </row>
    <row r="344" spans="1:21" x14ac:dyDescent="0.3">
      <c r="A344" s="7" t="s">
        <v>357</v>
      </c>
      <c r="B344" s="4">
        <v>45339</v>
      </c>
      <c r="C344" s="4">
        <v>45355</v>
      </c>
      <c r="D344" s="4" t="str">
        <f t="shared" si="30"/>
        <v>Valid</v>
      </c>
      <c r="E344" s="4">
        <f t="shared" si="31"/>
        <v>45355</v>
      </c>
      <c r="F344" s="13">
        <f t="shared" si="32"/>
        <v>16</v>
      </c>
      <c r="G344" s="7" t="s">
        <v>647</v>
      </c>
      <c r="H344" s="7" t="s">
        <v>654</v>
      </c>
      <c r="I344" s="7" t="s">
        <v>680</v>
      </c>
      <c r="J344" s="7" t="s">
        <v>705</v>
      </c>
      <c r="K344" s="7" t="s">
        <v>709</v>
      </c>
      <c r="L344" s="7" t="s">
        <v>721</v>
      </c>
      <c r="M344" s="7" t="s">
        <v>730</v>
      </c>
      <c r="N344" s="7" t="s">
        <v>1770</v>
      </c>
      <c r="O344" s="9">
        <v>1231.8</v>
      </c>
      <c r="P344" s="9">
        <v>2015.99</v>
      </c>
      <c r="Q344" s="9">
        <f t="shared" si="33"/>
        <v>2015.99</v>
      </c>
      <c r="R344" s="9" t="str">
        <f t="shared" si="34"/>
        <v>OK</v>
      </c>
      <c r="S344" s="11">
        <v>0.26100000000000001</v>
      </c>
      <c r="T344" s="11" t="str">
        <f t="shared" si="35"/>
        <v>OK</v>
      </c>
      <c r="U344" s="13">
        <v>6</v>
      </c>
    </row>
    <row r="345" spans="1:21" x14ac:dyDescent="0.3">
      <c r="A345" s="7" t="s">
        <v>358</v>
      </c>
      <c r="B345" s="4">
        <v>45486</v>
      </c>
      <c r="C345" s="4">
        <v>45485</v>
      </c>
      <c r="D345" s="4" t="str">
        <f t="shared" si="30"/>
        <v>Invalid</v>
      </c>
      <c r="E345" s="4">
        <f t="shared" si="31"/>
        <v>45486</v>
      </c>
      <c r="F345" s="13">
        <f t="shared" si="32"/>
        <v>0</v>
      </c>
      <c r="G345" s="7" t="s">
        <v>647</v>
      </c>
      <c r="H345" s="7" t="s">
        <v>652</v>
      </c>
      <c r="I345" s="7" t="s">
        <v>694</v>
      </c>
      <c r="J345" s="7" t="s">
        <v>705</v>
      </c>
      <c r="K345" s="7" t="s">
        <v>709</v>
      </c>
      <c r="L345" s="7" t="s">
        <v>721</v>
      </c>
      <c r="M345" s="7" t="s">
        <v>729</v>
      </c>
      <c r="N345" s="7" t="s">
        <v>1771</v>
      </c>
      <c r="O345" s="9">
        <v>105.13</v>
      </c>
      <c r="P345" s="9">
        <v>244.13</v>
      </c>
      <c r="Q345" s="9">
        <f t="shared" si="33"/>
        <v>244.13</v>
      </c>
      <c r="R345" s="9" t="str">
        <f t="shared" si="34"/>
        <v>OK</v>
      </c>
      <c r="S345" s="11">
        <v>7.0999999999999994E-2</v>
      </c>
      <c r="T345" s="11" t="str">
        <f t="shared" si="35"/>
        <v>OK</v>
      </c>
      <c r="U345" s="13">
        <v>14</v>
      </c>
    </row>
    <row r="346" spans="1:21" x14ac:dyDescent="0.3">
      <c r="A346" s="7" t="s">
        <v>359</v>
      </c>
      <c r="B346" s="4">
        <v>45261</v>
      </c>
      <c r="C346" s="4">
        <v>45278</v>
      </c>
      <c r="D346" s="4" t="str">
        <f t="shared" si="30"/>
        <v>Valid</v>
      </c>
      <c r="E346" s="4">
        <f t="shared" si="31"/>
        <v>45278</v>
      </c>
      <c r="F346" s="13">
        <f t="shared" si="32"/>
        <v>17</v>
      </c>
      <c r="G346" s="7" t="s">
        <v>647</v>
      </c>
      <c r="H346" s="7" t="s">
        <v>652</v>
      </c>
      <c r="I346" s="7" t="s">
        <v>694</v>
      </c>
      <c r="J346" s="7" t="s">
        <v>705</v>
      </c>
      <c r="K346" s="7" t="s">
        <v>711</v>
      </c>
      <c r="L346" s="7" t="s">
        <v>725</v>
      </c>
      <c r="M346" s="7" t="s">
        <v>731</v>
      </c>
      <c r="N346" s="7" t="s">
        <v>1772</v>
      </c>
      <c r="O346" s="9">
        <v>1495.79</v>
      </c>
      <c r="P346" s="9">
        <v>2783.12</v>
      </c>
      <c r="Q346" s="9">
        <f t="shared" si="33"/>
        <v>2783.12</v>
      </c>
      <c r="R346" s="9" t="str">
        <f t="shared" si="34"/>
        <v>OK</v>
      </c>
      <c r="S346" s="11">
        <v>0.02</v>
      </c>
      <c r="T346" s="11" t="str">
        <f t="shared" si="35"/>
        <v>OK</v>
      </c>
      <c r="U346" s="13">
        <v>5</v>
      </c>
    </row>
    <row r="347" spans="1:21" x14ac:dyDescent="0.3">
      <c r="A347" s="7" t="s">
        <v>360</v>
      </c>
      <c r="B347" s="4">
        <v>45498</v>
      </c>
      <c r="C347" s="4">
        <v>45506</v>
      </c>
      <c r="D347" s="4" t="str">
        <f t="shared" si="30"/>
        <v>Valid</v>
      </c>
      <c r="E347" s="4">
        <f t="shared" si="31"/>
        <v>45506</v>
      </c>
      <c r="F347" s="13">
        <f t="shared" si="32"/>
        <v>8</v>
      </c>
      <c r="G347" s="7" t="s">
        <v>648</v>
      </c>
      <c r="H347" s="7" t="s">
        <v>653</v>
      </c>
      <c r="I347" s="7" t="s">
        <v>681</v>
      </c>
      <c r="J347" s="7" t="s">
        <v>704</v>
      </c>
      <c r="K347" s="7" t="s">
        <v>711</v>
      </c>
      <c r="L347" s="7" t="s">
        <v>713</v>
      </c>
      <c r="M347" s="7" t="s">
        <v>733</v>
      </c>
      <c r="N347" s="7" t="s">
        <v>1773</v>
      </c>
      <c r="O347" s="9">
        <v>986.81</v>
      </c>
      <c r="P347" s="9">
        <v>2050.31</v>
      </c>
      <c r="Q347" s="9">
        <f t="shared" si="33"/>
        <v>2050.31</v>
      </c>
      <c r="R347" s="9" t="str">
        <f t="shared" si="34"/>
        <v>OK</v>
      </c>
      <c r="S347" s="11">
        <v>0.10299999999999999</v>
      </c>
      <c r="T347" s="11" t="str">
        <f t="shared" si="35"/>
        <v>OK</v>
      </c>
      <c r="U347" s="13">
        <v>43</v>
      </c>
    </row>
    <row r="348" spans="1:21" x14ac:dyDescent="0.3">
      <c r="A348" s="7" t="s">
        <v>361</v>
      </c>
      <c r="B348" s="4">
        <v>45050</v>
      </c>
      <c r="C348" s="4">
        <v>45062</v>
      </c>
      <c r="D348" s="4" t="str">
        <f t="shared" si="30"/>
        <v>Valid</v>
      </c>
      <c r="E348" s="4">
        <f t="shared" si="31"/>
        <v>45062</v>
      </c>
      <c r="F348" s="13">
        <f t="shared" si="32"/>
        <v>12</v>
      </c>
      <c r="G348" s="7" t="s">
        <v>646</v>
      </c>
      <c r="H348" s="7" t="s">
        <v>651</v>
      </c>
      <c r="I348" s="7" t="s">
        <v>669</v>
      </c>
      <c r="J348" s="7" t="s">
        <v>705</v>
      </c>
      <c r="K348" s="7" t="s">
        <v>709</v>
      </c>
      <c r="L348" s="7" t="s">
        <v>713</v>
      </c>
      <c r="M348" s="7" t="s">
        <v>730</v>
      </c>
      <c r="N348" s="7" t="s">
        <v>1774</v>
      </c>
      <c r="O348" s="9">
        <v>77.739999999999995</v>
      </c>
      <c r="P348" s="9">
        <v>147.12</v>
      </c>
      <c r="Q348" s="9">
        <f t="shared" si="33"/>
        <v>147.12</v>
      </c>
      <c r="R348" s="9" t="str">
        <f t="shared" si="34"/>
        <v>OK</v>
      </c>
      <c r="S348" s="11">
        <v>0</v>
      </c>
      <c r="T348" s="11" t="str">
        <f t="shared" si="35"/>
        <v>OK</v>
      </c>
      <c r="U348" s="13">
        <v>15</v>
      </c>
    </row>
    <row r="349" spans="1:21" x14ac:dyDescent="0.3">
      <c r="A349" s="7" t="s">
        <v>362</v>
      </c>
      <c r="B349" s="4">
        <v>45281</v>
      </c>
      <c r="C349" s="4">
        <v>45297</v>
      </c>
      <c r="D349" s="4" t="str">
        <f t="shared" si="30"/>
        <v>Valid</v>
      </c>
      <c r="E349" s="4">
        <f t="shared" si="31"/>
        <v>45297</v>
      </c>
      <c r="F349" s="13">
        <f t="shared" si="32"/>
        <v>16</v>
      </c>
      <c r="G349" s="7" t="s">
        <v>646</v>
      </c>
      <c r="H349" s="7" t="s">
        <v>651</v>
      </c>
      <c r="I349" s="7" t="s">
        <v>2057</v>
      </c>
      <c r="J349" s="7" t="s">
        <v>701</v>
      </c>
      <c r="K349" s="7" t="s">
        <v>709</v>
      </c>
      <c r="L349" s="7" t="s">
        <v>723</v>
      </c>
      <c r="M349" s="7" t="s">
        <v>727</v>
      </c>
      <c r="N349" s="7" t="s">
        <v>1775</v>
      </c>
      <c r="O349" s="9">
        <v>932.61</v>
      </c>
      <c r="P349" s="9">
        <v>1982.98</v>
      </c>
      <c r="Q349" s="9">
        <f t="shared" si="33"/>
        <v>1982.98</v>
      </c>
      <c r="R349" s="9" t="str">
        <f t="shared" si="34"/>
        <v>OK</v>
      </c>
      <c r="S349" s="11">
        <v>0.14399999999999999</v>
      </c>
      <c r="T349" s="11" t="str">
        <f t="shared" si="35"/>
        <v>OK</v>
      </c>
      <c r="U349" s="13">
        <v>16</v>
      </c>
    </row>
    <row r="350" spans="1:21" x14ac:dyDescent="0.3">
      <c r="A350" s="7" t="s">
        <v>363</v>
      </c>
      <c r="B350" s="4">
        <v>45825</v>
      </c>
      <c r="C350" s="4">
        <v>45843</v>
      </c>
      <c r="D350" s="4" t="str">
        <f t="shared" si="30"/>
        <v>Valid</v>
      </c>
      <c r="E350" s="4">
        <f t="shared" si="31"/>
        <v>45843</v>
      </c>
      <c r="F350" s="13">
        <f t="shared" si="32"/>
        <v>18</v>
      </c>
      <c r="G350" s="7" t="s">
        <v>647</v>
      </c>
      <c r="H350" s="7" t="s">
        <v>654</v>
      </c>
      <c r="I350" s="7" t="s">
        <v>680</v>
      </c>
      <c r="J350" s="7" t="s">
        <v>704</v>
      </c>
      <c r="K350" s="7" t="s">
        <v>709</v>
      </c>
      <c r="L350" s="7" t="s">
        <v>716</v>
      </c>
      <c r="M350" s="7" t="s">
        <v>731</v>
      </c>
      <c r="N350" s="7" t="s">
        <v>1776</v>
      </c>
      <c r="O350" s="9">
        <v>982.93</v>
      </c>
      <c r="P350" s="9">
        <v>2299.3000000000002</v>
      </c>
      <c r="Q350" s="9">
        <f t="shared" si="33"/>
        <v>2299.3000000000002</v>
      </c>
      <c r="R350" s="9" t="str">
        <f t="shared" si="34"/>
        <v>OK</v>
      </c>
      <c r="S350" s="11">
        <v>0.113</v>
      </c>
      <c r="T350" s="11" t="str">
        <f t="shared" si="35"/>
        <v>OK</v>
      </c>
      <c r="U350" s="13">
        <v>6</v>
      </c>
    </row>
    <row r="351" spans="1:21" x14ac:dyDescent="0.3">
      <c r="A351" s="7" t="s">
        <v>364</v>
      </c>
      <c r="B351" s="4">
        <v>44980</v>
      </c>
      <c r="C351" s="4">
        <v>44993</v>
      </c>
      <c r="D351" s="4" t="str">
        <f t="shared" si="30"/>
        <v>Valid</v>
      </c>
      <c r="E351" s="4">
        <f t="shared" si="31"/>
        <v>44993</v>
      </c>
      <c r="F351" s="13">
        <f t="shared" si="32"/>
        <v>13</v>
      </c>
      <c r="G351" s="7" t="s">
        <v>649</v>
      </c>
      <c r="H351" s="7" t="s">
        <v>658</v>
      </c>
      <c r="I351" s="7" t="s">
        <v>693</v>
      </c>
      <c r="J351" s="7" t="s">
        <v>705</v>
      </c>
      <c r="K351" s="7" t="s">
        <v>711</v>
      </c>
      <c r="L351" s="7" t="s">
        <v>712</v>
      </c>
      <c r="M351" s="7" t="s">
        <v>728</v>
      </c>
      <c r="N351" s="7" t="s">
        <v>1777</v>
      </c>
      <c r="O351" s="9">
        <v>307.37</v>
      </c>
      <c r="P351" s="9">
        <v>462.61</v>
      </c>
      <c r="Q351" s="9">
        <f t="shared" si="33"/>
        <v>462.61</v>
      </c>
      <c r="R351" s="9" t="str">
        <f t="shared" si="34"/>
        <v>OK</v>
      </c>
      <c r="S351" s="11">
        <v>0.188</v>
      </c>
      <c r="T351" s="11" t="str">
        <f t="shared" si="35"/>
        <v>OK</v>
      </c>
      <c r="U351" s="13">
        <v>11</v>
      </c>
    </row>
    <row r="352" spans="1:21" x14ac:dyDescent="0.3">
      <c r="A352" s="7" t="s">
        <v>365</v>
      </c>
      <c r="B352" s="4">
        <v>45262</v>
      </c>
      <c r="C352" s="4">
        <v>45276</v>
      </c>
      <c r="D352" s="4" t="str">
        <f t="shared" si="30"/>
        <v>Valid</v>
      </c>
      <c r="E352" s="4">
        <f t="shared" si="31"/>
        <v>45276</v>
      </c>
      <c r="F352" s="13">
        <f t="shared" si="32"/>
        <v>14</v>
      </c>
      <c r="G352" s="7" t="s">
        <v>649</v>
      </c>
      <c r="H352" s="7" t="s">
        <v>656</v>
      </c>
      <c r="I352" s="7" t="s">
        <v>698</v>
      </c>
      <c r="J352" s="7" t="s">
        <v>702</v>
      </c>
      <c r="K352" s="7" t="s">
        <v>711</v>
      </c>
      <c r="L352" s="7" t="s">
        <v>725</v>
      </c>
      <c r="M352" s="7" t="s">
        <v>732</v>
      </c>
      <c r="N352" s="7" t="s">
        <v>1778</v>
      </c>
      <c r="O352" s="9">
        <v>879.08</v>
      </c>
      <c r="P352" s="9">
        <v>1093.3900000000001</v>
      </c>
      <c r="Q352" s="9">
        <f t="shared" si="33"/>
        <v>1093.3900000000001</v>
      </c>
      <c r="R352" s="9" t="str">
        <f t="shared" si="34"/>
        <v>OK</v>
      </c>
      <c r="S352" s="11">
        <v>0.113</v>
      </c>
      <c r="T352" s="11" t="str">
        <f t="shared" si="35"/>
        <v>OK</v>
      </c>
      <c r="U352" s="13">
        <v>17</v>
      </c>
    </row>
    <row r="353" spans="1:21" x14ac:dyDescent="0.3">
      <c r="A353" s="7" t="s">
        <v>366</v>
      </c>
      <c r="B353" s="4">
        <v>45121</v>
      </c>
      <c r="C353" s="4">
        <v>45121</v>
      </c>
      <c r="D353" s="4" t="str">
        <f t="shared" si="30"/>
        <v>Valid</v>
      </c>
      <c r="E353" s="4">
        <f t="shared" si="31"/>
        <v>45121</v>
      </c>
      <c r="F353" s="13">
        <f t="shared" si="32"/>
        <v>0</v>
      </c>
      <c r="G353" s="7" t="s">
        <v>646</v>
      </c>
      <c r="H353" s="7" t="s">
        <v>651</v>
      </c>
      <c r="I353" s="7" t="s">
        <v>665</v>
      </c>
      <c r="J353" s="7" t="s">
        <v>702</v>
      </c>
      <c r="K353" s="7" t="s">
        <v>707</v>
      </c>
      <c r="L353" s="7" t="s">
        <v>714</v>
      </c>
      <c r="M353" s="7" t="s">
        <v>733</v>
      </c>
      <c r="N353" s="7" t="s">
        <v>1779</v>
      </c>
      <c r="O353" s="9">
        <v>956.38</v>
      </c>
      <c r="P353" s="9">
        <v>1454.22</v>
      </c>
      <c r="Q353" s="9">
        <f t="shared" si="33"/>
        <v>1454.22</v>
      </c>
      <c r="R353" s="9" t="str">
        <f t="shared" si="34"/>
        <v>OK</v>
      </c>
      <c r="S353" s="11">
        <v>3.9E-2</v>
      </c>
      <c r="T353" s="11" t="str">
        <f t="shared" si="35"/>
        <v>OK</v>
      </c>
      <c r="U353" s="13">
        <v>19</v>
      </c>
    </row>
    <row r="354" spans="1:21" x14ac:dyDescent="0.3">
      <c r="A354" s="7" t="s">
        <v>367</v>
      </c>
      <c r="B354" s="4">
        <v>45512</v>
      </c>
      <c r="C354" s="4">
        <v>45524</v>
      </c>
      <c r="D354" s="4" t="str">
        <f t="shared" si="30"/>
        <v>Valid</v>
      </c>
      <c r="E354" s="4">
        <f t="shared" si="31"/>
        <v>45524</v>
      </c>
      <c r="F354" s="13">
        <f t="shared" si="32"/>
        <v>12</v>
      </c>
      <c r="G354" s="7" t="s">
        <v>647</v>
      </c>
      <c r="H354" s="7" t="s">
        <v>652</v>
      </c>
      <c r="I354" s="7" t="s">
        <v>666</v>
      </c>
      <c r="J354" s="7" t="s">
        <v>705</v>
      </c>
      <c r="K354" s="7" t="s">
        <v>707</v>
      </c>
      <c r="L354" s="7" t="s">
        <v>722</v>
      </c>
      <c r="M354" s="7" t="s">
        <v>729</v>
      </c>
      <c r="N354" s="7" t="s">
        <v>1780</v>
      </c>
      <c r="O354" s="9">
        <v>1233.3599999999999</v>
      </c>
      <c r="P354" s="9">
        <v>2120.4</v>
      </c>
      <c r="Q354" s="9">
        <f t="shared" si="33"/>
        <v>2120.4</v>
      </c>
      <c r="R354" s="9" t="str">
        <f t="shared" si="34"/>
        <v>OK</v>
      </c>
      <c r="S354" s="11">
        <v>0.17899999999999999</v>
      </c>
      <c r="T354" s="11" t="str">
        <f t="shared" si="35"/>
        <v>OK</v>
      </c>
      <c r="U354" s="13">
        <v>20</v>
      </c>
    </row>
    <row r="355" spans="1:21" x14ac:dyDescent="0.3">
      <c r="A355" s="7" t="s">
        <v>368</v>
      </c>
      <c r="B355" s="4">
        <v>45603</v>
      </c>
      <c r="C355" s="4">
        <v>45622</v>
      </c>
      <c r="D355" s="4" t="str">
        <f t="shared" si="30"/>
        <v>Valid</v>
      </c>
      <c r="E355" s="4">
        <f t="shared" si="31"/>
        <v>45622</v>
      </c>
      <c r="F355" s="13">
        <f t="shared" si="32"/>
        <v>19</v>
      </c>
      <c r="G355" s="7" t="s">
        <v>648</v>
      </c>
      <c r="H355" s="7" t="s">
        <v>655</v>
      </c>
      <c r="I355" s="7" t="s">
        <v>1426</v>
      </c>
      <c r="J355" s="7" t="s">
        <v>703</v>
      </c>
      <c r="K355" s="7" t="s">
        <v>710</v>
      </c>
      <c r="L355" s="7" t="s">
        <v>713</v>
      </c>
      <c r="M355" s="7" t="s">
        <v>728</v>
      </c>
      <c r="N355" s="7" t="s">
        <v>1781</v>
      </c>
      <c r="O355" s="9">
        <v>55.35</v>
      </c>
      <c r="P355" s="9">
        <v>128.68</v>
      </c>
      <c r="Q355" s="9">
        <f t="shared" si="33"/>
        <v>128.68</v>
      </c>
      <c r="R355" s="9" t="str">
        <f t="shared" si="34"/>
        <v>OK</v>
      </c>
      <c r="S355" s="11">
        <v>0.128</v>
      </c>
      <c r="T355" s="11" t="str">
        <f t="shared" si="35"/>
        <v>OK</v>
      </c>
      <c r="U355" s="13">
        <v>10</v>
      </c>
    </row>
    <row r="356" spans="1:21" x14ac:dyDescent="0.3">
      <c r="A356" s="7" t="s">
        <v>369</v>
      </c>
      <c r="B356" s="4">
        <v>45292</v>
      </c>
      <c r="C356" s="4">
        <v>45318</v>
      </c>
      <c r="D356" s="4" t="str">
        <f t="shared" si="30"/>
        <v>Valid</v>
      </c>
      <c r="E356" s="4">
        <f t="shared" si="31"/>
        <v>45318</v>
      </c>
      <c r="F356" s="13">
        <f t="shared" si="32"/>
        <v>26</v>
      </c>
      <c r="G356" s="7" t="s">
        <v>649</v>
      </c>
      <c r="H356" s="7" t="s">
        <v>658</v>
      </c>
      <c r="I356" s="7" t="s">
        <v>693</v>
      </c>
      <c r="J356" s="7" t="s">
        <v>702</v>
      </c>
      <c r="K356" s="7" t="s">
        <v>710</v>
      </c>
      <c r="L356" s="7" t="s">
        <v>726</v>
      </c>
      <c r="M356" s="7" t="s">
        <v>733</v>
      </c>
      <c r="N356" s="7" t="s">
        <v>1782</v>
      </c>
      <c r="O356" s="9">
        <v>657.45</v>
      </c>
      <c r="P356" s="9">
        <v>1325.96</v>
      </c>
      <c r="Q356" s="9">
        <f t="shared" si="33"/>
        <v>1325.96</v>
      </c>
      <c r="R356" s="9" t="str">
        <f t="shared" si="34"/>
        <v>OK</v>
      </c>
      <c r="S356" s="11">
        <v>0.16700000000000001</v>
      </c>
      <c r="T356" s="11" t="str">
        <f t="shared" si="35"/>
        <v>OK</v>
      </c>
      <c r="U356" s="13">
        <v>21</v>
      </c>
    </row>
    <row r="357" spans="1:21" x14ac:dyDescent="0.3">
      <c r="A357" s="7" t="s">
        <v>370</v>
      </c>
      <c r="B357" s="4">
        <v>45883</v>
      </c>
      <c r="C357" s="4">
        <v>45911</v>
      </c>
      <c r="D357" s="4" t="str">
        <f t="shared" si="30"/>
        <v>Valid</v>
      </c>
      <c r="E357" s="4">
        <f t="shared" si="31"/>
        <v>45911</v>
      </c>
      <c r="F357" s="13">
        <f t="shared" si="32"/>
        <v>28</v>
      </c>
      <c r="G357" s="7" t="s">
        <v>648</v>
      </c>
      <c r="H357" s="7" t="s">
        <v>655</v>
      </c>
      <c r="I357" s="7" t="s">
        <v>670</v>
      </c>
      <c r="J357" s="7" t="s">
        <v>703</v>
      </c>
      <c r="K357" s="7" t="s">
        <v>711</v>
      </c>
      <c r="L357" s="7" t="s">
        <v>721</v>
      </c>
      <c r="M357" s="7" t="s">
        <v>728</v>
      </c>
      <c r="N357" s="7" t="s">
        <v>1783</v>
      </c>
      <c r="O357" s="9">
        <v>1203.02</v>
      </c>
      <c r="P357" s="9">
        <v>2439.33</v>
      </c>
      <c r="Q357" s="9">
        <f t="shared" si="33"/>
        <v>2439.33</v>
      </c>
      <c r="R357" s="9" t="str">
        <f t="shared" si="34"/>
        <v>OK</v>
      </c>
      <c r="S357" s="11">
        <v>0</v>
      </c>
      <c r="T357" s="11" t="str">
        <f t="shared" si="35"/>
        <v>OK</v>
      </c>
      <c r="U357" s="13">
        <v>18</v>
      </c>
    </row>
    <row r="358" spans="1:21" x14ac:dyDescent="0.3">
      <c r="A358" s="7" t="s">
        <v>371</v>
      </c>
      <c r="B358" s="4">
        <v>45385</v>
      </c>
      <c r="C358" s="4">
        <v>45403</v>
      </c>
      <c r="D358" s="4" t="str">
        <f t="shared" si="30"/>
        <v>Valid</v>
      </c>
      <c r="E358" s="4">
        <f t="shared" si="31"/>
        <v>45403</v>
      </c>
      <c r="F358" s="13">
        <f t="shared" si="32"/>
        <v>18</v>
      </c>
      <c r="G358" s="7" t="s">
        <v>648</v>
      </c>
      <c r="H358" s="7" t="s">
        <v>655</v>
      </c>
      <c r="I358" s="7" t="s">
        <v>672</v>
      </c>
      <c r="J358" s="7" t="s">
        <v>705</v>
      </c>
      <c r="K358" s="7" t="s">
        <v>710</v>
      </c>
      <c r="L358" s="7" t="s">
        <v>717</v>
      </c>
      <c r="M358" s="7" t="s">
        <v>729</v>
      </c>
      <c r="N358" s="7" t="s">
        <v>1784</v>
      </c>
      <c r="O358" s="9">
        <v>1176.69</v>
      </c>
      <c r="P358" s="9">
        <v>2201.54</v>
      </c>
      <c r="Q358" s="9">
        <f t="shared" si="33"/>
        <v>2201.54</v>
      </c>
      <c r="R358" s="9" t="str">
        <f t="shared" si="34"/>
        <v>OK</v>
      </c>
      <c r="S358" s="11">
        <v>0.17</v>
      </c>
      <c r="T358" s="11" t="str">
        <f t="shared" si="35"/>
        <v>OK</v>
      </c>
      <c r="U358" s="13">
        <v>27</v>
      </c>
    </row>
    <row r="359" spans="1:21" x14ac:dyDescent="0.3">
      <c r="A359" s="7" t="s">
        <v>372</v>
      </c>
      <c r="B359" s="4">
        <v>45621</v>
      </c>
      <c r="C359" s="4">
        <v>45633</v>
      </c>
      <c r="D359" s="4" t="str">
        <f t="shared" si="30"/>
        <v>Valid</v>
      </c>
      <c r="E359" s="4">
        <f t="shared" si="31"/>
        <v>45633</v>
      </c>
      <c r="F359" s="13">
        <f t="shared" si="32"/>
        <v>12</v>
      </c>
      <c r="G359" s="7" t="s">
        <v>647</v>
      </c>
      <c r="H359" s="7" t="s">
        <v>659</v>
      </c>
      <c r="I359" s="7" t="s">
        <v>685</v>
      </c>
      <c r="J359" s="7" t="s">
        <v>701</v>
      </c>
      <c r="K359" s="7" t="s">
        <v>710</v>
      </c>
      <c r="L359" s="7" t="s">
        <v>720</v>
      </c>
      <c r="M359" s="7" t="s">
        <v>733</v>
      </c>
      <c r="N359" s="7" t="s">
        <v>1785</v>
      </c>
      <c r="O359" s="9">
        <v>769.9</v>
      </c>
      <c r="P359" s="9">
        <v>814.36</v>
      </c>
      <c r="Q359" s="9">
        <f t="shared" si="33"/>
        <v>814.36</v>
      </c>
      <c r="R359" s="9" t="str">
        <f t="shared" si="34"/>
        <v>OK</v>
      </c>
      <c r="S359" s="11">
        <v>0</v>
      </c>
      <c r="T359" s="11" t="str">
        <f t="shared" si="35"/>
        <v>OK</v>
      </c>
      <c r="U359" s="13">
        <v>5</v>
      </c>
    </row>
    <row r="360" spans="1:21" x14ac:dyDescent="0.3">
      <c r="A360" s="7" t="s">
        <v>373</v>
      </c>
      <c r="B360" s="4">
        <v>45309</v>
      </c>
      <c r="C360" s="4">
        <v>45325</v>
      </c>
      <c r="D360" s="4" t="str">
        <f t="shared" si="30"/>
        <v>Valid</v>
      </c>
      <c r="E360" s="4">
        <f t="shared" si="31"/>
        <v>45325</v>
      </c>
      <c r="F360" s="13">
        <f t="shared" si="32"/>
        <v>16</v>
      </c>
      <c r="G360" s="7" t="s">
        <v>646</v>
      </c>
      <c r="H360" s="7" t="s">
        <v>661</v>
      </c>
      <c r="I360" s="7" t="s">
        <v>695</v>
      </c>
      <c r="J360" s="7" t="s">
        <v>703</v>
      </c>
      <c r="K360" s="7" t="s">
        <v>710</v>
      </c>
      <c r="L360" s="7" t="s">
        <v>716</v>
      </c>
      <c r="M360" s="7" t="s">
        <v>728</v>
      </c>
      <c r="N360" s="7" t="s">
        <v>1786</v>
      </c>
      <c r="O360" s="9">
        <v>666.23</v>
      </c>
      <c r="P360" s="9">
        <v>1382.91</v>
      </c>
      <c r="Q360" s="9">
        <f t="shared" si="33"/>
        <v>1382.91</v>
      </c>
      <c r="R360" s="9" t="str">
        <f t="shared" si="34"/>
        <v>OK</v>
      </c>
      <c r="S360" s="11">
        <v>0.17599999999999999</v>
      </c>
      <c r="T360" s="11" t="str">
        <f t="shared" si="35"/>
        <v>OK</v>
      </c>
      <c r="U360" s="13">
        <v>13</v>
      </c>
    </row>
    <row r="361" spans="1:21" x14ac:dyDescent="0.3">
      <c r="A361" s="7" t="s">
        <v>374</v>
      </c>
      <c r="B361" s="4">
        <v>45466</v>
      </c>
      <c r="C361" s="4">
        <v>45468</v>
      </c>
      <c r="D361" s="4" t="str">
        <f t="shared" si="30"/>
        <v>Valid</v>
      </c>
      <c r="E361" s="4">
        <f t="shared" si="31"/>
        <v>45468</v>
      </c>
      <c r="F361" s="13">
        <f t="shared" si="32"/>
        <v>2</v>
      </c>
      <c r="G361" s="7" t="s">
        <v>649</v>
      </c>
      <c r="H361" s="7" t="s">
        <v>658</v>
      </c>
      <c r="I361" s="7" t="s">
        <v>674</v>
      </c>
      <c r="J361" s="7" t="s">
        <v>705</v>
      </c>
      <c r="K361" s="7" t="s">
        <v>709</v>
      </c>
      <c r="L361" s="7" t="s">
        <v>716</v>
      </c>
      <c r="M361" s="7" t="s">
        <v>733</v>
      </c>
      <c r="N361" s="7" t="s">
        <v>1787</v>
      </c>
      <c r="O361" s="9">
        <v>951.44</v>
      </c>
      <c r="P361" s="9">
        <v>1646.43</v>
      </c>
      <c r="Q361" s="9">
        <f t="shared" si="33"/>
        <v>1646.43</v>
      </c>
      <c r="R361" s="9" t="str">
        <f t="shared" si="34"/>
        <v>OK</v>
      </c>
      <c r="S361" s="11">
        <v>0.11</v>
      </c>
      <c r="T361" s="11" t="str">
        <f t="shared" si="35"/>
        <v>OK</v>
      </c>
      <c r="U361" s="13">
        <v>24</v>
      </c>
    </row>
    <row r="362" spans="1:21" x14ac:dyDescent="0.3">
      <c r="A362" s="7" t="s">
        <v>375</v>
      </c>
      <c r="B362" s="4">
        <v>45833</v>
      </c>
      <c r="C362" s="4">
        <v>45848</v>
      </c>
      <c r="D362" s="4" t="str">
        <f t="shared" si="30"/>
        <v>Valid</v>
      </c>
      <c r="E362" s="4">
        <f t="shared" si="31"/>
        <v>45848</v>
      </c>
      <c r="F362" s="13">
        <f t="shared" si="32"/>
        <v>15</v>
      </c>
      <c r="G362" s="7" t="s">
        <v>649</v>
      </c>
      <c r="H362" s="7" t="s">
        <v>658</v>
      </c>
      <c r="I362" s="7" t="s">
        <v>674</v>
      </c>
      <c r="J362" s="7" t="s">
        <v>703</v>
      </c>
      <c r="K362" s="7" t="s">
        <v>709</v>
      </c>
      <c r="L362" s="7" t="s">
        <v>726</v>
      </c>
      <c r="M362" s="7" t="s">
        <v>730</v>
      </c>
      <c r="N362" s="7" t="s">
        <v>1788</v>
      </c>
      <c r="O362" s="9">
        <v>546.83000000000004</v>
      </c>
      <c r="P362" s="9">
        <v>400.84</v>
      </c>
      <c r="Q362" s="9">
        <f t="shared" si="33"/>
        <v>400.84</v>
      </c>
      <c r="R362" s="9" t="str">
        <f t="shared" si="34"/>
        <v>OK</v>
      </c>
      <c r="S362" s="11">
        <v>7.8E-2</v>
      </c>
      <c r="T362" s="11" t="str">
        <f t="shared" si="35"/>
        <v>OK</v>
      </c>
      <c r="U362" s="13">
        <v>13</v>
      </c>
    </row>
    <row r="363" spans="1:21" x14ac:dyDescent="0.3">
      <c r="A363" s="7" t="s">
        <v>376</v>
      </c>
      <c r="B363" s="4">
        <v>45108</v>
      </c>
      <c r="C363" s="4">
        <v>45115</v>
      </c>
      <c r="D363" s="4" t="str">
        <f t="shared" si="30"/>
        <v>Valid</v>
      </c>
      <c r="E363" s="4">
        <f t="shared" si="31"/>
        <v>45115</v>
      </c>
      <c r="F363" s="13">
        <f t="shared" si="32"/>
        <v>7</v>
      </c>
      <c r="G363" s="7" t="s">
        <v>646</v>
      </c>
      <c r="H363" s="7" t="s">
        <v>651</v>
      </c>
      <c r="I363" s="7" t="s">
        <v>663</v>
      </c>
      <c r="J363" s="7" t="s">
        <v>701</v>
      </c>
      <c r="K363" s="7" t="s">
        <v>707</v>
      </c>
      <c r="L363" s="7" t="s">
        <v>720</v>
      </c>
      <c r="M363" s="7" t="s">
        <v>731</v>
      </c>
      <c r="N363" s="7" t="s">
        <v>1789</v>
      </c>
      <c r="O363" s="9">
        <v>834.26</v>
      </c>
      <c r="P363" s="9">
        <v>1780.56</v>
      </c>
      <c r="Q363" s="9">
        <f t="shared" si="33"/>
        <v>1780.56</v>
      </c>
      <c r="R363" s="9" t="str">
        <f t="shared" si="34"/>
        <v>OK</v>
      </c>
      <c r="S363" s="11">
        <v>1.4E-2</v>
      </c>
      <c r="T363" s="11" t="str">
        <f t="shared" si="35"/>
        <v>OK</v>
      </c>
      <c r="U363" s="13">
        <v>47</v>
      </c>
    </row>
    <row r="364" spans="1:21" x14ac:dyDescent="0.3">
      <c r="A364" s="7" t="s">
        <v>377</v>
      </c>
      <c r="B364" s="4">
        <v>45360</v>
      </c>
      <c r="C364" s="4">
        <v>45377</v>
      </c>
      <c r="D364" s="4" t="str">
        <f t="shared" si="30"/>
        <v>Valid</v>
      </c>
      <c r="E364" s="4">
        <f t="shared" si="31"/>
        <v>45377</v>
      </c>
      <c r="F364" s="13">
        <f t="shared" si="32"/>
        <v>17</v>
      </c>
      <c r="G364" s="7" t="s">
        <v>647</v>
      </c>
      <c r="H364" s="7" t="s">
        <v>659</v>
      </c>
      <c r="I364" s="7" t="s">
        <v>676</v>
      </c>
      <c r="J364" s="7" t="s">
        <v>706</v>
      </c>
      <c r="K364" s="7" t="s">
        <v>708</v>
      </c>
      <c r="L364" s="7" t="s">
        <v>723</v>
      </c>
      <c r="M364" s="7" t="s">
        <v>732</v>
      </c>
      <c r="N364" s="7" t="s">
        <v>1790</v>
      </c>
      <c r="O364" s="9">
        <v>1029.67</v>
      </c>
      <c r="P364" s="9">
        <v>1118.43</v>
      </c>
      <c r="Q364" s="9">
        <f t="shared" si="33"/>
        <v>1118.43</v>
      </c>
      <c r="R364" s="9" t="str">
        <f t="shared" si="34"/>
        <v>OK</v>
      </c>
      <c r="S364" s="11">
        <v>0.27200000000000002</v>
      </c>
      <c r="T364" s="11" t="str">
        <f t="shared" si="35"/>
        <v>OK</v>
      </c>
      <c r="U364" s="13">
        <v>9</v>
      </c>
    </row>
    <row r="365" spans="1:21" x14ac:dyDescent="0.3">
      <c r="A365" s="7" t="s">
        <v>378</v>
      </c>
      <c r="B365" s="4">
        <v>45082</v>
      </c>
      <c r="C365" s="4">
        <v>45105</v>
      </c>
      <c r="D365" s="4" t="str">
        <f t="shared" si="30"/>
        <v>Valid</v>
      </c>
      <c r="E365" s="4">
        <f t="shared" si="31"/>
        <v>45105</v>
      </c>
      <c r="F365" s="13">
        <f t="shared" si="32"/>
        <v>23</v>
      </c>
      <c r="G365" s="7" t="s">
        <v>649</v>
      </c>
      <c r="H365" s="7" t="s">
        <v>658</v>
      </c>
      <c r="I365" s="7" t="s">
        <v>674</v>
      </c>
      <c r="J365" s="7" t="s">
        <v>701</v>
      </c>
      <c r="K365" s="7" t="s">
        <v>711</v>
      </c>
      <c r="L365" s="7" t="s">
        <v>723</v>
      </c>
      <c r="M365" s="7" t="s">
        <v>728</v>
      </c>
      <c r="N365" s="7" t="s">
        <v>1791</v>
      </c>
      <c r="O365" s="9">
        <v>605.82000000000005</v>
      </c>
      <c r="P365" s="9">
        <v>771.12</v>
      </c>
      <c r="Q365" s="9">
        <f t="shared" si="33"/>
        <v>771.12</v>
      </c>
      <c r="R365" s="9" t="str">
        <f t="shared" si="34"/>
        <v>OK</v>
      </c>
      <c r="S365" s="11">
        <v>0.13200000000000001</v>
      </c>
      <c r="T365" s="11" t="str">
        <f t="shared" si="35"/>
        <v>OK</v>
      </c>
      <c r="U365" s="13">
        <v>19</v>
      </c>
    </row>
    <row r="366" spans="1:21" x14ac:dyDescent="0.3">
      <c r="A366" s="7" t="s">
        <v>379</v>
      </c>
      <c r="B366" s="4">
        <v>45737</v>
      </c>
      <c r="C366" s="4">
        <v>45756</v>
      </c>
      <c r="D366" s="4" t="str">
        <f t="shared" si="30"/>
        <v>Valid</v>
      </c>
      <c r="E366" s="4">
        <f t="shared" si="31"/>
        <v>45756</v>
      </c>
      <c r="F366" s="13">
        <f t="shared" si="32"/>
        <v>19</v>
      </c>
      <c r="G366" s="7" t="s">
        <v>647</v>
      </c>
      <c r="H366" s="7" t="s">
        <v>652</v>
      </c>
      <c r="I366" s="7" t="s">
        <v>689</v>
      </c>
      <c r="J366" s="7" t="s">
        <v>705</v>
      </c>
      <c r="K366" s="7" t="s">
        <v>710</v>
      </c>
      <c r="L366" s="7" t="s">
        <v>718</v>
      </c>
      <c r="M366" s="7" t="s">
        <v>727</v>
      </c>
      <c r="N366" s="7" t="s">
        <v>1792</v>
      </c>
      <c r="O366" s="9">
        <v>1055.45</v>
      </c>
      <c r="P366" s="9">
        <v>1210.04</v>
      </c>
      <c r="Q366" s="9">
        <f t="shared" si="33"/>
        <v>1210.04</v>
      </c>
      <c r="R366" s="9" t="str">
        <f t="shared" si="34"/>
        <v>OK</v>
      </c>
      <c r="S366" s="11">
        <v>8.9999999999999993E-3</v>
      </c>
      <c r="T366" s="11" t="str">
        <f t="shared" si="35"/>
        <v>OK</v>
      </c>
      <c r="U366" s="13">
        <v>18</v>
      </c>
    </row>
    <row r="367" spans="1:21" x14ac:dyDescent="0.3">
      <c r="A367" s="7" t="s">
        <v>380</v>
      </c>
      <c r="B367" s="4">
        <v>45445</v>
      </c>
      <c r="C367" s="4">
        <v>45458</v>
      </c>
      <c r="D367" s="4" t="str">
        <f t="shared" si="30"/>
        <v>Valid</v>
      </c>
      <c r="E367" s="4">
        <f t="shared" si="31"/>
        <v>45458</v>
      </c>
      <c r="F367" s="13">
        <f t="shared" si="32"/>
        <v>13</v>
      </c>
      <c r="G367" s="7" t="s">
        <v>646</v>
      </c>
      <c r="H367" s="7" t="s">
        <v>650</v>
      </c>
      <c r="I367" s="7" t="s">
        <v>675</v>
      </c>
      <c r="J367" s="7" t="s">
        <v>702</v>
      </c>
      <c r="K367" s="7" t="s">
        <v>708</v>
      </c>
      <c r="L367" s="7" t="s">
        <v>719</v>
      </c>
      <c r="M367" s="7" t="s">
        <v>730</v>
      </c>
      <c r="N367" s="7" t="s">
        <v>1793</v>
      </c>
      <c r="O367" s="9">
        <v>1295.18</v>
      </c>
      <c r="P367" s="9">
        <v>3024.03</v>
      </c>
      <c r="Q367" s="9">
        <f t="shared" si="33"/>
        <v>3024.03</v>
      </c>
      <c r="R367" s="9" t="str">
        <f t="shared" si="34"/>
        <v>OK</v>
      </c>
      <c r="S367" s="11">
        <v>0.192</v>
      </c>
      <c r="T367" s="11" t="str">
        <f t="shared" si="35"/>
        <v>OK</v>
      </c>
      <c r="U367" s="13">
        <v>8</v>
      </c>
    </row>
    <row r="368" spans="1:21" x14ac:dyDescent="0.3">
      <c r="A368" s="7" t="s">
        <v>381</v>
      </c>
      <c r="B368" s="4">
        <v>45731</v>
      </c>
      <c r="C368" s="4">
        <v>45745</v>
      </c>
      <c r="D368" s="4" t="str">
        <f t="shared" si="30"/>
        <v>Valid</v>
      </c>
      <c r="E368" s="4">
        <f t="shared" si="31"/>
        <v>45745</v>
      </c>
      <c r="F368" s="13">
        <f t="shared" si="32"/>
        <v>14</v>
      </c>
      <c r="G368" s="7" t="s">
        <v>647</v>
      </c>
      <c r="H368" s="7" t="s">
        <v>654</v>
      </c>
      <c r="I368" s="7" t="s">
        <v>691</v>
      </c>
      <c r="J368" s="7" t="s">
        <v>706</v>
      </c>
      <c r="K368" s="7" t="s">
        <v>711</v>
      </c>
      <c r="L368" s="7" t="s">
        <v>712</v>
      </c>
      <c r="M368" s="7" t="s">
        <v>727</v>
      </c>
      <c r="N368" s="7" t="s">
        <v>1794</v>
      </c>
      <c r="O368" s="9">
        <v>935.83</v>
      </c>
      <c r="P368" s="9">
        <v>2303.46</v>
      </c>
      <c r="Q368" s="9">
        <f t="shared" si="33"/>
        <v>2303.46</v>
      </c>
      <c r="R368" s="9" t="str">
        <f t="shared" si="34"/>
        <v>OK</v>
      </c>
      <c r="S368" s="11">
        <v>0.105</v>
      </c>
      <c r="T368" s="11" t="str">
        <f t="shared" si="35"/>
        <v>OK</v>
      </c>
      <c r="U368" s="13">
        <v>9</v>
      </c>
    </row>
    <row r="369" spans="1:21" x14ac:dyDescent="0.3">
      <c r="A369" s="7" t="s">
        <v>382</v>
      </c>
      <c r="B369" s="4">
        <v>45194</v>
      </c>
      <c r="C369" s="4">
        <v>45208</v>
      </c>
      <c r="D369" s="4" t="str">
        <f t="shared" si="30"/>
        <v>Valid</v>
      </c>
      <c r="E369" s="4">
        <f t="shared" si="31"/>
        <v>45208</v>
      </c>
      <c r="F369" s="13">
        <f t="shared" si="32"/>
        <v>14</v>
      </c>
      <c r="G369" s="7" t="s">
        <v>648</v>
      </c>
      <c r="H369" s="7" t="s">
        <v>1425</v>
      </c>
      <c r="I369" s="7" t="s">
        <v>700</v>
      </c>
      <c r="J369" s="7" t="s">
        <v>705</v>
      </c>
      <c r="K369" s="7" t="s">
        <v>709</v>
      </c>
      <c r="L369" s="7" t="s">
        <v>713</v>
      </c>
      <c r="M369" s="7" t="s">
        <v>731</v>
      </c>
      <c r="N369" s="7" t="s">
        <v>1795</v>
      </c>
      <c r="O369" s="9">
        <v>1279.56</v>
      </c>
      <c r="P369" s="9">
        <v>3083.8</v>
      </c>
      <c r="Q369" s="9">
        <f t="shared" si="33"/>
        <v>3083.8</v>
      </c>
      <c r="R369" s="9" t="str">
        <f t="shared" si="34"/>
        <v>OK</v>
      </c>
      <c r="S369" s="11">
        <v>0.106</v>
      </c>
      <c r="T369" s="11" t="str">
        <f t="shared" si="35"/>
        <v>OK</v>
      </c>
      <c r="U369" s="13">
        <v>5</v>
      </c>
    </row>
    <row r="370" spans="1:21" x14ac:dyDescent="0.3">
      <c r="A370" s="7" t="s">
        <v>383</v>
      </c>
      <c r="B370" s="4">
        <v>45832</v>
      </c>
      <c r="C370" s="4">
        <v>45861</v>
      </c>
      <c r="D370" s="4" t="str">
        <f t="shared" si="30"/>
        <v>Valid</v>
      </c>
      <c r="E370" s="4">
        <f t="shared" si="31"/>
        <v>45861</v>
      </c>
      <c r="F370" s="13">
        <f t="shared" si="32"/>
        <v>29</v>
      </c>
      <c r="G370" s="7" t="s">
        <v>648</v>
      </c>
      <c r="H370" s="7" t="s">
        <v>653</v>
      </c>
      <c r="I370" s="7" t="s">
        <v>688</v>
      </c>
      <c r="J370" s="7" t="s">
        <v>703</v>
      </c>
      <c r="K370" s="7" t="s">
        <v>709</v>
      </c>
      <c r="L370" s="7" t="s">
        <v>714</v>
      </c>
      <c r="M370" s="7" t="s">
        <v>728</v>
      </c>
      <c r="N370" s="7" t="s">
        <v>1796</v>
      </c>
      <c r="O370" s="9">
        <v>255.4</v>
      </c>
      <c r="P370" s="9">
        <v>322.70999999999998</v>
      </c>
      <c r="Q370" s="9">
        <f t="shared" si="33"/>
        <v>322.70999999999998</v>
      </c>
      <c r="R370" s="9" t="str">
        <f t="shared" si="34"/>
        <v>OK</v>
      </c>
      <c r="S370" s="11">
        <v>0.115</v>
      </c>
      <c r="T370" s="11" t="str">
        <f t="shared" si="35"/>
        <v>OK</v>
      </c>
      <c r="U370" s="13">
        <v>16</v>
      </c>
    </row>
    <row r="371" spans="1:21" x14ac:dyDescent="0.3">
      <c r="A371" s="7" t="s">
        <v>384</v>
      </c>
      <c r="B371" s="4">
        <v>45286</v>
      </c>
      <c r="C371" s="4">
        <v>45294</v>
      </c>
      <c r="D371" s="4" t="str">
        <f t="shared" si="30"/>
        <v>Valid</v>
      </c>
      <c r="E371" s="4">
        <f t="shared" si="31"/>
        <v>45294</v>
      </c>
      <c r="F371" s="13">
        <f t="shared" si="32"/>
        <v>8</v>
      </c>
      <c r="G371" s="7" t="s">
        <v>649</v>
      </c>
      <c r="H371" s="7" t="s">
        <v>657</v>
      </c>
      <c r="I371" s="7" t="s">
        <v>679</v>
      </c>
      <c r="J371" s="7" t="s">
        <v>705</v>
      </c>
      <c r="K371" s="7" t="s">
        <v>707</v>
      </c>
      <c r="L371" s="7" t="s">
        <v>724</v>
      </c>
      <c r="M371" s="7" t="s">
        <v>731</v>
      </c>
      <c r="N371" s="7" t="s">
        <v>1797</v>
      </c>
      <c r="O371" s="9">
        <v>492.75</v>
      </c>
      <c r="P371" s="9">
        <v>731.29</v>
      </c>
      <c r="Q371" s="9">
        <f t="shared" si="33"/>
        <v>731.29</v>
      </c>
      <c r="R371" s="9" t="str">
        <f t="shared" si="34"/>
        <v>OK</v>
      </c>
      <c r="S371" s="11">
        <v>5.8000000000000003E-2</v>
      </c>
      <c r="T371" s="11" t="str">
        <f t="shared" si="35"/>
        <v>OK</v>
      </c>
      <c r="U371" s="13">
        <v>6</v>
      </c>
    </row>
    <row r="372" spans="1:21" x14ac:dyDescent="0.3">
      <c r="A372" s="7" t="s">
        <v>385</v>
      </c>
      <c r="B372" s="4">
        <v>44962</v>
      </c>
      <c r="C372" s="4">
        <v>44985</v>
      </c>
      <c r="D372" s="4" t="str">
        <f t="shared" si="30"/>
        <v>Valid</v>
      </c>
      <c r="E372" s="4">
        <f t="shared" si="31"/>
        <v>44985</v>
      </c>
      <c r="F372" s="13">
        <f t="shared" si="32"/>
        <v>23</v>
      </c>
      <c r="G372" s="7" t="s">
        <v>648</v>
      </c>
      <c r="H372" s="7" t="s">
        <v>1425</v>
      </c>
      <c r="I372" s="7" t="s">
        <v>697</v>
      </c>
      <c r="J372" s="7" t="s">
        <v>703</v>
      </c>
      <c r="K372" s="7" t="s">
        <v>710</v>
      </c>
      <c r="L372" s="7" t="s">
        <v>716</v>
      </c>
      <c r="M372" s="7" t="s">
        <v>730</v>
      </c>
      <c r="N372" s="7" t="s">
        <v>1798</v>
      </c>
      <c r="O372" s="9">
        <v>1214.49</v>
      </c>
      <c r="P372" s="9">
        <v>1533.95</v>
      </c>
      <c r="Q372" s="9">
        <f t="shared" si="33"/>
        <v>1533.95</v>
      </c>
      <c r="R372" s="9" t="str">
        <f t="shared" si="34"/>
        <v>OK</v>
      </c>
      <c r="S372" s="11">
        <v>0</v>
      </c>
      <c r="T372" s="11" t="str">
        <f t="shared" si="35"/>
        <v>OK</v>
      </c>
      <c r="U372" s="13">
        <v>11</v>
      </c>
    </row>
    <row r="373" spans="1:21" x14ac:dyDescent="0.3">
      <c r="A373" s="7" t="s">
        <v>386</v>
      </c>
      <c r="B373" s="4">
        <v>45022</v>
      </c>
      <c r="C373" s="4">
        <v>45024</v>
      </c>
      <c r="D373" s="4" t="str">
        <f t="shared" si="30"/>
        <v>Valid</v>
      </c>
      <c r="E373" s="4">
        <f t="shared" si="31"/>
        <v>45024</v>
      </c>
      <c r="F373" s="13">
        <f t="shared" si="32"/>
        <v>2</v>
      </c>
      <c r="G373" s="7" t="s">
        <v>646</v>
      </c>
      <c r="H373" s="7" t="s">
        <v>651</v>
      </c>
      <c r="I373" s="7" t="s">
        <v>669</v>
      </c>
      <c r="J373" s="7" t="s">
        <v>705</v>
      </c>
      <c r="K373" s="7" t="s">
        <v>709</v>
      </c>
      <c r="L373" s="7" t="s">
        <v>723</v>
      </c>
      <c r="M373" s="7" t="s">
        <v>732</v>
      </c>
      <c r="N373" s="7" t="s">
        <v>1799</v>
      </c>
      <c r="O373" s="9">
        <v>720.35</v>
      </c>
      <c r="P373" s="9">
        <v>1571.66</v>
      </c>
      <c r="Q373" s="9">
        <f t="shared" si="33"/>
        <v>1571.66</v>
      </c>
      <c r="R373" s="9" t="str">
        <f t="shared" si="34"/>
        <v>OK</v>
      </c>
      <c r="S373" s="11">
        <v>0.107</v>
      </c>
      <c r="T373" s="11" t="str">
        <f t="shared" si="35"/>
        <v>OK</v>
      </c>
      <c r="U373" s="13">
        <v>23</v>
      </c>
    </row>
    <row r="374" spans="1:21" x14ac:dyDescent="0.3">
      <c r="A374" s="7" t="s">
        <v>387</v>
      </c>
      <c r="B374" s="4">
        <v>45751</v>
      </c>
      <c r="C374" s="4">
        <v>45757</v>
      </c>
      <c r="D374" s="4" t="str">
        <f t="shared" si="30"/>
        <v>Valid</v>
      </c>
      <c r="E374" s="4">
        <f t="shared" si="31"/>
        <v>45757</v>
      </c>
      <c r="F374" s="13">
        <f t="shared" si="32"/>
        <v>6</v>
      </c>
      <c r="G374" s="7" t="s">
        <v>649</v>
      </c>
      <c r="H374" s="7" t="s">
        <v>658</v>
      </c>
      <c r="I374" s="7" t="s">
        <v>674</v>
      </c>
      <c r="J374" s="7" t="s">
        <v>703</v>
      </c>
      <c r="K374" s="7" t="s">
        <v>711</v>
      </c>
      <c r="L374" s="7" t="s">
        <v>725</v>
      </c>
      <c r="M374" s="7" t="s">
        <v>728</v>
      </c>
      <c r="N374" s="7" t="s">
        <v>1800</v>
      </c>
      <c r="O374" s="9">
        <v>290.14</v>
      </c>
      <c r="P374" s="9">
        <v>250.73</v>
      </c>
      <c r="Q374" s="9">
        <f t="shared" si="33"/>
        <v>250.73</v>
      </c>
      <c r="R374" s="9" t="str">
        <f t="shared" si="34"/>
        <v>OK</v>
      </c>
      <c r="S374" s="11">
        <v>3.4000000000000002E-2</v>
      </c>
      <c r="T374" s="11" t="str">
        <f t="shared" si="35"/>
        <v>OK</v>
      </c>
      <c r="U374" s="13">
        <v>17</v>
      </c>
    </row>
    <row r="375" spans="1:21" x14ac:dyDescent="0.3">
      <c r="A375" s="7" t="s">
        <v>388</v>
      </c>
      <c r="B375" s="4">
        <v>45429</v>
      </c>
      <c r="C375" s="4">
        <v>45439</v>
      </c>
      <c r="D375" s="4" t="str">
        <f t="shared" si="30"/>
        <v>Valid</v>
      </c>
      <c r="E375" s="4">
        <f t="shared" si="31"/>
        <v>45439</v>
      </c>
      <c r="F375" s="13">
        <f t="shared" si="32"/>
        <v>10</v>
      </c>
      <c r="G375" s="7" t="s">
        <v>648</v>
      </c>
      <c r="H375" s="7" t="s">
        <v>1425</v>
      </c>
      <c r="I375" s="7" t="s">
        <v>697</v>
      </c>
      <c r="J375" s="7" t="s">
        <v>703</v>
      </c>
      <c r="K375" s="7" t="s">
        <v>708</v>
      </c>
      <c r="L375" s="7" t="s">
        <v>712</v>
      </c>
      <c r="M375" s="7" t="s">
        <v>730</v>
      </c>
      <c r="N375" s="7" t="s">
        <v>1801</v>
      </c>
      <c r="O375" s="9">
        <v>1484.23</v>
      </c>
      <c r="P375" s="9">
        <v>3472.81</v>
      </c>
      <c r="Q375" s="9">
        <f t="shared" si="33"/>
        <v>3472.81</v>
      </c>
      <c r="R375" s="9" t="str">
        <f t="shared" si="34"/>
        <v>OK</v>
      </c>
      <c r="S375" s="11">
        <v>0.25600000000000001</v>
      </c>
      <c r="T375" s="11" t="str">
        <f t="shared" si="35"/>
        <v>OK</v>
      </c>
      <c r="U375" s="13">
        <v>12</v>
      </c>
    </row>
    <row r="376" spans="1:21" x14ac:dyDescent="0.3">
      <c r="A376" s="7" t="s">
        <v>389</v>
      </c>
      <c r="B376" s="4">
        <v>45354</v>
      </c>
      <c r="C376" s="4">
        <v>45370</v>
      </c>
      <c r="D376" s="4" t="str">
        <f t="shared" si="30"/>
        <v>Valid</v>
      </c>
      <c r="E376" s="4">
        <f t="shared" si="31"/>
        <v>45370</v>
      </c>
      <c r="F376" s="13">
        <f t="shared" si="32"/>
        <v>16</v>
      </c>
      <c r="G376" s="7" t="s">
        <v>647</v>
      </c>
      <c r="H376" s="7" t="s">
        <v>659</v>
      </c>
      <c r="I376" s="7" t="s">
        <v>699</v>
      </c>
      <c r="J376" s="7" t="s">
        <v>704</v>
      </c>
      <c r="K376" s="7" t="s">
        <v>710</v>
      </c>
      <c r="L376" s="7" t="s">
        <v>715</v>
      </c>
      <c r="M376" s="7" t="s">
        <v>730</v>
      </c>
      <c r="N376" s="7" t="s">
        <v>1802</v>
      </c>
      <c r="O376" s="9">
        <v>988.83</v>
      </c>
      <c r="P376" s="9">
        <v>1206.04</v>
      </c>
      <c r="Q376" s="9">
        <f t="shared" si="33"/>
        <v>1206.04</v>
      </c>
      <c r="R376" s="9" t="str">
        <f t="shared" si="34"/>
        <v>OK</v>
      </c>
      <c r="S376" s="11">
        <v>6.3E-2</v>
      </c>
      <c r="T376" s="11" t="str">
        <f t="shared" si="35"/>
        <v>OK</v>
      </c>
      <c r="U376" s="13">
        <v>34</v>
      </c>
    </row>
    <row r="377" spans="1:21" x14ac:dyDescent="0.3">
      <c r="A377" s="7" t="s">
        <v>390</v>
      </c>
      <c r="B377" s="4">
        <v>45835</v>
      </c>
      <c r="C377" s="4">
        <v>45849</v>
      </c>
      <c r="D377" s="4" t="str">
        <f t="shared" si="30"/>
        <v>Valid</v>
      </c>
      <c r="E377" s="4">
        <f t="shared" si="31"/>
        <v>45849</v>
      </c>
      <c r="F377" s="13">
        <f t="shared" si="32"/>
        <v>14</v>
      </c>
      <c r="G377" s="7" t="s">
        <v>647</v>
      </c>
      <c r="H377" s="7" t="s">
        <v>659</v>
      </c>
      <c r="I377" s="7" t="s">
        <v>685</v>
      </c>
      <c r="J377" s="7" t="s">
        <v>705</v>
      </c>
      <c r="K377" s="7" t="s">
        <v>709</v>
      </c>
      <c r="L377" s="7" t="s">
        <v>716</v>
      </c>
      <c r="M377" s="7" t="s">
        <v>729</v>
      </c>
      <c r="N377" s="7" t="s">
        <v>1803</v>
      </c>
      <c r="O377" s="9">
        <v>1227.7</v>
      </c>
      <c r="P377" s="9">
        <v>2197.23</v>
      </c>
      <c r="Q377" s="9">
        <f t="shared" si="33"/>
        <v>2197.23</v>
      </c>
      <c r="R377" s="9" t="str">
        <f t="shared" si="34"/>
        <v>OK</v>
      </c>
      <c r="S377" s="11">
        <v>9.9000000000000005E-2</v>
      </c>
      <c r="T377" s="11" t="str">
        <f t="shared" si="35"/>
        <v>OK</v>
      </c>
      <c r="U377" s="13">
        <v>22</v>
      </c>
    </row>
    <row r="378" spans="1:21" x14ac:dyDescent="0.3">
      <c r="A378" s="7" t="s">
        <v>391</v>
      </c>
      <c r="B378" s="4">
        <v>44998</v>
      </c>
      <c r="C378" s="4">
        <v>45020</v>
      </c>
      <c r="D378" s="4" t="str">
        <f t="shared" si="30"/>
        <v>Valid</v>
      </c>
      <c r="E378" s="4">
        <f t="shared" si="31"/>
        <v>45020</v>
      </c>
      <c r="F378" s="13">
        <f t="shared" si="32"/>
        <v>22</v>
      </c>
      <c r="G378" s="7" t="s">
        <v>646</v>
      </c>
      <c r="H378" s="7" t="s">
        <v>661</v>
      </c>
      <c r="I378" s="7" t="s">
        <v>687</v>
      </c>
      <c r="J378" s="7" t="s">
        <v>705</v>
      </c>
      <c r="K378" s="7" t="s">
        <v>707</v>
      </c>
      <c r="L378" s="7" t="s">
        <v>720</v>
      </c>
      <c r="M378" s="7" t="s">
        <v>727</v>
      </c>
      <c r="N378" s="7" t="s">
        <v>1804</v>
      </c>
      <c r="O378" s="9">
        <v>1113.7</v>
      </c>
      <c r="P378" s="9">
        <v>1620.6</v>
      </c>
      <c r="Q378" s="9">
        <f t="shared" si="33"/>
        <v>1620.6</v>
      </c>
      <c r="R378" s="9" t="str">
        <f t="shared" si="34"/>
        <v>OK</v>
      </c>
      <c r="S378" s="11">
        <v>0.13900000000000001</v>
      </c>
      <c r="T378" s="11" t="str">
        <f t="shared" si="35"/>
        <v>OK</v>
      </c>
      <c r="U378" s="13">
        <v>11</v>
      </c>
    </row>
    <row r="379" spans="1:21" x14ac:dyDescent="0.3">
      <c r="A379" s="7" t="s">
        <v>392</v>
      </c>
      <c r="B379" s="4">
        <v>45664</v>
      </c>
      <c r="C379" s="4">
        <v>45677</v>
      </c>
      <c r="D379" s="4" t="str">
        <f t="shared" si="30"/>
        <v>Valid</v>
      </c>
      <c r="E379" s="4">
        <f t="shared" si="31"/>
        <v>45677</v>
      </c>
      <c r="F379" s="13">
        <f t="shared" si="32"/>
        <v>13</v>
      </c>
      <c r="G379" s="7" t="s">
        <v>646</v>
      </c>
      <c r="H379" s="7" t="s">
        <v>661</v>
      </c>
      <c r="I379" s="7" t="s">
        <v>695</v>
      </c>
      <c r="J379" s="7" t="s">
        <v>701</v>
      </c>
      <c r="K379" s="7" t="s">
        <v>711</v>
      </c>
      <c r="L379" s="7" t="s">
        <v>723</v>
      </c>
      <c r="M379" s="7" t="s">
        <v>729</v>
      </c>
      <c r="N379" s="7" t="s">
        <v>1805</v>
      </c>
      <c r="O379" s="9">
        <v>432.13</v>
      </c>
      <c r="P379" s="9">
        <v>1034.6600000000001</v>
      </c>
      <c r="Q379" s="9">
        <f t="shared" si="33"/>
        <v>1034.6600000000001</v>
      </c>
      <c r="R379" s="9" t="str">
        <f t="shared" si="34"/>
        <v>OK</v>
      </c>
      <c r="S379" s="11">
        <v>9.1999999999999998E-2</v>
      </c>
      <c r="T379" s="11" t="str">
        <f t="shared" si="35"/>
        <v>OK</v>
      </c>
      <c r="U379" s="13">
        <v>7</v>
      </c>
    </row>
    <row r="380" spans="1:21" x14ac:dyDescent="0.3">
      <c r="A380" s="7" t="s">
        <v>393</v>
      </c>
      <c r="B380" s="4">
        <v>45694</v>
      </c>
      <c r="C380" s="4">
        <v>45703</v>
      </c>
      <c r="D380" s="4" t="str">
        <f t="shared" si="30"/>
        <v>Valid</v>
      </c>
      <c r="E380" s="4">
        <f t="shared" si="31"/>
        <v>45703</v>
      </c>
      <c r="F380" s="13">
        <f t="shared" si="32"/>
        <v>9</v>
      </c>
      <c r="G380" s="7" t="s">
        <v>648</v>
      </c>
      <c r="H380" s="7" t="s">
        <v>655</v>
      </c>
      <c r="I380" s="7" t="s">
        <v>670</v>
      </c>
      <c r="J380" s="7" t="s">
        <v>703</v>
      </c>
      <c r="K380" s="7" t="s">
        <v>710</v>
      </c>
      <c r="L380" s="7" t="s">
        <v>721</v>
      </c>
      <c r="M380" s="7" t="s">
        <v>729</v>
      </c>
      <c r="N380" s="7" t="s">
        <v>1806</v>
      </c>
      <c r="O380" s="9">
        <v>837.39</v>
      </c>
      <c r="P380" s="9">
        <v>1905.42</v>
      </c>
      <c r="Q380" s="9">
        <f t="shared" si="33"/>
        <v>1905.42</v>
      </c>
      <c r="R380" s="9" t="str">
        <f t="shared" si="34"/>
        <v>OK</v>
      </c>
      <c r="S380" s="11">
        <v>3.2000000000000001E-2</v>
      </c>
      <c r="T380" s="11" t="str">
        <f t="shared" si="35"/>
        <v>OK</v>
      </c>
      <c r="U380" s="13">
        <v>18</v>
      </c>
    </row>
    <row r="381" spans="1:21" x14ac:dyDescent="0.3">
      <c r="A381" s="7" t="s">
        <v>394</v>
      </c>
      <c r="B381" s="4">
        <v>45688</v>
      </c>
      <c r="C381" s="4">
        <v>45705</v>
      </c>
      <c r="D381" s="4" t="str">
        <f t="shared" si="30"/>
        <v>Valid</v>
      </c>
      <c r="E381" s="4">
        <f t="shared" si="31"/>
        <v>45705</v>
      </c>
      <c r="F381" s="13">
        <f t="shared" si="32"/>
        <v>17</v>
      </c>
      <c r="G381" s="7" t="s">
        <v>649</v>
      </c>
      <c r="H381" s="7" t="s">
        <v>658</v>
      </c>
      <c r="I381" s="7" t="s">
        <v>683</v>
      </c>
      <c r="J381" s="7" t="s">
        <v>706</v>
      </c>
      <c r="K381" s="7" t="s">
        <v>707</v>
      </c>
      <c r="L381" s="7" t="s">
        <v>722</v>
      </c>
      <c r="M381" s="7" t="s">
        <v>727</v>
      </c>
      <c r="N381" s="7" t="s">
        <v>1506</v>
      </c>
      <c r="O381" s="9">
        <v>378.26</v>
      </c>
      <c r="P381" s="9">
        <v>541.55999999999995</v>
      </c>
      <c r="Q381" s="9">
        <f t="shared" si="33"/>
        <v>541.55999999999995</v>
      </c>
      <c r="R381" s="9" t="str">
        <f t="shared" si="34"/>
        <v>OK</v>
      </c>
      <c r="S381" s="11">
        <v>0.16300000000000001</v>
      </c>
      <c r="T381" s="11" t="str">
        <f t="shared" si="35"/>
        <v>OK</v>
      </c>
      <c r="U381" s="13">
        <v>25</v>
      </c>
    </row>
    <row r="382" spans="1:21" x14ac:dyDescent="0.3">
      <c r="A382" s="7" t="s">
        <v>395</v>
      </c>
      <c r="B382" s="4">
        <v>45876</v>
      </c>
      <c r="C382" s="4">
        <v>45906</v>
      </c>
      <c r="D382" s="4" t="str">
        <f t="shared" si="30"/>
        <v>Valid</v>
      </c>
      <c r="E382" s="4">
        <f t="shared" si="31"/>
        <v>45906</v>
      </c>
      <c r="F382" s="13">
        <f t="shared" si="32"/>
        <v>30</v>
      </c>
      <c r="G382" s="7" t="s">
        <v>648</v>
      </c>
      <c r="H382" s="7" t="s">
        <v>653</v>
      </c>
      <c r="I382" s="7" t="s">
        <v>681</v>
      </c>
      <c r="J382" s="7" t="s">
        <v>702</v>
      </c>
      <c r="K382" s="7" t="s">
        <v>711</v>
      </c>
      <c r="L382" s="7" t="s">
        <v>724</v>
      </c>
      <c r="M382" s="7" t="s">
        <v>729</v>
      </c>
      <c r="N382" s="7" t="s">
        <v>1807</v>
      </c>
      <c r="O382" s="9">
        <v>833.73</v>
      </c>
      <c r="P382" s="9">
        <v>1116.5999999999999</v>
      </c>
      <c r="Q382" s="9">
        <f t="shared" si="33"/>
        <v>1116.5999999999999</v>
      </c>
      <c r="R382" s="9" t="str">
        <f t="shared" si="34"/>
        <v>OK</v>
      </c>
      <c r="S382" s="11">
        <v>0.17599999999999999</v>
      </c>
      <c r="T382" s="11" t="str">
        <f t="shared" si="35"/>
        <v>OK</v>
      </c>
      <c r="U382" s="13">
        <v>14</v>
      </c>
    </row>
    <row r="383" spans="1:21" x14ac:dyDescent="0.3">
      <c r="A383" s="7" t="s">
        <v>396</v>
      </c>
      <c r="B383" s="4">
        <v>45861</v>
      </c>
      <c r="C383" s="4">
        <v>45886</v>
      </c>
      <c r="D383" s="4" t="str">
        <f t="shared" si="30"/>
        <v>Valid</v>
      </c>
      <c r="E383" s="4">
        <f t="shared" si="31"/>
        <v>45886</v>
      </c>
      <c r="F383" s="13">
        <f t="shared" si="32"/>
        <v>25</v>
      </c>
      <c r="G383" s="7" t="s">
        <v>649</v>
      </c>
      <c r="H383" s="7" t="s">
        <v>658</v>
      </c>
      <c r="I383" s="7" t="s">
        <v>674</v>
      </c>
      <c r="J383" s="7" t="s">
        <v>702</v>
      </c>
      <c r="K383" s="7" t="s">
        <v>708</v>
      </c>
      <c r="L383" s="7" t="s">
        <v>714</v>
      </c>
      <c r="M383" s="7" t="s">
        <v>728</v>
      </c>
      <c r="N383" s="7" t="s">
        <v>1808</v>
      </c>
      <c r="O383" s="9">
        <v>1142.06</v>
      </c>
      <c r="P383" s="9">
        <v>1455</v>
      </c>
      <c r="Q383" s="9">
        <f t="shared" si="33"/>
        <v>1455</v>
      </c>
      <c r="R383" s="9" t="str">
        <f t="shared" si="34"/>
        <v>OK</v>
      </c>
      <c r="S383" s="11">
        <v>7.8E-2</v>
      </c>
      <c r="T383" s="11" t="str">
        <f t="shared" si="35"/>
        <v>OK</v>
      </c>
      <c r="U383" s="13">
        <v>28</v>
      </c>
    </row>
    <row r="384" spans="1:21" x14ac:dyDescent="0.3">
      <c r="A384" s="7" t="s">
        <v>397</v>
      </c>
      <c r="B384" s="4">
        <v>45097</v>
      </c>
      <c r="C384" s="4">
        <v>45115</v>
      </c>
      <c r="D384" s="4" t="str">
        <f t="shared" si="30"/>
        <v>Valid</v>
      </c>
      <c r="E384" s="4">
        <f t="shared" si="31"/>
        <v>45115</v>
      </c>
      <c r="F384" s="13">
        <f t="shared" si="32"/>
        <v>18</v>
      </c>
      <c r="G384" s="7" t="s">
        <v>648</v>
      </c>
      <c r="H384" s="7" t="s">
        <v>1425</v>
      </c>
      <c r="I384" s="7" t="s">
        <v>700</v>
      </c>
      <c r="J384" s="7" t="s">
        <v>704</v>
      </c>
      <c r="K384" s="7" t="s">
        <v>709</v>
      </c>
      <c r="L384" s="7" t="s">
        <v>719</v>
      </c>
      <c r="M384" s="7" t="s">
        <v>729</v>
      </c>
      <c r="N384" s="7" t="s">
        <v>1809</v>
      </c>
      <c r="O384" s="9">
        <v>1145.53</v>
      </c>
      <c r="P384" s="9">
        <v>1278.3</v>
      </c>
      <c r="Q384" s="9">
        <f t="shared" si="33"/>
        <v>1278.3</v>
      </c>
      <c r="R384" s="9" t="str">
        <f t="shared" si="34"/>
        <v>OK</v>
      </c>
      <c r="S384" s="11">
        <v>0.09</v>
      </c>
      <c r="T384" s="11" t="str">
        <f t="shared" si="35"/>
        <v>OK</v>
      </c>
      <c r="U384" s="13">
        <v>41</v>
      </c>
    </row>
    <row r="385" spans="1:21" x14ac:dyDescent="0.3">
      <c r="A385" s="7" t="s">
        <v>398</v>
      </c>
      <c r="B385" s="4">
        <v>45491</v>
      </c>
      <c r="C385" s="4">
        <v>45511</v>
      </c>
      <c r="D385" s="4" t="str">
        <f t="shared" si="30"/>
        <v>Valid</v>
      </c>
      <c r="E385" s="4">
        <f t="shared" si="31"/>
        <v>45511</v>
      </c>
      <c r="F385" s="13">
        <f t="shared" si="32"/>
        <v>20</v>
      </c>
      <c r="G385" s="7" t="s">
        <v>649</v>
      </c>
      <c r="H385" s="7" t="s">
        <v>657</v>
      </c>
      <c r="I385" s="7" t="s">
        <v>673</v>
      </c>
      <c r="J385" s="7" t="s">
        <v>701</v>
      </c>
      <c r="K385" s="7" t="s">
        <v>707</v>
      </c>
      <c r="L385" s="7" t="s">
        <v>721</v>
      </c>
      <c r="M385" s="7" t="s">
        <v>732</v>
      </c>
      <c r="N385" s="7" t="s">
        <v>1810</v>
      </c>
      <c r="O385" s="9">
        <v>941.35</v>
      </c>
      <c r="P385" s="9">
        <v>899.83</v>
      </c>
      <c r="Q385" s="9">
        <f t="shared" si="33"/>
        <v>899.83</v>
      </c>
      <c r="R385" s="9" t="str">
        <f t="shared" si="34"/>
        <v>OK</v>
      </c>
      <c r="S385" s="11">
        <v>5.8000000000000003E-2</v>
      </c>
      <c r="T385" s="11" t="str">
        <f t="shared" si="35"/>
        <v>OK</v>
      </c>
      <c r="U385" s="13">
        <v>18</v>
      </c>
    </row>
    <row r="386" spans="1:21" x14ac:dyDescent="0.3">
      <c r="A386" s="7" t="s">
        <v>399</v>
      </c>
      <c r="B386" s="4">
        <v>45066</v>
      </c>
      <c r="C386" s="4">
        <v>45096</v>
      </c>
      <c r="D386" s="4" t="str">
        <f t="shared" si="30"/>
        <v>Valid</v>
      </c>
      <c r="E386" s="4">
        <f t="shared" si="31"/>
        <v>45096</v>
      </c>
      <c r="F386" s="13">
        <f t="shared" si="32"/>
        <v>30</v>
      </c>
      <c r="G386" s="7" t="s">
        <v>647</v>
      </c>
      <c r="H386" s="7" t="s">
        <v>654</v>
      </c>
      <c r="I386" s="7" t="s">
        <v>680</v>
      </c>
      <c r="J386" s="7" t="s">
        <v>703</v>
      </c>
      <c r="K386" s="7" t="s">
        <v>709</v>
      </c>
      <c r="L386" s="7" t="s">
        <v>722</v>
      </c>
      <c r="M386" s="7" t="s">
        <v>731</v>
      </c>
      <c r="N386" s="7" t="s">
        <v>1811</v>
      </c>
      <c r="O386" s="9">
        <v>1161.2</v>
      </c>
      <c r="P386" s="9">
        <v>878.73</v>
      </c>
      <c r="Q386" s="9">
        <f t="shared" si="33"/>
        <v>878.73</v>
      </c>
      <c r="R386" s="9" t="str">
        <f t="shared" si="34"/>
        <v>OK</v>
      </c>
      <c r="S386" s="11">
        <v>0.19</v>
      </c>
      <c r="T386" s="11" t="str">
        <f t="shared" si="35"/>
        <v>OK</v>
      </c>
      <c r="U386" s="13">
        <v>31</v>
      </c>
    </row>
    <row r="387" spans="1:21" x14ac:dyDescent="0.3">
      <c r="A387" s="7" t="s">
        <v>400</v>
      </c>
      <c r="B387" s="4">
        <v>45789</v>
      </c>
      <c r="C387" s="4">
        <v>45803</v>
      </c>
      <c r="D387" s="4" t="str">
        <f t="shared" ref="D387:D450" si="36">IF(C387&lt;B387,"Invalid","Valid")</f>
        <v>Valid</v>
      </c>
      <c r="E387" s="4">
        <f t="shared" ref="E387:E450" si="37">IF(C387&lt;B387,B387,C387)</f>
        <v>45803</v>
      </c>
      <c r="F387" s="13">
        <f t="shared" ref="F387:F450" si="38">E387-B387</f>
        <v>14</v>
      </c>
      <c r="G387" s="7" t="s">
        <v>647</v>
      </c>
      <c r="H387" s="7" t="s">
        <v>654</v>
      </c>
      <c r="I387" s="7" t="s">
        <v>696</v>
      </c>
      <c r="J387" s="7" t="s">
        <v>701</v>
      </c>
      <c r="K387" s="7" t="s">
        <v>709</v>
      </c>
      <c r="L387" s="7" t="s">
        <v>715</v>
      </c>
      <c r="M387" s="7" t="s">
        <v>728</v>
      </c>
      <c r="N387" s="7" t="s">
        <v>1812</v>
      </c>
      <c r="O387" s="9">
        <v>320.12</v>
      </c>
      <c r="P387" s="9">
        <v>594.41999999999996</v>
      </c>
      <c r="Q387" s="9">
        <f t="shared" ref="Q387:Q450" si="39">ABS(P387)</f>
        <v>594.41999999999996</v>
      </c>
      <c r="R387" s="9" t="str">
        <f t="shared" ref="R387:R450" si="40">IF(P387&lt;=0,"FLAG","OK")</f>
        <v>OK</v>
      </c>
      <c r="S387" s="11">
        <v>0.104</v>
      </c>
      <c r="T387" s="11" t="str">
        <f t="shared" ref="T387:T450" si="41">IF(S387&gt;30%,"FLAG","OK")</f>
        <v>OK</v>
      </c>
      <c r="U387" s="13">
        <v>18</v>
      </c>
    </row>
    <row r="388" spans="1:21" x14ac:dyDescent="0.3">
      <c r="A388" s="7" t="s">
        <v>401</v>
      </c>
      <c r="B388" s="4">
        <v>45419</v>
      </c>
      <c r="C388" s="4">
        <v>45424</v>
      </c>
      <c r="D388" s="4" t="str">
        <f t="shared" si="36"/>
        <v>Valid</v>
      </c>
      <c r="E388" s="4">
        <f t="shared" si="37"/>
        <v>45424</v>
      </c>
      <c r="F388" s="13">
        <f t="shared" si="38"/>
        <v>5</v>
      </c>
      <c r="G388" s="7" t="s">
        <v>646</v>
      </c>
      <c r="H388" s="7" t="s">
        <v>651</v>
      </c>
      <c r="I388" s="7" t="s">
        <v>669</v>
      </c>
      <c r="J388" s="7" t="s">
        <v>703</v>
      </c>
      <c r="K388" s="7" t="s">
        <v>710</v>
      </c>
      <c r="L388" s="7" t="s">
        <v>716</v>
      </c>
      <c r="M388" s="7" t="s">
        <v>731</v>
      </c>
      <c r="N388" s="7" t="s">
        <v>1813</v>
      </c>
      <c r="O388" s="9">
        <v>1163.99</v>
      </c>
      <c r="P388" s="9">
        <v>1617.85</v>
      </c>
      <c r="Q388" s="9">
        <f t="shared" si="39"/>
        <v>1617.85</v>
      </c>
      <c r="R388" s="9" t="str">
        <f t="shared" si="40"/>
        <v>OK</v>
      </c>
      <c r="S388" s="11">
        <v>0.127</v>
      </c>
      <c r="T388" s="11" t="str">
        <f t="shared" si="41"/>
        <v>OK</v>
      </c>
      <c r="U388" s="13">
        <v>14</v>
      </c>
    </row>
    <row r="389" spans="1:21" x14ac:dyDescent="0.3">
      <c r="A389" s="7" t="s">
        <v>402</v>
      </c>
      <c r="B389" s="4">
        <v>45199</v>
      </c>
      <c r="C389" s="4">
        <v>45202</v>
      </c>
      <c r="D389" s="4" t="str">
        <f t="shared" si="36"/>
        <v>Valid</v>
      </c>
      <c r="E389" s="4">
        <f t="shared" si="37"/>
        <v>45202</v>
      </c>
      <c r="F389" s="13">
        <f t="shared" si="38"/>
        <v>3</v>
      </c>
      <c r="G389" s="7" t="s">
        <v>647</v>
      </c>
      <c r="H389" s="7" t="s">
        <v>659</v>
      </c>
      <c r="I389" s="7" t="s">
        <v>699</v>
      </c>
      <c r="J389" s="7" t="s">
        <v>703</v>
      </c>
      <c r="K389" s="7" t="s">
        <v>707</v>
      </c>
      <c r="L389" s="7" t="s">
        <v>713</v>
      </c>
      <c r="M389" s="7" t="s">
        <v>731</v>
      </c>
      <c r="N389" s="7" t="s">
        <v>1814</v>
      </c>
      <c r="O389" s="9">
        <v>1019.36</v>
      </c>
      <c r="P389" s="9">
        <v>972.91</v>
      </c>
      <c r="Q389" s="9">
        <f t="shared" si="39"/>
        <v>972.91</v>
      </c>
      <c r="R389" s="9" t="str">
        <f t="shared" si="40"/>
        <v>OK</v>
      </c>
      <c r="S389" s="11">
        <v>0.14699999999999999</v>
      </c>
      <c r="T389" s="11" t="str">
        <f t="shared" si="41"/>
        <v>OK</v>
      </c>
      <c r="U389" s="13">
        <v>17</v>
      </c>
    </row>
    <row r="390" spans="1:21" x14ac:dyDescent="0.3">
      <c r="A390" s="7" t="s">
        <v>403</v>
      </c>
      <c r="B390" s="4">
        <v>45225</v>
      </c>
      <c r="C390" s="4">
        <v>45235</v>
      </c>
      <c r="D390" s="4" t="str">
        <f t="shared" si="36"/>
        <v>Valid</v>
      </c>
      <c r="E390" s="4">
        <f t="shared" si="37"/>
        <v>45235</v>
      </c>
      <c r="F390" s="13">
        <f t="shared" si="38"/>
        <v>10</v>
      </c>
      <c r="G390" s="7" t="s">
        <v>646</v>
      </c>
      <c r="H390" s="7" t="s">
        <v>661</v>
      </c>
      <c r="I390" s="7" t="s">
        <v>695</v>
      </c>
      <c r="J390" s="7" t="s">
        <v>703</v>
      </c>
      <c r="K390" s="7" t="s">
        <v>708</v>
      </c>
      <c r="L390" s="7" t="s">
        <v>714</v>
      </c>
      <c r="M390" s="7" t="s">
        <v>731</v>
      </c>
      <c r="N390" s="7" t="s">
        <v>1815</v>
      </c>
      <c r="O390" s="9">
        <v>20.38</v>
      </c>
      <c r="P390" s="9">
        <v>42.56</v>
      </c>
      <c r="Q390" s="9">
        <f t="shared" si="39"/>
        <v>42.56</v>
      </c>
      <c r="R390" s="9" t="str">
        <f t="shared" si="40"/>
        <v>OK</v>
      </c>
      <c r="S390" s="11">
        <v>7.1999999999999995E-2</v>
      </c>
      <c r="T390" s="11" t="str">
        <f t="shared" si="41"/>
        <v>OK</v>
      </c>
      <c r="U390" s="13">
        <v>11</v>
      </c>
    </row>
    <row r="391" spans="1:21" x14ac:dyDescent="0.3">
      <c r="A391" s="7" t="s">
        <v>404</v>
      </c>
      <c r="B391" s="4">
        <v>45823</v>
      </c>
      <c r="C391" s="4">
        <v>45838</v>
      </c>
      <c r="D391" s="4" t="str">
        <f t="shared" si="36"/>
        <v>Valid</v>
      </c>
      <c r="E391" s="4">
        <f t="shared" si="37"/>
        <v>45838</v>
      </c>
      <c r="F391" s="13">
        <f t="shared" si="38"/>
        <v>15</v>
      </c>
      <c r="G391" s="7" t="s">
        <v>646</v>
      </c>
      <c r="H391" s="7" t="s">
        <v>661</v>
      </c>
      <c r="I391" s="7" t="s">
        <v>682</v>
      </c>
      <c r="J391" s="7" t="s">
        <v>705</v>
      </c>
      <c r="K391" s="7" t="s">
        <v>711</v>
      </c>
      <c r="L391" s="7" t="s">
        <v>712</v>
      </c>
      <c r="M391" s="7" t="s">
        <v>732</v>
      </c>
      <c r="N391" s="7" t="s">
        <v>1816</v>
      </c>
      <c r="O391" s="9">
        <v>1487.59</v>
      </c>
      <c r="P391" s="9">
        <v>1480.83</v>
      </c>
      <c r="Q391" s="9">
        <f t="shared" si="39"/>
        <v>1480.83</v>
      </c>
      <c r="R391" s="9" t="str">
        <f t="shared" si="40"/>
        <v>OK</v>
      </c>
      <c r="S391" s="11">
        <v>8.9999999999999993E-3</v>
      </c>
      <c r="T391" s="11" t="str">
        <f t="shared" si="41"/>
        <v>OK</v>
      </c>
      <c r="U391" s="13">
        <v>11</v>
      </c>
    </row>
    <row r="392" spans="1:21" x14ac:dyDescent="0.3">
      <c r="A392" s="7" t="s">
        <v>405</v>
      </c>
      <c r="B392" s="4">
        <v>45514</v>
      </c>
      <c r="C392" s="4">
        <v>45542</v>
      </c>
      <c r="D392" s="4" t="str">
        <f t="shared" si="36"/>
        <v>Valid</v>
      </c>
      <c r="E392" s="4">
        <f t="shared" si="37"/>
        <v>45542</v>
      </c>
      <c r="F392" s="13">
        <f t="shared" si="38"/>
        <v>28</v>
      </c>
      <c r="G392" s="7" t="s">
        <v>649</v>
      </c>
      <c r="H392" s="7" t="s">
        <v>657</v>
      </c>
      <c r="I392" s="7" t="s">
        <v>673</v>
      </c>
      <c r="J392" s="7" t="s">
        <v>703</v>
      </c>
      <c r="K392" s="7" t="s">
        <v>711</v>
      </c>
      <c r="L392" s="7" t="s">
        <v>721</v>
      </c>
      <c r="M392" s="7" t="s">
        <v>728</v>
      </c>
      <c r="N392" s="7" t="s">
        <v>1817</v>
      </c>
      <c r="O392" s="9">
        <v>229.96</v>
      </c>
      <c r="P392" s="9">
        <v>564.26</v>
      </c>
      <c r="Q392" s="9">
        <f t="shared" si="39"/>
        <v>564.26</v>
      </c>
      <c r="R392" s="9" t="str">
        <f t="shared" si="40"/>
        <v>OK</v>
      </c>
      <c r="S392" s="11">
        <v>0.105</v>
      </c>
      <c r="T392" s="11" t="str">
        <f t="shared" si="41"/>
        <v>OK</v>
      </c>
      <c r="U392" s="13">
        <v>5</v>
      </c>
    </row>
    <row r="393" spans="1:21" x14ac:dyDescent="0.3">
      <c r="A393" s="7" t="s">
        <v>406</v>
      </c>
      <c r="B393" s="4">
        <v>45208</v>
      </c>
      <c r="C393" s="4">
        <v>45225</v>
      </c>
      <c r="D393" s="4" t="str">
        <f t="shared" si="36"/>
        <v>Valid</v>
      </c>
      <c r="E393" s="4">
        <f t="shared" si="37"/>
        <v>45225</v>
      </c>
      <c r="F393" s="13">
        <f t="shared" si="38"/>
        <v>17</v>
      </c>
      <c r="G393" s="7" t="s">
        <v>647</v>
      </c>
      <c r="H393" s="7" t="s">
        <v>659</v>
      </c>
      <c r="I393" s="7" t="s">
        <v>685</v>
      </c>
      <c r="J393" s="7" t="s">
        <v>704</v>
      </c>
      <c r="K393" s="7" t="s">
        <v>709</v>
      </c>
      <c r="L393" s="7" t="s">
        <v>712</v>
      </c>
      <c r="M393" s="7" t="s">
        <v>727</v>
      </c>
      <c r="N393" s="7" t="s">
        <v>1818</v>
      </c>
      <c r="O393" s="9">
        <v>1132.03</v>
      </c>
      <c r="P393" s="9">
        <v>2137.21</v>
      </c>
      <c r="Q393" s="9">
        <f t="shared" si="39"/>
        <v>2137.21</v>
      </c>
      <c r="R393" s="9" t="str">
        <f t="shared" si="40"/>
        <v>OK</v>
      </c>
      <c r="S393" s="11">
        <v>0.35699999999999998</v>
      </c>
      <c r="T393" s="11" t="str">
        <f t="shared" si="41"/>
        <v>FLAG</v>
      </c>
      <c r="U393" s="13">
        <v>35</v>
      </c>
    </row>
    <row r="394" spans="1:21" x14ac:dyDescent="0.3">
      <c r="A394" s="7" t="s">
        <v>407</v>
      </c>
      <c r="B394" s="4">
        <v>45360</v>
      </c>
      <c r="C394" s="4">
        <v>45377</v>
      </c>
      <c r="D394" s="4" t="str">
        <f t="shared" si="36"/>
        <v>Valid</v>
      </c>
      <c r="E394" s="4">
        <f t="shared" si="37"/>
        <v>45377</v>
      </c>
      <c r="F394" s="13">
        <f t="shared" si="38"/>
        <v>17</v>
      </c>
      <c r="G394" s="7" t="s">
        <v>648</v>
      </c>
      <c r="H394" s="7" t="s">
        <v>1425</v>
      </c>
      <c r="I394" s="7" t="s">
        <v>686</v>
      </c>
      <c r="J394" s="7" t="s">
        <v>702</v>
      </c>
      <c r="K394" s="7" t="s">
        <v>711</v>
      </c>
      <c r="L394" s="7" t="s">
        <v>714</v>
      </c>
      <c r="M394" s="7" t="s">
        <v>730</v>
      </c>
      <c r="N394" s="7" t="s">
        <v>1819</v>
      </c>
      <c r="O394" s="9">
        <v>1137.4100000000001</v>
      </c>
      <c r="P394" s="9">
        <v>1680.93</v>
      </c>
      <c r="Q394" s="9">
        <f t="shared" si="39"/>
        <v>1680.93</v>
      </c>
      <c r="R394" s="9" t="str">
        <f t="shared" si="40"/>
        <v>OK</v>
      </c>
      <c r="S394" s="11">
        <v>0.254</v>
      </c>
      <c r="T394" s="11" t="str">
        <f t="shared" si="41"/>
        <v>OK</v>
      </c>
      <c r="U394" s="13">
        <v>9</v>
      </c>
    </row>
    <row r="395" spans="1:21" x14ac:dyDescent="0.3">
      <c r="A395" s="7" t="s">
        <v>408</v>
      </c>
      <c r="B395" s="4">
        <v>45075</v>
      </c>
      <c r="C395" s="4">
        <v>45097</v>
      </c>
      <c r="D395" s="4" t="str">
        <f t="shared" si="36"/>
        <v>Valid</v>
      </c>
      <c r="E395" s="4">
        <f t="shared" si="37"/>
        <v>45097</v>
      </c>
      <c r="F395" s="13">
        <f t="shared" si="38"/>
        <v>22</v>
      </c>
      <c r="G395" s="7" t="s">
        <v>649</v>
      </c>
      <c r="H395" s="7" t="s">
        <v>658</v>
      </c>
      <c r="I395" s="7" t="s">
        <v>683</v>
      </c>
      <c r="J395" s="7" t="s">
        <v>705</v>
      </c>
      <c r="K395" s="7" t="s">
        <v>711</v>
      </c>
      <c r="L395" s="7" t="s">
        <v>723</v>
      </c>
      <c r="M395" s="7" t="s">
        <v>727</v>
      </c>
      <c r="N395" s="7" t="s">
        <v>1820</v>
      </c>
      <c r="O395" s="9">
        <v>1295.3900000000001</v>
      </c>
      <c r="P395" s="9">
        <v>2905.06</v>
      </c>
      <c r="Q395" s="9">
        <f t="shared" si="39"/>
        <v>2905.06</v>
      </c>
      <c r="R395" s="9" t="str">
        <f t="shared" si="40"/>
        <v>OK</v>
      </c>
      <c r="S395" s="11">
        <v>0.14799999999999999</v>
      </c>
      <c r="T395" s="11" t="str">
        <f t="shared" si="41"/>
        <v>OK</v>
      </c>
      <c r="U395" s="13">
        <v>8</v>
      </c>
    </row>
    <row r="396" spans="1:21" x14ac:dyDescent="0.3">
      <c r="A396" s="7" t="s">
        <v>409</v>
      </c>
      <c r="B396" s="4">
        <v>45804</v>
      </c>
      <c r="C396" s="4">
        <v>45816</v>
      </c>
      <c r="D396" s="4" t="str">
        <f t="shared" si="36"/>
        <v>Valid</v>
      </c>
      <c r="E396" s="4">
        <f t="shared" si="37"/>
        <v>45816</v>
      </c>
      <c r="F396" s="13">
        <f t="shared" si="38"/>
        <v>12</v>
      </c>
      <c r="G396" s="7" t="s">
        <v>647</v>
      </c>
      <c r="H396" s="7" t="s">
        <v>652</v>
      </c>
      <c r="I396" s="7" t="s">
        <v>666</v>
      </c>
      <c r="J396" s="7" t="s">
        <v>701</v>
      </c>
      <c r="K396" s="7" t="s">
        <v>707</v>
      </c>
      <c r="L396" s="7" t="s">
        <v>722</v>
      </c>
      <c r="M396" s="7" t="s">
        <v>733</v>
      </c>
      <c r="N396" s="7" t="s">
        <v>1821</v>
      </c>
      <c r="O396" s="9">
        <v>653.6</v>
      </c>
      <c r="P396" s="9">
        <v>842.09</v>
      </c>
      <c r="Q396" s="9">
        <f t="shared" si="39"/>
        <v>842.09</v>
      </c>
      <c r="R396" s="9" t="str">
        <f t="shared" si="40"/>
        <v>OK</v>
      </c>
      <c r="S396" s="11">
        <v>9.8000000000000004E-2</v>
      </c>
      <c r="T396" s="11" t="str">
        <f t="shared" si="41"/>
        <v>OK</v>
      </c>
      <c r="U396" s="13">
        <v>19</v>
      </c>
    </row>
    <row r="397" spans="1:21" x14ac:dyDescent="0.3">
      <c r="A397" s="7" t="s">
        <v>410</v>
      </c>
      <c r="B397" s="4">
        <v>45890</v>
      </c>
      <c r="C397" s="4">
        <v>45914</v>
      </c>
      <c r="D397" s="4" t="str">
        <f t="shared" si="36"/>
        <v>Valid</v>
      </c>
      <c r="E397" s="4">
        <f t="shared" si="37"/>
        <v>45914</v>
      </c>
      <c r="F397" s="13">
        <f t="shared" si="38"/>
        <v>24</v>
      </c>
      <c r="G397" s="7" t="s">
        <v>649</v>
      </c>
      <c r="H397" s="7" t="s">
        <v>656</v>
      </c>
      <c r="I397" s="7" t="s">
        <v>671</v>
      </c>
      <c r="J397" s="7" t="s">
        <v>703</v>
      </c>
      <c r="K397" s="7" t="s">
        <v>708</v>
      </c>
      <c r="L397" s="7" t="s">
        <v>720</v>
      </c>
      <c r="M397" s="7" t="s">
        <v>732</v>
      </c>
      <c r="N397" s="7" t="s">
        <v>1822</v>
      </c>
      <c r="O397" s="9">
        <v>1397.67</v>
      </c>
      <c r="P397" s="9">
        <v>3131.37</v>
      </c>
      <c r="Q397" s="9">
        <f t="shared" si="39"/>
        <v>3131.37</v>
      </c>
      <c r="R397" s="9" t="str">
        <f t="shared" si="40"/>
        <v>OK</v>
      </c>
      <c r="S397" s="11">
        <v>0.10299999999999999</v>
      </c>
      <c r="T397" s="11" t="str">
        <f t="shared" si="41"/>
        <v>OK</v>
      </c>
      <c r="U397" s="13">
        <v>20</v>
      </c>
    </row>
    <row r="398" spans="1:21" x14ac:dyDescent="0.3">
      <c r="A398" s="7" t="s">
        <v>411</v>
      </c>
      <c r="B398" s="4">
        <v>45638</v>
      </c>
      <c r="C398" s="4">
        <v>45646</v>
      </c>
      <c r="D398" s="4" t="str">
        <f t="shared" si="36"/>
        <v>Valid</v>
      </c>
      <c r="E398" s="4">
        <f t="shared" si="37"/>
        <v>45646</v>
      </c>
      <c r="F398" s="13">
        <f t="shared" si="38"/>
        <v>8</v>
      </c>
      <c r="G398" s="7" t="s">
        <v>647</v>
      </c>
      <c r="H398" s="7" t="s">
        <v>652</v>
      </c>
      <c r="I398" s="7" t="s">
        <v>689</v>
      </c>
      <c r="J398" s="7" t="s">
        <v>701</v>
      </c>
      <c r="K398" s="7" t="s">
        <v>707</v>
      </c>
      <c r="L398" s="7" t="s">
        <v>717</v>
      </c>
      <c r="M398" s="7" t="s">
        <v>731</v>
      </c>
      <c r="N398" s="7" t="s">
        <v>1823</v>
      </c>
      <c r="O398" s="9">
        <v>1202.47</v>
      </c>
      <c r="P398" s="9">
        <v>1444.72</v>
      </c>
      <c r="Q398" s="9">
        <f t="shared" si="39"/>
        <v>1444.72</v>
      </c>
      <c r="R398" s="9" t="str">
        <f t="shared" si="40"/>
        <v>OK</v>
      </c>
      <c r="S398" s="11">
        <v>0.24099999999999999</v>
      </c>
      <c r="T398" s="11" t="str">
        <f t="shared" si="41"/>
        <v>OK</v>
      </c>
      <c r="U398" s="13">
        <v>17</v>
      </c>
    </row>
    <row r="399" spans="1:21" x14ac:dyDescent="0.3">
      <c r="A399" s="7" t="s">
        <v>412</v>
      </c>
      <c r="B399" s="4">
        <v>45914</v>
      </c>
      <c r="C399" s="4">
        <v>45923</v>
      </c>
      <c r="D399" s="4" t="str">
        <f t="shared" si="36"/>
        <v>Valid</v>
      </c>
      <c r="E399" s="4">
        <f t="shared" si="37"/>
        <v>45923</v>
      </c>
      <c r="F399" s="13">
        <f t="shared" si="38"/>
        <v>9</v>
      </c>
      <c r="G399" s="7" t="s">
        <v>646</v>
      </c>
      <c r="H399" s="7" t="s">
        <v>661</v>
      </c>
      <c r="I399" s="7" t="s">
        <v>687</v>
      </c>
      <c r="J399" s="7" t="s">
        <v>703</v>
      </c>
      <c r="K399" s="7" t="s">
        <v>708</v>
      </c>
      <c r="L399" s="7" t="s">
        <v>726</v>
      </c>
      <c r="M399" s="7" t="s">
        <v>727</v>
      </c>
      <c r="N399" s="7" t="s">
        <v>1824</v>
      </c>
      <c r="O399" s="9">
        <v>1310.3</v>
      </c>
      <c r="P399" s="9">
        <v>2875.8</v>
      </c>
      <c r="Q399" s="9">
        <f t="shared" si="39"/>
        <v>2875.8</v>
      </c>
      <c r="R399" s="9" t="str">
        <f t="shared" si="40"/>
        <v>OK</v>
      </c>
      <c r="S399" s="11">
        <v>8.3000000000000004E-2</v>
      </c>
      <c r="T399" s="11" t="str">
        <f t="shared" si="41"/>
        <v>OK</v>
      </c>
      <c r="U399" s="13">
        <v>5</v>
      </c>
    </row>
    <row r="400" spans="1:21" x14ac:dyDescent="0.3">
      <c r="A400" s="7" t="s">
        <v>413</v>
      </c>
      <c r="B400" s="4">
        <v>45541</v>
      </c>
      <c r="C400" s="4">
        <v>45569</v>
      </c>
      <c r="D400" s="4" t="str">
        <f t="shared" si="36"/>
        <v>Valid</v>
      </c>
      <c r="E400" s="4">
        <f t="shared" si="37"/>
        <v>45569</v>
      </c>
      <c r="F400" s="13">
        <f t="shared" si="38"/>
        <v>28</v>
      </c>
      <c r="G400" s="7" t="s">
        <v>646</v>
      </c>
      <c r="H400" s="7" t="s">
        <v>661</v>
      </c>
      <c r="I400" s="7" t="s">
        <v>695</v>
      </c>
      <c r="J400" s="7" t="s">
        <v>701</v>
      </c>
      <c r="K400" s="7" t="s">
        <v>709</v>
      </c>
      <c r="L400" s="7" t="s">
        <v>726</v>
      </c>
      <c r="M400" s="7" t="s">
        <v>732</v>
      </c>
      <c r="N400" s="7" t="s">
        <v>1825</v>
      </c>
      <c r="O400" s="9">
        <v>1174.17</v>
      </c>
      <c r="P400" s="9">
        <v>1641.61</v>
      </c>
      <c r="Q400" s="9">
        <f t="shared" si="39"/>
        <v>1641.61</v>
      </c>
      <c r="R400" s="9" t="str">
        <f t="shared" si="40"/>
        <v>OK</v>
      </c>
      <c r="S400" s="11">
        <v>0.122</v>
      </c>
      <c r="T400" s="11" t="str">
        <f t="shared" si="41"/>
        <v>OK</v>
      </c>
      <c r="U400" s="13">
        <v>9</v>
      </c>
    </row>
    <row r="401" spans="1:21" x14ac:dyDescent="0.3">
      <c r="A401" s="7" t="s">
        <v>414</v>
      </c>
      <c r="B401" s="4">
        <v>45759</v>
      </c>
      <c r="C401" s="4">
        <v>45777</v>
      </c>
      <c r="D401" s="4" t="str">
        <f t="shared" si="36"/>
        <v>Valid</v>
      </c>
      <c r="E401" s="4">
        <f t="shared" si="37"/>
        <v>45777</v>
      </c>
      <c r="F401" s="13">
        <f t="shared" si="38"/>
        <v>18</v>
      </c>
      <c r="G401" s="7" t="s">
        <v>646</v>
      </c>
      <c r="H401" s="7" t="s">
        <v>650</v>
      </c>
      <c r="I401" s="7" t="s">
        <v>662</v>
      </c>
      <c r="J401" s="7" t="s">
        <v>701</v>
      </c>
      <c r="K401" s="7" t="s">
        <v>709</v>
      </c>
      <c r="L401" s="7" t="s">
        <v>721</v>
      </c>
      <c r="M401" s="7" t="s">
        <v>729</v>
      </c>
      <c r="N401" s="7" t="s">
        <v>1826</v>
      </c>
      <c r="O401" s="9">
        <v>1119.04</v>
      </c>
      <c r="P401" s="9">
        <v>1299.02</v>
      </c>
      <c r="Q401" s="9">
        <f t="shared" si="39"/>
        <v>1299.02</v>
      </c>
      <c r="R401" s="9" t="str">
        <f t="shared" si="40"/>
        <v>OK</v>
      </c>
      <c r="S401" s="11">
        <v>2.5000000000000001E-2</v>
      </c>
      <c r="T401" s="11" t="str">
        <f t="shared" si="41"/>
        <v>OK</v>
      </c>
      <c r="U401" s="13">
        <v>14</v>
      </c>
    </row>
    <row r="402" spans="1:21" x14ac:dyDescent="0.3">
      <c r="A402" s="7" t="s">
        <v>415</v>
      </c>
      <c r="B402" s="4">
        <v>45516</v>
      </c>
      <c r="C402" s="4">
        <v>45519</v>
      </c>
      <c r="D402" s="4" t="str">
        <f t="shared" si="36"/>
        <v>Valid</v>
      </c>
      <c r="E402" s="4">
        <f t="shared" si="37"/>
        <v>45519</v>
      </c>
      <c r="F402" s="13">
        <f t="shared" si="38"/>
        <v>3</v>
      </c>
      <c r="G402" s="7" t="s">
        <v>648</v>
      </c>
      <c r="H402" s="7" t="s">
        <v>1425</v>
      </c>
      <c r="I402" s="7" t="s">
        <v>677</v>
      </c>
      <c r="J402" s="7" t="s">
        <v>701</v>
      </c>
      <c r="K402" s="7" t="s">
        <v>709</v>
      </c>
      <c r="L402" s="7" t="s">
        <v>726</v>
      </c>
      <c r="M402" s="7" t="s">
        <v>728</v>
      </c>
      <c r="N402" s="7" t="s">
        <v>1827</v>
      </c>
      <c r="O402" s="9">
        <v>850.7</v>
      </c>
      <c r="P402" s="9">
        <v>1118.56</v>
      </c>
      <c r="Q402" s="9">
        <f t="shared" si="39"/>
        <v>1118.56</v>
      </c>
      <c r="R402" s="9" t="str">
        <f t="shared" si="40"/>
        <v>OK</v>
      </c>
      <c r="S402" s="11">
        <v>0.18</v>
      </c>
      <c r="T402" s="11" t="str">
        <f t="shared" si="41"/>
        <v>OK</v>
      </c>
      <c r="U402" s="13">
        <v>19</v>
      </c>
    </row>
    <row r="403" spans="1:21" x14ac:dyDescent="0.3">
      <c r="A403" s="7" t="s">
        <v>416</v>
      </c>
      <c r="B403" s="4">
        <v>45601</v>
      </c>
      <c r="C403" s="4">
        <v>45604</v>
      </c>
      <c r="D403" s="4" t="str">
        <f t="shared" si="36"/>
        <v>Valid</v>
      </c>
      <c r="E403" s="4">
        <f t="shared" si="37"/>
        <v>45604</v>
      </c>
      <c r="F403" s="13">
        <f t="shared" si="38"/>
        <v>3</v>
      </c>
      <c r="G403" s="7" t="s">
        <v>648</v>
      </c>
      <c r="H403" s="7" t="s">
        <v>653</v>
      </c>
      <c r="I403" s="7" t="s">
        <v>667</v>
      </c>
      <c r="J403" s="7" t="s">
        <v>702</v>
      </c>
      <c r="K403" s="7" t="s">
        <v>709</v>
      </c>
      <c r="L403" s="7" t="s">
        <v>719</v>
      </c>
      <c r="M403" s="7" t="s">
        <v>727</v>
      </c>
      <c r="N403" s="7" t="s">
        <v>1828</v>
      </c>
      <c r="O403" s="9">
        <v>1020.4</v>
      </c>
      <c r="P403" s="9">
        <v>1184.71</v>
      </c>
      <c r="Q403" s="9">
        <f t="shared" si="39"/>
        <v>1184.71</v>
      </c>
      <c r="R403" s="9" t="str">
        <f t="shared" si="40"/>
        <v>OK</v>
      </c>
      <c r="S403" s="11">
        <v>0.106</v>
      </c>
      <c r="T403" s="11" t="str">
        <f t="shared" si="41"/>
        <v>OK</v>
      </c>
      <c r="U403" s="13">
        <v>16</v>
      </c>
    </row>
    <row r="404" spans="1:21" x14ac:dyDescent="0.3">
      <c r="A404" s="7" t="s">
        <v>417</v>
      </c>
      <c r="B404" s="4">
        <v>45497</v>
      </c>
      <c r="C404" s="4">
        <v>45512</v>
      </c>
      <c r="D404" s="4" t="str">
        <f t="shared" si="36"/>
        <v>Valid</v>
      </c>
      <c r="E404" s="4">
        <f t="shared" si="37"/>
        <v>45512</v>
      </c>
      <c r="F404" s="13">
        <f t="shared" si="38"/>
        <v>15</v>
      </c>
      <c r="G404" s="7" t="s">
        <v>649</v>
      </c>
      <c r="H404" s="7" t="s">
        <v>657</v>
      </c>
      <c r="I404" s="7" t="s">
        <v>673</v>
      </c>
      <c r="J404" s="7" t="s">
        <v>706</v>
      </c>
      <c r="K404" s="7" t="s">
        <v>709</v>
      </c>
      <c r="L404" s="7" t="s">
        <v>722</v>
      </c>
      <c r="M404" s="7" t="s">
        <v>731</v>
      </c>
      <c r="N404" s="7" t="s">
        <v>1829</v>
      </c>
      <c r="O404" s="9">
        <v>501.5</v>
      </c>
      <c r="P404" s="9">
        <v>1201.47</v>
      </c>
      <c r="Q404" s="9">
        <f t="shared" si="39"/>
        <v>1201.47</v>
      </c>
      <c r="R404" s="9" t="str">
        <f t="shared" si="40"/>
        <v>OK</v>
      </c>
      <c r="S404" s="11">
        <v>0.126</v>
      </c>
      <c r="T404" s="11" t="str">
        <f t="shared" si="41"/>
        <v>OK</v>
      </c>
      <c r="U404" s="13">
        <v>5</v>
      </c>
    </row>
    <row r="405" spans="1:21" x14ac:dyDescent="0.3">
      <c r="A405" s="7" t="s">
        <v>418</v>
      </c>
      <c r="B405" s="4">
        <v>45677</v>
      </c>
      <c r="C405" s="4">
        <v>45691</v>
      </c>
      <c r="D405" s="4" t="str">
        <f t="shared" si="36"/>
        <v>Valid</v>
      </c>
      <c r="E405" s="4">
        <f t="shared" si="37"/>
        <v>45691</v>
      </c>
      <c r="F405" s="13">
        <f t="shared" si="38"/>
        <v>14</v>
      </c>
      <c r="G405" s="7" t="s">
        <v>648</v>
      </c>
      <c r="H405" s="7" t="s">
        <v>655</v>
      </c>
      <c r="I405" s="7" t="s">
        <v>672</v>
      </c>
      <c r="J405" s="7" t="s">
        <v>706</v>
      </c>
      <c r="K405" s="7" t="s">
        <v>709</v>
      </c>
      <c r="L405" s="7" t="s">
        <v>721</v>
      </c>
      <c r="M405" s="7" t="s">
        <v>727</v>
      </c>
      <c r="N405" s="7" t="s">
        <v>1830</v>
      </c>
      <c r="O405" s="9">
        <v>974.11</v>
      </c>
      <c r="P405" s="9">
        <v>880.99</v>
      </c>
      <c r="Q405" s="9">
        <f t="shared" si="39"/>
        <v>880.99</v>
      </c>
      <c r="R405" s="9" t="str">
        <f t="shared" si="40"/>
        <v>OK</v>
      </c>
      <c r="S405" s="11">
        <v>0.111</v>
      </c>
      <c r="T405" s="11" t="str">
        <f t="shared" si="41"/>
        <v>OK</v>
      </c>
      <c r="U405" s="13">
        <v>10</v>
      </c>
    </row>
    <row r="406" spans="1:21" x14ac:dyDescent="0.3">
      <c r="A406" s="7" t="s">
        <v>419</v>
      </c>
      <c r="B406" s="4">
        <v>44991</v>
      </c>
      <c r="C406" s="4">
        <v>45020</v>
      </c>
      <c r="D406" s="4" t="str">
        <f t="shared" si="36"/>
        <v>Valid</v>
      </c>
      <c r="E406" s="4">
        <f t="shared" si="37"/>
        <v>45020</v>
      </c>
      <c r="F406" s="13">
        <f t="shared" si="38"/>
        <v>29</v>
      </c>
      <c r="G406" s="7" t="s">
        <v>647</v>
      </c>
      <c r="H406" s="7" t="s">
        <v>659</v>
      </c>
      <c r="I406" s="7" t="s">
        <v>699</v>
      </c>
      <c r="J406" s="7" t="s">
        <v>705</v>
      </c>
      <c r="K406" s="7" t="s">
        <v>711</v>
      </c>
      <c r="L406" s="7" t="s">
        <v>712</v>
      </c>
      <c r="M406" s="7" t="s">
        <v>732</v>
      </c>
      <c r="N406" s="7" t="s">
        <v>1831</v>
      </c>
      <c r="O406" s="9">
        <v>1126.29</v>
      </c>
      <c r="P406" s="9">
        <v>2050.87</v>
      </c>
      <c r="Q406" s="9">
        <f t="shared" si="39"/>
        <v>2050.87</v>
      </c>
      <c r="R406" s="9" t="str">
        <f t="shared" si="40"/>
        <v>OK</v>
      </c>
      <c r="S406" s="11">
        <v>6.4000000000000001E-2</v>
      </c>
      <c r="T406" s="11" t="str">
        <f t="shared" si="41"/>
        <v>OK</v>
      </c>
      <c r="U406" s="13">
        <v>7</v>
      </c>
    </row>
    <row r="407" spans="1:21" x14ac:dyDescent="0.3">
      <c r="A407" s="7" t="s">
        <v>420</v>
      </c>
      <c r="B407" s="4">
        <v>45646</v>
      </c>
      <c r="C407" s="4">
        <v>45671</v>
      </c>
      <c r="D407" s="4" t="str">
        <f t="shared" si="36"/>
        <v>Valid</v>
      </c>
      <c r="E407" s="4">
        <f t="shared" si="37"/>
        <v>45671</v>
      </c>
      <c r="F407" s="13">
        <f t="shared" si="38"/>
        <v>25</v>
      </c>
      <c r="G407" s="7" t="s">
        <v>647</v>
      </c>
      <c r="H407" s="7" t="s">
        <v>654</v>
      </c>
      <c r="I407" s="7" t="s">
        <v>680</v>
      </c>
      <c r="J407" s="7" t="s">
        <v>705</v>
      </c>
      <c r="K407" s="7" t="s">
        <v>707</v>
      </c>
      <c r="L407" s="7" t="s">
        <v>724</v>
      </c>
      <c r="M407" s="7" t="s">
        <v>728</v>
      </c>
      <c r="N407" s="7" t="s">
        <v>1832</v>
      </c>
      <c r="O407" s="9">
        <v>1361.34</v>
      </c>
      <c r="P407" s="9">
        <v>1737.9</v>
      </c>
      <c r="Q407" s="9">
        <f t="shared" si="39"/>
        <v>1737.9</v>
      </c>
      <c r="R407" s="9" t="str">
        <f t="shared" si="40"/>
        <v>OK</v>
      </c>
      <c r="S407" s="11">
        <v>7.6999999999999999E-2</v>
      </c>
      <c r="T407" s="11" t="str">
        <f t="shared" si="41"/>
        <v>OK</v>
      </c>
      <c r="U407" s="13">
        <v>14</v>
      </c>
    </row>
    <row r="408" spans="1:21" x14ac:dyDescent="0.3">
      <c r="A408" s="7" t="s">
        <v>421</v>
      </c>
      <c r="B408" s="4">
        <v>45709</v>
      </c>
      <c r="C408" s="4">
        <v>45737</v>
      </c>
      <c r="D408" s="4" t="str">
        <f t="shared" si="36"/>
        <v>Valid</v>
      </c>
      <c r="E408" s="4">
        <f t="shared" si="37"/>
        <v>45737</v>
      </c>
      <c r="F408" s="13">
        <f t="shared" si="38"/>
        <v>28</v>
      </c>
      <c r="G408" s="7" t="s">
        <v>646</v>
      </c>
      <c r="H408" s="7" t="s">
        <v>651</v>
      </c>
      <c r="I408" s="7" t="s">
        <v>669</v>
      </c>
      <c r="J408" s="7" t="s">
        <v>706</v>
      </c>
      <c r="K408" s="7" t="s">
        <v>709</v>
      </c>
      <c r="L408" s="7" t="s">
        <v>714</v>
      </c>
      <c r="M408" s="7" t="s">
        <v>730</v>
      </c>
      <c r="N408" s="7" t="s">
        <v>1833</v>
      </c>
      <c r="O408" s="9">
        <v>1437.39</v>
      </c>
      <c r="P408" s="9">
        <v>1388.31</v>
      </c>
      <c r="Q408" s="9">
        <f t="shared" si="39"/>
        <v>1388.31</v>
      </c>
      <c r="R408" s="9" t="str">
        <f t="shared" si="40"/>
        <v>OK</v>
      </c>
      <c r="S408" s="11">
        <v>0.13800000000000001</v>
      </c>
      <c r="T408" s="11" t="str">
        <f t="shared" si="41"/>
        <v>OK</v>
      </c>
      <c r="U408" s="13">
        <v>18</v>
      </c>
    </row>
    <row r="409" spans="1:21" x14ac:dyDescent="0.3">
      <c r="A409" s="7" t="s">
        <v>422</v>
      </c>
      <c r="B409" s="4">
        <v>45724</v>
      </c>
      <c r="C409" s="4">
        <v>45731</v>
      </c>
      <c r="D409" s="4" t="str">
        <f t="shared" si="36"/>
        <v>Valid</v>
      </c>
      <c r="E409" s="4">
        <f t="shared" si="37"/>
        <v>45731</v>
      </c>
      <c r="F409" s="13">
        <f t="shared" si="38"/>
        <v>7</v>
      </c>
      <c r="G409" s="7" t="s">
        <v>647</v>
      </c>
      <c r="H409" s="7" t="s">
        <v>654</v>
      </c>
      <c r="I409" s="7" t="s">
        <v>668</v>
      </c>
      <c r="J409" s="7" t="s">
        <v>701</v>
      </c>
      <c r="K409" s="7" t="s">
        <v>710</v>
      </c>
      <c r="L409" s="7" t="s">
        <v>723</v>
      </c>
      <c r="M409" s="7" t="s">
        <v>731</v>
      </c>
      <c r="N409" s="7" t="s">
        <v>1834</v>
      </c>
      <c r="O409" s="9">
        <v>475.66</v>
      </c>
      <c r="P409" s="9">
        <v>529.14</v>
      </c>
      <c r="Q409" s="9">
        <f t="shared" si="39"/>
        <v>529.14</v>
      </c>
      <c r="R409" s="9" t="str">
        <f t="shared" si="40"/>
        <v>OK</v>
      </c>
      <c r="S409" s="11">
        <v>0.19600000000000001</v>
      </c>
      <c r="T409" s="11" t="str">
        <f t="shared" si="41"/>
        <v>OK</v>
      </c>
      <c r="U409" s="13">
        <v>11</v>
      </c>
    </row>
    <row r="410" spans="1:21" x14ac:dyDescent="0.3">
      <c r="A410" s="7" t="s">
        <v>423</v>
      </c>
      <c r="B410" s="4">
        <v>45276</v>
      </c>
      <c r="C410" s="4">
        <v>45279</v>
      </c>
      <c r="D410" s="4" t="str">
        <f t="shared" si="36"/>
        <v>Valid</v>
      </c>
      <c r="E410" s="4">
        <f t="shared" si="37"/>
        <v>45279</v>
      </c>
      <c r="F410" s="13">
        <f t="shared" si="38"/>
        <v>3</v>
      </c>
      <c r="G410" s="7" t="s">
        <v>647</v>
      </c>
      <c r="H410" s="7" t="s">
        <v>659</v>
      </c>
      <c r="I410" s="7" t="s">
        <v>699</v>
      </c>
      <c r="J410" s="7" t="s">
        <v>702</v>
      </c>
      <c r="K410" s="7" t="s">
        <v>707</v>
      </c>
      <c r="L410" s="7" t="s">
        <v>720</v>
      </c>
      <c r="M410" s="7" t="s">
        <v>733</v>
      </c>
      <c r="N410" s="7" t="s">
        <v>1835</v>
      </c>
      <c r="O410" s="9">
        <v>1415.05</v>
      </c>
      <c r="P410" s="9">
        <v>1972.38</v>
      </c>
      <c r="Q410" s="9">
        <f t="shared" si="39"/>
        <v>1972.38</v>
      </c>
      <c r="R410" s="9" t="str">
        <f t="shared" si="40"/>
        <v>OK</v>
      </c>
      <c r="S410" s="11">
        <v>0</v>
      </c>
      <c r="T410" s="11" t="str">
        <f t="shared" si="41"/>
        <v>OK</v>
      </c>
      <c r="U410" s="13">
        <v>12</v>
      </c>
    </row>
    <row r="411" spans="1:21" x14ac:dyDescent="0.3">
      <c r="A411" s="7" t="s">
        <v>424</v>
      </c>
      <c r="B411" s="4">
        <v>45534</v>
      </c>
      <c r="C411" s="4">
        <v>45540</v>
      </c>
      <c r="D411" s="4" t="str">
        <f t="shared" si="36"/>
        <v>Valid</v>
      </c>
      <c r="E411" s="4">
        <f t="shared" si="37"/>
        <v>45540</v>
      </c>
      <c r="F411" s="13">
        <f t="shared" si="38"/>
        <v>6</v>
      </c>
      <c r="G411" s="7" t="s">
        <v>647</v>
      </c>
      <c r="H411" s="7" t="s">
        <v>652</v>
      </c>
      <c r="I411" s="7" t="s">
        <v>694</v>
      </c>
      <c r="J411" s="7" t="s">
        <v>702</v>
      </c>
      <c r="K411" s="7" t="s">
        <v>708</v>
      </c>
      <c r="L411" s="7" t="s">
        <v>725</v>
      </c>
      <c r="M411" s="7" t="s">
        <v>731</v>
      </c>
      <c r="N411" s="7" t="s">
        <v>1836</v>
      </c>
      <c r="O411" s="9">
        <v>466.16</v>
      </c>
      <c r="P411" s="9">
        <v>876.81</v>
      </c>
      <c r="Q411" s="9">
        <f t="shared" si="39"/>
        <v>876.81</v>
      </c>
      <c r="R411" s="9" t="str">
        <f t="shared" si="40"/>
        <v>OK</v>
      </c>
      <c r="S411" s="11">
        <v>0.24099999999999999</v>
      </c>
      <c r="T411" s="11" t="str">
        <f t="shared" si="41"/>
        <v>OK</v>
      </c>
      <c r="U411" s="13">
        <v>8</v>
      </c>
    </row>
    <row r="412" spans="1:21" x14ac:dyDescent="0.3">
      <c r="A412" s="7" t="s">
        <v>425</v>
      </c>
      <c r="B412" s="4">
        <v>45430</v>
      </c>
      <c r="C412" s="4">
        <v>45433</v>
      </c>
      <c r="D412" s="4" t="str">
        <f t="shared" si="36"/>
        <v>Valid</v>
      </c>
      <c r="E412" s="4">
        <f t="shared" si="37"/>
        <v>45433</v>
      </c>
      <c r="F412" s="13">
        <f t="shared" si="38"/>
        <v>3</v>
      </c>
      <c r="G412" s="7" t="s">
        <v>649</v>
      </c>
      <c r="H412" s="7" t="s">
        <v>657</v>
      </c>
      <c r="I412" s="7" t="s">
        <v>673</v>
      </c>
      <c r="J412" s="7" t="s">
        <v>703</v>
      </c>
      <c r="K412" s="7" t="s">
        <v>709</v>
      </c>
      <c r="L412" s="7" t="s">
        <v>726</v>
      </c>
      <c r="M412" s="7" t="s">
        <v>728</v>
      </c>
      <c r="N412" s="7" t="s">
        <v>1837</v>
      </c>
      <c r="O412" s="9">
        <v>663.66</v>
      </c>
      <c r="P412" s="9">
        <v>824.26</v>
      </c>
      <c r="Q412" s="9">
        <f t="shared" si="39"/>
        <v>824.26</v>
      </c>
      <c r="R412" s="9" t="str">
        <f t="shared" si="40"/>
        <v>OK</v>
      </c>
      <c r="S412" s="11">
        <v>0.23899999999999999</v>
      </c>
      <c r="T412" s="11" t="str">
        <f t="shared" si="41"/>
        <v>OK</v>
      </c>
      <c r="U412" s="13">
        <v>11</v>
      </c>
    </row>
    <row r="413" spans="1:21" x14ac:dyDescent="0.3">
      <c r="A413" s="7" t="s">
        <v>426</v>
      </c>
      <c r="B413" s="4">
        <v>45002</v>
      </c>
      <c r="C413" s="4">
        <v>45022</v>
      </c>
      <c r="D413" s="4" t="str">
        <f t="shared" si="36"/>
        <v>Valid</v>
      </c>
      <c r="E413" s="4">
        <f t="shared" si="37"/>
        <v>45022</v>
      </c>
      <c r="F413" s="13">
        <f t="shared" si="38"/>
        <v>20</v>
      </c>
      <c r="G413" s="7" t="s">
        <v>649</v>
      </c>
      <c r="H413" s="7" t="s">
        <v>656</v>
      </c>
      <c r="I413" s="7" t="s">
        <v>684</v>
      </c>
      <c r="J413" s="7" t="s">
        <v>704</v>
      </c>
      <c r="K413" s="7" t="s">
        <v>707</v>
      </c>
      <c r="L413" s="7" t="s">
        <v>719</v>
      </c>
      <c r="M413" s="7" t="s">
        <v>730</v>
      </c>
      <c r="N413" s="7" t="s">
        <v>1838</v>
      </c>
      <c r="O413" s="9">
        <v>692.18</v>
      </c>
      <c r="P413" s="9">
        <v>1159.3499999999999</v>
      </c>
      <c r="Q413" s="9">
        <f t="shared" si="39"/>
        <v>1159.3499999999999</v>
      </c>
      <c r="R413" s="9" t="str">
        <f t="shared" si="40"/>
        <v>OK</v>
      </c>
      <c r="S413" s="11">
        <v>0.112</v>
      </c>
      <c r="T413" s="11" t="str">
        <f t="shared" si="41"/>
        <v>OK</v>
      </c>
      <c r="U413" s="13">
        <v>2</v>
      </c>
    </row>
    <row r="414" spans="1:21" x14ac:dyDescent="0.3">
      <c r="A414" s="7" t="s">
        <v>427</v>
      </c>
      <c r="B414" s="4">
        <v>45163</v>
      </c>
      <c r="C414" s="4">
        <v>45185</v>
      </c>
      <c r="D414" s="4" t="str">
        <f t="shared" si="36"/>
        <v>Valid</v>
      </c>
      <c r="E414" s="4">
        <f t="shared" si="37"/>
        <v>45185</v>
      </c>
      <c r="F414" s="13">
        <f t="shared" si="38"/>
        <v>22</v>
      </c>
      <c r="G414" s="7" t="s">
        <v>646</v>
      </c>
      <c r="H414" s="7" t="s">
        <v>651</v>
      </c>
      <c r="I414" s="7" t="s">
        <v>669</v>
      </c>
      <c r="J414" s="7" t="s">
        <v>701</v>
      </c>
      <c r="K414" s="7" t="s">
        <v>709</v>
      </c>
      <c r="L414" s="7" t="s">
        <v>716</v>
      </c>
      <c r="M414" s="7" t="s">
        <v>730</v>
      </c>
      <c r="N414" s="7" t="s">
        <v>1839</v>
      </c>
      <c r="O414" s="9">
        <v>1196.83</v>
      </c>
      <c r="P414" s="9">
        <v>2513.5100000000002</v>
      </c>
      <c r="Q414" s="9">
        <f t="shared" si="39"/>
        <v>2513.5100000000002</v>
      </c>
      <c r="R414" s="9" t="str">
        <f t="shared" si="40"/>
        <v>OK</v>
      </c>
      <c r="S414" s="11">
        <v>8.3000000000000004E-2</v>
      </c>
      <c r="T414" s="11" t="str">
        <f t="shared" si="41"/>
        <v>OK</v>
      </c>
      <c r="U414" s="13">
        <v>7</v>
      </c>
    </row>
    <row r="415" spans="1:21" x14ac:dyDescent="0.3">
      <c r="A415" s="7" t="s">
        <v>428</v>
      </c>
      <c r="B415" s="4">
        <v>45449</v>
      </c>
      <c r="C415" s="4">
        <v>45467</v>
      </c>
      <c r="D415" s="4" t="str">
        <f t="shared" si="36"/>
        <v>Valid</v>
      </c>
      <c r="E415" s="4">
        <f t="shared" si="37"/>
        <v>45467</v>
      </c>
      <c r="F415" s="13">
        <f t="shared" si="38"/>
        <v>18</v>
      </c>
      <c r="G415" s="7" t="s">
        <v>647</v>
      </c>
      <c r="H415" s="7" t="s">
        <v>654</v>
      </c>
      <c r="I415" s="7" t="s">
        <v>668</v>
      </c>
      <c r="J415" s="7" t="s">
        <v>705</v>
      </c>
      <c r="K415" s="7" t="s">
        <v>711</v>
      </c>
      <c r="L415" s="7" t="s">
        <v>722</v>
      </c>
      <c r="M415" s="7" t="s">
        <v>729</v>
      </c>
      <c r="N415" s="7" t="s">
        <v>1840</v>
      </c>
      <c r="O415" s="9">
        <v>1253.25</v>
      </c>
      <c r="P415" s="9">
        <v>3087.13</v>
      </c>
      <c r="Q415" s="9">
        <f t="shared" si="39"/>
        <v>3087.13</v>
      </c>
      <c r="R415" s="9" t="str">
        <f t="shared" si="40"/>
        <v>OK</v>
      </c>
      <c r="S415" s="11">
        <v>7.1999999999999995E-2</v>
      </c>
      <c r="T415" s="11" t="str">
        <f t="shared" si="41"/>
        <v>OK</v>
      </c>
      <c r="U415" s="13">
        <v>11</v>
      </c>
    </row>
    <row r="416" spans="1:21" x14ac:dyDescent="0.3">
      <c r="A416" s="7" t="s">
        <v>429</v>
      </c>
      <c r="B416" s="4">
        <v>45167</v>
      </c>
      <c r="C416" s="4">
        <v>45182</v>
      </c>
      <c r="D416" s="4" t="str">
        <f t="shared" si="36"/>
        <v>Valid</v>
      </c>
      <c r="E416" s="4">
        <f t="shared" si="37"/>
        <v>45182</v>
      </c>
      <c r="F416" s="13">
        <f t="shared" si="38"/>
        <v>15</v>
      </c>
      <c r="G416" s="7" t="s">
        <v>648</v>
      </c>
      <c r="H416" s="7" t="s">
        <v>653</v>
      </c>
      <c r="I416" s="7" t="s">
        <v>688</v>
      </c>
      <c r="J416" s="7" t="s">
        <v>705</v>
      </c>
      <c r="K416" s="7" t="s">
        <v>709</v>
      </c>
      <c r="L416" s="7" t="s">
        <v>719</v>
      </c>
      <c r="M416" s="7" t="s">
        <v>728</v>
      </c>
      <c r="N416" s="7" t="s">
        <v>1841</v>
      </c>
      <c r="O416" s="9">
        <v>1287.6400000000001</v>
      </c>
      <c r="P416" s="9">
        <v>2717.15</v>
      </c>
      <c r="Q416" s="9">
        <f t="shared" si="39"/>
        <v>2717.15</v>
      </c>
      <c r="R416" s="9" t="str">
        <f t="shared" si="40"/>
        <v>OK</v>
      </c>
      <c r="S416" s="11">
        <v>3.2000000000000001E-2</v>
      </c>
      <c r="T416" s="11" t="str">
        <f t="shared" si="41"/>
        <v>OK</v>
      </c>
      <c r="U416" s="13">
        <v>7</v>
      </c>
    </row>
    <row r="417" spans="1:21" x14ac:dyDescent="0.3">
      <c r="A417" s="7" t="s">
        <v>430</v>
      </c>
      <c r="B417" s="4">
        <v>45626</v>
      </c>
      <c r="C417" s="4">
        <v>45636</v>
      </c>
      <c r="D417" s="4" t="str">
        <f t="shared" si="36"/>
        <v>Valid</v>
      </c>
      <c r="E417" s="4">
        <f t="shared" si="37"/>
        <v>45636</v>
      </c>
      <c r="F417" s="13">
        <f t="shared" si="38"/>
        <v>10</v>
      </c>
      <c r="G417" s="7" t="s">
        <v>647</v>
      </c>
      <c r="H417" s="7" t="s">
        <v>654</v>
      </c>
      <c r="I417" s="7" t="s">
        <v>696</v>
      </c>
      <c r="J417" s="7" t="s">
        <v>705</v>
      </c>
      <c r="K417" s="7" t="s">
        <v>707</v>
      </c>
      <c r="L417" s="7" t="s">
        <v>721</v>
      </c>
      <c r="M417" s="7" t="s">
        <v>733</v>
      </c>
      <c r="N417" s="7" t="s">
        <v>1842</v>
      </c>
      <c r="O417" s="9">
        <v>851.49</v>
      </c>
      <c r="P417" s="9">
        <v>901.79</v>
      </c>
      <c r="Q417" s="9">
        <f t="shared" si="39"/>
        <v>901.79</v>
      </c>
      <c r="R417" s="9" t="str">
        <f t="shared" si="40"/>
        <v>OK</v>
      </c>
      <c r="S417" s="11">
        <v>0.245</v>
      </c>
      <c r="T417" s="11" t="str">
        <f t="shared" si="41"/>
        <v>OK</v>
      </c>
      <c r="U417" s="13">
        <v>16</v>
      </c>
    </row>
    <row r="418" spans="1:21" x14ac:dyDescent="0.3">
      <c r="A418" s="7" t="s">
        <v>431</v>
      </c>
      <c r="B418" s="4">
        <v>45813</v>
      </c>
      <c r="C418" s="4">
        <v>45822</v>
      </c>
      <c r="D418" s="4" t="str">
        <f t="shared" si="36"/>
        <v>Valid</v>
      </c>
      <c r="E418" s="4">
        <f t="shared" si="37"/>
        <v>45822</v>
      </c>
      <c r="F418" s="13">
        <f t="shared" si="38"/>
        <v>9</v>
      </c>
      <c r="G418" s="7" t="s">
        <v>647</v>
      </c>
      <c r="H418" s="7" t="s">
        <v>654</v>
      </c>
      <c r="I418" s="7" t="s">
        <v>680</v>
      </c>
      <c r="J418" s="7" t="s">
        <v>703</v>
      </c>
      <c r="K418" s="7" t="s">
        <v>707</v>
      </c>
      <c r="L418" s="7" t="s">
        <v>720</v>
      </c>
      <c r="M418" s="7" t="s">
        <v>733</v>
      </c>
      <c r="N418" s="7" t="s">
        <v>1843</v>
      </c>
      <c r="O418" s="9">
        <v>618.69000000000005</v>
      </c>
      <c r="P418" s="9">
        <v>796.15</v>
      </c>
      <c r="Q418" s="9">
        <f t="shared" si="39"/>
        <v>796.15</v>
      </c>
      <c r="R418" s="9" t="str">
        <f t="shared" si="40"/>
        <v>OK</v>
      </c>
      <c r="S418" s="11">
        <v>0.09</v>
      </c>
      <c r="T418" s="11" t="str">
        <f t="shared" si="41"/>
        <v>OK</v>
      </c>
      <c r="U418" s="13">
        <v>11</v>
      </c>
    </row>
    <row r="419" spans="1:21" x14ac:dyDescent="0.3">
      <c r="A419" s="7" t="s">
        <v>432</v>
      </c>
      <c r="B419" s="4">
        <v>45730</v>
      </c>
      <c r="C419" s="4">
        <v>45755</v>
      </c>
      <c r="D419" s="4" t="str">
        <f t="shared" si="36"/>
        <v>Valid</v>
      </c>
      <c r="E419" s="4">
        <f t="shared" si="37"/>
        <v>45755</v>
      </c>
      <c r="F419" s="13">
        <f t="shared" si="38"/>
        <v>25</v>
      </c>
      <c r="G419" s="7" t="s">
        <v>647</v>
      </c>
      <c r="H419" s="7" t="s">
        <v>659</v>
      </c>
      <c r="I419" s="7" t="s">
        <v>2057</v>
      </c>
      <c r="J419" s="7" t="s">
        <v>701</v>
      </c>
      <c r="K419" s="7" t="s">
        <v>710</v>
      </c>
      <c r="L419" s="7" t="s">
        <v>726</v>
      </c>
      <c r="M419" s="7" t="s">
        <v>728</v>
      </c>
      <c r="N419" s="7" t="s">
        <v>1844</v>
      </c>
      <c r="O419" s="9">
        <v>80.59</v>
      </c>
      <c r="P419" s="9">
        <v>157.82</v>
      </c>
      <c r="Q419" s="9">
        <f t="shared" si="39"/>
        <v>157.82</v>
      </c>
      <c r="R419" s="9" t="str">
        <f t="shared" si="40"/>
        <v>OK</v>
      </c>
      <c r="S419" s="11">
        <v>0.217</v>
      </c>
      <c r="T419" s="11" t="str">
        <f t="shared" si="41"/>
        <v>OK</v>
      </c>
      <c r="U419" s="13">
        <v>6</v>
      </c>
    </row>
    <row r="420" spans="1:21" x14ac:dyDescent="0.3">
      <c r="A420" s="7" t="s">
        <v>433</v>
      </c>
      <c r="B420" s="4">
        <v>45307</v>
      </c>
      <c r="C420" s="4">
        <v>45333</v>
      </c>
      <c r="D420" s="4" t="str">
        <f t="shared" si="36"/>
        <v>Valid</v>
      </c>
      <c r="E420" s="4">
        <f t="shared" si="37"/>
        <v>45333</v>
      </c>
      <c r="F420" s="13">
        <f t="shared" si="38"/>
        <v>26</v>
      </c>
      <c r="G420" s="7" t="s">
        <v>649</v>
      </c>
      <c r="H420" s="7" t="s">
        <v>656</v>
      </c>
      <c r="I420" s="7" t="s">
        <v>698</v>
      </c>
      <c r="J420" s="7" t="s">
        <v>703</v>
      </c>
      <c r="K420" s="7" t="s">
        <v>710</v>
      </c>
      <c r="L420" s="7" t="s">
        <v>718</v>
      </c>
      <c r="M420" s="7" t="s">
        <v>732</v>
      </c>
      <c r="N420" s="7" t="s">
        <v>1845</v>
      </c>
      <c r="O420" s="9">
        <v>504.93</v>
      </c>
      <c r="P420" s="9">
        <v>819.06</v>
      </c>
      <c r="Q420" s="9">
        <f t="shared" si="39"/>
        <v>819.06</v>
      </c>
      <c r="R420" s="9" t="str">
        <f t="shared" si="40"/>
        <v>OK</v>
      </c>
      <c r="S420" s="11">
        <v>0.22600000000000001</v>
      </c>
      <c r="T420" s="11" t="str">
        <f t="shared" si="41"/>
        <v>OK</v>
      </c>
      <c r="U420" s="13">
        <v>15</v>
      </c>
    </row>
    <row r="421" spans="1:21" x14ac:dyDescent="0.3">
      <c r="A421" s="7" t="s">
        <v>434</v>
      </c>
      <c r="B421" s="4">
        <v>45211</v>
      </c>
      <c r="C421" s="4">
        <v>45228</v>
      </c>
      <c r="D421" s="4" t="str">
        <f t="shared" si="36"/>
        <v>Valid</v>
      </c>
      <c r="E421" s="4">
        <f t="shared" si="37"/>
        <v>45228</v>
      </c>
      <c r="F421" s="13">
        <f t="shared" si="38"/>
        <v>17</v>
      </c>
      <c r="G421" s="7" t="s">
        <v>647</v>
      </c>
      <c r="H421" s="7" t="s">
        <v>652</v>
      </c>
      <c r="I421" s="7" t="s">
        <v>694</v>
      </c>
      <c r="J421" s="7" t="s">
        <v>703</v>
      </c>
      <c r="K421" s="7" t="s">
        <v>711</v>
      </c>
      <c r="L421" s="7" t="s">
        <v>722</v>
      </c>
      <c r="M421" s="7" t="s">
        <v>730</v>
      </c>
      <c r="N421" s="7" t="s">
        <v>1846</v>
      </c>
      <c r="O421" s="9">
        <v>1102.19</v>
      </c>
      <c r="P421" s="9">
        <v>1711.16</v>
      </c>
      <c r="Q421" s="9">
        <f t="shared" si="39"/>
        <v>1711.16</v>
      </c>
      <c r="R421" s="9" t="str">
        <f t="shared" si="40"/>
        <v>OK</v>
      </c>
      <c r="S421" s="11">
        <v>0.151</v>
      </c>
      <c r="T421" s="11" t="str">
        <f t="shared" si="41"/>
        <v>OK</v>
      </c>
      <c r="U421" s="13">
        <v>10</v>
      </c>
    </row>
    <row r="422" spans="1:21" x14ac:dyDescent="0.3">
      <c r="A422" s="7" t="s">
        <v>435</v>
      </c>
      <c r="B422" s="4">
        <v>45713</v>
      </c>
      <c r="C422" s="4">
        <v>45733</v>
      </c>
      <c r="D422" s="4" t="str">
        <f t="shared" si="36"/>
        <v>Valid</v>
      </c>
      <c r="E422" s="4">
        <f t="shared" si="37"/>
        <v>45733</v>
      </c>
      <c r="F422" s="13">
        <f t="shared" si="38"/>
        <v>20</v>
      </c>
      <c r="G422" s="7" t="s">
        <v>648</v>
      </c>
      <c r="H422" s="7" t="s">
        <v>1425</v>
      </c>
      <c r="I422" s="7" t="s">
        <v>686</v>
      </c>
      <c r="J422" s="7" t="s">
        <v>703</v>
      </c>
      <c r="K422" s="7" t="s">
        <v>709</v>
      </c>
      <c r="L422" s="7" t="s">
        <v>722</v>
      </c>
      <c r="M422" s="7" t="s">
        <v>730</v>
      </c>
      <c r="N422" s="7" t="s">
        <v>1847</v>
      </c>
      <c r="O422" s="9">
        <v>1205.26</v>
      </c>
      <c r="P422" s="9">
        <v>1696.35</v>
      </c>
      <c r="Q422" s="9">
        <f t="shared" si="39"/>
        <v>1696.35</v>
      </c>
      <c r="R422" s="9" t="str">
        <f t="shared" si="40"/>
        <v>OK</v>
      </c>
      <c r="S422" s="11">
        <v>1.9E-2</v>
      </c>
      <c r="T422" s="11" t="str">
        <f t="shared" si="41"/>
        <v>OK</v>
      </c>
      <c r="U422" s="13">
        <v>6</v>
      </c>
    </row>
    <row r="423" spans="1:21" x14ac:dyDescent="0.3">
      <c r="A423" s="7" t="s">
        <v>436</v>
      </c>
      <c r="B423" s="4">
        <v>45841</v>
      </c>
      <c r="C423" s="4">
        <v>45844</v>
      </c>
      <c r="D423" s="4" t="str">
        <f t="shared" si="36"/>
        <v>Valid</v>
      </c>
      <c r="E423" s="4">
        <f t="shared" si="37"/>
        <v>45844</v>
      </c>
      <c r="F423" s="13">
        <f t="shared" si="38"/>
        <v>3</v>
      </c>
      <c r="G423" s="7" t="s">
        <v>646</v>
      </c>
      <c r="H423" s="7" t="s">
        <v>651</v>
      </c>
      <c r="I423" s="7" t="s">
        <v>665</v>
      </c>
      <c r="J423" s="7" t="s">
        <v>704</v>
      </c>
      <c r="K423" s="7" t="s">
        <v>708</v>
      </c>
      <c r="L423" s="7" t="s">
        <v>2057</v>
      </c>
      <c r="M423" s="7" t="s">
        <v>731</v>
      </c>
      <c r="N423" s="7" t="s">
        <v>1848</v>
      </c>
      <c r="O423" s="9">
        <v>1313.3</v>
      </c>
      <c r="P423" s="9">
        <v>2884.34</v>
      </c>
      <c r="Q423" s="9">
        <f t="shared" si="39"/>
        <v>2884.34</v>
      </c>
      <c r="R423" s="9" t="str">
        <f t="shared" si="40"/>
        <v>OK</v>
      </c>
      <c r="S423" s="11">
        <v>0.157</v>
      </c>
      <c r="T423" s="11" t="str">
        <f t="shared" si="41"/>
        <v>OK</v>
      </c>
      <c r="U423" s="13">
        <v>42</v>
      </c>
    </row>
    <row r="424" spans="1:21" x14ac:dyDescent="0.3">
      <c r="A424" s="7" t="s">
        <v>437</v>
      </c>
      <c r="B424" s="4">
        <v>45915</v>
      </c>
      <c r="C424" s="4">
        <v>45925</v>
      </c>
      <c r="D424" s="4" t="str">
        <f t="shared" si="36"/>
        <v>Valid</v>
      </c>
      <c r="E424" s="4">
        <f t="shared" si="37"/>
        <v>45925</v>
      </c>
      <c r="F424" s="13">
        <f t="shared" si="38"/>
        <v>10</v>
      </c>
      <c r="G424" s="7" t="s">
        <v>647</v>
      </c>
      <c r="H424" s="7" t="s">
        <v>654</v>
      </c>
      <c r="I424" s="7" t="s">
        <v>680</v>
      </c>
      <c r="J424" s="7" t="s">
        <v>704</v>
      </c>
      <c r="K424" s="7" t="s">
        <v>707</v>
      </c>
      <c r="L424" s="7" t="s">
        <v>720</v>
      </c>
      <c r="M424" s="7" t="s">
        <v>730</v>
      </c>
      <c r="N424" s="7" t="s">
        <v>1849</v>
      </c>
      <c r="O424" s="9">
        <v>1488.91</v>
      </c>
      <c r="P424" s="9">
        <v>1483.74</v>
      </c>
      <c r="Q424" s="9">
        <f t="shared" si="39"/>
        <v>1483.74</v>
      </c>
      <c r="R424" s="9" t="str">
        <f t="shared" si="40"/>
        <v>OK</v>
      </c>
      <c r="S424" s="11">
        <v>0.16800000000000001</v>
      </c>
      <c r="T424" s="11" t="str">
        <f t="shared" si="41"/>
        <v>OK</v>
      </c>
      <c r="U424" s="13">
        <v>24</v>
      </c>
    </row>
    <row r="425" spans="1:21" x14ac:dyDescent="0.3">
      <c r="A425" s="7" t="s">
        <v>438</v>
      </c>
      <c r="B425" s="4">
        <v>45341</v>
      </c>
      <c r="C425" s="4">
        <v>45357</v>
      </c>
      <c r="D425" s="4" t="str">
        <f t="shared" si="36"/>
        <v>Valid</v>
      </c>
      <c r="E425" s="4">
        <f t="shared" si="37"/>
        <v>45357</v>
      </c>
      <c r="F425" s="13">
        <f t="shared" si="38"/>
        <v>16</v>
      </c>
      <c r="G425" s="7" t="s">
        <v>647</v>
      </c>
      <c r="H425" s="7" t="s">
        <v>659</v>
      </c>
      <c r="I425" s="7" t="s">
        <v>699</v>
      </c>
      <c r="J425" s="7" t="s">
        <v>702</v>
      </c>
      <c r="K425" s="7" t="s">
        <v>709</v>
      </c>
      <c r="L425" s="7" t="s">
        <v>719</v>
      </c>
      <c r="M425" s="7" t="s">
        <v>728</v>
      </c>
      <c r="N425" s="7" t="s">
        <v>1850</v>
      </c>
      <c r="O425" s="9">
        <v>1477.84</v>
      </c>
      <c r="P425" s="9">
        <v>3197.47</v>
      </c>
      <c r="Q425" s="9">
        <f t="shared" si="39"/>
        <v>3197.47</v>
      </c>
      <c r="R425" s="9" t="str">
        <f t="shared" si="40"/>
        <v>OK</v>
      </c>
      <c r="S425" s="11">
        <v>0.24299999999999999</v>
      </c>
      <c r="T425" s="11" t="str">
        <f t="shared" si="41"/>
        <v>OK</v>
      </c>
      <c r="U425" s="13">
        <v>24</v>
      </c>
    </row>
    <row r="426" spans="1:21" x14ac:dyDescent="0.3">
      <c r="A426" s="7" t="s">
        <v>439</v>
      </c>
      <c r="B426" s="4">
        <v>45349</v>
      </c>
      <c r="C426" s="4">
        <v>45377</v>
      </c>
      <c r="D426" s="4" t="str">
        <f t="shared" si="36"/>
        <v>Valid</v>
      </c>
      <c r="E426" s="4">
        <f t="shared" si="37"/>
        <v>45377</v>
      </c>
      <c r="F426" s="13">
        <f t="shared" si="38"/>
        <v>28</v>
      </c>
      <c r="G426" s="7" t="s">
        <v>647</v>
      </c>
      <c r="H426" s="7" t="s">
        <v>654</v>
      </c>
      <c r="I426" s="7" t="s">
        <v>691</v>
      </c>
      <c r="J426" s="7" t="s">
        <v>702</v>
      </c>
      <c r="K426" s="7" t="s">
        <v>709</v>
      </c>
      <c r="L426" s="7" t="s">
        <v>715</v>
      </c>
      <c r="M426" s="7" t="s">
        <v>731</v>
      </c>
      <c r="N426" s="7" t="s">
        <v>1851</v>
      </c>
      <c r="O426" s="9">
        <v>1035.19</v>
      </c>
      <c r="P426" s="9">
        <v>2322.6999999999998</v>
      </c>
      <c r="Q426" s="9">
        <f t="shared" si="39"/>
        <v>2322.6999999999998</v>
      </c>
      <c r="R426" s="9" t="str">
        <f t="shared" si="40"/>
        <v>OK</v>
      </c>
      <c r="S426" s="11">
        <v>0.17299999999999999</v>
      </c>
      <c r="T426" s="11" t="str">
        <f t="shared" si="41"/>
        <v>OK</v>
      </c>
      <c r="U426" s="13">
        <v>8</v>
      </c>
    </row>
    <row r="427" spans="1:21" x14ac:dyDescent="0.3">
      <c r="A427" s="7" t="s">
        <v>440</v>
      </c>
      <c r="B427" s="4">
        <v>45897</v>
      </c>
      <c r="C427" s="4">
        <v>45905</v>
      </c>
      <c r="D427" s="4" t="str">
        <f t="shared" si="36"/>
        <v>Valid</v>
      </c>
      <c r="E427" s="4">
        <f t="shared" si="37"/>
        <v>45905</v>
      </c>
      <c r="F427" s="13">
        <f t="shared" si="38"/>
        <v>8</v>
      </c>
      <c r="G427" s="7" t="s">
        <v>646</v>
      </c>
      <c r="H427" s="7" t="s">
        <v>651</v>
      </c>
      <c r="I427" s="7" t="s">
        <v>663</v>
      </c>
      <c r="J427" s="7" t="s">
        <v>705</v>
      </c>
      <c r="K427" s="7" t="s">
        <v>709</v>
      </c>
      <c r="L427" s="7" t="s">
        <v>718</v>
      </c>
      <c r="M427" s="7" t="s">
        <v>731</v>
      </c>
      <c r="N427" s="7" t="s">
        <v>1852</v>
      </c>
      <c r="O427" s="9">
        <v>1271.0999999999999</v>
      </c>
      <c r="P427" s="9">
        <v>1932.42</v>
      </c>
      <c r="Q427" s="9">
        <f t="shared" si="39"/>
        <v>1932.42</v>
      </c>
      <c r="R427" s="9" t="str">
        <f t="shared" si="40"/>
        <v>OK</v>
      </c>
      <c r="S427" s="11">
        <v>0.25</v>
      </c>
      <c r="T427" s="11" t="str">
        <f t="shared" si="41"/>
        <v>OK</v>
      </c>
      <c r="U427" s="13">
        <v>21</v>
      </c>
    </row>
    <row r="428" spans="1:21" x14ac:dyDescent="0.3">
      <c r="A428" s="7" t="s">
        <v>441</v>
      </c>
      <c r="B428" s="4">
        <v>45522</v>
      </c>
      <c r="C428" s="4">
        <v>45547</v>
      </c>
      <c r="D428" s="4" t="str">
        <f t="shared" si="36"/>
        <v>Valid</v>
      </c>
      <c r="E428" s="4">
        <f t="shared" si="37"/>
        <v>45547</v>
      </c>
      <c r="F428" s="13">
        <f t="shared" si="38"/>
        <v>25</v>
      </c>
      <c r="G428" s="7" t="s">
        <v>647</v>
      </c>
      <c r="H428" s="7" t="s">
        <v>654</v>
      </c>
      <c r="I428" s="7" t="s">
        <v>691</v>
      </c>
      <c r="J428" s="7" t="s">
        <v>704</v>
      </c>
      <c r="K428" s="7" t="s">
        <v>709</v>
      </c>
      <c r="L428" s="7" t="s">
        <v>712</v>
      </c>
      <c r="M428" s="7" t="s">
        <v>730</v>
      </c>
      <c r="N428" s="7" t="s">
        <v>1853</v>
      </c>
      <c r="O428" s="9">
        <v>1154.03</v>
      </c>
      <c r="P428" s="9">
        <v>1590.36</v>
      </c>
      <c r="Q428" s="9">
        <f t="shared" si="39"/>
        <v>1590.36</v>
      </c>
      <c r="R428" s="9" t="str">
        <f t="shared" si="40"/>
        <v>OK</v>
      </c>
      <c r="S428" s="11">
        <v>0.314</v>
      </c>
      <c r="T428" s="11" t="str">
        <f t="shared" si="41"/>
        <v>FLAG</v>
      </c>
      <c r="U428" s="13">
        <v>18</v>
      </c>
    </row>
    <row r="429" spans="1:21" x14ac:dyDescent="0.3">
      <c r="A429" s="7" t="s">
        <v>442</v>
      </c>
      <c r="B429" s="4">
        <v>45347</v>
      </c>
      <c r="C429" s="4">
        <v>45360</v>
      </c>
      <c r="D429" s="4" t="str">
        <f t="shared" si="36"/>
        <v>Valid</v>
      </c>
      <c r="E429" s="4">
        <f t="shared" si="37"/>
        <v>45360</v>
      </c>
      <c r="F429" s="13">
        <f t="shared" si="38"/>
        <v>13</v>
      </c>
      <c r="G429" s="7" t="s">
        <v>649</v>
      </c>
      <c r="H429" s="7" t="s">
        <v>657</v>
      </c>
      <c r="I429" s="7" t="s">
        <v>673</v>
      </c>
      <c r="J429" s="7" t="s">
        <v>705</v>
      </c>
      <c r="K429" s="7" t="s">
        <v>710</v>
      </c>
      <c r="L429" s="7" t="s">
        <v>718</v>
      </c>
      <c r="M429" s="7" t="s">
        <v>732</v>
      </c>
      <c r="N429" s="7" t="s">
        <v>1854</v>
      </c>
      <c r="O429" s="9">
        <v>322.44</v>
      </c>
      <c r="P429" s="9">
        <v>395.61</v>
      </c>
      <c r="Q429" s="9">
        <f t="shared" si="39"/>
        <v>395.61</v>
      </c>
      <c r="R429" s="9" t="str">
        <f t="shared" si="40"/>
        <v>OK</v>
      </c>
      <c r="S429" s="11">
        <v>0</v>
      </c>
      <c r="T429" s="11" t="str">
        <f t="shared" si="41"/>
        <v>OK</v>
      </c>
      <c r="U429" s="13">
        <v>34</v>
      </c>
    </row>
    <row r="430" spans="1:21" x14ac:dyDescent="0.3">
      <c r="A430" s="7" t="s">
        <v>443</v>
      </c>
      <c r="B430" s="4">
        <v>45784</v>
      </c>
      <c r="C430" s="4">
        <v>45790</v>
      </c>
      <c r="D430" s="4" t="str">
        <f t="shared" si="36"/>
        <v>Valid</v>
      </c>
      <c r="E430" s="4">
        <f t="shared" si="37"/>
        <v>45790</v>
      </c>
      <c r="F430" s="13">
        <f t="shared" si="38"/>
        <v>6</v>
      </c>
      <c r="G430" s="7" t="s">
        <v>647</v>
      </c>
      <c r="H430" s="7" t="s">
        <v>654</v>
      </c>
      <c r="I430" s="7" t="s">
        <v>668</v>
      </c>
      <c r="J430" s="7" t="s">
        <v>706</v>
      </c>
      <c r="K430" s="7" t="s">
        <v>711</v>
      </c>
      <c r="L430" s="7" t="s">
        <v>713</v>
      </c>
      <c r="M430" s="7" t="s">
        <v>730</v>
      </c>
      <c r="N430" s="7" t="s">
        <v>1855</v>
      </c>
      <c r="O430" s="9">
        <v>935.98</v>
      </c>
      <c r="P430" s="9">
        <v>2077.69</v>
      </c>
      <c r="Q430" s="9">
        <f t="shared" si="39"/>
        <v>2077.69</v>
      </c>
      <c r="R430" s="9" t="str">
        <f t="shared" si="40"/>
        <v>OK</v>
      </c>
      <c r="S430" s="11">
        <v>0.17499999999999999</v>
      </c>
      <c r="T430" s="11" t="str">
        <f t="shared" si="41"/>
        <v>OK</v>
      </c>
      <c r="U430" s="13">
        <v>24</v>
      </c>
    </row>
    <row r="431" spans="1:21" x14ac:dyDescent="0.3">
      <c r="A431" s="7" t="s">
        <v>444</v>
      </c>
      <c r="B431" s="4">
        <v>45597</v>
      </c>
      <c r="C431" s="4">
        <v>45608</v>
      </c>
      <c r="D431" s="4" t="str">
        <f t="shared" si="36"/>
        <v>Valid</v>
      </c>
      <c r="E431" s="4">
        <f t="shared" si="37"/>
        <v>45608</v>
      </c>
      <c r="F431" s="13">
        <f t="shared" si="38"/>
        <v>11</v>
      </c>
      <c r="G431" s="7" t="s">
        <v>649</v>
      </c>
      <c r="H431" s="7" t="s">
        <v>656</v>
      </c>
      <c r="I431" s="7" t="s">
        <v>698</v>
      </c>
      <c r="J431" s="7" t="s">
        <v>704</v>
      </c>
      <c r="K431" s="7" t="s">
        <v>708</v>
      </c>
      <c r="L431" s="7" t="s">
        <v>717</v>
      </c>
      <c r="M431" s="7" t="s">
        <v>728</v>
      </c>
      <c r="N431" s="7" t="s">
        <v>1856</v>
      </c>
      <c r="O431" s="9">
        <v>599.84</v>
      </c>
      <c r="P431" s="9">
        <v>1330.85</v>
      </c>
      <c r="Q431" s="9">
        <f t="shared" si="39"/>
        <v>1330.85</v>
      </c>
      <c r="R431" s="9" t="str">
        <f t="shared" si="40"/>
        <v>OK</v>
      </c>
      <c r="S431" s="11">
        <v>0.115</v>
      </c>
      <c r="T431" s="11" t="str">
        <f t="shared" si="41"/>
        <v>OK</v>
      </c>
      <c r="U431" s="13">
        <v>11</v>
      </c>
    </row>
    <row r="432" spans="1:21" x14ac:dyDescent="0.3">
      <c r="A432" s="7" t="s">
        <v>445</v>
      </c>
      <c r="B432" s="4">
        <v>45654</v>
      </c>
      <c r="C432" s="4">
        <v>45665</v>
      </c>
      <c r="D432" s="4" t="str">
        <f t="shared" si="36"/>
        <v>Valid</v>
      </c>
      <c r="E432" s="4">
        <f t="shared" si="37"/>
        <v>45665</v>
      </c>
      <c r="F432" s="13">
        <f t="shared" si="38"/>
        <v>11</v>
      </c>
      <c r="G432" s="7" t="s">
        <v>647</v>
      </c>
      <c r="H432" s="7" t="s">
        <v>659</v>
      </c>
      <c r="I432" s="7" t="s">
        <v>676</v>
      </c>
      <c r="J432" s="7" t="s">
        <v>706</v>
      </c>
      <c r="K432" s="7" t="s">
        <v>708</v>
      </c>
      <c r="L432" s="7" t="s">
        <v>723</v>
      </c>
      <c r="M432" s="7" t="s">
        <v>731</v>
      </c>
      <c r="N432" s="7" t="s">
        <v>1857</v>
      </c>
      <c r="O432" s="9">
        <v>1201.31</v>
      </c>
      <c r="P432" s="9">
        <v>2764.65</v>
      </c>
      <c r="Q432" s="9">
        <f t="shared" si="39"/>
        <v>2764.65</v>
      </c>
      <c r="R432" s="9" t="str">
        <f t="shared" si="40"/>
        <v>OK</v>
      </c>
      <c r="S432" s="11">
        <v>0</v>
      </c>
      <c r="T432" s="11" t="str">
        <f t="shared" si="41"/>
        <v>OK</v>
      </c>
      <c r="U432" s="13">
        <v>21</v>
      </c>
    </row>
    <row r="433" spans="1:21" x14ac:dyDescent="0.3">
      <c r="A433" s="7" t="s">
        <v>446</v>
      </c>
      <c r="B433" s="4">
        <v>45220</v>
      </c>
      <c r="C433" s="4">
        <v>45220</v>
      </c>
      <c r="D433" s="4" t="str">
        <f t="shared" si="36"/>
        <v>Valid</v>
      </c>
      <c r="E433" s="4">
        <f t="shared" si="37"/>
        <v>45220</v>
      </c>
      <c r="F433" s="13">
        <f t="shared" si="38"/>
        <v>0</v>
      </c>
      <c r="G433" s="7" t="s">
        <v>649</v>
      </c>
      <c r="H433" s="7" t="s">
        <v>658</v>
      </c>
      <c r="I433" s="7" t="s">
        <v>693</v>
      </c>
      <c r="J433" s="7" t="s">
        <v>706</v>
      </c>
      <c r="K433" s="7" t="s">
        <v>710</v>
      </c>
      <c r="L433" s="7" t="s">
        <v>713</v>
      </c>
      <c r="M433" s="7" t="s">
        <v>732</v>
      </c>
      <c r="N433" s="7" t="s">
        <v>1858</v>
      </c>
      <c r="O433" s="9">
        <v>384.19</v>
      </c>
      <c r="P433" s="9">
        <v>278.35000000000002</v>
      </c>
      <c r="Q433" s="9">
        <f t="shared" si="39"/>
        <v>278.35000000000002</v>
      </c>
      <c r="R433" s="9" t="str">
        <f t="shared" si="40"/>
        <v>OK</v>
      </c>
      <c r="S433" s="11">
        <v>5.6000000000000001E-2</v>
      </c>
      <c r="T433" s="11" t="str">
        <f t="shared" si="41"/>
        <v>OK</v>
      </c>
      <c r="U433" s="13">
        <v>10</v>
      </c>
    </row>
    <row r="434" spans="1:21" x14ac:dyDescent="0.3">
      <c r="A434" s="7" t="s">
        <v>447</v>
      </c>
      <c r="B434" s="4">
        <v>45636</v>
      </c>
      <c r="C434" s="4">
        <v>45645</v>
      </c>
      <c r="D434" s="4" t="str">
        <f t="shared" si="36"/>
        <v>Valid</v>
      </c>
      <c r="E434" s="4">
        <f t="shared" si="37"/>
        <v>45645</v>
      </c>
      <c r="F434" s="13">
        <f t="shared" si="38"/>
        <v>9</v>
      </c>
      <c r="G434" s="7" t="s">
        <v>646</v>
      </c>
      <c r="H434" s="7" t="s">
        <v>651</v>
      </c>
      <c r="I434" s="7" t="s">
        <v>665</v>
      </c>
      <c r="J434" s="7" t="s">
        <v>701</v>
      </c>
      <c r="K434" s="7" t="s">
        <v>707</v>
      </c>
      <c r="L434" s="7" t="s">
        <v>719</v>
      </c>
      <c r="M434" s="7" t="s">
        <v>732</v>
      </c>
      <c r="N434" s="7" t="s">
        <v>1859</v>
      </c>
      <c r="O434" s="9">
        <v>488.68</v>
      </c>
      <c r="P434" s="9">
        <v>984.36</v>
      </c>
      <c r="Q434" s="9">
        <f t="shared" si="39"/>
        <v>984.36</v>
      </c>
      <c r="R434" s="9" t="str">
        <f t="shared" si="40"/>
        <v>OK</v>
      </c>
      <c r="S434" s="11">
        <v>5.8999999999999997E-2</v>
      </c>
      <c r="T434" s="11" t="str">
        <f t="shared" si="41"/>
        <v>OK</v>
      </c>
      <c r="U434" s="13">
        <v>14</v>
      </c>
    </row>
    <row r="435" spans="1:21" x14ac:dyDescent="0.3">
      <c r="A435" s="7" t="s">
        <v>448</v>
      </c>
      <c r="B435" s="4">
        <v>45542</v>
      </c>
      <c r="C435" s="4">
        <v>45553</v>
      </c>
      <c r="D435" s="4" t="str">
        <f t="shared" si="36"/>
        <v>Valid</v>
      </c>
      <c r="E435" s="4">
        <f t="shared" si="37"/>
        <v>45553</v>
      </c>
      <c r="F435" s="13">
        <f t="shared" si="38"/>
        <v>11</v>
      </c>
      <c r="G435" s="7" t="s">
        <v>647</v>
      </c>
      <c r="H435" s="7" t="s">
        <v>659</v>
      </c>
      <c r="I435" s="7" t="s">
        <v>699</v>
      </c>
      <c r="J435" s="7" t="s">
        <v>704</v>
      </c>
      <c r="K435" s="7" t="s">
        <v>710</v>
      </c>
      <c r="L435" s="7" t="s">
        <v>719</v>
      </c>
      <c r="M435" s="7" t="s">
        <v>729</v>
      </c>
      <c r="N435" s="7" t="s">
        <v>1860</v>
      </c>
      <c r="O435" s="9">
        <v>181.74</v>
      </c>
      <c r="P435" s="9">
        <v>190.84</v>
      </c>
      <c r="Q435" s="9">
        <f t="shared" si="39"/>
        <v>190.84</v>
      </c>
      <c r="R435" s="9" t="str">
        <f t="shared" si="40"/>
        <v>OK</v>
      </c>
      <c r="S435" s="11">
        <v>0.214</v>
      </c>
      <c r="T435" s="11" t="str">
        <f t="shared" si="41"/>
        <v>OK</v>
      </c>
      <c r="U435" s="13">
        <v>13</v>
      </c>
    </row>
    <row r="436" spans="1:21" x14ac:dyDescent="0.3">
      <c r="A436" s="7" t="s">
        <v>449</v>
      </c>
      <c r="B436" s="4">
        <v>45217</v>
      </c>
      <c r="C436" s="4">
        <v>45219</v>
      </c>
      <c r="D436" s="4" t="str">
        <f t="shared" si="36"/>
        <v>Valid</v>
      </c>
      <c r="E436" s="4">
        <f t="shared" si="37"/>
        <v>45219</v>
      </c>
      <c r="F436" s="13">
        <f t="shared" si="38"/>
        <v>2</v>
      </c>
      <c r="G436" s="7" t="s">
        <v>646</v>
      </c>
      <c r="H436" s="7" t="s">
        <v>650</v>
      </c>
      <c r="I436" s="7" t="s">
        <v>662</v>
      </c>
      <c r="J436" s="7" t="s">
        <v>704</v>
      </c>
      <c r="K436" s="7" t="s">
        <v>707</v>
      </c>
      <c r="L436" s="7" t="s">
        <v>713</v>
      </c>
      <c r="M436" s="7" t="s">
        <v>730</v>
      </c>
      <c r="N436" s="7" t="s">
        <v>1861</v>
      </c>
      <c r="O436" s="9">
        <v>774.12</v>
      </c>
      <c r="P436" s="9">
        <v>908.3</v>
      </c>
      <c r="Q436" s="9">
        <f t="shared" si="39"/>
        <v>908.3</v>
      </c>
      <c r="R436" s="9" t="str">
        <f t="shared" si="40"/>
        <v>OK</v>
      </c>
      <c r="S436" s="11">
        <v>0</v>
      </c>
      <c r="T436" s="11" t="str">
        <f t="shared" si="41"/>
        <v>OK</v>
      </c>
      <c r="U436" s="13">
        <v>30</v>
      </c>
    </row>
    <row r="437" spans="1:21" x14ac:dyDescent="0.3">
      <c r="A437" s="7" t="s">
        <v>450</v>
      </c>
      <c r="B437" s="4">
        <v>45650</v>
      </c>
      <c r="C437" s="4">
        <v>45670</v>
      </c>
      <c r="D437" s="4" t="str">
        <f t="shared" si="36"/>
        <v>Valid</v>
      </c>
      <c r="E437" s="4">
        <f t="shared" si="37"/>
        <v>45670</v>
      </c>
      <c r="F437" s="13">
        <f t="shared" si="38"/>
        <v>20</v>
      </c>
      <c r="G437" s="7" t="s">
        <v>647</v>
      </c>
      <c r="H437" s="7" t="s">
        <v>654</v>
      </c>
      <c r="I437" s="7" t="s">
        <v>668</v>
      </c>
      <c r="J437" s="7" t="s">
        <v>701</v>
      </c>
      <c r="K437" s="7" t="s">
        <v>709</v>
      </c>
      <c r="L437" s="7" t="s">
        <v>726</v>
      </c>
      <c r="M437" s="7" t="s">
        <v>729</v>
      </c>
      <c r="N437" s="7" t="s">
        <v>1862</v>
      </c>
      <c r="O437" s="9">
        <v>126.15</v>
      </c>
      <c r="P437" s="9">
        <v>284.23</v>
      </c>
      <c r="Q437" s="9">
        <f t="shared" si="39"/>
        <v>284.23</v>
      </c>
      <c r="R437" s="9" t="str">
        <f t="shared" si="40"/>
        <v>OK</v>
      </c>
      <c r="S437" s="11">
        <v>0.113</v>
      </c>
      <c r="T437" s="11" t="str">
        <f t="shared" si="41"/>
        <v>OK</v>
      </c>
      <c r="U437" s="13">
        <v>22</v>
      </c>
    </row>
    <row r="438" spans="1:21" x14ac:dyDescent="0.3">
      <c r="A438" s="7" t="s">
        <v>451</v>
      </c>
      <c r="B438" s="4">
        <v>45037</v>
      </c>
      <c r="C438" s="4">
        <v>45035</v>
      </c>
      <c r="D438" s="4" t="str">
        <f t="shared" si="36"/>
        <v>Invalid</v>
      </c>
      <c r="E438" s="4">
        <f t="shared" si="37"/>
        <v>45037</v>
      </c>
      <c r="F438" s="13">
        <f t="shared" si="38"/>
        <v>0</v>
      </c>
      <c r="G438" s="7" t="s">
        <v>647</v>
      </c>
      <c r="H438" s="7" t="s">
        <v>652</v>
      </c>
      <c r="I438" s="7" t="s">
        <v>694</v>
      </c>
      <c r="J438" s="7" t="s">
        <v>705</v>
      </c>
      <c r="K438" s="7" t="s">
        <v>711</v>
      </c>
      <c r="L438" s="7" t="s">
        <v>724</v>
      </c>
      <c r="M438" s="7" t="s">
        <v>727</v>
      </c>
      <c r="N438" s="7" t="s">
        <v>1863</v>
      </c>
      <c r="O438" s="9">
        <v>607.04</v>
      </c>
      <c r="P438" s="9">
        <v>1229.3399999999999</v>
      </c>
      <c r="Q438" s="9">
        <f t="shared" si="39"/>
        <v>1229.3399999999999</v>
      </c>
      <c r="R438" s="9" t="str">
        <f t="shared" si="40"/>
        <v>OK</v>
      </c>
      <c r="S438" s="11">
        <v>0.14699999999999999</v>
      </c>
      <c r="T438" s="11" t="str">
        <f t="shared" si="41"/>
        <v>OK</v>
      </c>
      <c r="U438" s="13">
        <v>7</v>
      </c>
    </row>
    <row r="439" spans="1:21" x14ac:dyDescent="0.3">
      <c r="A439" s="7" t="s">
        <v>452</v>
      </c>
      <c r="B439" s="4">
        <v>45290</v>
      </c>
      <c r="C439" s="4">
        <v>45299</v>
      </c>
      <c r="D439" s="4" t="str">
        <f t="shared" si="36"/>
        <v>Valid</v>
      </c>
      <c r="E439" s="4">
        <f t="shared" si="37"/>
        <v>45299</v>
      </c>
      <c r="F439" s="13">
        <f t="shared" si="38"/>
        <v>9</v>
      </c>
      <c r="G439" s="7" t="s">
        <v>649</v>
      </c>
      <c r="H439" s="7" t="s">
        <v>657</v>
      </c>
      <c r="I439" s="7" t="s">
        <v>673</v>
      </c>
      <c r="J439" s="7" t="s">
        <v>704</v>
      </c>
      <c r="K439" s="7" t="s">
        <v>709</v>
      </c>
      <c r="L439" s="7" t="s">
        <v>716</v>
      </c>
      <c r="M439" s="7" t="s">
        <v>733</v>
      </c>
      <c r="N439" s="7" t="s">
        <v>1864</v>
      </c>
      <c r="O439" s="9">
        <v>861.1</v>
      </c>
      <c r="P439" s="9">
        <v>1224.72</v>
      </c>
      <c r="Q439" s="9">
        <f t="shared" si="39"/>
        <v>1224.72</v>
      </c>
      <c r="R439" s="9" t="str">
        <f t="shared" si="40"/>
        <v>OK</v>
      </c>
      <c r="S439" s="11">
        <v>0.17399999999999999</v>
      </c>
      <c r="T439" s="11" t="str">
        <f t="shared" si="41"/>
        <v>OK</v>
      </c>
      <c r="U439" s="13">
        <v>24</v>
      </c>
    </row>
    <row r="440" spans="1:21" x14ac:dyDescent="0.3">
      <c r="A440" s="7" t="s">
        <v>453</v>
      </c>
      <c r="B440" s="4">
        <v>44978</v>
      </c>
      <c r="C440" s="4">
        <v>44997</v>
      </c>
      <c r="D440" s="4" t="str">
        <f t="shared" si="36"/>
        <v>Valid</v>
      </c>
      <c r="E440" s="4">
        <f t="shared" si="37"/>
        <v>44997</v>
      </c>
      <c r="F440" s="13">
        <f t="shared" si="38"/>
        <v>19</v>
      </c>
      <c r="G440" s="7" t="s">
        <v>646</v>
      </c>
      <c r="H440" s="7" t="s">
        <v>650</v>
      </c>
      <c r="I440" s="7" t="s">
        <v>678</v>
      </c>
      <c r="J440" s="7" t="s">
        <v>701</v>
      </c>
      <c r="K440" s="7" t="s">
        <v>708</v>
      </c>
      <c r="L440" s="7" t="s">
        <v>721</v>
      </c>
      <c r="M440" s="7" t="s">
        <v>729</v>
      </c>
      <c r="N440" s="7" t="s">
        <v>1865</v>
      </c>
      <c r="O440" s="9">
        <v>352.65</v>
      </c>
      <c r="P440" s="9">
        <v>485.86</v>
      </c>
      <c r="Q440" s="9">
        <f t="shared" si="39"/>
        <v>485.86</v>
      </c>
      <c r="R440" s="9" t="str">
        <f t="shared" si="40"/>
        <v>OK</v>
      </c>
      <c r="S440" s="11">
        <v>4.1000000000000002E-2</v>
      </c>
      <c r="T440" s="11" t="str">
        <f t="shared" si="41"/>
        <v>OK</v>
      </c>
      <c r="U440" s="13">
        <v>6</v>
      </c>
    </row>
    <row r="441" spans="1:21" x14ac:dyDescent="0.3">
      <c r="A441" s="7" t="s">
        <v>454</v>
      </c>
      <c r="B441" s="4">
        <v>45063</v>
      </c>
      <c r="C441" s="4">
        <v>45080</v>
      </c>
      <c r="D441" s="4" t="str">
        <f t="shared" si="36"/>
        <v>Valid</v>
      </c>
      <c r="E441" s="4">
        <f t="shared" si="37"/>
        <v>45080</v>
      </c>
      <c r="F441" s="13">
        <f t="shared" si="38"/>
        <v>17</v>
      </c>
      <c r="G441" s="7" t="s">
        <v>647</v>
      </c>
      <c r="H441" s="7" t="s">
        <v>659</v>
      </c>
      <c r="I441" s="7" t="s">
        <v>699</v>
      </c>
      <c r="J441" s="7" t="s">
        <v>703</v>
      </c>
      <c r="K441" s="7" t="s">
        <v>710</v>
      </c>
      <c r="L441" s="7" t="s">
        <v>724</v>
      </c>
      <c r="M441" s="7" t="s">
        <v>728</v>
      </c>
      <c r="N441" s="7" t="s">
        <v>1866</v>
      </c>
      <c r="O441" s="9">
        <v>979.59</v>
      </c>
      <c r="P441" s="9">
        <v>2210.94</v>
      </c>
      <c r="Q441" s="9">
        <f t="shared" si="39"/>
        <v>2210.94</v>
      </c>
      <c r="R441" s="9" t="str">
        <f t="shared" si="40"/>
        <v>OK</v>
      </c>
      <c r="S441" s="11">
        <v>0.15</v>
      </c>
      <c r="T441" s="11" t="str">
        <f t="shared" si="41"/>
        <v>OK</v>
      </c>
      <c r="U441" s="13">
        <v>11</v>
      </c>
    </row>
    <row r="442" spans="1:21" x14ac:dyDescent="0.3">
      <c r="A442" s="7" t="s">
        <v>455</v>
      </c>
      <c r="B442" s="4">
        <v>45374</v>
      </c>
      <c r="C442" s="4">
        <v>45377</v>
      </c>
      <c r="D442" s="4" t="str">
        <f t="shared" si="36"/>
        <v>Valid</v>
      </c>
      <c r="E442" s="4">
        <f t="shared" si="37"/>
        <v>45377</v>
      </c>
      <c r="F442" s="13">
        <f t="shared" si="38"/>
        <v>3</v>
      </c>
      <c r="G442" s="7" t="s">
        <v>647</v>
      </c>
      <c r="H442" s="7" t="s">
        <v>654</v>
      </c>
      <c r="I442" s="7" t="s">
        <v>668</v>
      </c>
      <c r="J442" s="7" t="s">
        <v>702</v>
      </c>
      <c r="K442" s="7" t="s">
        <v>711</v>
      </c>
      <c r="L442" s="7" t="s">
        <v>715</v>
      </c>
      <c r="M442" s="7" t="s">
        <v>730</v>
      </c>
      <c r="N442" s="7" t="s">
        <v>1867</v>
      </c>
      <c r="O442" s="9">
        <v>382.21</v>
      </c>
      <c r="P442" s="9">
        <v>571.89</v>
      </c>
      <c r="Q442" s="9">
        <f t="shared" si="39"/>
        <v>571.89</v>
      </c>
      <c r="R442" s="9" t="str">
        <f t="shared" si="40"/>
        <v>OK</v>
      </c>
      <c r="S442" s="11">
        <v>0.14799999999999999</v>
      </c>
      <c r="T442" s="11" t="str">
        <f t="shared" si="41"/>
        <v>OK</v>
      </c>
      <c r="U442" s="13">
        <v>26</v>
      </c>
    </row>
    <row r="443" spans="1:21" x14ac:dyDescent="0.3">
      <c r="A443" s="7" t="s">
        <v>456</v>
      </c>
      <c r="B443" s="4">
        <v>45189</v>
      </c>
      <c r="C443" s="4">
        <v>45197</v>
      </c>
      <c r="D443" s="4" t="str">
        <f t="shared" si="36"/>
        <v>Valid</v>
      </c>
      <c r="E443" s="4">
        <f t="shared" si="37"/>
        <v>45197</v>
      </c>
      <c r="F443" s="13">
        <f t="shared" si="38"/>
        <v>8</v>
      </c>
      <c r="G443" s="7" t="s">
        <v>647</v>
      </c>
      <c r="H443" s="7" t="s">
        <v>654</v>
      </c>
      <c r="I443" s="7" t="s">
        <v>2057</v>
      </c>
      <c r="J443" s="7" t="s">
        <v>701</v>
      </c>
      <c r="K443" s="7" t="s">
        <v>2057</v>
      </c>
      <c r="L443" s="7" t="s">
        <v>717</v>
      </c>
      <c r="M443" s="7" t="s">
        <v>733</v>
      </c>
      <c r="N443" s="7" t="s">
        <v>1868</v>
      </c>
      <c r="O443" s="9">
        <v>1362.06</v>
      </c>
      <c r="P443" s="9">
        <v>3398.37</v>
      </c>
      <c r="Q443" s="9">
        <f t="shared" si="39"/>
        <v>3398.37</v>
      </c>
      <c r="R443" s="9" t="str">
        <f t="shared" si="40"/>
        <v>OK</v>
      </c>
      <c r="S443" s="11">
        <v>0.157</v>
      </c>
      <c r="T443" s="11" t="str">
        <f t="shared" si="41"/>
        <v>OK</v>
      </c>
      <c r="U443" s="13">
        <v>11</v>
      </c>
    </row>
    <row r="444" spans="1:21" x14ac:dyDescent="0.3">
      <c r="A444" s="7" t="s">
        <v>457</v>
      </c>
      <c r="B444" s="4">
        <v>45526</v>
      </c>
      <c r="C444" s="4">
        <v>45539</v>
      </c>
      <c r="D444" s="4" t="str">
        <f t="shared" si="36"/>
        <v>Valid</v>
      </c>
      <c r="E444" s="4">
        <f t="shared" si="37"/>
        <v>45539</v>
      </c>
      <c r="F444" s="13">
        <f t="shared" si="38"/>
        <v>13</v>
      </c>
      <c r="G444" s="7" t="s">
        <v>649</v>
      </c>
      <c r="H444" s="7" t="s">
        <v>656</v>
      </c>
      <c r="I444" s="7" t="s">
        <v>698</v>
      </c>
      <c r="J444" s="7" t="s">
        <v>703</v>
      </c>
      <c r="K444" s="7" t="s">
        <v>707</v>
      </c>
      <c r="L444" s="7" t="s">
        <v>716</v>
      </c>
      <c r="M444" s="7" t="s">
        <v>728</v>
      </c>
      <c r="N444" s="7" t="s">
        <v>1869</v>
      </c>
      <c r="O444" s="9">
        <v>90.04</v>
      </c>
      <c r="P444" s="9">
        <v>194.62</v>
      </c>
      <c r="Q444" s="9">
        <f t="shared" si="39"/>
        <v>194.62</v>
      </c>
      <c r="R444" s="9" t="str">
        <f t="shared" si="40"/>
        <v>OK</v>
      </c>
      <c r="S444" s="11">
        <v>4.2999999999999997E-2</v>
      </c>
      <c r="T444" s="11" t="str">
        <f t="shared" si="41"/>
        <v>OK</v>
      </c>
      <c r="U444" s="13">
        <v>32</v>
      </c>
    </row>
    <row r="445" spans="1:21" x14ac:dyDescent="0.3">
      <c r="A445" s="7" t="s">
        <v>458</v>
      </c>
      <c r="B445" s="4">
        <v>45560</v>
      </c>
      <c r="C445" s="4">
        <v>45568</v>
      </c>
      <c r="D445" s="4" t="str">
        <f t="shared" si="36"/>
        <v>Valid</v>
      </c>
      <c r="E445" s="4">
        <f t="shared" si="37"/>
        <v>45568</v>
      </c>
      <c r="F445" s="13">
        <f t="shared" si="38"/>
        <v>8</v>
      </c>
      <c r="G445" s="7" t="s">
        <v>648</v>
      </c>
      <c r="H445" s="7" t="s">
        <v>653</v>
      </c>
      <c r="I445" s="7" t="s">
        <v>667</v>
      </c>
      <c r="J445" s="7" t="s">
        <v>704</v>
      </c>
      <c r="K445" s="7" t="s">
        <v>708</v>
      </c>
      <c r="L445" s="7" t="s">
        <v>718</v>
      </c>
      <c r="M445" s="7" t="s">
        <v>728</v>
      </c>
      <c r="N445" s="7" t="s">
        <v>1870</v>
      </c>
      <c r="O445" s="9">
        <v>558.19000000000005</v>
      </c>
      <c r="P445" s="9">
        <v>1031.6400000000001</v>
      </c>
      <c r="Q445" s="9">
        <f t="shared" si="39"/>
        <v>1031.6400000000001</v>
      </c>
      <c r="R445" s="9" t="str">
        <f t="shared" si="40"/>
        <v>OK</v>
      </c>
      <c r="S445" s="11">
        <v>0</v>
      </c>
      <c r="T445" s="11" t="str">
        <f t="shared" si="41"/>
        <v>OK</v>
      </c>
      <c r="U445" s="13">
        <v>21</v>
      </c>
    </row>
    <row r="446" spans="1:21" x14ac:dyDescent="0.3">
      <c r="A446" s="7" t="s">
        <v>459</v>
      </c>
      <c r="B446" s="4">
        <v>45090</v>
      </c>
      <c r="C446" s="4">
        <v>45101</v>
      </c>
      <c r="D446" s="4" t="str">
        <f t="shared" si="36"/>
        <v>Valid</v>
      </c>
      <c r="E446" s="4">
        <f t="shared" si="37"/>
        <v>45101</v>
      </c>
      <c r="F446" s="13">
        <f t="shared" si="38"/>
        <v>11</v>
      </c>
      <c r="G446" s="7" t="s">
        <v>648</v>
      </c>
      <c r="H446" s="7" t="s">
        <v>653</v>
      </c>
      <c r="I446" s="7" t="s">
        <v>667</v>
      </c>
      <c r="J446" s="7" t="s">
        <v>701</v>
      </c>
      <c r="K446" s="7" t="s">
        <v>708</v>
      </c>
      <c r="L446" s="7" t="s">
        <v>712</v>
      </c>
      <c r="M446" s="7" t="s">
        <v>728</v>
      </c>
      <c r="N446" s="7" t="s">
        <v>1871</v>
      </c>
      <c r="O446" s="9">
        <v>247.07</v>
      </c>
      <c r="P446" s="9">
        <v>495.19</v>
      </c>
      <c r="Q446" s="9">
        <f t="shared" si="39"/>
        <v>495.19</v>
      </c>
      <c r="R446" s="9" t="str">
        <f t="shared" si="40"/>
        <v>OK</v>
      </c>
      <c r="S446" s="11">
        <v>2.8000000000000001E-2</v>
      </c>
      <c r="T446" s="11" t="str">
        <f t="shared" si="41"/>
        <v>OK</v>
      </c>
      <c r="U446" s="13">
        <v>4</v>
      </c>
    </row>
    <row r="447" spans="1:21" x14ac:dyDescent="0.3">
      <c r="A447" s="7" t="s">
        <v>460</v>
      </c>
      <c r="B447" s="4">
        <v>45284</v>
      </c>
      <c r="C447" s="4">
        <v>45304</v>
      </c>
      <c r="D447" s="4" t="str">
        <f t="shared" si="36"/>
        <v>Valid</v>
      </c>
      <c r="E447" s="4">
        <f t="shared" si="37"/>
        <v>45304</v>
      </c>
      <c r="F447" s="13">
        <f t="shared" si="38"/>
        <v>20</v>
      </c>
      <c r="G447" s="7" t="s">
        <v>647</v>
      </c>
      <c r="H447" s="7" t="s">
        <v>652</v>
      </c>
      <c r="I447" s="7" t="s">
        <v>694</v>
      </c>
      <c r="J447" s="7" t="s">
        <v>702</v>
      </c>
      <c r="K447" s="7" t="s">
        <v>711</v>
      </c>
      <c r="L447" s="7" t="s">
        <v>717</v>
      </c>
      <c r="M447" s="7" t="s">
        <v>731</v>
      </c>
      <c r="N447" s="7" t="s">
        <v>1872</v>
      </c>
      <c r="O447" s="9">
        <v>625.37</v>
      </c>
      <c r="P447" s="9">
        <v>1319.04</v>
      </c>
      <c r="Q447" s="9">
        <f t="shared" si="39"/>
        <v>1319.04</v>
      </c>
      <c r="R447" s="9" t="str">
        <f t="shared" si="40"/>
        <v>OK</v>
      </c>
      <c r="S447" s="11">
        <v>7.3999999999999996E-2</v>
      </c>
      <c r="T447" s="11" t="str">
        <f t="shared" si="41"/>
        <v>OK</v>
      </c>
      <c r="U447" s="13">
        <v>8</v>
      </c>
    </row>
    <row r="448" spans="1:21" x14ac:dyDescent="0.3">
      <c r="A448" s="7" t="s">
        <v>461</v>
      </c>
      <c r="B448" s="4">
        <v>45746</v>
      </c>
      <c r="C448" s="4">
        <v>45776</v>
      </c>
      <c r="D448" s="4" t="str">
        <f t="shared" si="36"/>
        <v>Valid</v>
      </c>
      <c r="E448" s="4">
        <f t="shared" si="37"/>
        <v>45776</v>
      </c>
      <c r="F448" s="13">
        <f t="shared" si="38"/>
        <v>30</v>
      </c>
      <c r="G448" s="7" t="s">
        <v>646</v>
      </c>
      <c r="H448" s="7" t="s">
        <v>661</v>
      </c>
      <c r="I448" s="7" t="s">
        <v>687</v>
      </c>
      <c r="J448" s="7" t="s">
        <v>704</v>
      </c>
      <c r="K448" s="7" t="s">
        <v>709</v>
      </c>
      <c r="L448" s="7" t="s">
        <v>713</v>
      </c>
      <c r="M448" s="7" t="s">
        <v>732</v>
      </c>
      <c r="N448" s="7" t="s">
        <v>1873</v>
      </c>
      <c r="O448" s="9">
        <v>194.6</v>
      </c>
      <c r="P448" s="9">
        <v>314.87</v>
      </c>
      <c r="Q448" s="9">
        <f t="shared" si="39"/>
        <v>314.87</v>
      </c>
      <c r="R448" s="9" t="str">
        <f t="shared" si="40"/>
        <v>OK</v>
      </c>
      <c r="S448" s="11">
        <v>0.29299999999999998</v>
      </c>
      <c r="T448" s="11" t="str">
        <f t="shared" si="41"/>
        <v>OK</v>
      </c>
      <c r="U448" s="13">
        <v>25</v>
      </c>
    </row>
    <row r="449" spans="1:21" x14ac:dyDescent="0.3">
      <c r="A449" s="7" t="s">
        <v>462</v>
      </c>
      <c r="B449" s="4">
        <v>45446</v>
      </c>
      <c r="C449" s="4">
        <v>45467</v>
      </c>
      <c r="D449" s="4" t="str">
        <f t="shared" si="36"/>
        <v>Valid</v>
      </c>
      <c r="E449" s="4">
        <f t="shared" si="37"/>
        <v>45467</v>
      </c>
      <c r="F449" s="13">
        <f t="shared" si="38"/>
        <v>21</v>
      </c>
      <c r="G449" s="7" t="s">
        <v>648</v>
      </c>
      <c r="H449" s="7" t="s">
        <v>653</v>
      </c>
      <c r="I449" s="7" t="s">
        <v>667</v>
      </c>
      <c r="J449" s="7" t="s">
        <v>705</v>
      </c>
      <c r="K449" s="7" t="s">
        <v>711</v>
      </c>
      <c r="L449" s="7" t="s">
        <v>715</v>
      </c>
      <c r="M449" s="7" t="s">
        <v>732</v>
      </c>
      <c r="N449" s="7" t="s">
        <v>1874</v>
      </c>
      <c r="O449" s="9">
        <v>1205.5</v>
      </c>
      <c r="P449" s="9">
        <v>2210.17</v>
      </c>
      <c r="Q449" s="9">
        <f t="shared" si="39"/>
        <v>2210.17</v>
      </c>
      <c r="R449" s="9" t="str">
        <f t="shared" si="40"/>
        <v>OK</v>
      </c>
      <c r="S449" s="11">
        <v>0.104</v>
      </c>
      <c r="T449" s="11" t="str">
        <f t="shared" si="41"/>
        <v>OK</v>
      </c>
      <c r="U449" s="13">
        <v>23</v>
      </c>
    </row>
    <row r="450" spans="1:21" x14ac:dyDescent="0.3">
      <c r="A450" s="7" t="s">
        <v>463</v>
      </c>
      <c r="B450" s="4">
        <v>45454</v>
      </c>
      <c r="C450" s="4">
        <v>45482</v>
      </c>
      <c r="D450" s="4" t="str">
        <f t="shared" si="36"/>
        <v>Valid</v>
      </c>
      <c r="E450" s="4">
        <f t="shared" si="37"/>
        <v>45482</v>
      </c>
      <c r="F450" s="13">
        <f t="shared" si="38"/>
        <v>28</v>
      </c>
      <c r="G450" s="7" t="s">
        <v>646</v>
      </c>
      <c r="H450" s="7" t="s">
        <v>651</v>
      </c>
      <c r="I450" s="7" t="s">
        <v>663</v>
      </c>
      <c r="J450" s="7" t="s">
        <v>701</v>
      </c>
      <c r="K450" s="7" t="s">
        <v>709</v>
      </c>
      <c r="L450" s="7" t="s">
        <v>714</v>
      </c>
      <c r="M450" s="7" t="s">
        <v>730</v>
      </c>
      <c r="N450" s="7" t="s">
        <v>1875</v>
      </c>
      <c r="O450" s="9">
        <v>895.54</v>
      </c>
      <c r="P450" s="9">
        <v>1045</v>
      </c>
      <c r="Q450" s="9">
        <f t="shared" si="39"/>
        <v>1045</v>
      </c>
      <c r="R450" s="9" t="str">
        <f t="shared" si="40"/>
        <v>OK</v>
      </c>
      <c r="S450" s="11">
        <v>0.216</v>
      </c>
      <c r="T450" s="11" t="str">
        <f t="shared" si="41"/>
        <v>OK</v>
      </c>
      <c r="U450" s="13">
        <v>15</v>
      </c>
    </row>
    <row r="451" spans="1:21" x14ac:dyDescent="0.3">
      <c r="A451" s="7" t="s">
        <v>464</v>
      </c>
      <c r="B451" s="4">
        <v>45129</v>
      </c>
      <c r="C451" s="4">
        <v>45128</v>
      </c>
      <c r="D451" s="4" t="str">
        <f t="shared" ref="D451:D514" si="42">IF(C451&lt;B451,"Invalid","Valid")</f>
        <v>Invalid</v>
      </c>
      <c r="E451" s="4">
        <f t="shared" ref="E451:E514" si="43">IF(C451&lt;B451,B451,C451)</f>
        <v>45129</v>
      </c>
      <c r="F451" s="13">
        <f t="shared" ref="F451:F514" si="44">E451-B451</f>
        <v>0</v>
      </c>
      <c r="G451" s="7" t="s">
        <v>647</v>
      </c>
      <c r="H451" s="7" t="s">
        <v>654</v>
      </c>
      <c r="I451" s="7" t="s">
        <v>680</v>
      </c>
      <c r="J451" s="7" t="s">
        <v>705</v>
      </c>
      <c r="K451" s="7" t="s">
        <v>710</v>
      </c>
      <c r="L451" s="7" t="s">
        <v>718</v>
      </c>
      <c r="M451" s="7" t="s">
        <v>728</v>
      </c>
      <c r="N451" s="7" t="s">
        <v>1876</v>
      </c>
      <c r="O451" s="9">
        <v>946.99</v>
      </c>
      <c r="P451" s="9">
        <v>2132.19</v>
      </c>
      <c r="Q451" s="9">
        <f t="shared" ref="Q451:Q514" si="45">ABS(P451)</f>
        <v>2132.19</v>
      </c>
      <c r="R451" s="9" t="str">
        <f t="shared" ref="R451:R514" si="46">IF(P451&lt;=0,"FLAG","OK")</f>
        <v>OK</v>
      </c>
      <c r="S451" s="11">
        <v>0.16500000000000001</v>
      </c>
      <c r="T451" s="11" t="str">
        <f t="shared" ref="T451:T514" si="47">IF(S451&gt;30%,"FLAG","OK")</f>
        <v>OK</v>
      </c>
      <c r="U451" s="13">
        <v>7</v>
      </c>
    </row>
    <row r="452" spans="1:21" x14ac:dyDescent="0.3">
      <c r="A452" s="7" t="s">
        <v>465</v>
      </c>
      <c r="B452" s="4">
        <v>44945</v>
      </c>
      <c r="C452" s="4">
        <v>44960</v>
      </c>
      <c r="D452" s="4" t="str">
        <f t="shared" si="42"/>
        <v>Valid</v>
      </c>
      <c r="E452" s="4">
        <f t="shared" si="43"/>
        <v>44960</v>
      </c>
      <c r="F452" s="13">
        <f t="shared" si="44"/>
        <v>15</v>
      </c>
      <c r="G452" s="7" t="s">
        <v>649</v>
      </c>
      <c r="H452" s="7" t="s">
        <v>658</v>
      </c>
      <c r="I452" s="7" t="s">
        <v>683</v>
      </c>
      <c r="J452" s="7" t="s">
        <v>706</v>
      </c>
      <c r="K452" s="7" t="s">
        <v>710</v>
      </c>
      <c r="L452" s="7" t="s">
        <v>715</v>
      </c>
      <c r="M452" s="7" t="s">
        <v>733</v>
      </c>
      <c r="N452" s="7" t="s">
        <v>1877</v>
      </c>
      <c r="O452" s="9">
        <v>873.06</v>
      </c>
      <c r="P452" s="9">
        <v>2101.5500000000002</v>
      </c>
      <c r="Q452" s="9">
        <f t="shared" si="45"/>
        <v>2101.5500000000002</v>
      </c>
      <c r="R452" s="9" t="str">
        <f t="shared" si="46"/>
        <v>OK</v>
      </c>
      <c r="S452" s="11">
        <v>6.6000000000000003E-2</v>
      </c>
      <c r="T452" s="11" t="str">
        <f t="shared" si="47"/>
        <v>OK</v>
      </c>
      <c r="U452" s="13">
        <v>10</v>
      </c>
    </row>
    <row r="453" spans="1:21" x14ac:dyDescent="0.3">
      <c r="A453" s="7" t="s">
        <v>466</v>
      </c>
      <c r="B453" s="4">
        <v>45413</v>
      </c>
      <c r="C453" s="4">
        <v>45428</v>
      </c>
      <c r="D453" s="4" t="str">
        <f t="shared" si="42"/>
        <v>Valid</v>
      </c>
      <c r="E453" s="4">
        <f t="shared" si="43"/>
        <v>45428</v>
      </c>
      <c r="F453" s="13">
        <f t="shared" si="44"/>
        <v>15</v>
      </c>
      <c r="G453" s="7" t="s">
        <v>647</v>
      </c>
      <c r="H453" s="7" t="s">
        <v>654</v>
      </c>
      <c r="I453" s="7" t="s">
        <v>668</v>
      </c>
      <c r="J453" s="7" t="s">
        <v>705</v>
      </c>
      <c r="K453" s="7" t="s">
        <v>707</v>
      </c>
      <c r="L453" s="7" t="s">
        <v>716</v>
      </c>
      <c r="M453" s="7" t="s">
        <v>727</v>
      </c>
      <c r="N453" s="7" t="s">
        <v>1878</v>
      </c>
      <c r="O453" s="9">
        <v>901.19</v>
      </c>
      <c r="P453" s="9">
        <v>2125.44</v>
      </c>
      <c r="Q453" s="9">
        <f t="shared" si="45"/>
        <v>2125.44</v>
      </c>
      <c r="R453" s="9" t="str">
        <f t="shared" si="46"/>
        <v>OK</v>
      </c>
      <c r="S453" s="11">
        <v>7.0999999999999994E-2</v>
      </c>
      <c r="T453" s="11" t="str">
        <f t="shared" si="47"/>
        <v>OK</v>
      </c>
      <c r="U453" s="13">
        <v>12</v>
      </c>
    </row>
    <row r="454" spans="1:21" x14ac:dyDescent="0.3">
      <c r="A454" s="7" t="s">
        <v>467</v>
      </c>
      <c r="B454" s="4">
        <v>45817</v>
      </c>
      <c r="C454" s="4">
        <v>45832</v>
      </c>
      <c r="D454" s="4" t="str">
        <f t="shared" si="42"/>
        <v>Valid</v>
      </c>
      <c r="E454" s="4">
        <f t="shared" si="43"/>
        <v>45832</v>
      </c>
      <c r="F454" s="13">
        <f t="shared" si="44"/>
        <v>15</v>
      </c>
      <c r="G454" s="7" t="s">
        <v>647</v>
      </c>
      <c r="H454" s="7" t="s">
        <v>652</v>
      </c>
      <c r="I454" s="7" t="s">
        <v>694</v>
      </c>
      <c r="J454" s="7" t="s">
        <v>701</v>
      </c>
      <c r="K454" s="7" t="s">
        <v>711</v>
      </c>
      <c r="L454" s="7" t="s">
        <v>717</v>
      </c>
      <c r="M454" s="7" t="s">
        <v>730</v>
      </c>
      <c r="N454" s="7" t="s">
        <v>1879</v>
      </c>
      <c r="O454" s="9">
        <v>400.39</v>
      </c>
      <c r="P454" s="9">
        <v>712.75</v>
      </c>
      <c r="Q454" s="9">
        <f t="shared" si="45"/>
        <v>712.75</v>
      </c>
      <c r="R454" s="9" t="str">
        <f t="shared" si="46"/>
        <v>OK</v>
      </c>
      <c r="S454" s="11">
        <v>0.115</v>
      </c>
      <c r="T454" s="11" t="str">
        <f t="shared" si="47"/>
        <v>OK</v>
      </c>
      <c r="U454" s="13">
        <v>19</v>
      </c>
    </row>
    <row r="455" spans="1:21" x14ac:dyDescent="0.3">
      <c r="A455" s="7" t="s">
        <v>468</v>
      </c>
      <c r="B455" s="4">
        <v>45070</v>
      </c>
      <c r="C455" s="4">
        <v>45098</v>
      </c>
      <c r="D455" s="4" t="str">
        <f t="shared" si="42"/>
        <v>Valid</v>
      </c>
      <c r="E455" s="4">
        <f t="shared" si="43"/>
        <v>45098</v>
      </c>
      <c r="F455" s="13">
        <f t="shared" si="44"/>
        <v>28</v>
      </c>
      <c r="G455" s="7" t="s">
        <v>648</v>
      </c>
      <c r="H455" s="7" t="s">
        <v>1425</v>
      </c>
      <c r="I455" s="7" t="s">
        <v>697</v>
      </c>
      <c r="J455" s="7" t="s">
        <v>705</v>
      </c>
      <c r="K455" s="7" t="s">
        <v>709</v>
      </c>
      <c r="L455" s="7" t="s">
        <v>715</v>
      </c>
      <c r="M455" s="7" t="s">
        <v>732</v>
      </c>
      <c r="N455" s="7" t="s">
        <v>1880</v>
      </c>
      <c r="O455" s="9">
        <v>813.97</v>
      </c>
      <c r="P455" s="9">
        <v>1568.83</v>
      </c>
      <c r="Q455" s="9">
        <f t="shared" si="45"/>
        <v>1568.83</v>
      </c>
      <c r="R455" s="9" t="str">
        <f t="shared" si="46"/>
        <v>OK</v>
      </c>
      <c r="S455" s="11">
        <v>1.7000000000000001E-2</v>
      </c>
      <c r="T455" s="11" t="str">
        <f t="shared" si="47"/>
        <v>OK</v>
      </c>
      <c r="U455" s="13">
        <v>15</v>
      </c>
    </row>
    <row r="456" spans="1:21" x14ac:dyDescent="0.3">
      <c r="A456" s="7" t="s">
        <v>469</v>
      </c>
      <c r="B456" s="4">
        <v>45653</v>
      </c>
      <c r="C456" s="4">
        <v>45655</v>
      </c>
      <c r="D456" s="4" t="str">
        <f t="shared" si="42"/>
        <v>Valid</v>
      </c>
      <c r="E456" s="4">
        <f t="shared" si="43"/>
        <v>45655</v>
      </c>
      <c r="F456" s="13">
        <f t="shared" si="44"/>
        <v>2</v>
      </c>
      <c r="G456" s="7" t="s">
        <v>648</v>
      </c>
      <c r="H456" s="7" t="s">
        <v>653</v>
      </c>
      <c r="I456" s="7" t="s">
        <v>688</v>
      </c>
      <c r="J456" s="7" t="s">
        <v>706</v>
      </c>
      <c r="K456" s="7" t="s">
        <v>709</v>
      </c>
      <c r="L456" s="7" t="s">
        <v>712</v>
      </c>
      <c r="M456" s="7" t="s">
        <v>733</v>
      </c>
      <c r="N456" s="7" t="s">
        <v>1881</v>
      </c>
      <c r="O456" s="9">
        <v>1146.72</v>
      </c>
      <c r="P456" s="9">
        <v>2074.34</v>
      </c>
      <c r="Q456" s="9">
        <f t="shared" si="45"/>
        <v>2074.34</v>
      </c>
      <c r="R456" s="9" t="str">
        <f t="shared" si="46"/>
        <v>OK</v>
      </c>
      <c r="S456" s="11">
        <v>0.111</v>
      </c>
      <c r="T456" s="11" t="str">
        <f t="shared" si="47"/>
        <v>OK</v>
      </c>
      <c r="U456" s="13">
        <v>8</v>
      </c>
    </row>
    <row r="457" spans="1:21" x14ac:dyDescent="0.3">
      <c r="A457" s="7" t="s">
        <v>470</v>
      </c>
      <c r="B457" s="4">
        <v>45265</v>
      </c>
      <c r="C457" s="4">
        <v>45272</v>
      </c>
      <c r="D457" s="4" t="str">
        <f t="shared" si="42"/>
        <v>Valid</v>
      </c>
      <c r="E457" s="4">
        <f t="shared" si="43"/>
        <v>45272</v>
      </c>
      <c r="F457" s="13">
        <f t="shared" si="44"/>
        <v>7</v>
      </c>
      <c r="G457" s="7" t="s">
        <v>648</v>
      </c>
      <c r="H457" s="7" t="s">
        <v>655</v>
      </c>
      <c r="I457" s="7" t="s">
        <v>672</v>
      </c>
      <c r="J457" s="7" t="s">
        <v>701</v>
      </c>
      <c r="K457" s="7" t="s">
        <v>711</v>
      </c>
      <c r="L457" s="7" t="s">
        <v>721</v>
      </c>
      <c r="M457" s="7" t="s">
        <v>730</v>
      </c>
      <c r="N457" s="7" t="s">
        <v>1882</v>
      </c>
      <c r="O457" s="9">
        <v>307.43</v>
      </c>
      <c r="P457" s="9">
        <v>495.19</v>
      </c>
      <c r="Q457" s="9">
        <f t="shared" si="45"/>
        <v>495.19</v>
      </c>
      <c r="R457" s="9" t="str">
        <f t="shared" si="46"/>
        <v>OK</v>
      </c>
      <c r="S457" s="11">
        <v>0</v>
      </c>
      <c r="T457" s="11" t="str">
        <f t="shared" si="47"/>
        <v>OK</v>
      </c>
      <c r="U457" s="13">
        <v>42</v>
      </c>
    </row>
    <row r="458" spans="1:21" x14ac:dyDescent="0.3">
      <c r="A458" s="7" t="s">
        <v>471</v>
      </c>
      <c r="B458" s="4">
        <v>45048</v>
      </c>
      <c r="C458" s="4">
        <v>45065</v>
      </c>
      <c r="D458" s="4" t="str">
        <f t="shared" si="42"/>
        <v>Valid</v>
      </c>
      <c r="E458" s="4">
        <f t="shared" si="43"/>
        <v>45065</v>
      </c>
      <c r="F458" s="13">
        <f t="shared" si="44"/>
        <v>17</v>
      </c>
      <c r="G458" s="7" t="s">
        <v>647</v>
      </c>
      <c r="H458" s="7" t="s">
        <v>659</v>
      </c>
      <c r="I458" s="7" t="s">
        <v>685</v>
      </c>
      <c r="J458" s="7" t="s">
        <v>703</v>
      </c>
      <c r="K458" s="7" t="s">
        <v>711</v>
      </c>
      <c r="L458" s="7" t="s">
        <v>713</v>
      </c>
      <c r="M458" s="7" t="s">
        <v>732</v>
      </c>
      <c r="N458" s="7" t="s">
        <v>1883</v>
      </c>
      <c r="O458" s="9">
        <v>714.28</v>
      </c>
      <c r="P458" s="9">
        <v>757.59</v>
      </c>
      <c r="Q458" s="9">
        <f t="shared" si="45"/>
        <v>757.59</v>
      </c>
      <c r="R458" s="9" t="str">
        <f t="shared" si="46"/>
        <v>OK</v>
      </c>
      <c r="S458" s="11">
        <v>0.13600000000000001</v>
      </c>
      <c r="T458" s="11" t="str">
        <f t="shared" si="47"/>
        <v>OK</v>
      </c>
      <c r="U458" s="13">
        <v>12</v>
      </c>
    </row>
    <row r="459" spans="1:21" x14ac:dyDescent="0.3">
      <c r="A459" s="7" t="s">
        <v>472</v>
      </c>
      <c r="B459" s="4">
        <v>45260</v>
      </c>
      <c r="C459" s="4">
        <v>45270</v>
      </c>
      <c r="D459" s="4" t="str">
        <f t="shared" si="42"/>
        <v>Valid</v>
      </c>
      <c r="E459" s="4">
        <f t="shared" si="43"/>
        <v>45270</v>
      </c>
      <c r="F459" s="13">
        <f t="shared" si="44"/>
        <v>10</v>
      </c>
      <c r="G459" s="7" t="s">
        <v>649</v>
      </c>
      <c r="H459" s="7" t="s">
        <v>656</v>
      </c>
      <c r="I459" s="7" t="s">
        <v>684</v>
      </c>
      <c r="J459" s="7" t="s">
        <v>705</v>
      </c>
      <c r="K459" s="7" t="s">
        <v>711</v>
      </c>
      <c r="L459" s="7" t="s">
        <v>721</v>
      </c>
      <c r="M459" s="7" t="s">
        <v>731</v>
      </c>
      <c r="N459" s="7" t="s">
        <v>1884</v>
      </c>
      <c r="O459" s="9">
        <v>174.74</v>
      </c>
      <c r="P459" s="9">
        <v>415.96</v>
      </c>
      <c r="Q459" s="9">
        <f t="shared" si="45"/>
        <v>415.96</v>
      </c>
      <c r="R459" s="9" t="str">
        <f t="shared" si="46"/>
        <v>OK</v>
      </c>
      <c r="S459" s="11">
        <v>0.125</v>
      </c>
      <c r="T459" s="11" t="str">
        <f t="shared" si="47"/>
        <v>OK</v>
      </c>
      <c r="U459" s="13">
        <v>21</v>
      </c>
    </row>
    <row r="460" spans="1:21" x14ac:dyDescent="0.3">
      <c r="A460" s="7" t="s">
        <v>473</v>
      </c>
      <c r="B460" s="4">
        <v>45417</v>
      </c>
      <c r="C460" s="4">
        <v>45430</v>
      </c>
      <c r="D460" s="4" t="str">
        <f t="shared" si="42"/>
        <v>Valid</v>
      </c>
      <c r="E460" s="4">
        <f t="shared" si="43"/>
        <v>45430</v>
      </c>
      <c r="F460" s="13">
        <f t="shared" si="44"/>
        <v>13</v>
      </c>
      <c r="G460" s="7" t="s">
        <v>649</v>
      </c>
      <c r="H460" s="7" t="s">
        <v>657</v>
      </c>
      <c r="I460" s="7" t="s">
        <v>673</v>
      </c>
      <c r="J460" s="7" t="s">
        <v>701</v>
      </c>
      <c r="K460" s="7" t="s">
        <v>709</v>
      </c>
      <c r="L460" s="7" t="s">
        <v>720</v>
      </c>
      <c r="M460" s="7" t="s">
        <v>727</v>
      </c>
      <c r="N460" s="7" t="s">
        <v>1885</v>
      </c>
      <c r="O460" s="9">
        <v>1264.04</v>
      </c>
      <c r="P460" s="9">
        <v>1870.89</v>
      </c>
      <c r="Q460" s="9">
        <f t="shared" si="45"/>
        <v>1870.89</v>
      </c>
      <c r="R460" s="9" t="str">
        <f t="shared" si="46"/>
        <v>OK</v>
      </c>
      <c r="S460" s="11">
        <v>0</v>
      </c>
      <c r="T460" s="11" t="str">
        <f t="shared" si="47"/>
        <v>OK</v>
      </c>
      <c r="U460" s="13">
        <v>13</v>
      </c>
    </row>
    <row r="461" spans="1:21" x14ac:dyDescent="0.3">
      <c r="A461" s="7" t="s">
        <v>474</v>
      </c>
      <c r="B461" s="4">
        <v>45116</v>
      </c>
      <c r="C461" s="4">
        <v>45126</v>
      </c>
      <c r="D461" s="4" t="str">
        <f t="shared" si="42"/>
        <v>Valid</v>
      </c>
      <c r="E461" s="4">
        <f t="shared" si="43"/>
        <v>45126</v>
      </c>
      <c r="F461" s="13">
        <f t="shared" si="44"/>
        <v>10</v>
      </c>
      <c r="G461" s="7" t="s">
        <v>647</v>
      </c>
      <c r="H461" s="7" t="s">
        <v>652</v>
      </c>
      <c r="I461" s="7" t="s">
        <v>689</v>
      </c>
      <c r="J461" s="7" t="s">
        <v>706</v>
      </c>
      <c r="K461" s="7" t="s">
        <v>710</v>
      </c>
      <c r="L461" s="7" t="s">
        <v>725</v>
      </c>
      <c r="M461" s="7" t="s">
        <v>727</v>
      </c>
      <c r="N461" s="7" t="s">
        <v>1886</v>
      </c>
      <c r="O461" s="9">
        <v>141.26</v>
      </c>
      <c r="P461" s="9">
        <v>206.88</v>
      </c>
      <c r="Q461" s="9">
        <f t="shared" si="45"/>
        <v>206.88</v>
      </c>
      <c r="R461" s="9" t="str">
        <f t="shared" si="46"/>
        <v>OK</v>
      </c>
      <c r="S461" s="11">
        <v>0.107</v>
      </c>
      <c r="T461" s="11" t="str">
        <f t="shared" si="47"/>
        <v>OK</v>
      </c>
      <c r="U461" s="13">
        <v>9</v>
      </c>
    </row>
    <row r="462" spans="1:21" x14ac:dyDescent="0.3">
      <c r="A462" s="7" t="s">
        <v>475</v>
      </c>
      <c r="B462" s="4">
        <v>45063</v>
      </c>
      <c r="C462" s="4">
        <v>45092</v>
      </c>
      <c r="D462" s="4" t="str">
        <f t="shared" si="42"/>
        <v>Valid</v>
      </c>
      <c r="E462" s="4">
        <f t="shared" si="43"/>
        <v>45092</v>
      </c>
      <c r="F462" s="13">
        <f t="shared" si="44"/>
        <v>29</v>
      </c>
      <c r="G462" s="7" t="s">
        <v>646</v>
      </c>
      <c r="H462" s="7" t="s">
        <v>661</v>
      </c>
      <c r="I462" s="7" t="s">
        <v>687</v>
      </c>
      <c r="J462" s="7" t="s">
        <v>706</v>
      </c>
      <c r="K462" s="7" t="s">
        <v>707</v>
      </c>
      <c r="L462" s="7" t="s">
        <v>723</v>
      </c>
      <c r="M462" s="7" t="s">
        <v>733</v>
      </c>
      <c r="N462" s="7" t="s">
        <v>1887</v>
      </c>
      <c r="O462" s="9">
        <v>40.89</v>
      </c>
      <c r="P462" s="9">
        <v>62.82</v>
      </c>
      <c r="Q462" s="9">
        <f t="shared" si="45"/>
        <v>62.82</v>
      </c>
      <c r="R462" s="9" t="str">
        <f t="shared" si="46"/>
        <v>OK</v>
      </c>
      <c r="S462" s="11">
        <v>0.129</v>
      </c>
      <c r="T462" s="11" t="str">
        <f t="shared" si="47"/>
        <v>OK</v>
      </c>
      <c r="U462" s="13">
        <v>17</v>
      </c>
    </row>
    <row r="463" spans="1:21" x14ac:dyDescent="0.3">
      <c r="A463" s="7" t="s">
        <v>476</v>
      </c>
      <c r="B463" s="4">
        <v>45358</v>
      </c>
      <c r="C463" s="4">
        <v>45385</v>
      </c>
      <c r="D463" s="4" t="str">
        <f t="shared" si="42"/>
        <v>Valid</v>
      </c>
      <c r="E463" s="4">
        <f t="shared" si="43"/>
        <v>45385</v>
      </c>
      <c r="F463" s="13">
        <f t="shared" si="44"/>
        <v>27</v>
      </c>
      <c r="G463" s="7" t="s">
        <v>649</v>
      </c>
      <c r="H463" s="7" t="s">
        <v>656</v>
      </c>
      <c r="I463" s="7" t="s">
        <v>698</v>
      </c>
      <c r="J463" s="7" t="s">
        <v>701</v>
      </c>
      <c r="K463" s="7" t="s">
        <v>711</v>
      </c>
      <c r="L463" s="7" t="s">
        <v>724</v>
      </c>
      <c r="M463" s="7" t="s">
        <v>728</v>
      </c>
      <c r="N463" s="7" t="s">
        <v>1888</v>
      </c>
      <c r="O463" s="9">
        <v>738.16</v>
      </c>
      <c r="P463" s="9">
        <v>956.49</v>
      </c>
      <c r="Q463" s="9">
        <f t="shared" si="45"/>
        <v>956.49</v>
      </c>
      <c r="R463" s="9" t="str">
        <f t="shared" si="46"/>
        <v>OK</v>
      </c>
      <c r="S463" s="11">
        <v>0.152</v>
      </c>
      <c r="T463" s="11" t="str">
        <f t="shared" si="47"/>
        <v>OK</v>
      </c>
      <c r="U463" s="13">
        <v>5</v>
      </c>
    </row>
    <row r="464" spans="1:21" x14ac:dyDescent="0.3">
      <c r="A464" s="7" t="s">
        <v>477</v>
      </c>
      <c r="B464" s="4">
        <v>45757</v>
      </c>
      <c r="C464" s="4">
        <v>45766</v>
      </c>
      <c r="D464" s="4" t="str">
        <f t="shared" si="42"/>
        <v>Valid</v>
      </c>
      <c r="E464" s="4">
        <f t="shared" si="43"/>
        <v>45766</v>
      </c>
      <c r="F464" s="13">
        <f t="shared" si="44"/>
        <v>9</v>
      </c>
      <c r="G464" s="7" t="s">
        <v>646</v>
      </c>
      <c r="H464" s="7" t="s">
        <v>661</v>
      </c>
      <c r="I464" s="7" t="s">
        <v>687</v>
      </c>
      <c r="J464" s="7" t="s">
        <v>706</v>
      </c>
      <c r="K464" s="7" t="s">
        <v>2057</v>
      </c>
      <c r="L464" s="7" t="s">
        <v>715</v>
      </c>
      <c r="M464" s="7" t="s">
        <v>729</v>
      </c>
      <c r="N464" s="7" t="s">
        <v>1889</v>
      </c>
      <c r="O464" s="9">
        <v>113.74</v>
      </c>
      <c r="P464" s="9">
        <v>165.7</v>
      </c>
      <c r="Q464" s="9">
        <f t="shared" si="45"/>
        <v>165.7</v>
      </c>
      <c r="R464" s="9" t="str">
        <f t="shared" si="46"/>
        <v>OK</v>
      </c>
      <c r="S464" s="11">
        <v>0.124</v>
      </c>
      <c r="T464" s="11" t="str">
        <f t="shared" si="47"/>
        <v>OK</v>
      </c>
      <c r="U464" s="13">
        <v>13</v>
      </c>
    </row>
    <row r="465" spans="1:21" x14ac:dyDescent="0.3">
      <c r="A465" s="7" t="s">
        <v>478</v>
      </c>
      <c r="B465" s="4">
        <v>45865</v>
      </c>
      <c r="C465" s="4">
        <v>45884</v>
      </c>
      <c r="D465" s="4" t="str">
        <f t="shared" si="42"/>
        <v>Valid</v>
      </c>
      <c r="E465" s="4">
        <f t="shared" si="43"/>
        <v>45884</v>
      </c>
      <c r="F465" s="13">
        <f t="shared" si="44"/>
        <v>19</v>
      </c>
      <c r="G465" s="7" t="s">
        <v>647</v>
      </c>
      <c r="H465" s="7" t="s">
        <v>652</v>
      </c>
      <c r="I465" s="7" t="s">
        <v>689</v>
      </c>
      <c r="J465" s="7" t="s">
        <v>705</v>
      </c>
      <c r="K465" s="7" t="s">
        <v>709</v>
      </c>
      <c r="L465" s="7" t="s">
        <v>713</v>
      </c>
      <c r="M465" s="7" t="s">
        <v>727</v>
      </c>
      <c r="N465" s="7" t="s">
        <v>1890</v>
      </c>
      <c r="O465" s="9">
        <v>275.43</v>
      </c>
      <c r="P465" s="9">
        <v>608.36</v>
      </c>
      <c r="Q465" s="9">
        <f t="shared" si="45"/>
        <v>608.36</v>
      </c>
      <c r="R465" s="9" t="str">
        <f t="shared" si="46"/>
        <v>OK</v>
      </c>
      <c r="S465" s="11">
        <v>0.25700000000000001</v>
      </c>
      <c r="T465" s="11" t="str">
        <f t="shared" si="47"/>
        <v>OK</v>
      </c>
      <c r="U465" s="13">
        <v>4</v>
      </c>
    </row>
    <row r="466" spans="1:21" x14ac:dyDescent="0.3">
      <c r="A466" s="7" t="s">
        <v>479</v>
      </c>
      <c r="B466" s="4">
        <v>45618</v>
      </c>
      <c r="C466" s="4">
        <v>45641</v>
      </c>
      <c r="D466" s="4" t="str">
        <f t="shared" si="42"/>
        <v>Valid</v>
      </c>
      <c r="E466" s="4">
        <f t="shared" si="43"/>
        <v>45641</v>
      </c>
      <c r="F466" s="13">
        <f t="shared" si="44"/>
        <v>23</v>
      </c>
      <c r="G466" s="7" t="s">
        <v>646</v>
      </c>
      <c r="H466" s="7" t="s">
        <v>650</v>
      </c>
      <c r="I466" s="7" t="s">
        <v>675</v>
      </c>
      <c r="J466" s="7" t="s">
        <v>703</v>
      </c>
      <c r="K466" s="7" t="s">
        <v>710</v>
      </c>
      <c r="L466" s="7" t="s">
        <v>712</v>
      </c>
      <c r="M466" s="7" t="s">
        <v>727</v>
      </c>
      <c r="N466" s="7" t="s">
        <v>1891</v>
      </c>
      <c r="O466" s="9">
        <v>1335.76</v>
      </c>
      <c r="P466" s="9">
        <v>2665.91</v>
      </c>
      <c r="Q466" s="9">
        <f t="shared" si="45"/>
        <v>2665.91</v>
      </c>
      <c r="R466" s="9" t="str">
        <f t="shared" si="46"/>
        <v>OK</v>
      </c>
      <c r="S466" s="11">
        <v>0.21099999999999999</v>
      </c>
      <c r="T466" s="11" t="str">
        <f t="shared" si="47"/>
        <v>OK</v>
      </c>
      <c r="U466" s="13">
        <v>40</v>
      </c>
    </row>
    <row r="467" spans="1:21" x14ac:dyDescent="0.3">
      <c r="A467" s="7" t="s">
        <v>480</v>
      </c>
      <c r="B467" s="4">
        <v>45466</v>
      </c>
      <c r="C467" s="4">
        <v>45471</v>
      </c>
      <c r="D467" s="4" t="str">
        <f t="shared" si="42"/>
        <v>Valid</v>
      </c>
      <c r="E467" s="4">
        <f t="shared" si="43"/>
        <v>45471</v>
      </c>
      <c r="F467" s="13">
        <f t="shared" si="44"/>
        <v>5</v>
      </c>
      <c r="G467" s="7" t="s">
        <v>646</v>
      </c>
      <c r="H467" s="7" t="s">
        <v>651</v>
      </c>
      <c r="I467" s="7" t="s">
        <v>663</v>
      </c>
      <c r="J467" s="7" t="s">
        <v>703</v>
      </c>
      <c r="K467" s="7" t="s">
        <v>711</v>
      </c>
      <c r="L467" s="7" t="s">
        <v>724</v>
      </c>
      <c r="M467" s="7" t="s">
        <v>733</v>
      </c>
      <c r="N467" s="7" t="s">
        <v>1892</v>
      </c>
      <c r="O467" s="9">
        <v>242.31</v>
      </c>
      <c r="P467" s="9">
        <v>587.95000000000005</v>
      </c>
      <c r="Q467" s="9">
        <f t="shared" si="45"/>
        <v>587.95000000000005</v>
      </c>
      <c r="R467" s="9" t="str">
        <f t="shared" si="46"/>
        <v>OK</v>
      </c>
      <c r="S467" s="11">
        <v>0.22900000000000001</v>
      </c>
      <c r="T467" s="11" t="str">
        <f t="shared" si="47"/>
        <v>OK</v>
      </c>
      <c r="U467" s="13">
        <v>6</v>
      </c>
    </row>
    <row r="468" spans="1:21" x14ac:dyDescent="0.3">
      <c r="A468" s="7" t="s">
        <v>481</v>
      </c>
      <c r="B468" s="4">
        <v>45278</v>
      </c>
      <c r="C468" s="4">
        <v>45305</v>
      </c>
      <c r="D468" s="4" t="str">
        <f t="shared" si="42"/>
        <v>Valid</v>
      </c>
      <c r="E468" s="4">
        <f t="shared" si="43"/>
        <v>45305</v>
      </c>
      <c r="F468" s="13">
        <f t="shared" si="44"/>
        <v>27</v>
      </c>
      <c r="G468" s="7" t="s">
        <v>647</v>
      </c>
      <c r="H468" s="7" t="s">
        <v>654</v>
      </c>
      <c r="I468" s="7" t="s">
        <v>691</v>
      </c>
      <c r="J468" s="7" t="s">
        <v>704</v>
      </c>
      <c r="K468" s="7" t="s">
        <v>710</v>
      </c>
      <c r="L468" s="7" t="s">
        <v>726</v>
      </c>
      <c r="M468" s="7" t="s">
        <v>729</v>
      </c>
      <c r="N468" s="7" t="s">
        <v>1893</v>
      </c>
      <c r="O468" s="9">
        <v>1408.3</v>
      </c>
      <c r="P468" s="9">
        <v>2193.13</v>
      </c>
      <c r="Q468" s="9">
        <f t="shared" si="45"/>
        <v>2193.13</v>
      </c>
      <c r="R468" s="9" t="str">
        <f t="shared" si="46"/>
        <v>OK</v>
      </c>
      <c r="S468" s="11">
        <v>7.0999999999999994E-2</v>
      </c>
      <c r="T468" s="11" t="str">
        <f t="shared" si="47"/>
        <v>OK</v>
      </c>
      <c r="U468" s="13">
        <v>7</v>
      </c>
    </row>
    <row r="469" spans="1:21" x14ac:dyDescent="0.3">
      <c r="A469" s="7" t="s">
        <v>482</v>
      </c>
      <c r="B469" s="4">
        <v>45809</v>
      </c>
      <c r="C469" s="4">
        <v>45813</v>
      </c>
      <c r="D469" s="4" t="str">
        <f t="shared" si="42"/>
        <v>Valid</v>
      </c>
      <c r="E469" s="4">
        <f t="shared" si="43"/>
        <v>45813</v>
      </c>
      <c r="F469" s="13">
        <f t="shared" si="44"/>
        <v>4</v>
      </c>
      <c r="G469" s="7" t="s">
        <v>649</v>
      </c>
      <c r="H469" s="7" t="s">
        <v>656</v>
      </c>
      <c r="I469" s="7" t="s">
        <v>684</v>
      </c>
      <c r="J469" s="7" t="s">
        <v>706</v>
      </c>
      <c r="K469" s="7" t="s">
        <v>711</v>
      </c>
      <c r="L469" s="7" t="s">
        <v>724</v>
      </c>
      <c r="M469" s="7" t="s">
        <v>727</v>
      </c>
      <c r="N469" s="7" t="s">
        <v>1894</v>
      </c>
      <c r="O469" s="9">
        <v>1171.42</v>
      </c>
      <c r="P469" s="9">
        <v>2187.8000000000002</v>
      </c>
      <c r="Q469" s="9">
        <f t="shared" si="45"/>
        <v>2187.8000000000002</v>
      </c>
      <c r="R469" s="9" t="str">
        <f t="shared" si="46"/>
        <v>OK</v>
      </c>
      <c r="S469" s="11">
        <v>0.23</v>
      </c>
      <c r="T469" s="11" t="str">
        <f t="shared" si="47"/>
        <v>OK</v>
      </c>
      <c r="U469" s="13">
        <v>15</v>
      </c>
    </row>
    <row r="470" spans="1:21" x14ac:dyDescent="0.3">
      <c r="A470" s="7" t="s">
        <v>483</v>
      </c>
      <c r="B470" s="4">
        <v>45739</v>
      </c>
      <c r="C470" s="4">
        <v>45749</v>
      </c>
      <c r="D470" s="4" t="str">
        <f t="shared" si="42"/>
        <v>Valid</v>
      </c>
      <c r="E470" s="4">
        <f t="shared" si="43"/>
        <v>45749</v>
      </c>
      <c r="F470" s="13">
        <f t="shared" si="44"/>
        <v>10</v>
      </c>
      <c r="G470" s="7" t="s">
        <v>649</v>
      </c>
      <c r="H470" s="7" t="s">
        <v>656</v>
      </c>
      <c r="I470" s="7" t="s">
        <v>671</v>
      </c>
      <c r="J470" s="7" t="s">
        <v>706</v>
      </c>
      <c r="K470" s="7" t="s">
        <v>708</v>
      </c>
      <c r="L470" s="7" t="s">
        <v>718</v>
      </c>
      <c r="M470" s="7" t="s">
        <v>728</v>
      </c>
      <c r="N470" s="7" t="s">
        <v>1895</v>
      </c>
      <c r="O470" s="9">
        <v>663.61</v>
      </c>
      <c r="P470" s="9">
        <v>1002.11</v>
      </c>
      <c r="Q470" s="9">
        <f t="shared" si="45"/>
        <v>1002.11</v>
      </c>
      <c r="R470" s="9" t="str">
        <f t="shared" si="46"/>
        <v>OK</v>
      </c>
      <c r="S470" s="11">
        <v>4.5999999999999999E-2</v>
      </c>
      <c r="T470" s="11" t="str">
        <f t="shared" si="47"/>
        <v>OK</v>
      </c>
      <c r="U470" s="13">
        <v>17</v>
      </c>
    </row>
    <row r="471" spans="1:21" x14ac:dyDescent="0.3">
      <c r="A471" s="7" t="s">
        <v>484</v>
      </c>
      <c r="B471" s="4">
        <v>45060</v>
      </c>
      <c r="C471" s="4">
        <v>45068</v>
      </c>
      <c r="D471" s="4" t="str">
        <f t="shared" si="42"/>
        <v>Valid</v>
      </c>
      <c r="E471" s="4">
        <f t="shared" si="43"/>
        <v>45068</v>
      </c>
      <c r="F471" s="13">
        <f t="shared" si="44"/>
        <v>8</v>
      </c>
      <c r="G471" s="7" t="s">
        <v>646</v>
      </c>
      <c r="H471" s="7" t="s">
        <v>650</v>
      </c>
      <c r="I471" s="7" t="s">
        <v>675</v>
      </c>
      <c r="J471" s="7" t="s">
        <v>705</v>
      </c>
      <c r="K471" s="7" t="s">
        <v>710</v>
      </c>
      <c r="L471" s="7" t="s">
        <v>721</v>
      </c>
      <c r="M471" s="7" t="s">
        <v>728</v>
      </c>
      <c r="N471" s="7" t="s">
        <v>1896</v>
      </c>
      <c r="O471" s="9">
        <v>432.01</v>
      </c>
      <c r="P471" s="9">
        <v>913.78</v>
      </c>
      <c r="Q471" s="9">
        <f t="shared" si="45"/>
        <v>913.78</v>
      </c>
      <c r="R471" s="9" t="str">
        <f t="shared" si="46"/>
        <v>OK</v>
      </c>
      <c r="S471" s="11">
        <v>4.9000000000000002E-2</v>
      </c>
      <c r="T471" s="11" t="str">
        <f t="shared" si="47"/>
        <v>OK</v>
      </c>
      <c r="U471" s="13">
        <v>12</v>
      </c>
    </row>
    <row r="472" spans="1:21" x14ac:dyDescent="0.3">
      <c r="A472" s="7" t="s">
        <v>485</v>
      </c>
      <c r="B472" s="4">
        <v>45167</v>
      </c>
      <c r="C472" s="4">
        <v>45188</v>
      </c>
      <c r="D472" s="4" t="str">
        <f t="shared" si="42"/>
        <v>Valid</v>
      </c>
      <c r="E472" s="4">
        <f t="shared" si="43"/>
        <v>45188</v>
      </c>
      <c r="F472" s="13">
        <f t="shared" si="44"/>
        <v>21</v>
      </c>
      <c r="G472" s="7" t="s">
        <v>649</v>
      </c>
      <c r="H472" s="7" t="s">
        <v>657</v>
      </c>
      <c r="I472" s="7" t="s">
        <v>679</v>
      </c>
      <c r="J472" s="7" t="s">
        <v>705</v>
      </c>
      <c r="K472" s="7" t="s">
        <v>711</v>
      </c>
      <c r="L472" s="7" t="s">
        <v>717</v>
      </c>
      <c r="M472" s="7" t="s">
        <v>728</v>
      </c>
      <c r="N472" s="7" t="s">
        <v>1897</v>
      </c>
      <c r="O472" s="9">
        <v>784.46</v>
      </c>
      <c r="P472" s="9">
        <v>1843.51</v>
      </c>
      <c r="Q472" s="9">
        <f t="shared" si="45"/>
        <v>1843.51</v>
      </c>
      <c r="R472" s="9" t="str">
        <f t="shared" si="46"/>
        <v>OK</v>
      </c>
      <c r="S472" s="11">
        <v>0.13800000000000001</v>
      </c>
      <c r="T472" s="11" t="str">
        <f t="shared" si="47"/>
        <v>OK</v>
      </c>
      <c r="U472" s="13">
        <v>23</v>
      </c>
    </row>
    <row r="473" spans="1:21" x14ac:dyDescent="0.3">
      <c r="A473" s="7" t="s">
        <v>486</v>
      </c>
      <c r="B473" s="4">
        <v>45841</v>
      </c>
      <c r="C473" s="4">
        <v>45861</v>
      </c>
      <c r="D473" s="4" t="str">
        <f t="shared" si="42"/>
        <v>Valid</v>
      </c>
      <c r="E473" s="4">
        <f t="shared" si="43"/>
        <v>45861</v>
      </c>
      <c r="F473" s="13">
        <f t="shared" si="44"/>
        <v>20</v>
      </c>
      <c r="G473" s="7" t="s">
        <v>647</v>
      </c>
      <c r="H473" s="7" t="s">
        <v>659</v>
      </c>
      <c r="I473" s="7" t="s">
        <v>699</v>
      </c>
      <c r="J473" s="7" t="s">
        <v>705</v>
      </c>
      <c r="K473" s="7" t="s">
        <v>708</v>
      </c>
      <c r="L473" s="7" t="s">
        <v>724</v>
      </c>
      <c r="M473" s="7" t="s">
        <v>727</v>
      </c>
      <c r="N473" s="7" t="s">
        <v>1898</v>
      </c>
      <c r="O473" s="9">
        <v>647.36</v>
      </c>
      <c r="P473" s="9">
        <v>1383.6</v>
      </c>
      <c r="Q473" s="9">
        <f t="shared" si="45"/>
        <v>1383.6</v>
      </c>
      <c r="R473" s="9" t="str">
        <f t="shared" si="46"/>
        <v>OK</v>
      </c>
      <c r="S473" s="11">
        <v>7.3999999999999996E-2</v>
      </c>
      <c r="T473" s="11" t="str">
        <f t="shared" si="47"/>
        <v>OK</v>
      </c>
      <c r="U473" s="13">
        <v>12</v>
      </c>
    </row>
    <row r="474" spans="1:21" x14ac:dyDescent="0.3">
      <c r="A474" s="7" t="s">
        <v>487</v>
      </c>
      <c r="B474" s="4">
        <v>45328</v>
      </c>
      <c r="C474" s="4">
        <v>45350</v>
      </c>
      <c r="D474" s="4" t="str">
        <f t="shared" si="42"/>
        <v>Valid</v>
      </c>
      <c r="E474" s="4">
        <f t="shared" si="43"/>
        <v>45350</v>
      </c>
      <c r="F474" s="13">
        <f t="shared" si="44"/>
        <v>22</v>
      </c>
      <c r="G474" s="7" t="s">
        <v>646</v>
      </c>
      <c r="H474" s="7" t="s">
        <v>650</v>
      </c>
      <c r="I474" s="7" t="s">
        <v>662</v>
      </c>
      <c r="J474" s="7" t="s">
        <v>703</v>
      </c>
      <c r="K474" s="7" t="s">
        <v>708</v>
      </c>
      <c r="L474" s="7" t="s">
        <v>723</v>
      </c>
      <c r="M474" s="7" t="s">
        <v>732</v>
      </c>
      <c r="N474" s="7" t="s">
        <v>1899</v>
      </c>
      <c r="O474" s="9">
        <v>834.93</v>
      </c>
      <c r="P474" s="9">
        <v>1588.53</v>
      </c>
      <c r="Q474" s="9">
        <f t="shared" si="45"/>
        <v>1588.53</v>
      </c>
      <c r="R474" s="9" t="str">
        <f t="shared" si="46"/>
        <v>OK</v>
      </c>
      <c r="S474" s="11">
        <v>0.126</v>
      </c>
      <c r="T474" s="11" t="str">
        <f t="shared" si="47"/>
        <v>OK</v>
      </c>
      <c r="U474" s="13">
        <v>6</v>
      </c>
    </row>
    <row r="475" spans="1:21" x14ac:dyDescent="0.3">
      <c r="A475" s="7" t="s">
        <v>488</v>
      </c>
      <c r="B475" s="4">
        <v>45882</v>
      </c>
      <c r="C475" s="4">
        <v>45903</v>
      </c>
      <c r="D475" s="4" t="str">
        <f t="shared" si="42"/>
        <v>Valid</v>
      </c>
      <c r="E475" s="4">
        <f t="shared" si="43"/>
        <v>45903</v>
      </c>
      <c r="F475" s="13">
        <f t="shared" si="44"/>
        <v>21</v>
      </c>
      <c r="G475" s="7" t="s">
        <v>649</v>
      </c>
      <c r="H475" s="7" t="s">
        <v>657</v>
      </c>
      <c r="I475" s="7" t="s">
        <v>690</v>
      </c>
      <c r="J475" s="7" t="s">
        <v>702</v>
      </c>
      <c r="K475" s="7" t="s">
        <v>707</v>
      </c>
      <c r="L475" s="7" t="s">
        <v>714</v>
      </c>
      <c r="M475" s="7" t="s">
        <v>730</v>
      </c>
      <c r="N475" s="7" t="s">
        <v>1900</v>
      </c>
      <c r="O475" s="9">
        <v>603.47</v>
      </c>
      <c r="P475" s="9">
        <v>1344.05</v>
      </c>
      <c r="Q475" s="9">
        <f t="shared" si="45"/>
        <v>1344.05</v>
      </c>
      <c r="R475" s="9" t="str">
        <f t="shared" si="46"/>
        <v>OK</v>
      </c>
      <c r="S475" s="11">
        <v>0.20499999999999999</v>
      </c>
      <c r="T475" s="11" t="str">
        <f t="shared" si="47"/>
        <v>OK</v>
      </c>
      <c r="U475" s="13">
        <v>18</v>
      </c>
    </row>
    <row r="476" spans="1:21" x14ac:dyDescent="0.3">
      <c r="A476" s="7" t="s">
        <v>489</v>
      </c>
      <c r="B476" s="4">
        <v>45069</v>
      </c>
      <c r="C476" s="4">
        <v>45071</v>
      </c>
      <c r="D476" s="4" t="str">
        <f t="shared" si="42"/>
        <v>Valid</v>
      </c>
      <c r="E476" s="4">
        <f t="shared" si="43"/>
        <v>45071</v>
      </c>
      <c r="F476" s="13">
        <f t="shared" si="44"/>
        <v>2</v>
      </c>
      <c r="G476" s="7" t="s">
        <v>648</v>
      </c>
      <c r="H476" s="7" t="s">
        <v>655</v>
      </c>
      <c r="I476" s="7" t="s">
        <v>1426</v>
      </c>
      <c r="J476" s="7" t="s">
        <v>706</v>
      </c>
      <c r="K476" s="7" t="s">
        <v>707</v>
      </c>
      <c r="L476" s="7" t="s">
        <v>724</v>
      </c>
      <c r="M476" s="7" t="s">
        <v>728</v>
      </c>
      <c r="N476" s="7" t="s">
        <v>1901</v>
      </c>
      <c r="O476" s="9">
        <v>690.49</v>
      </c>
      <c r="P476" s="9">
        <v>1290.29</v>
      </c>
      <c r="Q476" s="9">
        <f t="shared" si="45"/>
        <v>1290.29</v>
      </c>
      <c r="R476" s="9" t="str">
        <f t="shared" si="46"/>
        <v>OK</v>
      </c>
      <c r="S476" s="11">
        <v>4.2000000000000003E-2</v>
      </c>
      <c r="T476" s="11" t="str">
        <f t="shared" si="47"/>
        <v>OK</v>
      </c>
      <c r="U476" s="13">
        <v>22</v>
      </c>
    </row>
    <row r="477" spans="1:21" x14ac:dyDescent="0.3">
      <c r="A477" s="7" t="s">
        <v>490</v>
      </c>
      <c r="B477" s="4">
        <v>45422</v>
      </c>
      <c r="C477" s="4">
        <v>45428</v>
      </c>
      <c r="D477" s="4" t="str">
        <f t="shared" si="42"/>
        <v>Valid</v>
      </c>
      <c r="E477" s="4">
        <f t="shared" si="43"/>
        <v>45428</v>
      </c>
      <c r="F477" s="13">
        <f t="shared" si="44"/>
        <v>6</v>
      </c>
      <c r="G477" s="7" t="s">
        <v>649</v>
      </c>
      <c r="H477" s="7" t="s">
        <v>658</v>
      </c>
      <c r="I477" s="7" t="s">
        <v>674</v>
      </c>
      <c r="J477" s="7" t="s">
        <v>703</v>
      </c>
      <c r="K477" s="7" t="s">
        <v>711</v>
      </c>
      <c r="L477" s="7" t="s">
        <v>715</v>
      </c>
      <c r="M477" s="7" t="s">
        <v>731</v>
      </c>
      <c r="N477" s="7" t="s">
        <v>1902</v>
      </c>
      <c r="O477" s="9">
        <v>210.76</v>
      </c>
      <c r="P477" s="9">
        <v>221.58</v>
      </c>
      <c r="Q477" s="9">
        <f t="shared" si="45"/>
        <v>221.58</v>
      </c>
      <c r="R477" s="9" t="str">
        <f t="shared" si="46"/>
        <v>OK</v>
      </c>
      <c r="S477" s="11">
        <v>8.8999999999999996E-2</v>
      </c>
      <c r="T477" s="11" t="str">
        <f t="shared" si="47"/>
        <v>OK</v>
      </c>
      <c r="U477" s="13">
        <v>5</v>
      </c>
    </row>
    <row r="478" spans="1:21" x14ac:dyDescent="0.3">
      <c r="A478" s="7" t="s">
        <v>491</v>
      </c>
      <c r="B478" s="4">
        <v>44999</v>
      </c>
      <c r="C478" s="4">
        <v>45003</v>
      </c>
      <c r="D478" s="4" t="str">
        <f t="shared" si="42"/>
        <v>Valid</v>
      </c>
      <c r="E478" s="4">
        <f t="shared" si="43"/>
        <v>45003</v>
      </c>
      <c r="F478" s="13">
        <f t="shared" si="44"/>
        <v>4</v>
      </c>
      <c r="G478" s="7" t="s">
        <v>649</v>
      </c>
      <c r="H478" s="7" t="s">
        <v>656</v>
      </c>
      <c r="I478" s="7" t="s">
        <v>698</v>
      </c>
      <c r="J478" s="7" t="s">
        <v>706</v>
      </c>
      <c r="K478" s="7" t="s">
        <v>711</v>
      </c>
      <c r="L478" s="7" t="s">
        <v>720</v>
      </c>
      <c r="M478" s="7" t="s">
        <v>727</v>
      </c>
      <c r="N478" s="7" t="s">
        <v>1903</v>
      </c>
      <c r="O478" s="9">
        <v>472.33</v>
      </c>
      <c r="P478" s="9">
        <v>360.34</v>
      </c>
      <c r="Q478" s="9">
        <f t="shared" si="45"/>
        <v>360.34</v>
      </c>
      <c r="R478" s="9" t="str">
        <f t="shared" si="46"/>
        <v>OK</v>
      </c>
      <c r="S478" s="11">
        <v>0.16500000000000001</v>
      </c>
      <c r="T478" s="11" t="str">
        <f t="shared" si="47"/>
        <v>OK</v>
      </c>
      <c r="U478" s="13">
        <v>14</v>
      </c>
    </row>
    <row r="479" spans="1:21" x14ac:dyDescent="0.3">
      <c r="A479" s="7" t="s">
        <v>492</v>
      </c>
      <c r="B479" s="4">
        <v>45123</v>
      </c>
      <c r="C479" s="4">
        <v>45151</v>
      </c>
      <c r="D479" s="4" t="str">
        <f t="shared" si="42"/>
        <v>Valid</v>
      </c>
      <c r="E479" s="4">
        <f t="shared" si="43"/>
        <v>45151</v>
      </c>
      <c r="F479" s="13">
        <f t="shared" si="44"/>
        <v>28</v>
      </c>
      <c r="G479" s="7" t="s">
        <v>649</v>
      </c>
      <c r="H479" s="7" t="s">
        <v>658</v>
      </c>
      <c r="I479" s="7" t="s">
        <v>693</v>
      </c>
      <c r="J479" s="7" t="s">
        <v>703</v>
      </c>
      <c r="K479" s="7" t="s">
        <v>708</v>
      </c>
      <c r="L479" s="7" t="s">
        <v>713</v>
      </c>
      <c r="M479" s="7" t="s">
        <v>731</v>
      </c>
      <c r="N479" s="7" t="s">
        <v>1904</v>
      </c>
      <c r="O479" s="9">
        <v>1039.03</v>
      </c>
      <c r="P479" s="9">
        <v>2545.81</v>
      </c>
      <c r="Q479" s="9">
        <f t="shared" si="45"/>
        <v>2545.81</v>
      </c>
      <c r="R479" s="9" t="str">
        <f t="shared" si="46"/>
        <v>OK</v>
      </c>
      <c r="S479" s="11">
        <v>0.216</v>
      </c>
      <c r="T479" s="11" t="str">
        <f t="shared" si="47"/>
        <v>OK</v>
      </c>
      <c r="U479" s="13">
        <v>21</v>
      </c>
    </row>
    <row r="480" spans="1:21" x14ac:dyDescent="0.3">
      <c r="A480" s="7" t="s">
        <v>493</v>
      </c>
      <c r="B480" s="4">
        <v>45032</v>
      </c>
      <c r="C480" s="4">
        <v>45035</v>
      </c>
      <c r="D480" s="4" t="str">
        <f t="shared" si="42"/>
        <v>Valid</v>
      </c>
      <c r="E480" s="4">
        <f t="shared" si="43"/>
        <v>45035</v>
      </c>
      <c r="F480" s="13">
        <f t="shared" si="44"/>
        <v>3</v>
      </c>
      <c r="G480" s="7" t="s">
        <v>649</v>
      </c>
      <c r="H480" s="7" t="s">
        <v>656</v>
      </c>
      <c r="I480" s="7" t="s">
        <v>684</v>
      </c>
      <c r="J480" s="7" t="s">
        <v>701</v>
      </c>
      <c r="K480" s="7" t="s">
        <v>711</v>
      </c>
      <c r="L480" s="7" t="s">
        <v>717</v>
      </c>
      <c r="M480" s="7" t="s">
        <v>733</v>
      </c>
      <c r="N480" s="7" t="s">
        <v>1905</v>
      </c>
      <c r="O480" s="9">
        <v>553.61</v>
      </c>
      <c r="P480" s="9">
        <v>699.47</v>
      </c>
      <c r="Q480" s="9">
        <f t="shared" si="45"/>
        <v>699.47</v>
      </c>
      <c r="R480" s="9" t="str">
        <f t="shared" si="46"/>
        <v>OK</v>
      </c>
      <c r="S480" s="11">
        <v>0.02</v>
      </c>
      <c r="T480" s="11" t="str">
        <f t="shared" si="47"/>
        <v>OK</v>
      </c>
      <c r="U480" s="13">
        <v>33</v>
      </c>
    </row>
    <row r="481" spans="1:21" x14ac:dyDescent="0.3">
      <c r="A481" s="7" t="s">
        <v>494</v>
      </c>
      <c r="B481" s="4">
        <v>45293</v>
      </c>
      <c r="C481" s="4">
        <v>45306</v>
      </c>
      <c r="D481" s="4" t="str">
        <f t="shared" si="42"/>
        <v>Valid</v>
      </c>
      <c r="E481" s="4">
        <f t="shared" si="43"/>
        <v>45306</v>
      </c>
      <c r="F481" s="13">
        <f t="shared" si="44"/>
        <v>13</v>
      </c>
      <c r="G481" s="7" t="s">
        <v>647</v>
      </c>
      <c r="H481" s="7" t="s">
        <v>652</v>
      </c>
      <c r="I481" s="7" t="s">
        <v>694</v>
      </c>
      <c r="J481" s="7" t="s">
        <v>705</v>
      </c>
      <c r="K481" s="7" t="s">
        <v>709</v>
      </c>
      <c r="L481" s="7" t="s">
        <v>715</v>
      </c>
      <c r="M481" s="7" t="s">
        <v>729</v>
      </c>
      <c r="N481" s="7" t="s">
        <v>1906</v>
      </c>
      <c r="O481" s="9">
        <v>1219.06</v>
      </c>
      <c r="P481" s="9">
        <v>2738.69</v>
      </c>
      <c r="Q481" s="9">
        <f t="shared" si="45"/>
        <v>2738.69</v>
      </c>
      <c r="R481" s="9" t="str">
        <f t="shared" si="46"/>
        <v>OK</v>
      </c>
      <c r="S481" s="11">
        <v>7.5999999999999998E-2</v>
      </c>
      <c r="T481" s="11" t="str">
        <f t="shared" si="47"/>
        <v>OK</v>
      </c>
      <c r="U481" s="13">
        <v>16</v>
      </c>
    </row>
    <row r="482" spans="1:21" x14ac:dyDescent="0.3">
      <c r="A482" s="7" t="s">
        <v>495</v>
      </c>
      <c r="B482" s="4">
        <v>45538</v>
      </c>
      <c r="C482" s="4">
        <v>45542</v>
      </c>
      <c r="D482" s="4" t="str">
        <f t="shared" si="42"/>
        <v>Valid</v>
      </c>
      <c r="E482" s="4">
        <f t="shared" si="43"/>
        <v>45542</v>
      </c>
      <c r="F482" s="13">
        <f t="shared" si="44"/>
        <v>4</v>
      </c>
      <c r="G482" s="7" t="s">
        <v>647</v>
      </c>
      <c r="H482" s="7" t="s">
        <v>652</v>
      </c>
      <c r="I482" s="7" t="s">
        <v>689</v>
      </c>
      <c r="J482" s="7" t="s">
        <v>705</v>
      </c>
      <c r="K482" s="7" t="s">
        <v>710</v>
      </c>
      <c r="L482" s="7" t="s">
        <v>725</v>
      </c>
      <c r="M482" s="7" t="s">
        <v>728</v>
      </c>
      <c r="N482" s="7" t="s">
        <v>1907</v>
      </c>
      <c r="O482" s="9">
        <v>43.23</v>
      </c>
      <c r="P482" s="9">
        <v>94.78</v>
      </c>
      <c r="Q482" s="9">
        <f t="shared" si="45"/>
        <v>94.78</v>
      </c>
      <c r="R482" s="9" t="str">
        <f t="shared" si="46"/>
        <v>OK</v>
      </c>
      <c r="S482" s="11">
        <v>9.0999999999999998E-2</v>
      </c>
      <c r="T482" s="11" t="str">
        <f t="shared" si="47"/>
        <v>OK</v>
      </c>
      <c r="U482" s="13">
        <v>55</v>
      </c>
    </row>
    <row r="483" spans="1:21" x14ac:dyDescent="0.3">
      <c r="A483" s="7" t="s">
        <v>496</v>
      </c>
      <c r="B483" s="4">
        <v>45899</v>
      </c>
      <c r="C483" s="4">
        <v>45903</v>
      </c>
      <c r="D483" s="4" t="str">
        <f t="shared" si="42"/>
        <v>Valid</v>
      </c>
      <c r="E483" s="4">
        <f t="shared" si="43"/>
        <v>45903</v>
      </c>
      <c r="F483" s="13">
        <f t="shared" si="44"/>
        <v>4</v>
      </c>
      <c r="G483" s="7" t="s">
        <v>649</v>
      </c>
      <c r="H483" s="7" t="s">
        <v>657</v>
      </c>
      <c r="I483" s="7" t="s">
        <v>673</v>
      </c>
      <c r="J483" s="7" t="s">
        <v>705</v>
      </c>
      <c r="K483" s="7" t="s">
        <v>709</v>
      </c>
      <c r="L483" s="7" t="s">
        <v>713</v>
      </c>
      <c r="M483" s="7" t="s">
        <v>731</v>
      </c>
      <c r="N483" s="7" t="s">
        <v>1908</v>
      </c>
      <c r="O483" s="9">
        <v>1286.56</v>
      </c>
      <c r="P483" s="9">
        <v>2777.35</v>
      </c>
      <c r="Q483" s="9">
        <f t="shared" si="45"/>
        <v>2777.35</v>
      </c>
      <c r="R483" s="9" t="str">
        <f t="shared" si="46"/>
        <v>OK</v>
      </c>
      <c r="S483" s="11">
        <v>0.13200000000000001</v>
      </c>
      <c r="T483" s="11" t="str">
        <f t="shared" si="47"/>
        <v>OK</v>
      </c>
      <c r="U483" s="13">
        <v>15</v>
      </c>
    </row>
    <row r="484" spans="1:21" x14ac:dyDescent="0.3">
      <c r="A484" s="7" t="s">
        <v>497</v>
      </c>
      <c r="B484" s="4">
        <v>45775</v>
      </c>
      <c r="C484" s="4">
        <v>45796</v>
      </c>
      <c r="D484" s="4" t="str">
        <f t="shared" si="42"/>
        <v>Valid</v>
      </c>
      <c r="E484" s="4">
        <f t="shared" si="43"/>
        <v>45796</v>
      </c>
      <c r="F484" s="13">
        <f t="shared" si="44"/>
        <v>21</v>
      </c>
      <c r="G484" s="7" t="s">
        <v>649</v>
      </c>
      <c r="H484" s="7" t="s">
        <v>656</v>
      </c>
      <c r="I484" s="7" t="s">
        <v>671</v>
      </c>
      <c r="J484" s="7" t="s">
        <v>701</v>
      </c>
      <c r="K484" s="7" t="s">
        <v>710</v>
      </c>
      <c r="L484" s="7" t="s">
        <v>717</v>
      </c>
      <c r="M484" s="7" t="s">
        <v>730</v>
      </c>
      <c r="N484" s="7" t="s">
        <v>1909</v>
      </c>
      <c r="O484" s="9">
        <v>350.76</v>
      </c>
      <c r="P484" s="9">
        <v>492.18</v>
      </c>
      <c r="Q484" s="9">
        <f t="shared" si="45"/>
        <v>492.18</v>
      </c>
      <c r="R484" s="9" t="str">
        <f t="shared" si="46"/>
        <v>OK</v>
      </c>
      <c r="S484" s="11">
        <v>5.2999999999999999E-2</v>
      </c>
      <c r="T484" s="11" t="str">
        <f t="shared" si="47"/>
        <v>OK</v>
      </c>
      <c r="U484" s="13">
        <v>11</v>
      </c>
    </row>
    <row r="485" spans="1:21" x14ac:dyDescent="0.3">
      <c r="A485" s="7" t="s">
        <v>498</v>
      </c>
      <c r="B485" s="4">
        <v>45148</v>
      </c>
      <c r="C485" s="4">
        <v>45153</v>
      </c>
      <c r="D485" s="4" t="str">
        <f t="shared" si="42"/>
        <v>Valid</v>
      </c>
      <c r="E485" s="4">
        <f t="shared" si="43"/>
        <v>45153</v>
      </c>
      <c r="F485" s="13">
        <f t="shared" si="44"/>
        <v>5</v>
      </c>
      <c r="G485" s="7" t="s">
        <v>648</v>
      </c>
      <c r="H485" s="7" t="s">
        <v>655</v>
      </c>
      <c r="I485" s="7" t="s">
        <v>670</v>
      </c>
      <c r="J485" s="7" t="s">
        <v>702</v>
      </c>
      <c r="K485" s="7" t="s">
        <v>711</v>
      </c>
      <c r="L485" s="7" t="s">
        <v>715</v>
      </c>
      <c r="M485" s="7" t="s">
        <v>729</v>
      </c>
      <c r="N485" s="7" t="s">
        <v>1910</v>
      </c>
      <c r="O485" s="9">
        <v>1307.52</v>
      </c>
      <c r="P485" s="9">
        <v>1921.65</v>
      </c>
      <c r="Q485" s="9">
        <f t="shared" si="45"/>
        <v>1921.65</v>
      </c>
      <c r="R485" s="9" t="str">
        <f t="shared" si="46"/>
        <v>OK</v>
      </c>
      <c r="S485" s="11">
        <v>0.123</v>
      </c>
      <c r="T485" s="11" t="str">
        <f t="shared" si="47"/>
        <v>OK</v>
      </c>
      <c r="U485" s="13">
        <v>13</v>
      </c>
    </row>
    <row r="486" spans="1:21" x14ac:dyDescent="0.3">
      <c r="A486" s="7" t="s">
        <v>499</v>
      </c>
      <c r="B486" s="4">
        <v>45634</v>
      </c>
      <c r="C486" s="4">
        <v>45634</v>
      </c>
      <c r="D486" s="4" t="str">
        <f t="shared" si="42"/>
        <v>Valid</v>
      </c>
      <c r="E486" s="4">
        <f t="shared" si="43"/>
        <v>45634</v>
      </c>
      <c r="F486" s="13">
        <f t="shared" si="44"/>
        <v>0</v>
      </c>
      <c r="G486" s="7" t="s">
        <v>649</v>
      </c>
      <c r="H486" s="7" t="s">
        <v>657</v>
      </c>
      <c r="I486" s="7" t="s">
        <v>679</v>
      </c>
      <c r="J486" s="7" t="s">
        <v>706</v>
      </c>
      <c r="K486" s="7" t="s">
        <v>707</v>
      </c>
      <c r="L486" s="7" t="s">
        <v>722</v>
      </c>
      <c r="M486" s="7" t="s">
        <v>727</v>
      </c>
      <c r="N486" s="7" t="s">
        <v>1911</v>
      </c>
      <c r="O486" s="9">
        <v>257.44</v>
      </c>
      <c r="P486" s="9">
        <v>290.33</v>
      </c>
      <c r="Q486" s="9">
        <f t="shared" si="45"/>
        <v>290.33</v>
      </c>
      <c r="R486" s="9" t="str">
        <f t="shared" si="46"/>
        <v>OK</v>
      </c>
      <c r="S486" s="11">
        <v>9.1999999999999998E-2</v>
      </c>
      <c r="T486" s="11" t="str">
        <f t="shared" si="47"/>
        <v>OK</v>
      </c>
      <c r="U486" s="13">
        <v>23</v>
      </c>
    </row>
    <row r="487" spans="1:21" x14ac:dyDescent="0.3">
      <c r="A487" s="7" t="s">
        <v>500</v>
      </c>
      <c r="B487" s="4">
        <v>45224</v>
      </c>
      <c r="C487" s="4">
        <v>45254</v>
      </c>
      <c r="D487" s="4" t="str">
        <f t="shared" si="42"/>
        <v>Valid</v>
      </c>
      <c r="E487" s="4">
        <f t="shared" si="43"/>
        <v>45254</v>
      </c>
      <c r="F487" s="13">
        <f t="shared" si="44"/>
        <v>30</v>
      </c>
      <c r="G487" s="7" t="s">
        <v>649</v>
      </c>
      <c r="H487" s="7" t="s">
        <v>657</v>
      </c>
      <c r="I487" s="7" t="s">
        <v>690</v>
      </c>
      <c r="J487" s="7" t="s">
        <v>706</v>
      </c>
      <c r="K487" s="7" t="s">
        <v>710</v>
      </c>
      <c r="L487" s="7" t="s">
        <v>712</v>
      </c>
      <c r="M487" s="7" t="s">
        <v>730</v>
      </c>
      <c r="N487" s="7" t="s">
        <v>1912</v>
      </c>
      <c r="O487" s="9">
        <v>287.85000000000002</v>
      </c>
      <c r="P487" s="9">
        <v>602.91999999999996</v>
      </c>
      <c r="Q487" s="9">
        <f t="shared" si="45"/>
        <v>602.91999999999996</v>
      </c>
      <c r="R487" s="9" t="str">
        <f t="shared" si="46"/>
        <v>OK</v>
      </c>
      <c r="S487" s="11">
        <v>0.222</v>
      </c>
      <c r="T487" s="11" t="str">
        <f t="shared" si="47"/>
        <v>OK</v>
      </c>
      <c r="U487" s="13">
        <v>11</v>
      </c>
    </row>
    <row r="488" spans="1:21" x14ac:dyDescent="0.3">
      <c r="A488" s="7" t="s">
        <v>501</v>
      </c>
      <c r="B488" s="4">
        <v>45613</v>
      </c>
      <c r="C488" s="4">
        <v>45624</v>
      </c>
      <c r="D488" s="4" t="str">
        <f t="shared" si="42"/>
        <v>Valid</v>
      </c>
      <c r="E488" s="4">
        <f t="shared" si="43"/>
        <v>45624</v>
      </c>
      <c r="F488" s="13">
        <f t="shared" si="44"/>
        <v>11</v>
      </c>
      <c r="G488" s="7" t="s">
        <v>648</v>
      </c>
      <c r="H488" s="7" t="s">
        <v>653</v>
      </c>
      <c r="I488" s="7" t="s">
        <v>2057</v>
      </c>
      <c r="J488" s="7" t="s">
        <v>704</v>
      </c>
      <c r="K488" s="7" t="s">
        <v>710</v>
      </c>
      <c r="L488" s="7" t="s">
        <v>720</v>
      </c>
      <c r="M488" s="7" t="s">
        <v>728</v>
      </c>
      <c r="N488" s="7" t="s">
        <v>1913</v>
      </c>
      <c r="O488" s="9">
        <v>1008.16</v>
      </c>
      <c r="P488" s="9">
        <v>2077.5</v>
      </c>
      <c r="Q488" s="9">
        <f t="shared" si="45"/>
        <v>2077.5</v>
      </c>
      <c r="R488" s="9" t="str">
        <f t="shared" si="46"/>
        <v>OK</v>
      </c>
      <c r="S488" s="11">
        <v>7.3999999999999996E-2</v>
      </c>
      <c r="T488" s="11" t="str">
        <f t="shared" si="47"/>
        <v>OK</v>
      </c>
      <c r="U488" s="13">
        <v>15</v>
      </c>
    </row>
    <row r="489" spans="1:21" x14ac:dyDescent="0.3">
      <c r="A489" s="7" t="s">
        <v>502</v>
      </c>
      <c r="B489" s="4">
        <v>45424</v>
      </c>
      <c r="C489" s="4">
        <v>45436</v>
      </c>
      <c r="D489" s="4" t="str">
        <f t="shared" si="42"/>
        <v>Valid</v>
      </c>
      <c r="E489" s="4">
        <f t="shared" si="43"/>
        <v>45436</v>
      </c>
      <c r="F489" s="13">
        <f t="shared" si="44"/>
        <v>12</v>
      </c>
      <c r="G489" s="7" t="s">
        <v>649</v>
      </c>
      <c r="H489" s="7" t="s">
        <v>658</v>
      </c>
      <c r="I489" s="7" t="s">
        <v>693</v>
      </c>
      <c r="J489" s="7" t="s">
        <v>702</v>
      </c>
      <c r="K489" s="7" t="s">
        <v>709</v>
      </c>
      <c r="L489" s="7" t="s">
        <v>723</v>
      </c>
      <c r="M489" s="7" t="s">
        <v>728</v>
      </c>
      <c r="N489" s="7" t="s">
        <v>1914</v>
      </c>
      <c r="O489" s="9">
        <v>111.02</v>
      </c>
      <c r="P489" s="9">
        <v>172.88</v>
      </c>
      <c r="Q489" s="9">
        <f t="shared" si="45"/>
        <v>172.88</v>
      </c>
      <c r="R489" s="9" t="str">
        <f t="shared" si="46"/>
        <v>OK</v>
      </c>
      <c r="S489" s="11">
        <v>0.19700000000000001</v>
      </c>
      <c r="T489" s="11" t="str">
        <f t="shared" si="47"/>
        <v>OK</v>
      </c>
      <c r="U489" s="13">
        <v>29</v>
      </c>
    </row>
    <row r="490" spans="1:21" x14ac:dyDescent="0.3">
      <c r="A490" s="7" t="s">
        <v>503</v>
      </c>
      <c r="B490" s="4">
        <v>45792</v>
      </c>
      <c r="C490" s="4">
        <v>45813</v>
      </c>
      <c r="D490" s="4" t="str">
        <f t="shared" si="42"/>
        <v>Valid</v>
      </c>
      <c r="E490" s="4">
        <f t="shared" si="43"/>
        <v>45813</v>
      </c>
      <c r="F490" s="13">
        <f t="shared" si="44"/>
        <v>21</v>
      </c>
      <c r="G490" s="7" t="s">
        <v>647</v>
      </c>
      <c r="H490" s="7" t="s">
        <v>652</v>
      </c>
      <c r="I490" s="7" t="s">
        <v>666</v>
      </c>
      <c r="J490" s="7" t="s">
        <v>706</v>
      </c>
      <c r="K490" s="7" t="s">
        <v>711</v>
      </c>
      <c r="L490" s="7" t="s">
        <v>722</v>
      </c>
      <c r="M490" s="7" t="s">
        <v>730</v>
      </c>
      <c r="N490" s="7" t="s">
        <v>1915</v>
      </c>
      <c r="O490" s="9">
        <v>1466.5</v>
      </c>
      <c r="P490" s="9">
        <v>2778.74</v>
      </c>
      <c r="Q490" s="9">
        <f t="shared" si="45"/>
        <v>2778.74</v>
      </c>
      <c r="R490" s="9" t="str">
        <f t="shared" si="46"/>
        <v>OK</v>
      </c>
      <c r="S490" s="11">
        <v>0.13500000000000001</v>
      </c>
      <c r="T490" s="11" t="str">
        <f t="shared" si="47"/>
        <v>OK</v>
      </c>
      <c r="U490" s="13">
        <v>4</v>
      </c>
    </row>
    <row r="491" spans="1:21" x14ac:dyDescent="0.3">
      <c r="A491" s="7" t="s">
        <v>504</v>
      </c>
      <c r="B491" s="4">
        <v>45403</v>
      </c>
      <c r="C491" s="4">
        <v>45431</v>
      </c>
      <c r="D491" s="4" t="str">
        <f t="shared" si="42"/>
        <v>Valid</v>
      </c>
      <c r="E491" s="4">
        <f t="shared" si="43"/>
        <v>45431</v>
      </c>
      <c r="F491" s="13">
        <f t="shared" si="44"/>
        <v>28</v>
      </c>
      <c r="G491" s="7" t="s">
        <v>646</v>
      </c>
      <c r="H491" s="7" t="s">
        <v>651</v>
      </c>
      <c r="I491" s="7" t="s">
        <v>665</v>
      </c>
      <c r="J491" s="7" t="s">
        <v>701</v>
      </c>
      <c r="K491" s="7" t="s">
        <v>710</v>
      </c>
      <c r="L491" s="7" t="s">
        <v>720</v>
      </c>
      <c r="M491" s="7" t="s">
        <v>733</v>
      </c>
      <c r="N491" s="7" t="s">
        <v>1916</v>
      </c>
      <c r="O491" s="9">
        <v>187.22</v>
      </c>
      <c r="P491" s="9">
        <v>309.47000000000003</v>
      </c>
      <c r="Q491" s="9">
        <f t="shared" si="45"/>
        <v>309.47000000000003</v>
      </c>
      <c r="R491" s="9" t="str">
        <f t="shared" si="46"/>
        <v>OK</v>
      </c>
      <c r="S491" s="11">
        <v>0</v>
      </c>
      <c r="T491" s="11" t="str">
        <f t="shared" si="47"/>
        <v>OK</v>
      </c>
      <c r="U491" s="13">
        <v>5</v>
      </c>
    </row>
    <row r="492" spans="1:21" x14ac:dyDescent="0.3">
      <c r="A492" s="7" t="s">
        <v>505</v>
      </c>
      <c r="B492" s="4">
        <v>45523</v>
      </c>
      <c r="C492" s="4">
        <v>45542</v>
      </c>
      <c r="D492" s="4" t="str">
        <f t="shared" si="42"/>
        <v>Valid</v>
      </c>
      <c r="E492" s="4">
        <f t="shared" si="43"/>
        <v>45542</v>
      </c>
      <c r="F492" s="13">
        <f t="shared" si="44"/>
        <v>19</v>
      </c>
      <c r="G492" s="7" t="s">
        <v>649</v>
      </c>
      <c r="H492" s="7" t="s">
        <v>657</v>
      </c>
      <c r="I492" s="7" t="s">
        <v>679</v>
      </c>
      <c r="J492" s="7" t="s">
        <v>701</v>
      </c>
      <c r="K492" s="7" t="s">
        <v>711</v>
      </c>
      <c r="L492" s="7" t="s">
        <v>713</v>
      </c>
      <c r="M492" s="7" t="s">
        <v>727</v>
      </c>
      <c r="N492" s="7" t="s">
        <v>1917</v>
      </c>
      <c r="O492" s="9">
        <v>297.58999999999997</v>
      </c>
      <c r="P492" s="9">
        <v>666.41</v>
      </c>
      <c r="Q492" s="9">
        <f t="shared" si="45"/>
        <v>666.41</v>
      </c>
      <c r="R492" s="9" t="str">
        <f t="shared" si="46"/>
        <v>OK</v>
      </c>
      <c r="S492" s="11">
        <v>0</v>
      </c>
      <c r="T492" s="11" t="str">
        <f t="shared" si="47"/>
        <v>OK</v>
      </c>
      <c r="U492" s="13">
        <v>10</v>
      </c>
    </row>
    <row r="493" spans="1:21" x14ac:dyDescent="0.3">
      <c r="A493" s="7" t="s">
        <v>506</v>
      </c>
      <c r="B493" s="4">
        <v>45861</v>
      </c>
      <c r="C493" s="4">
        <v>45888</v>
      </c>
      <c r="D493" s="4" t="str">
        <f t="shared" si="42"/>
        <v>Valid</v>
      </c>
      <c r="E493" s="4">
        <f t="shared" si="43"/>
        <v>45888</v>
      </c>
      <c r="F493" s="13">
        <f t="shared" si="44"/>
        <v>27</v>
      </c>
      <c r="G493" s="7" t="s">
        <v>647</v>
      </c>
      <c r="H493" s="7" t="s">
        <v>652</v>
      </c>
      <c r="I493" s="7" t="s">
        <v>694</v>
      </c>
      <c r="J493" s="7" t="s">
        <v>704</v>
      </c>
      <c r="K493" s="7" t="s">
        <v>709</v>
      </c>
      <c r="L493" s="7" t="s">
        <v>717</v>
      </c>
      <c r="M493" s="7" t="s">
        <v>733</v>
      </c>
      <c r="N493" s="7" t="s">
        <v>1918</v>
      </c>
      <c r="O493" s="9">
        <v>896.09</v>
      </c>
      <c r="P493" s="9">
        <v>744.27</v>
      </c>
      <c r="Q493" s="9">
        <f t="shared" si="45"/>
        <v>744.27</v>
      </c>
      <c r="R493" s="9" t="str">
        <f t="shared" si="46"/>
        <v>OK</v>
      </c>
      <c r="S493" s="11">
        <v>8.3000000000000004E-2</v>
      </c>
      <c r="T493" s="11" t="str">
        <f t="shared" si="47"/>
        <v>OK</v>
      </c>
      <c r="U493" s="13">
        <v>11</v>
      </c>
    </row>
    <row r="494" spans="1:21" x14ac:dyDescent="0.3">
      <c r="A494" s="7" t="s">
        <v>507</v>
      </c>
      <c r="B494" s="4">
        <v>45352</v>
      </c>
      <c r="C494" s="4">
        <v>45351</v>
      </c>
      <c r="D494" s="4" t="str">
        <f t="shared" si="42"/>
        <v>Invalid</v>
      </c>
      <c r="E494" s="4">
        <f t="shared" si="43"/>
        <v>45352</v>
      </c>
      <c r="F494" s="13">
        <f t="shared" si="44"/>
        <v>0</v>
      </c>
      <c r="G494" s="7" t="s">
        <v>648</v>
      </c>
      <c r="H494" s="7" t="s">
        <v>655</v>
      </c>
      <c r="I494" s="7" t="s">
        <v>670</v>
      </c>
      <c r="J494" s="7" t="s">
        <v>703</v>
      </c>
      <c r="K494" s="7" t="s">
        <v>711</v>
      </c>
      <c r="L494" s="7" t="s">
        <v>714</v>
      </c>
      <c r="M494" s="7" t="s">
        <v>730</v>
      </c>
      <c r="N494" s="7" t="s">
        <v>1919</v>
      </c>
      <c r="O494" s="9">
        <v>5.34</v>
      </c>
      <c r="P494" s="9">
        <v>12.69</v>
      </c>
      <c r="Q494" s="9">
        <f t="shared" si="45"/>
        <v>12.69</v>
      </c>
      <c r="R494" s="9" t="str">
        <f t="shared" si="46"/>
        <v>OK</v>
      </c>
      <c r="S494" s="11">
        <v>0.13200000000000001</v>
      </c>
      <c r="T494" s="11" t="str">
        <f t="shared" si="47"/>
        <v>OK</v>
      </c>
      <c r="U494" s="13">
        <v>10</v>
      </c>
    </row>
    <row r="495" spans="1:21" x14ac:dyDescent="0.3">
      <c r="A495" s="7" t="s">
        <v>508</v>
      </c>
      <c r="B495" s="4">
        <v>45439</v>
      </c>
      <c r="C495" s="4">
        <v>45460</v>
      </c>
      <c r="D495" s="4" t="str">
        <f t="shared" si="42"/>
        <v>Valid</v>
      </c>
      <c r="E495" s="4">
        <f t="shared" si="43"/>
        <v>45460</v>
      </c>
      <c r="F495" s="13">
        <f t="shared" si="44"/>
        <v>21</v>
      </c>
      <c r="G495" s="7" t="s">
        <v>647</v>
      </c>
      <c r="H495" s="7" t="s">
        <v>654</v>
      </c>
      <c r="I495" s="7" t="s">
        <v>680</v>
      </c>
      <c r="J495" s="7" t="s">
        <v>705</v>
      </c>
      <c r="K495" s="7" t="s">
        <v>708</v>
      </c>
      <c r="L495" s="7" t="s">
        <v>722</v>
      </c>
      <c r="M495" s="7" t="s">
        <v>733</v>
      </c>
      <c r="N495" s="7" t="s">
        <v>1920</v>
      </c>
      <c r="O495" s="9">
        <v>465.02</v>
      </c>
      <c r="P495" s="9">
        <v>651.55999999999995</v>
      </c>
      <c r="Q495" s="9">
        <f t="shared" si="45"/>
        <v>651.55999999999995</v>
      </c>
      <c r="R495" s="9" t="str">
        <f t="shared" si="46"/>
        <v>OK</v>
      </c>
      <c r="S495" s="11">
        <v>4.2000000000000003E-2</v>
      </c>
      <c r="T495" s="11" t="str">
        <f t="shared" si="47"/>
        <v>OK</v>
      </c>
      <c r="U495" s="13">
        <v>19</v>
      </c>
    </row>
    <row r="496" spans="1:21" x14ac:dyDescent="0.3">
      <c r="A496" s="7" t="s">
        <v>509</v>
      </c>
      <c r="B496" s="4">
        <v>45508</v>
      </c>
      <c r="C496" s="4">
        <v>45521</v>
      </c>
      <c r="D496" s="4" t="str">
        <f t="shared" si="42"/>
        <v>Valid</v>
      </c>
      <c r="E496" s="4">
        <f t="shared" si="43"/>
        <v>45521</v>
      </c>
      <c r="F496" s="13">
        <f t="shared" si="44"/>
        <v>13</v>
      </c>
      <c r="G496" s="7" t="s">
        <v>648</v>
      </c>
      <c r="H496" s="7" t="s">
        <v>1425</v>
      </c>
      <c r="I496" s="7" t="s">
        <v>697</v>
      </c>
      <c r="J496" s="7" t="s">
        <v>704</v>
      </c>
      <c r="K496" s="7" t="s">
        <v>707</v>
      </c>
      <c r="L496" s="7" t="s">
        <v>726</v>
      </c>
      <c r="M496" s="7" t="s">
        <v>732</v>
      </c>
      <c r="N496" s="7" t="s">
        <v>1921</v>
      </c>
      <c r="O496" s="9">
        <v>352.79</v>
      </c>
      <c r="P496" s="9">
        <v>754.22</v>
      </c>
      <c r="Q496" s="9">
        <f t="shared" si="45"/>
        <v>754.22</v>
      </c>
      <c r="R496" s="9" t="str">
        <f t="shared" si="46"/>
        <v>OK</v>
      </c>
      <c r="S496" s="11">
        <v>0.113</v>
      </c>
      <c r="T496" s="11" t="str">
        <f t="shared" si="47"/>
        <v>OK</v>
      </c>
      <c r="U496" s="13">
        <v>7</v>
      </c>
    </row>
    <row r="497" spans="1:21" x14ac:dyDescent="0.3">
      <c r="A497" s="7" t="s">
        <v>510</v>
      </c>
      <c r="B497" s="4">
        <v>45097</v>
      </c>
      <c r="C497" s="4">
        <v>45111</v>
      </c>
      <c r="D497" s="4" t="str">
        <f t="shared" si="42"/>
        <v>Valid</v>
      </c>
      <c r="E497" s="4">
        <f t="shared" si="43"/>
        <v>45111</v>
      </c>
      <c r="F497" s="13">
        <f t="shared" si="44"/>
        <v>14</v>
      </c>
      <c r="G497" s="7" t="s">
        <v>648</v>
      </c>
      <c r="H497" s="7" t="s">
        <v>655</v>
      </c>
      <c r="I497" s="7" t="s">
        <v>672</v>
      </c>
      <c r="J497" s="7" t="s">
        <v>703</v>
      </c>
      <c r="K497" s="7" t="s">
        <v>711</v>
      </c>
      <c r="L497" s="7" t="s">
        <v>712</v>
      </c>
      <c r="M497" s="7" t="s">
        <v>729</v>
      </c>
      <c r="N497" s="7" t="s">
        <v>1922</v>
      </c>
      <c r="O497" s="9">
        <v>1292.8599999999999</v>
      </c>
      <c r="P497" s="9">
        <v>2981.01</v>
      </c>
      <c r="Q497" s="9">
        <f t="shared" si="45"/>
        <v>2981.01</v>
      </c>
      <c r="R497" s="9" t="str">
        <f t="shared" si="46"/>
        <v>OK</v>
      </c>
      <c r="S497" s="11">
        <v>0.14199999999999999</v>
      </c>
      <c r="T497" s="11" t="str">
        <f t="shared" si="47"/>
        <v>OK</v>
      </c>
      <c r="U497" s="13">
        <v>12</v>
      </c>
    </row>
    <row r="498" spans="1:21" x14ac:dyDescent="0.3">
      <c r="A498" s="7" t="s">
        <v>511</v>
      </c>
      <c r="B498" s="4">
        <v>45544</v>
      </c>
      <c r="C498" s="4">
        <v>45548</v>
      </c>
      <c r="D498" s="4" t="str">
        <f t="shared" si="42"/>
        <v>Valid</v>
      </c>
      <c r="E498" s="4">
        <f t="shared" si="43"/>
        <v>45548</v>
      </c>
      <c r="F498" s="13">
        <f t="shared" si="44"/>
        <v>4</v>
      </c>
      <c r="G498" s="7" t="s">
        <v>649</v>
      </c>
      <c r="H498" s="7" t="s">
        <v>658</v>
      </c>
      <c r="I498" s="7" t="s">
        <v>683</v>
      </c>
      <c r="J498" s="7" t="s">
        <v>704</v>
      </c>
      <c r="K498" s="7" t="s">
        <v>709</v>
      </c>
      <c r="L498" s="7" t="s">
        <v>721</v>
      </c>
      <c r="M498" s="7" t="s">
        <v>729</v>
      </c>
      <c r="N498" s="7" t="s">
        <v>1923</v>
      </c>
      <c r="O498" s="9">
        <v>1133.08</v>
      </c>
      <c r="P498" s="9">
        <v>976.17</v>
      </c>
      <c r="Q498" s="9">
        <f t="shared" si="45"/>
        <v>976.17</v>
      </c>
      <c r="R498" s="9" t="str">
        <f t="shared" si="46"/>
        <v>OK</v>
      </c>
      <c r="S498" s="11">
        <v>4.2000000000000003E-2</v>
      </c>
      <c r="T498" s="11" t="str">
        <f t="shared" si="47"/>
        <v>OK</v>
      </c>
      <c r="U498" s="13">
        <v>27</v>
      </c>
    </row>
    <row r="499" spans="1:21" x14ac:dyDescent="0.3">
      <c r="A499" s="7" t="s">
        <v>512</v>
      </c>
      <c r="B499" s="4">
        <v>45224</v>
      </c>
      <c r="C499" s="4">
        <v>45227</v>
      </c>
      <c r="D499" s="4" t="str">
        <f t="shared" si="42"/>
        <v>Valid</v>
      </c>
      <c r="E499" s="4">
        <f t="shared" si="43"/>
        <v>45227</v>
      </c>
      <c r="F499" s="13">
        <f t="shared" si="44"/>
        <v>3</v>
      </c>
      <c r="G499" s="7" t="s">
        <v>648</v>
      </c>
      <c r="H499" s="7" t="s">
        <v>655</v>
      </c>
      <c r="I499" s="7" t="s">
        <v>672</v>
      </c>
      <c r="J499" s="7" t="s">
        <v>701</v>
      </c>
      <c r="K499" s="7" t="s">
        <v>710</v>
      </c>
      <c r="L499" s="7" t="s">
        <v>716</v>
      </c>
      <c r="M499" s="7" t="s">
        <v>733</v>
      </c>
      <c r="N499" s="7" t="s">
        <v>1924</v>
      </c>
      <c r="O499" s="9">
        <v>509.31</v>
      </c>
      <c r="P499" s="9">
        <v>1145.9000000000001</v>
      </c>
      <c r="Q499" s="9">
        <f t="shared" si="45"/>
        <v>1145.9000000000001</v>
      </c>
      <c r="R499" s="9" t="str">
        <f t="shared" si="46"/>
        <v>OK</v>
      </c>
      <c r="S499" s="11">
        <v>5.7000000000000002E-2</v>
      </c>
      <c r="T499" s="11" t="str">
        <f t="shared" si="47"/>
        <v>OK</v>
      </c>
      <c r="U499" s="13">
        <v>8</v>
      </c>
    </row>
    <row r="500" spans="1:21" x14ac:dyDescent="0.3">
      <c r="A500" s="7" t="s">
        <v>513</v>
      </c>
      <c r="B500" s="4">
        <v>45908</v>
      </c>
      <c r="C500" s="4">
        <v>45935</v>
      </c>
      <c r="D500" s="4" t="str">
        <f t="shared" si="42"/>
        <v>Valid</v>
      </c>
      <c r="E500" s="4">
        <f t="shared" si="43"/>
        <v>45935</v>
      </c>
      <c r="F500" s="13">
        <f t="shared" si="44"/>
        <v>27</v>
      </c>
      <c r="G500" s="7" t="s">
        <v>648</v>
      </c>
      <c r="H500" s="7" t="s">
        <v>655</v>
      </c>
      <c r="I500" s="7" t="s">
        <v>1426</v>
      </c>
      <c r="J500" s="7" t="s">
        <v>702</v>
      </c>
      <c r="K500" s="7" t="s">
        <v>708</v>
      </c>
      <c r="L500" s="7" t="s">
        <v>712</v>
      </c>
      <c r="M500" s="7" t="s">
        <v>732</v>
      </c>
      <c r="N500" s="7" t="s">
        <v>1925</v>
      </c>
      <c r="O500" s="9">
        <v>660.78</v>
      </c>
      <c r="P500" s="9">
        <v>1630.39</v>
      </c>
      <c r="Q500" s="9">
        <f t="shared" si="45"/>
        <v>1630.39</v>
      </c>
      <c r="R500" s="9" t="str">
        <f t="shared" si="46"/>
        <v>OK</v>
      </c>
      <c r="S500" s="11">
        <v>0.218</v>
      </c>
      <c r="T500" s="11" t="str">
        <f t="shared" si="47"/>
        <v>OK</v>
      </c>
      <c r="U500" s="13">
        <v>13</v>
      </c>
    </row>
    <row r="501" spans="1:21" x14ac:dyDescent="0.3">
      <c r="A501" s="7" t="s">
        <v>514</v>
      </c>
      <c r="B501" s="4">
        <v>45048</v>
      </c>
      <c r="C501" s="4">
        <v>45062</v>
      </c>
      <c r="D501" s="4" t="str">
        <f t="shared" si="42"/>
        <v>Valid</v>
      </c>
      <c r="E501" s="4">
        <f t="shared" si="43"/>
        <v>45062</v>
      </c>
      <c r="F501" s="13">
        <f t="shared" si="44"/>
        <v>14</v>
      </c>
      <c r="G501" s="7" t="s">
        <v>647</v>
      </c>
      <c r="H501" s="7" t="s">
        <v>654</v>
      </c>
      <c r="I501" s="7" t="s">
        <v>668</v>
      </c>
      <c r="J501" s="7" t="s">
        <v>703</v>
      </c>
      <c r="K501" s="7" t="s">
        <v>707</v>
      </c>
      <c r="L501" s="7" t="s">
        <v>716</v>
      </c>
      <c r="M501" s="7" t="s">
        <v>732</v>
      </c>
      <c r="N501" s="7" t="s">
        <v>1926</v>
      </c>
      <c r="O501" s="9">
        <v>475.37</v>
      </c>
      <c r="P501" s="9">
        <v>963.73</v>
      </c>
      <c r="Q501" s="9">
        <f t="shared" si="45"/>
        <v>963.73</v>
      </c>
      <c r="R501" s="9" t="str">
        <f t="shared" si="46"/>
        <v>OK</v>
      </c>
      <c r="S501" s="11">
        <v>4.1000000000000002E-2</v>
      </c>
      <c r="T501" s="11" t="str">
        <f t="shared" si="47"/>
        <v>OK</v>
      </c>
      <c r="U501" s="13">
        <v>22</v>
      </c>
    </row>
    <row r="502" spans="1:21" x14ac:dyDescent="0.3">
      <c r="A502" s="7" t="s">
        <v>515</v>
      </c>
      <c r="B502" s="4">
        <v>45408</v>
      </c>
      <c r="C502" s="4">
        <v>45406</v>
      </c>
      <c r="D502" s="4" t="str">
        <f t="shared" si="42"/>
        <v>Invalid</v>
      </c>
      <c r="E502" s="4">
        <f t="shared" si="43"/>
        <v>45408</v>
      </c>
      <c r="F502" s="13">
        <f t="shared" si="44"/>
        <v>0</v>
      </c>
      <c r="G502" s="7" t="s">
        <v>649</v>
      </c>
      <c r="H502" s="7" t="s">
        <v>658</v>
      </c>
      <c r="I502" s="7" t="s">
        <v>683</v>
      </c>
      <c r="J502" s="7" t="s">
        <v>703</v>
      </c>
      <c r="K502" s="7" t="s">
        <v>710</v>
      </c>
      <c r="L502" s="7" t="s">
        <v>725</v>
      </c>
      <c r="M502" s="7" t="s">
        <v>730</v>
      </c>
      <c r="N502" s="7" t="s">
        <v>1927</v>
      </c>
      <c r="O502" s="9">
        <v>1232.77</v>
      </c>
      <c r="P502" s="9">
        <v>891.73</v>
      </c>
      <c r="Q502" s="9">
        <f t="shared" si="45"/>
        <v>891.73</v>
      </c>
      <c r="R502" s="9" t="str">
        <f t="shared" si="46"/>
        <v>OK</v>
      </c>
      <c r="S502" s="11">
        <v>0.16700000000000001</v>
      </c>
      <c r="T502" s="11" t="str">
        <f t="shared" si="47"/>
        <v>OK</v>
      </c>
      <c r="U502" s="13">
        <v>10</v>
      </c>
    </row>
    <row r="503" spans="1:21" x14ac:dyDescent="0.3">
      <c r="A503" s="7" t="s">
        <v>516</v>
      </c>
      <c r="B503" s="4">
        <v>44980</v>
      </c>
      <c r="C503" s="4">
        <v>45003</v>
      </c>
      <c r="D503" s="4" t="str">
        <f t="shared" si="42"/>
        <v>Valid</v>
      </c>
      <c r="E503" s="4">
        <f t="shared" si="43"/>
        <v>45003</v>
      </c>
      <c r="F503" s="13">
        <f t="shared" si="44"/>
        <v>23</v>
      </c>
      <c r="G503" s="7" t="s">
        <v>647</v>
      </c>
      <c r="H503" s="7" t="s">
        <v>659</v>
      </c>
      <c r="I503" s="7" t="s">
        <v>699</v>
      </c>
      <c r="J503" s="7" t="s">
        <v>702</v>
      </c>
      <c r="K503" s="7" t="s">
        <v>710</v>
      </c>
      <c r="L503" s="7" t="s">
        <v>723</v>
      </c>
      <c r="M503" s="7" t="s">
        <v>728</v>
      </c>
      <c r="N503" s="7" t="s">
        <v>1928</v>
      </c>
      <c r="O503" s="9">
        <v>770.11</v>
      </c>
      <c r="P503" s="9">
        <v>1667.82</v>
      </c>
      <c r="Q503" s="9">
        <f t="shared" si="45"/>
        <v>1667.82</v>
      </c>
      <c r="R503" s="9" t="str">
        <f t="shared" si="46"/>
        <v>OK</v>
      </c>
      <c r="S503" s="11">
        <v>6.9000000000000006E-2</v>
      </c>
      <c r="T503" s="11" t="str">
        <f t="shared" si="47"/>
        <v>OK</v>
      </c>
      <c r="U503" s="13">
        <v>7</v>
      </c>
    </row>
    <row r="504" spans="1:21" x14ac:dyDescent="0.3">
      <c r="A504" s="7" t="s">
        <v>517</v>
      </c>
      <c r="B504" s="4">
        <v>45740</v>
      </c>
      <c r="C504" s="4">
        <v>45741</v>
      </c>
      <c r="D504" s="4" t="str">
        <f t="shared" si="42"/>
        <v>Valid</v>
      </c>
      <c r="E504" s="4">
        <f t="shared" si="43"/>
        <v>45741</v>
      </c>
      <c r="F504" s="13">
        <f t="shared" si="44"/>
        <v>1</v>
      </c>
      <c r="G504" s="7" t="s">
        <v>647</v>
      </c>
      <c r="H504" s="7" t="s">
        <v>659</v>
      </c>
      <c r="I504" s="7" t="s">
        <v>699</v>
      </c>
      <c r="J504" s="7" t="s">
        <v>703</v>
      </c>
      <c r="K504" s="7" t="s">
        <v>708</v>
      </c>
      <c r="L504" s="7" t="s">
        <v>715</v>
      </c>
      <c r="M504" s="7" t="s">
        <v>729</v>
      </c>
      <c r="N504" s="7" t="s">
        <v>1929</v>
      </c>
      <c r="O504" s="9">
        <v>1133.03</v>
      </c>
      <c r="P504" s="9">
        <v>1921.51</v>
      </c>
      <c r="Q504" s="9">
        <f t="shared" si="45"/>
        <v>1921.51</v>
      </c>
      <c r="R504" s="9" t="str">
        <f t="shared" si="46"/>
        <v>OK</v>
      </c>
      <c r="S504" s="11">
        <v>0.10100000000000001</v>
      </c>
      <c r="T504" s="11" t="str">
        <f t="shared" si="47"/>
        <v>OK</v>
      </c>
      <c r="U504" s="13">
        <v>5</v>
      </c>
    </row>
    <row r="505" spans="1:21" x14ac:dyDescent="0.3">
      <c r="A505" s="7" t="s">
        <v>518</v>
      </c>
      <c r="B505" s="4">
        <v>45726</v>
      </c>
      <c r="C505" s="4">
        <v>45743</v>
      </c>
      <c r="D505" s="4" t="str">
        <f t="shared" si="42"/>
        <v>Valid</v>
      </c>
      <c r="E505" s="4">
        <f t="shared" si="43"/>
        <v>45743</v>
      </c>
      <c r="F505" s="13">
        <f t="shared" si="44"/>
        <v>17</v>
      </c>
      <c r="G505" s="7" t="s">
        <v>648</v>
      </c>
      <c r="H505" s="7" t="s">
        <v>655</v>
      </c>
      <c r="I505" s="7" t="s">
        <v>1426</v>
      </c>
      <c r="J505" s="7" t="s">
        <v>706</v>
      </c>
      <c r="K505" s="7" t="s">
        <v>711</v>
      </c>
      <c r="L505" s="7" t="s">
        <v>721</v>
      </c>
      <c r="M505" s="7" t="s">
        <v>729</v>
      </c>
      <c r="N505" s="7" t="s">
        <v>1930</v>
      </c>
      <c r="O505" s="9">
        <v>996.73</v>
      </c>
      <c r="P505" s="9">
        <v>1217.43</v>
      </c>
      <c r="Q505" s="9">
        <f t="shared" si="45"/>
        <v>1217.43</v>
      </c>
      <c r="R505" s="9" t="str">
        <f t="shared" si="46"/>
        <v>OK</v>
      </c>
      <c r="S505" s="11">
        <v>7.0000000000000007E-2</v>
      </c>
      <c r="T505" s="11" t="str">
        <f t="shared" si="47"/>
        <v>OK</v>
      </c>
      <c r="U505" s="13">
        <v>9</v>
      </c>
    </row>
    <row r="506" spans="1:21" x14ac:dyDescent="0.3">
      <c r="A506" s="7" t="s">
        <v>519</v>
      </c>
      <c r="B506" s="4">
        <v>45387</v>
      </c>
      <c r="C506" s="4">
        <v>45391</v>
      </c>
      <c r="D506" s="4" t="str">
        <f t="shared" si="42"/>
        <v>Valid</v>
      </c>
      <c r="E506" s="4">
        <f t="shared" si="43"/>
        <v>45391</v>
      </c>
      <c r="F506" s="13">
        <f t="shared" si="44"/>
        <v>4</v>
      </c>
      <c r="G506" s="7" t="s">
        <v>646</v>
      </c>
      <c r="H506" s="7" t="s">
        <v>651</v>
      </c>
      <c r="I506" s="7" t="s">
        <v>665</v>
      </c>
      <c r="J506" s="7" t="s">
        <v>703</v>
      </c>
      <c r="K506" s="7" t="s">
        <v>711</v>
      </c>
      <c r="L506" s="7" t="s">
        <v>723</v>
      </c>
      <c r="M506" s="7" t="s">
        <v>727</v>
      </c>
      <c r="N506" s="7" t="s">
        <v>1931</v>
      </c>
      <c r="O506" s="9">
        <v>395.07</v>
      </c>
      <c r="P506" s="9">
        <v>970.27</v>
      </c>
      <c r="Q506" s="9">
        <f t="shared" si="45"/>
        <v>970.27</v>
      </c>
      <c r="R506" s="9" t="str">
        <f t="shared" si="46"/>
        <v>OK</v>
      </c>
      <c r="S506" s="11">
        <v>0.123</v>
      </c>
      <c r="T506" s="11" t="str">
        <f t="shared" si="47"/>
        <v>OK</v>
      </c>
      <c r="U506" s="13">
        <v>38</v>
      </c>
    </row>
    <row r="507" spans="1:21" x14ac:dyDescent="0.3">
      <c r="A507" s="7" t="s">
        <v>520</v>
      </c>
      <c r="B507" s="4">
        <v>45774</v>
      </c>
      <c r="C507" s="4">
        <v>45794</v>
      </c>
      <c r="D507" s="4" t="str">
        <f t="shared" si="42"/>
        <v>Valid</v>
      </c>
      <c r="E507" s="4">
        <f t="shared" si="43"/>
        <v>45794</v>
      </c>
      <c r="F507" s="13">
        <f t="shared" si="44"/>
        <v>20</v>
      </c>
      <c r="G507" s="7" t="s">
        <v>648</v>
      </c>
      <c r="H507" s="7" t="s">
        <v>1425</v>
      </c>
      <c r="I507" s="7" t="s">
        <v>697</v>
      </c>
      <c r="J507" s="7" t="s">
        <v>701</v>
      </c>
      <c r="K507" s="7" t="s">
        <v>711</v>
      </c>
      <c r="L507" s="7" t="s">
        <v>725</v>
      </c>
      <c r="M507" s="7" t="s">
        <v>730</v>
      </c>
      <c r="N507" s="7" t="s">
        <v>1932</v>
      </c>
      <c r="O507" s="9">
        <v>932.26</v>
      </c>
      <c r="P507" s="9">
        <v>1624.67</v>
      </c>
      <c r="Q507" s="9">
        <f t="shared" si="45"/>
        <v>1624.67</v>
      </c>
      <c r="R507" s="9" t="str">
        <f t="shared" si="46"/>
        <v>OK</v>
      </c>
      <c r="S507" s="11">
        <v>0.23499999999999999</v>
      </c>
      <c r="T507" s="11" t="str">
        <f t="shared" si="47"/>
        <v>OK</v>
      </c>
      <c r="U507" s="13">
        <v>28</v>
      </c>
    </row>
    <row r="508" spans="1:21" x14ac:dyDescent="0.3">
      <c r="A508" s="7" t="s">
        <v>521</v>
      </c>
      <c r="B508" s="4">
        <v>45589</v>
      </c>
      <c r="C508" s="4">
        <v>45593</v>
      </c>
      <c r="D508" s="4" t="str">
        <f t="shared" si="42"/>
        <v>Valid</v>
      </c>
      <c r="E508" s="4">
        <f t="shared" si="43"/>
        <v>45593</v>
      </c>
      <c r="F508" s="13">
        <f t="shared" si="44"/>
        <v>4</v>
      </c>
      <c r="G508" s="7" t="s">
        <v>647</v>
      </c>
      <c r="H508" s="7" t="s">
        <v>659</v>
      </c>
      <c r="I508" s="7" t="s">
        <v>685</v>
      </c>
      <c r="J508" s="7" t="s">
        <v>705</v>
      </c>
      <c r="K508" s="7" t="s">
        <v>710</v>
      </c>
      <c r="L508" s="7" t="s">
        <v>714</v>
      </c>
      <c r="M508" s="7" t="s">
        <v>729</v>
      </c>
      <c r="N508" s="7" t="s">
        <v>1933</v>
      </c>
      <c r="O508" s="9">
        <v>1331.77</v>
      </c>
      <c r="P508" s="9">
        <v>2606.11</v>
      </c>
      <c r="Q508" s="9">
        <f t="shared" si="45"/>
        <v>2606.11</v>
      </c>
      <c r="R508" s="9" t="str">
        <f t="shared" si="46"/>
        <v>OK</v>
      </c>
      <c r="S508" s="11">
        <v>0.02</v>
      </c>
      <c r="T508" s="11" t="str">
        <f t="shared" si="47"/>
        <v>OK</v>
      </c>
      <c r="U508" s="13">
        <v>6</v>
      </c>
    </row>
    <row r="509" spans="1:21" x14ac:dyDescent="0.3">
      <c r="A509" s="7" t="s">
        <v>522</v>
      </c>
      <c r="B509" s="4">
        <v>45029</v>
      </c>
      <c r="C509" s="4">
        <v>45036</v>
      </c>
      <c r="D509" s="4" t="str">
        <f t="shared" si="42"/>
        <v>Valid</v>
      </c>
      <c r="E509" s="4">
        <f t="shared" si="43"/>
        <v>45036</v>
      </c>
      <c r="F509" s="13">
        <f t="shared" si="44"/>
        <v>7</v>
      </c>
      <c r="G509" s="7" t="s">
        <v>649</v>
      </c>
      <c r="H509" s="7" t="s">
        <v>657</v>
      </c>
      <c r="I509" s="7" t="s">
        <v>679</v>
      </c>
      <c r="J509" s="7" t="s">
        <v>705</v>
      </c>
      <c r="K509" s="7" t="s">
        <v>708</v>
      </c>
      <c r="L509" s="7" t="s">
        <v>720</v>
      </c>
      <c r="M509" s="7" t="s">
        <v>731</v>
      </c>
      <c r="N509" s="7" t="s">
        <v>1934</v>
      </c>
      <c r="O509" s="9">
        <v>227.02</v>
      </c>
      <c r="P509" s="9">
        <v>434.72</v>
      </c>
      <c r="Q509" s="9">
        <f t="shared" si="45"/>
        <v>434.72</v>
      </c>
      <c r="R509" s="9" t="str">
        <f t="shared" si="46"/>
        <v>OK</v>
      </c>
      <c r="S509" s="11">
        <v>9.8000000000000004E-2</v>
      </c>
      <c r="T509" s="11" t="str">
        <f t="shared" si="47"/>
        <v>OK</v>
      </c>
      <c r="U509" s="13">
        <v>10</v>
      </c>
    </row>
    <row r="510" spans="1:21" x14ac:dyDescent="0.3">
      <c r="A510" s="7" t="s">
        <v>523</v>
      </c>
      <c r="B510" s="4">
        <v>45608</v>
      </c>
      <c r="C510" s="4">
        <v>45617</v>
      </c>
      <c r="D510" s="4" t="str">
        <f t="shared" si="42"/>
        <v>Valid</v>
      </c>
      <c r="E510" s="4">
        <f t="shared" si="43"/>
        <v>45617</v>
      </c>
      <c r="F510" s="13">
        <f t="shared" si="44"/>
        <v>9</v>
      </c>
      <c r="G510" s="7" t="s">
        <v>647</v>
      </c>
      <c r="H510" s="7" t="s">
        <v>654</v>
      </c>
      <c r="I510" s="7" t="s">
        <v>691</v>
      </c>
      <c r="J510" s="7" t="s">
        <v>701</v>
      </c>
      <c r="K510" s="7" t="s">
        <v>711</v>
      </c>
      <c r="L510" s="7" t="s">
        <v>722</v>
      </c>
      <c r="M510" s="7" t="s">
        <v>731</v>
      </c>
      <c r="N510" s="7" t="s">
        <v>1935</v>
      </c>
      <c r="O510" s="9">
        <v>903.41</v>
      </c>
      <c r="P510" s="9">
        <v>1860.41</v>
      </c>
      <c r="Q510" s="9">
        <f t="shared" si="45"/>
        <v>1860.41</v>
      </c>
      <c r="R510" s="9" t="str">
        <f t="shared" si="46"/>
        <v>OK</v>
      </c>
      <c r="S510" s="11">
        <v>0.108</v>
      </c>
      <c r="T510" s="11" t="str">
        <f t="shared" si="47"/>
        <v>OK</v>
      </c>
      <c r="U510" s="13">
        <v>5</v>
      </c>
    </row>
    <row r="511" spans="1:21" x14ac:dyDescent="0.3">
      <c r="A511" s="7" t="s">
        <v>524</v>
      </c>
      <c r="B511" s="4">
        <v>45056</v>
      </c>
      <c r="C511" s="4">
        <v>45060</v>
      </c>
      <c r="D511" s="4" t="str">
        <f t="shared" si="42"/>
        <v>Valid</v>
      </c>
      <c r="E511" s="4">
        <f t="shared" si="43"/>
        <v>45060</v>
      </c>
      <c r="F511" s="13">
        <f t="shared" si="44"/>
        <v>4</v>
      </c>
      <c r="G511" s="7" t="s">
        <v>647</v>
      </c>
      <c r="H511" s="7" t="s">
        <v>654</v>
      </c>
      <c r="I511" s="7" t="s">
        <v>680</v>
      </c>
      <c r="J511" s="7" t="s">
        <v>703</v>
      </c>
      <c r="K511" s="7" t="s">
        <v>710</v>
      </c>
      <c r="L511" s="7" t="s">
        <v>712</v>
      </c>
      <c r="M511" s="7" t="s">
        <v>732</v>
      </c>
      <c r="N511" s="7" t="s">
        <v>1936</v>
      </c>
      <c r="O511" s="9">
        <v>622.6</v>
      </c>
      <c r="P511" s="9">
        <v>833.69</v>
      </c>
      <c r="Q511" s="9">
        <f t="shared" si="45"/>
        <v>833.69</v>
      </c>
      <c r="R511" s="9" t="str">
        <f t="shared" si="46"/>
        <v>OK</v>
      </c>
      <c r="S511" s="11">
        <v>0.20899999999999999</v>
      </c>
      <c r="T511" s="11" t="str">
        <f t="shared" si="47"/>
        <v>OK</v>
      </c>
      <c r="U511" s="13">
        <v>14</v>
      </c>
    </row>
    <row r="512" spans="1:21" x14ac:dyDescent="0.3">
      <c r="A512" s="7" t="s">
        <v>525</v>
      </c>
      <c r="B512" s="4">
        <v>45353</v>
      </c>
      <c r="C512" s="4">
        <v>45374</v>
      </c>
      <c r="D512" s="4" t="str">
        <f t="shared" si="42"/>
        <v>Valid</v>
      </c>
      <c r="E512" s="4">
        <f t="shared" si="43"/>
        <v>45374</v>
      </c>
      <c r="F512" s="13">
        <f t="shared" si="44"/>
        <v>21</v>
      </c>
      <c r="G512" s="7" t="s">
        <v>648</v>
      </c>
      <c r="H512" s="7" t="s">
        <v>1425</v>
      </c>
      <c r="I512" s="7" t="s">
        <v>677</v>
      </c>
      <c r="J512" s="7" t="s">
        <v>705</v>
      </c>
      <c r="K512" s="7" t="s">
        <v>708</v>
      </c>
      <c r="L512" s="7" t="s">
        <v>721</v>
      </c>
      <c r="M512" s="7" t="s">
        <v>727</v>
      </c>
      <c r="N512" s="7" t="s">
        <v>1937</v>
      </c>
      <c r="O512" s="9">
        <v>225.01</v>
      </c>
      <c r="P512" s="9">
        <v>333.48</v>
      </c>
      <c r="Q512" s="9">
        <f t="shared" si="45"/>
        <v>333.48</v>
      </c>
      <c r="R512" s="9" t="str">
        <f t="shared" si="46"/>
        <v>OK</v>
      </c>
      <c r="S512" s="11">
        <v>0.11899999999999999</v>
      </c>
      <c r="T512" s="11" t="str">
        <f t="shared" si="47"/>
        <v>OK</v>
      </c>
      <c r="U512" s="13">
        <v>12</v>
      </c>
    </row>
    <row r="513" spans="1:21" x14ac:dyDescent="0.3">
      <c r="A513" s="7" t="s">
        <v>526</v>
      </c>
      <c r="B513" s="4">
        <v>45575</v>
      </c>
      <c r="C513" s="4">
        <v>45576</v>
      </c>
      <c r="D513" s="4" t="str">
        <f t="shared" si="42"/>
        <v>Valid</v>
      </c>
      <c r="E513" s="4">
        <f t="shared" si="43"/>
        <v>45576</v>
      </c>
      <c r="F513" s="13">
        <f t="shared" si="44"/>
        <v>1</v>
      </c>
      <c r="G513" s="7" t="s">
        <v>649</v>
      </c>
      <c r="H513" s="7" t="s">
        <v>658</v>
      </c>
      <c r="I513" s="7" t="s">
        <v>693</v>
      </c>
      <c r="J513" s="7" t="s">
        <v>703</v>
      </c>
      <c r="K513" s="7" t="s">
        <v>710</v>
      </c>
      <c r="L513" s="7" t="s">
        <v>716</v>
      </c>
      <c r="M513" s="7" t="s">
        <v>727</v>
      </c>
      <c r="N513" s="7" t="s">
        <v>1938</v>
      </c>
      <c r="O513" s="9">
        <v>1389.46</v>
      </c>
      <c r="P513" s="9">
        <v>1784.7</v>
      </c>
      <c r="Q513" s="9">
        <f t="shared" si="45"/>
        <v>1784.7</v>
      </c>
      <c r="R513" s="9" t="str">
        <f t="shared" si="46"/>
        <v>OK</v>
      </c>
      <c r="S513" s="11">
        <v>0.14599999999999999</v>
      </c>
      <c r="T513" s="11" t="str">
        <f t="shared" si="47"/>
        <v>OK</v>
      </c>
      <c r="U513" s="13">
        <v>33</v>
      </c>
    </row>
    <row r="514" spans="1:21" x14ac:dyDescent="0.3">
      <c r="A514" s="7" t="s">
        <v>527</v>
      </c>
      <c r="B514" s="4">
        <v>45078</v>
      </c>
      <c r="C514" s="4">
        <v>45085</v>
      </c>
      <c r="D514" s="4" t="str">
        <f t="shared" si="42"/>
        <v>Valid</v>
      </c>
      <c r="E514" s="4">
        <f t="shared" si="43"/>
        <v>45085</v>
      </c>
      <c r="F514" s="13">
        <f t="shared" si="44"/>
        <v>7</v>
      </c>
      <c r="G514" s="7" t="s">
        <v>649</v>
      </c>
      <c r="H514" s="7" t="s">
        <v>656</v>
      </c>
      <c r="I514" s="7" t="s">
        <v>698</v>
      </c>
      <c r="J514" s="7" t="s">
        <v>704</v>
      </c>
      <c r="K514" s="7" t="s">
        <v>708</v>
      </c>
      <c r="L514" s="7" t="s">
        <v>720</v>
      </c>
      <c r="M514" s="7" t="s">
        <v>730</v>
      </c>
      <c r="N514" s="7" t="s">
        <v>1939</v>
      </c>
      <c r="O514" s="9">
        <v>804.17</v>
      </c>
      <c r="P514" s="9">
        <v>1072.29</v>
      </c>
      <c r="Q514" s="9">
        <f t="shared" si="45"/>
        <v>1072.29</v>
      </c>
      <c r="R514" s="9" t="str">
        <f t="shared" si="46"/>
        <v>OK</v>
      </c>
      <c r="S514" s="11">
        <v>3.2000000000000001E-2</v>
      </c>
      <c r="T514" s="11" t="str">
        <f t="shared" si="47"/>
        <v>OK</v>
      </c>
      <c r="U514" s="13">
        <v>5</v>
      </c>
    </row>
    <row r="515" spans="1:21" x14ac:dyDescent="0.3">
      <c r="A515" s="7" t="s">
        <v>528</v>
      </c>
      <c r="B515" s="4">
        <v>45661</v>
      </c>
      <c r="C515" s="4">
        <v>45662</v>
      </c>
      <c r="D515" s="4" t="str">
        <f t="shared" ref="D515:D578" si="48">IF(C515&lt;B515,"Invalid","Valid")</f>
        <v>Valid</v>
      </c>
      <c r="E515" s="4">
        <f t="shared" ref="E515:E578" si="49">IF(C515&lt;B515,B515,C515)</f>
        <v>45662</v>
      </c>
      <c r="F515" s="13">
        <f t="shared" ref="F515:F578" si="50">E515-B515</f>
        <v>1</v>
      </c>
      <c r="G515" s="7" t="s">
        <v>647</v>
      </c>
      <c r="H515" s="7" t="s">
        <v>654</v>
      </c>
      <c r="I515" s="7" t="s">
        <v>680</v>
      </c>
      <c r="J515" s="7" t="s">
        <v>702</v>
      </c>
      <c r="K515" s="7" t="s">
        <v>707</v>
      </c>
      <c r="L515" s="7" t="s">
        <v>714</v>
      </c>
      <c r="M515" s="7" t="s">
        <v>727</v>
      </c>
      <c r="N515" s="7" t="s">
        <v>1940</v>
      </c>
      <c r="O515" s="9">
        <v>1428.33</v>
      </c>
      <c r="P515" s="9">
        <v>3028.05</v>
      </c>
      <c r="Q515" s="9">
        <f t="shared" ref="Q515:Q578" si="51">ABS(P515)</f>
        <v>3028.05</v>
      </c>
      <c r="R515" s="9" t="str">
        <f t="shared" ref="R515:R578" si="52">IF(P515&lt;=0,"FLAG","OK")</f>
        <v>OK</v>
      </c>
      <c r="S515" s="11">
        <v>0</v>
      </c>
      <c r="T515" s="11" t="str">
        <f t="shared" ref="T515:T578" si="53">IF(S515&gt;30%,"FLAG","OK")</f>
        <v>OK</v>
      </c>
      <c r="U515" s="13">
        <v>11</v>
      </c>
    </row>
    <row r="516" spans="1:21" x14ac:dyDescent="0.3">
      <c r="A516" s="7" t="s">
        <v>529</v>
      </c>
      <c r="B516" s="4">
        <v>45874</v>
      </c>
      <c r="C516" s="4">
        <v>45897</v>
      </c>
      <c r="D516" s="4" t="str">
        <f t="shared" si="48"/>
        <v>Valid</v>
      </c>
      <c r="E516" s="4">
        <f t="shared" si="49"/>
        <v>45897</v>
      </c>
      <c r="F516" s="13">
        <f t="shared" si="50"/>
        <v>23</v>
      </c>
      <c r="G516" s="7" t="s">
        <v>647</v>
      </c>
      <c r="H516" s="7" t="s">
        <v>654</v>
      </c>
      <c r="I516" s="7" t="s">
        <v>691</v>
      </c>
      <c r="J516" s="7" t="s">
        <v>703</v>
      </c>
      <c r="K516" s="7" t="s">
        <v>710</v>
      </c>
      <c r="L516" s="7" t="s">
        <v>725</v>
      </c>
      <c r="M516" s="7" t="s">
        <v>731</v>
      </c>
      <c r="N516" s="7" t="s">
        <v>1941</v>
      </c>
      <c r="O516" s="9">
        <v>638.54</v>
      </c>
      <c r="P516" s="9">
        <v>987.24</v>
      </c>
      <c r="Q516" s="9">
        <f t="shared" si="51"/>
        <v>987.24</v>
      </c>
      <c r="R516" s="9" t="str">
        <f t="shared" si="52"/>
        <v>OK</v>
      </c>
      <c r="S516" s="11">
        <v>0</v>
      </c>
      <c r="T516" s="11" t="str">
        <f t="shared" si="53"/>
        <v>OK</v>
      </c>
      <c r="U516" s="13">
        <v>11</v>
      </c>
    </row>
    <row r="517" spans="1:21" x14ac:dyDescent="0.3">
      <c r="A517" s="7" t="s">
        <v>530</v>
      </c>
      <c r="B517" s="4">
        <v>45199</v>
      </c>
      <c r="C517" s="4">
        <v>45229</v>
      </c>
      <c r="D517" s="4" t="str">
        <f t="shared" si="48"/>
        <v>Valid</v>
      </c>
      <c r="E517" s="4">
        <f t="shared" si="49"/>
        <v>45229</v>
      </c>
      <c r="F517" s="13">
        <f t="shared" si="50"/>
        <v>30</v>
      </c>
      <c r="G517" s="7" t="s">
        <v>647</v>
      </c>
      <c r="H517" s="7" t="s">
        <v>652</v>
      </c>
      <c r="I517" s="7" t="s">
        <v>689</v>
      </c>
      <c r="J517" s="7" t="s">
        <v>706</v>
      </c>
      <c r="K517" s="7" t="s">
        <v>708</v>
      </c>
      <c r="L517" s="7" t="s">
        <v>726</v>
      </c>
      <c r="M517" s="7" t="s">
        <v>728</v>
      </c>
      <c r="N517" s="7" t="s">
        <v>1942</v>
      </c>
      <c r="O517" s="9">
        <v>649.13</v>
      </c>
      <c r="P517" s="9">
        <v>975.43</v>
      </c>
      <c r="Q517" s="9">
        <f t="shared" si="51"/>
        <v>975.43</v>
      </c>
      <c r="R517" s="9" t="str">
        <f t="shared" si="52"/>
        <v>OK</v>
      </c>
      <c r="S517" s="11">
        <v>0.157</v>
      </c>
      <c r="T517" s="11" t="str">
        <f t="shared" si="53"/>
        <v>OK</v>
      </c>
      <c r="U517" s="13">
        <v>27</v>
      </c>
    </row>
    <row r="518" spans="1:21" x14ac:dyDescent="0.3">
      <c r="A518" s="7" t="s">
        <v>531</v>
      </c>
      <c r="B518" s="4">
        <v>45794</v>
      </c>
      <c r="C518" s="4">
        <v>45807</v>
      </c>
      <c r="D518" s="4" t="str">
        <f t="shared" si="48"/>
        <v>Valid</v>
      </c>
      <c r="E518" s="4">
        <f t="shared" si="49"/>
        <v>45807</v>
      </c>
      <c r="F518" s="13">
        <f t="shared" si="50"/>
        <v>13</v>
      </c>
      <c r="G518" s="7" t="s">
        <v>646</v>
      </c>
      <c r="H518" s="7" t="s">
        <v>651</v>
      </c>
      <c r="I518" s="7" t="s">
        <v>665</v>
      </c>
      <c r="J518" s="7" t="s">
        <v>704</v>
      </c>
      <c r="K518" s="7" t="s">
        <v>710</v>
      </c>
      <c r="L518" s="7" t="s">
        <v>721</v>
      </c>
      <c r="M518" s="7" t="s">
        <v>733</v>
      </c>
      <c r="N518" s="7" t="s">
        <v>1943</v>
      </c>
      <c r="O518" s="9">
        <v>66.400000000000006</v>
      </c>
      <c r="P518" s="9">
        <v>141.43</v>
      </c>
      <c r="Q518" s="9">
        <f t="shared" si="51"/>
        <v>141.43</v>
      </c>
      <c r="R518" s="9" t="str">
        <f t="shared" si="52"/>
        <v>OK</v>
      </c>
      <c r="S518" s="11">
        <v>0.107</v>
      </c>
      <c r="T518" s="11" t="str">
        <f t="shared" si="53"/>
        <v>OK</v>
      </c>
      <c r="U518" s="13">
        <v>8</v>
      </c>
    </row>
    <row r="519" spans="1:21" x14ac:dyDescent="0.3">
      <c r="A519" s="7" t="s">
        <v>532</v>
      </c>
      <c r="B519" s="4">
        <v>45413</v>
      </c>
      <c r="C519" s="4">
        <v>45438</v>
      </c>
      <c r="D519" s="4" t="str">
        <f t="shared" si="48"/>
        <v>Valid</v>
      </c>
      <c r="E519" s="4">
        <f t="shared" si="49"/>
        <v>45438</v>
      </c>
      <c r="F519" s="13">
        <f t="shared" si="50"/>
        <v>25</v>
      </c>
      <c r="G519" s="7" t="s">
        <v>649</v>
      </c>
      <c r="H519" s="7" t="s">
        <v>656</v>
      </c>
      <c r="I519" s="7" t="s">
        <v>671</v>
      </c>
      <c r="J519" s="7" t="s">
        <v>703</v>
      </c>
      <c r="K519" s="7" t="s">
        <v>707</v>
      </c>
      <c r="L519" s="7" t="s">
        <v>717</v>
      </c>
      <c r="M519" s="7" t="s">
        <v>729</v>
      </c>
      <c r="N519" s="7" t="s">
        <v>1944</v>
      </c>
      <c r="O519" s="9">
        <v>930.71</v>
      </c>
      <c r="P519" s="9">
        <v>1625.42</v>
      </c>
      <c r="Q519" s="9">
        <f t="shared" si="51"/>
        <v>1625.42</v>
      </c>
      <c r="R519" s="9" t="str">
        <f t="shared" si="52"/>
        <v>OK</v>
      </c>
      <c r="S519" s="11">
        <v>0.13800000000000001</v>
      </c>
      <c r="T519" s="11" t="str">
        <f t="shared" si="53"/>
        <v>OK</v>
      </c>
      <c r="U519" s="13">
        <v>7</v>
      </c>
    </row>
    <row r="520" spans="1:21" x14ac:dyDescent="0.3">
      <c r="A520" s="7" t="s">
        <v>533</v>
      </c>
      <c r="B520" s="4">
        <v>45047</v>
      </c>
      <c r="C520" s="4">
        <v>45064</v>
      </c>
      <c r="D520" s="4" t="str">
        <f t="shared" si="48"/>
        <v>Valid</v>
      </c>
      <c r="E520" s="4">
        <f t="shared" si="49"/>
        <v>45064</v>
      </c>
      <c r="F520" s="13">
        <f t="shared" si="50"/>
        <v>17</v>
      </c>
      <c r="G520" s="7" t="s">
        <v>646</v>
      </c>
      <c r="H520" s="7" t="s">
        <v>651</v>
      </c>
      <c r="I520" s="7" t="s">
        <v>663</v>
      </c>
      <c r="J520" s="7" t="s">
        <v>701</v>
      </c>
      <c r="K520" s="7" t="s">
        <v>711</v>
      </c>
      <c r="L520" s="7" t="s">
        <v>721</v>
      </c>
      <c r="M520" s="7" t="s">
        <v>727</v>
      </c>
      <c r="N520" s="7" t="s">
        <v>1945</v>
      </c>
      <c r="O520" s="9">
        <v>327.97</v>
      </c>
      <c r="P520" s="9">
        <v>299.94</v>
      </c>
      <c r="Q520" s="9">
        <f t="shared" si="51"/>
        <v>299.94</v>
      </c>
      <c r="R520" s="9" t="str">
        <f t="shared" si="52"/>
        <v>OK</v>
      </c>
      <c r="S520" s="11">
        <v>4.9000000000000002E-2</v>
      </c>
      <c r="T520" s="11" t="str">
        <f t="shared" si="53"/>
        <v>OK</v>
      </c>
      <c r="U520" s="13">
        <v>3</v>
      </c>
    </row>
    <row r="521" spans="1:21" x14ac:dyDescent="0.3">
      <c r="A521" s="7" t="s">
        <v>534</v>
      </c>
      <c r="B521" s="4">
        <v>45482</v>
      </c>
      <c r="C521" s="4">
        <v>45512</v>
      </c>
      <c r="D521" s="4" t="str">
        <f t="shared" si="48"/>
        <v>Valid</v>
      </c>
      <c r="E521" s="4">
        <f t="shared" si="49"/>
        <v>45512</v>
      </c>
      <c r="F521" s="13">
        <f t="shared" si="50"/>
        <v>30</v>
      </c>
      <c r="G521" s="7" t="s">
        <v>649</v>
      </c>
      <c r="H521" s="7" t="s">
        <v>657</v>
      </c>
      <c r="I521" s="7" t="s">
        <v>673</v>
      </c>
      <c r="J521" s="7" t="s">
        <v>701</v>
      </c>
      <c r="K521" s="7" t="s">
        <v>711</v>
      </c>
      <c r="L521" s="7" t="s">
        <v>713</v>
      </c>
      <c r="M521" s="7" t="s">
        <v>727</v>
      </c>
      <c r="N521" s="7" t="s">
        <v>1946</v>
      </c>
      <c r="O521" s="9">
        <v>1062.3800000000001</v>
      </c>
      <c r="P521" s="9">
        <v>1503.96</v>
      </c>
      <c r="Q521" s="9">
        <f t="shared" si="51"/>
        <v>1503.96</v>
      </c>
      <c r="R521" s="9" t="str">
        <f t="shared" si="52"/>
        <v>OK</v>
      </c>
      <c r="S521" s="11">
        <v>0.18</v>
      </c>
      <c r="T521" s="11" t="str">
        <f t="shared" si="53"/>
        <v>OK</v>
      </c>
      <c r="U521" s="13">
        <v>6</v>
      </c>
    </row>
    <row r="522" spans="1:21" x14ac:dyDescent="0.3">
      <c r="A522" s="7" t="s">
        <v>535</v>
      </c>
      <c r="B522" s="4">
        <v>45056</v>
      </c>
      <c r="C522" s="4">
        <v>45073</v>
      </c>
      <c r="D522" s="4" t="str">
        <f t="shared" si="48"/>
        <v>Valid</v>
      </c>
      <c r="E522" s="4">
        <f t="shared" si="49"/>
        <v>45073</v>
      </c>
      <c r="F522" s="13">
        <f t="shared" si="50"/>
        <v>17</v>
      </c>
      <c r="G522" s="7" t="s">
        <v>647</v>
      </c>
      <c r="H522" s="7" t="s">
        <v>654</v>
      </c>
      <c r="I522" s="7" t="s">
        <v>691</v>
      </c>
      <c r="J522" s="7" t="s">
        <v>704</v>
      </c>
      <c r="K522" s="7" t="s">
        <v>707</v>
      </c>
      <c r="L522" s="7" t="s">
        <v>724</v>
      </c>
      <c r="M522" s="7" t="s">
        <v>731</v>
      </c>
      <c r="N522" s="7" t="s">
        <v>1947</v>
      </c>
      <c r="O522" s="9">
        <v>1286.1600000000001</v>
      </c>
      <c r="P522" s="9">
        <v>3101.11</v>
      </c>
      <c r="Q522" s="9">
        <f t="shared" si="51"/>
        <v>3101.11</v>
      </c>
      <c r="R522" s="9" t="str">
        <f t="shared" si="52"/>
        <v>OK</v>
      </c>
      <c r="S522" s="11">
        <v>0.1</v>
      </c>
      <c r="T522" s="11" t="str">
        <f t="shared" si="53"/>
        <v>OK</v>
      </c>
      <c r="U522" s="13">
        <v>23</v>
      </c>
    </row>
    <row r="523" spans="1:21" x14ac:dyDescent="0.3">
      <c r="A523" s="7" t="s">
        <v>536</v>
      </c>
      <c r="B523" s="4">
        <v>45482</v>
      </c>
      <c r="C523" s="4">
        <v>45485</v>
      </c>
      <c r="D523" s="4" t="str">
        <f t="shared" si="48"/>
        <v>Valid</v>
      </c>
      <c r="E523" s="4">
        <f t="shared" si="49"/>
        <v>45485</v>
      </c>
      <c r="F523" s="13">
        <f t="shared" si="50"/>
        <v>3</v>
      </c>
      <c r="G523" s="7" t="s">
        <v>647</v>
      </c>
      <c r="H523" s="7" t="s">
        <v>659</v>
      </c>
      <c r="I523" s="7" t="s">
        <v>685</v>
      </c>
      <c r="J523" s="7" t="s">
        <v>705</v>
      </c>
      <c r="K523" s="7" t="s">
        <v>707</v>
      </c>
      <c r="L523" s="7" t="s">
        <v>726</v>
      </c>
      <c r="M523" s="7" t="s">
        <v>733</v>
      </c>
      <c r="N523" s="7" t="s">
        <v>1948</v>
      </c>
      <c r="O523" s="9">
        <v>748.39</v>
      </c>
      <c r="P523" s="9">
        <v>979.42</v>
      </c>
      <c r="Q523" s="9">
        <f t="shared" si="51"/>
        <v>979.42</v>
      </c>
      <c r="R523" s="9" t="str">
        <f t="shared" si="52"/>
        <v>OK</v>
      </c>
      <c r="S523" s="11">
        <v>0</v>
      </c>
      <c r="T523" s="11" t="str">
        <f t="shared" si="53"/>
        <v>OK</v>
      </c>
      <c r="U523" s="13">
        <v>23</v>
      </c>
    </row>
    <row r="524" spans="1:21" x14ac:dyDescent="0.3">
      <c r="A524" s="7" t="s">
        <v>537</v>
      </c>
      <c r="B524" s="4">
        <v>45406</v>
      </c>
      <c r="C524" s="4">
        <v>45422</v>
      </c>
      <c r="D524" s="4" t="str">
        <f t="shared" si="48"/>
        <v>Valid</v>
      </c>
      <c r="E524" s="4">
        <f t="shared" si="49"/>
        <v>45422</v>
      </c>
      <c r="F524" s="13">
        <f t="shared" si="50"/>
        <v>16</v>
      </c>
      <c r="G524" s="7" t="s">
        <v>646</v>
      </c>
      <c r="H524" s="7" t="s">
        <v>650</v>
      </c>
      <c r="I524" s="7" t="s">
        <v>662</v>
      </c>
      <c r="J524" s="7" t="s">
        <v>703</v>
      </c>
      <c r="K524" s="7" t="s">
        <v>708</v>
      </c>
      <c r="L524" s="7" t="s">
        <v>725</v>
      </c>
      <c r="M524" s="7" t="s">
        <v>732</v>
      </c>
      <c r="N524" s="7" t="s">
        <v>1949</v>
      </c>
      <c r="O524" s="9">
        <v>513.30999999999995</v>
      </c>
      <c r="P524" s="9">
        <v>1186.26</v>
      </c>
      <c r="Q524" s="9">
        <f t="shared" si="51"/>
        <v>1186.26</v>
      </c>
      <c r="R524" s="9" t="str">
        <f t="shared" si="52"/>
        <v>OK</v>
      </c>
      <c r="S524" s="11">
        <v>9.4E-2</v>
      </c>
      <c r="T524" s="11" t="str">
        <f t="shared" si="53"/>
        <v>OK</v>
      </c>
      <c r="U524" s="13">
        <v>15</v>
      </c>
    </row>
    <row r="525" spans="1:21" x14ac:dyDescent="0.3">
      <c r="A525" s="7" t="s">
        <v>538</v>
      </c>
      <c r="B525" s="4">
        <v>45304</v>
      </c>
      <c r="C525" s="4">
        <v>45306</v>
      </c>
      <c r="D525" s="4" t="str">
        <f t="shared" si="48"/>
        <v>Valid</v>
      </c>
      <c r="E525" s="4">
        <f t="shared" si="49"/>
        <v>45306</v>
      </c>
      <c r="F525" s="13">
        <f t="shared" si="50"/>
        <v>2</v>
      </c>
      <c r="G525" s="7" t="s">
        <v>648</v>
      </c>
      <c r="H525" s="7" t="s">
        <v>1425</v>
      </c>
      <c r="I525" s="7" t="s">
        <v>686</v>
      </c>
      <c r="J525" s="7" t="s">
        <v>703</v>
      </c>
      <c r="K525" s="7" t="s">
        <v>711</v>
      </c>
      <c r="L525" s="7" t="s">
        <v>718</v>
      </c>
      <c r="M525" s="7" t="s">
        <v>727</v>
      </c>
      <c r="N525" s="7" t="s">
        <v>1950</v>
      </c>
      <c r="O525" s="9">
        <v>1061.3699999999999</v>
      </c>
      <c r="P525" s="9">
        <v>1938.33</v>
      </c>
      <c r="Q525" s="9">
        <f t="shared" si="51"/>
        <v>1938.33</v>
      </c>
      <c r="R525" s="9" t="str">
        <f t="shared" si="52"/>
        <v>OK</v>
      </c>
      <c r="S525" s="11">
        <v>0.17</v>
      </c>
      <c r="T525" s="11" t="str">
        <f t="shared" si="53"/>
        <v>OK</v>
      </c>
      <c r="U525" s="13">
        <v>4</v>
      </c>
    </row>
    <row r="526" spans="1:21" x14ac:dyDescent="0.3">
      <c r="A526" s="7" t="s">
        <v>539</v>
      </c>
      <c r="B526" s="4">
        <v>45398</v>
      </c>
      <c r="C526" s="4">
        <v>45409</v>
      </c>
      <c r="D526" s="4" t="str">
        <f t="shared" si="48"/>
        <v>Valid</v>
      </c>
      <c r="E526" s="4">
        <f t="shared" si="49"/>
        <v>45409</v>
      </c>
      <c r="F526" s="13">
        <f t="shared" si="50"/>
        <v>11</v>
      </c>
      <c r="G526" s="7" t="s">
        <v>646</v>
      </c>
      <c r="H526" s="7" t="s">
        <v>650</v>
      </c>
      <c r="I526" s="7" t="s">
        <v>678</v>
      </c>
      <c r="J526" s="7" t="s">
        <v>706</v>
      </c>
      <c r="K526" s="7" t="s">
        <v>708</v>
      </c>
      <c r="L526" s="7" t="s">
        <v>726</v>
      </c>
      <c r="M526" s="7" t="s">
        <v>728</v>
      </c>
      <c r="N526" s="7" t="s">
        <v>1951</v>
      </c>
      <c r="O526" s="9">
        <v>401.3</v>
      </c>
      <c r="P526" s="9">
        <v>826.47</v>
      </c>
      <c r="Q526" s="9">
        <f t="shared" si="51"/>
        <v>826.47</v>
      </c>
      <c r="R526" s="9" t="str">
        <f t="shared" si="52"/>
        <v>OK</v>
      </c>
      <c r="S526" s="11">
        <v>0.22500000000000001</v>
      </c>
      <c r="T526" s="11" t="str">
        <f t="shared" si="53"/>
        <v>OK</v>
      </c>
      <c r="U526" s="13">
        <v>13</v>
      </c>
    </row>
    <row r="527" spans="1:21" x14ac:dyDescent="0.3">
      <c r="A527" s="7" t="s">
        <v>540</v>
      </c>
      <c r="B527" s="4">
        <v>45695</v>
      </c>
      <c r="C527" s="4">
        <v>45704</v>
      </c>
      <c r="D527" s="4" t="str">
        <f t="shared" si="48"/>
        <v>Valid</v>
      </c>
      <c r="E527" s="4">
        <f t="shared" si="49"/>
        <v>45704</v>
      </c>
      <c r="F527" s="13">
        <f t="shared" si="50"/>
        <v>9</v>
      </c>
      <c r="G527" s="7" t="s">
        <v>646</v>
      </c>
      <c r="H527" s="7" t="s">
        <v>651</v>
      </c>
      <c r="I527" s="7" t="s">
        <v>665</v>
      </c>
      <c r="J527" s="7" t="s">
        <v>705</v>
      </c>
      <c r="K527" s="7" t="s">
        <v>710</v>
      </c>
      <c r="L527" s="7" t="s">
        <v>712</v>
      </c>
      <c r="M527" s="7" t="s">
        <v>728</v>
      </c>
      <c r="N527" s="7" t="s">
        <v>1952</v>
      </c>
      <c r="O527" s="9">
        <v>90.68</v>
      </c>
      <c r="P527" s="9">
        <v>118.17</v>
      </c>
      <c r="Q527" s="9">
        <f t="shared" si="51"/>
        <v>118.17</v>
      </c>
      <c r="R527" s="9" t="str">
        <f t="shared" si="52"/>
        <v>OK</v>
      </c>
      <c r="S527" s="11">
        <v>0.13500000000000001</v>
      </c>
      <c r="T527" s="11" t="str">
        <f t="shared" si="53"/>
        <v>OK</v>
      </c>
      <c r="U527" s="13">
        <v>21</v>
      </c>
    </row>
    <row r="528" spans="1:21" x14ac:dyDescent="0.3">
      <c r="A528" s="7" t="s">
        <v>541</v>
      </c>
      <c r="B528" s="4">
        <v>44938</v>
      </c>
      <c r="C528" s="4">
        <v>44952</v>
      </c>
      <c r="D528" s="4" t="str">
        <f t="shared" si="48"/>
        <v>Valid</v>
      </c>
      <c r="E528" s="4">
        <f t="shared" si="49"/>
        <v>44952</v>
      </c>
      <c r="F528" s="13">
        <f t="shared" si="50"/>
        <v>14</v>
      </c>
      <c r="G528" s="7" t="s">
        <v>647</v>
      </c>
      <c r="H528" s="7" t="s">
        <v>659</v>
      </c>
      <c r="I528" s="7" t="s">
        <v>676</v>
      </c>
      <c r="J528" s="7" t="s">
        <v>703</v>
      </c>
      <c r="K528" s="7" t="s">
        <v>707</v>
      </c>
      <c r="L528" s="7" t="s">
        <v>724</v>
      </c>
      <c r="M528" s="7" t="s">
        <v>728</v>
      </c>
      <c r="N528" s="7" t="s">
        <v>1953</v>
      </c>
      <c r="O528" s="9">
        <v>1083.0899999999999</v>
      </c>
      <c r="P528" s="9">
        <v>1425.87</v>
      </c>
      <c r="Q528" s="9">
        <f t="shared" si="51"/>
        <v>1425.87</v>
      </c>
      <c r="R528" s="9" t="str">
        <f t="shared" si="52"/>
        <v>OK</v>
      </c>
      <c r="S528" s="11">
        <v>0</v>
      </c>
      <c r="T528" s="11" t="str">
        <f t="shared" si="53"/>
        <v>OK</v>
      </c>
      <c r="U528" s="13">
        <v>8</v>
      </c>
    </row>
    <row r="529" spans="1:21" x14ac:dyDescent="0.3">
      <c r="A529" s="7" t="s">
        <v>542</v>
      </c>
      <c r="B529" s="4">
        <v>45448</v>
      </c>
      <c r="C529" s="4">
        <v>45466</v>
      </c>
      <c r="D529" s="4" t="str">
        <f t="shared" si="48"/>
        <v>Valid</v>
      </c>
      <c r="E529" s="4">
        <f t="shared" si="49"/>
        <v>45466</v>
      </c>
      <c r="F529" s="13">
        <f t="shared" si="50"/>
        <v>18</v>
      </c>
      <c r="G529" s="7" t="s">
        <v>646</v>
      </c>
      <c r="H529" s="7" t="s">
        <v>650</v>
      </c>
      <c r="I529" s="7" t="s">
        <v>664</v>
      </c>
      <c r="J529" s="7" t="s">
        <v>704</v>
      </c>
      <c r="K529" s="7" t="s">
        <v>710</v>
      </c>
      <c r="L529" s="7" t="s">
        <v>726</v>
      </c>
      <c r="M529" s="7" t="s">
        <v>731</v>
      </c>
      <c r="N529" s="7" t="s">
        <v>1954</v>
      </c>
      <c r="O529" s="9">
        <v>1208.74</v>
      </c>
      <c r="P529" s="9">
        <v>1594.78</v>
      </c>
      <c r="Q529" s="9">
        <f t="shared" si="51"/>
        <v>1594.78</v>
      </c>
      <c r="R529" s="9" t="str">
        <f t="shared" si="52"/>
        <v>OK</v>
      </c>
      <c r="S529" s="11">
        <v>5.8999999999999997E-2</v>
      </c>
      <c r="T529" s="11" t="str">
        <f t="shared" si="53"/>
        <v>OK</v>
      </c>
      <c r="U529" s="13">
        <v>39</v>
      </c>
    </row>
    <row r="530" spans="1:21" x14ac:dyDescent="0.3">
      <c r="A530" s="7" t="s">
        <v>543</v>
      </c>
      <c r="B530" s="4">
        <v>45162</v>
      </c>
      <c r="C530" s="4">
        <v>45189</v>
      </c>
      <c r="D530" s="4" t="str">
        <f t="shared" si="48"/>
        <v>Valid</v>
      </c>
      <c r="E530" s="4">
        <f t="shared" si="49"/>
        <v>45189</v>
      </c>
      <c r="F530" s="13">
        <f t="shared" si="50"/>
        <v>27</v>
      </c>
      <c r="G530" s="7" t="s">
        <v>646</v>
      </c>
      <c r="H530" s="7" t="s">
        <v>661</v>
      </c>
      <c r="I530" s="7" t="s">
        <v>687</v>
      </c>
      <c r="J530" s="7" t="s">
        <v>705</v>
      </c>
      <c r="K530" s="7" t="s">
        <v>709</v>
      </c>
      <c r="L530" s="7" t="s">
        <v>724</v>
      </c>
      <c r="M530" s="7" t="s">
        <v>728</v>
      </c>
      <c r="N530" s="7" t="s">
        <v>1955</v>
      </c>
      <c r="O530" s="9">
        <v>1399.64</v>
      </c>
      <c r="P530" s="9">
        <v>3342.11</v>
      </c>
      <c r="Q530" s="9">
        <f t="shared" si="51"/>
        <v>3342.11</v>
      </c>
      <c r="R530" s="9" t="str">
        <f t="shared" si="52"/>
        <v>OK</v>
      </c>
      <c r="S530" s="11">
        <v>0</v>
      </c>
      <c r="T530" s="11" t="str">
        <f t="shared" si="53"/>
        <v>OK</v>
      </c>
      <c r="U530" s="13">
        <v>10</v>
      </c>
    </row>
    <row r="531" spans="1:21" x14ac:dyDescent="0.3">
      <c r="A531" s="7" t="s">
        <v>544</v>
      </c>
      <c r="B531" s="4">
        <v>45316</v>
      </c>
      <c r="C531" s="4">
        <v>45330</v>
      </c>
      <c r="D531" s="4" t="str">
        <f t="shared" si="48"/>
        <v>Valid</v>
      </c>
      <c r="E531" s="4">
        <f t="shared" si="49"/>
        <v>45330</v>
      </c>
      <c r="F531" s="13">
        <f t="shared" si="50"/>
        <v>14</v>
      </c>
      <c r="G531" s="7" t="s">
        <v>647</v>
      </c>
      <c r="H531" s="7" t="s">
        <v>652</v>
      </c>
      <c r="I531" s="7" t="s">
        <v>666</v>
      </c>
      <c r="J531" s="7" t="s">
        <v>704</v>
      </c>
      <c r="K531" s="7" t="s">
        <v>709</v>
      </c>
      <c r="L531" s="7" t="s">
        <v>714</v>
      </c>
      <c r="M531" s="7" t="s">
        <v>729</v>
      </c>
      <c r="N531" s="7" t="s">
        <v>1956</v>
      </c>
      <c r="O531" s="9">
        <v>937.16</v>
      </c>
      <c r="P531" s="9">
        <v>1069.77</v>
      </c>
      <c r="Q531" s="9">
        <f t="shared" si="51"/>
        <v>1069.77</v>
      </c>
      <c r="R531" s="9" t="str">
        <f t="shared" si="52"/>
        <v>OK</v>
      </c>
      <c r="S531" s="11">
        <v>3.7999999999999999E-2</v>
      </c>
      <c r="T531" s="11" t="str">
        <f t="shared" si="53"/>
        <v>OK</v>
      </c>
      <c r="U531" s="13">
        <v>9</v>
      </c>
    </row>
    <row r="532" spans="1:21" x14ac:dyDescent="0.3">
      <c r="A532" s="7" t="s">
        <v>545</v>
      </c>
      <c r="B532" s="4">
        <v>45727</v>
      </c>
      <c r="C532" s="4">
        <v>45742</v>
      </c>
      <c r="D532" s="4" t="str">
        <f t="shared" si="48"/>
        <v>Valid</v>
      </c>
      <c r="E532" s="4">
        <f t="shared" si="49"/>
        <v>45742</v>
      </c>
      <c r="F532" s="13">
        <f t="shared" si="50"/>
        <v>15</v>
      </c>
      <c r="G532" s="7" t="s">
        <v>649</v>
      </c>
      <c r="H532" s="7" t="s">
        <v>656</v>
      </c>
      <c r="I532" s="7" t="s">
        <v>671</v>
      </c>
      <c r="J532" s="7" t="s">
        <v>705</v>
      </c>
      <c r="K532" s="7" t="s">
        <v>708</v>
      </c>
      <c r="L532" s="7" t="s">
        <v>714</v>
      </c>
      <c r="M532" s="7" t="s">
        <v>730</v>
      </c>
      <c r="N532" s="7" t="s">
        <v>1957</v>
      </c>
      <c r="O532" s="9">
        <v>116.97</v>
      </c>
      <c r="P532" s="9">
        <v>140.82</v>
      </c>
      <c r="Q532" s="9">
        <f t="shared" si="51"/>
        <v>140.82</v>
      </c>
      <c r="R532" s="9" t="str">
        <f t="shared" si="52"/>
        <v>OK</v>
      </c>
      <c r="S532" s="11">
        <v>0.122</v>
      </c>
      <c r="T532" s="11" t="str">
        <f t="shared" si="53"/>
        <v>OK</v>
      </c>
      <c r="U532" s="13">
        <v>5</v>
      </c>
    </row>
    <row r="533" spans="1:21" x14ac:dyDescent="0.3">
      <c r="A533" s="7" t="s">
        <v>546</v>
      </c>
      <c r="B533" s="4">
        <v>45769</v>
      </c>
      <c r="C533" s="4">
        <v>45789</v>
      </c>
      <c r="D533" s="4" t="str">
        <f t="shared" si="48"/>
        <v>Valid</v>
      </c>
      <c r="E533" s="4">
        <f t="shared" si="49"/>
        <v>45789</v>
      </c>
      <c r="F533" s="13">
        <f t="shared" si="50"/>
        <v>20</v>
      </c>
      <c r="G533" s="7" t="s">
        <v>649</v>
      </c>
      <c r="H533" s="7" t="s">
        <v>657</v>
      </c>
      <c r="I533" s="7" t="s">
        <v>679</v>
      </c>
      <c r="J533" s="7" t="s">
        <v>706</v>
      </c>
      <c r="K533" s="7" t="s">
        <v>709</v>
      </c>
      <c r="L533" s="7" t="s">
        <v>723</v>
      </c>
      <c r="M533" s="7" t="s">
        <v>732</v>
      </c>
      <c r="N533" s="7" t="s">
        <v>1958</v>
      </c>
      <c r="O533" s="9">
        <v>59.51</v>
      </c>
      <c r="P533" s="9">
        <v>67.040000000000006</v>
      </c>
      <c r="Q533" s="9">
        <f t="shared" si="51"/>
        <v>67.040000000000006</v>
      </c>
      <c r="R533" s="9" t="str">
        <f t="shared" si="52"/>
        <v>OK</v>
      </c>
      <c r="S533" s="11">
        <v>0.114</v>
      </c>
      <c r="T533" s="11" t="str">
        <f t="shared" si="53"/>
        <v>OK</v>
      </c>
      <c r="U533" s="13">
        <v>9</v>
      </c>
    </row>
    <row r="534" spans="1:21" x14ac:dyDescent="0.3">
      <c r="A534" s="7" t="s">
        <v>547</v>
      </c>
      <c r="B534" s="4">
        <v>45155</v>
      </c>
      <c r="C534" s="4">
        <v>45172</v>
      </c>
      <c r="D534" s="4" t="str">
        <f t="shared" si="48"/>
        <v>Valid</v>
      </c>
      <c r="E534" s="4">
        <f t="shared" si="49"/>
        <v>45172</v>
      </c>
      <c r="F534" s="13">
        <f t="shared" si="50"/>
        <v>17</v>
      </c>
      <c r="G534" s="7" t="s">
        <v>646</v>
      </c>
      <c r="H534" s="7" t="s">
        <v>661</v>
      </c>
      <c r="I534" s="7" t="s">
        <v>687</v>
      </c>
      <c r="J534" s="7" t="s">
        <v>706</v>
      </c>
      <c r="K534" s="7" t="s">
        <v>707</v>
      </c>
      <c r="L534" s="7" t="s">
        <v>720</v>
      </c>
      <c r="M534" s="7" t="s">
        <v>730</v>
      </c>
      <c r="N534" s="7" t="s">
        <v>1959</v>
      </c>
      <c r="O534" s="9">
        <v>676.37</v>
      </c>
      <c r="P534" s="9">
        <v>1276.67</v>
      </c>
      <c r="Q534" s="9">
        <f t="shared" si="51"/>
        <v>1276.67</v>
      </c>
      <c r="R534" s="9" t="str">
        <f t="shared" si="52"/>
        <v>OK</v>
      </c>
      <c r="S534" s="11">
        <v>6.6000000000000003E-2</v>
      </c>
      <c r="T534" s="11" t="str">
        <f t="shared" si="53"/>
        <v>OK</v>
      </c>
      <c r="U534" s="13">
        <v>10</v>
      </c>
    </row>
    <row r="535" spans="1:21" x14ac:dyDescent="0.3">
      <c r="A535" s="7" t="s">
        <v>548</v>
      </c>
      <c r="B535" s="4">
        <v>45832</v>
      </c>
      <c r="C535" s="4">
        <v>45852</v>
      </c>
      <c r="D535" s="4" t="str">
        <f t="shared" si="48"/>
        <v>Valid</v>
      </c>
      <c r="E535" s="4">
        <f t="shared" si="49"/>
        <v>45852</v>
      </c>
      <c r="F535" s="13">
        <f t="shared" si="50"/>
        <v>20</v>
      </c>
      <c r="G535" s="7" t="s">
        <v>646</v>
      </c>
      <c r="H535" s="7" t="s">
        <v>661</v>
      </c>
      <c r="I535" s="7" t="s">
        <v>682</v>
      </c>
      <c r="J535" s="7" t="s">
        <v>706</v>
      </c>
      <c r="K535" s="7" t="s">
        <v>709</v>
      </c>
      <c r="L535" s="7" t="s">
        <v>713</v>
      </c>
      <c r="M535" s="7" t="s">
        <v>731</v>
      </c>
      <c r="N535" s="7" t="s">
        <v>1960</v>
      </c>
      <c r="O535" s="9">
        <v>1151.06</v>
      </c>
      <c r="P535" s="9">
        <v>2821.36</v>
      </c>
      <c r="Q535" s="9">
        <f t="shared" si="51"/>
        <v>2821.36</v>
      </c>
      <c r="R535" s="9" t="str">
        <f t="shared" si="52"/>
        <v>OK</v>
      </c>
      <c r="S535" s="11">
        <v>0.248</v>
      </c>
      <c r="T535" s="11" t="str">
        <f t="shared" si="53"/>
        <v>OK</v>
      </c>
      <c r="U535" s="13">
        <v>20</v>
      </c>
    </row>
    <row r="536" spans="1:21" x14ac:dyDescent="0.3">
      <c r="A536" s="7" t="s">
        <v>549</v>
      </c>
      <c r="B536" s="4">
        <v>45667</v>
      </c>
      <c r="C536" s="4">
        <v>45694</v>
      </c>
      <c r="D536" s="4" t="str">
        <f t="shared" si="48"/>
        <v>Valid</v>
      </c>
      <c r="E536" s="4">
        <f t="shared" si="49"/>
        <v>45694</v>
      </c>
      <c r="F536" s="13">
        <f t="shared" si="50"/>
        <v>27</v>
      </c>
      <c r="G536" s="7" t="s">
        <v>648</v>
      </c>
      <c r="H536" s="7" t="s">
        <v>655</v>
      </c>
      <c r="I536" s="7" t="s">
        <v>672</v>
      </c>
      <c r="J536" s="7" t="s">
        <v>703</v>
      </c>
      <c r="K536" s="7" t="s">
        <v>707</v>
      </c>
      <c r="L536" s="7" t="s">
        <v>717</v>
      </c>
      <c r="M536" s="7" t="s">
        <v>731</v>
      </c>
      <c r="N536" s="7" t="s">
        <v>1961</v>
      </c>
      <c r="O536" s="9">
        <v>725.62</v>
      </c>
      <c r="P536" s="9">
        <v>1559.19</v>
      </c>
      <c r="Q536" s="9">
        <f t="shared" si="51"/>
        <v>1559.19</v>
      </c>
      <c r="R536" s="9" t="str">
        <f t="shared" si="52"/>
        <v>OK</v>
      </c>
      <c r="S536" s="11">
        <v>0.19</v>
      </c>
      <c r="T536" s="11" t="str">
        <f t="shared" si="53"/>
        <v>OK</v>
      </c>
      <c r="U536" s="13">
        <v>12</v>
      </c>
    </row>
    <row r="537" spans="1:21" x14ac:dyDescent="0.3">
      <c r="A537" s="7" t="s">
        <v>550</v>
      </c>
      <c r="B537" s="4">
        <v>45108</v>
      </c>
      <c r="C537" s="4">
        <v>45118</v>
      </c>
      <c r="D537" s="4" t="str">
        <f t="shared" si="48"/>
        <v>Valid</v>
      </c>
      <c r="E537" s="4">
        <f t="shared" si="49"/>
        <v>45118</v>
      </c>
      <c r="F537" s="13">
        <f t="shared" si="50"/>
        <v>10</v>
      </c>
      <c r="G537" s="7" t="s">
        <v>649</v>
      </c>
      <c r="H537" s="7" t="s">
        <v>657</v>
      </c>
      <c r="I537" s="7" t="s">
        <v>690</v>
      </c>
      <c r="J537" s="7" t="s">
        <v>701</v>
      </c>
      <c r="K537" s="7" t="s">
        <v>711</v>
      </c>
      <c r="L537" s="7" t="s">
        <v>721</v>
      </c>
      <c r="M537" s="7" t="s">
        <v>729</v>
      </c>
      <c r="N537" s="7" t="s">
        <v>1962</v>
      </c>
      <c r="O537" s="9">
        <v>479.5</v>
      </c>
      <c r="P537" s="9">
        <v>656.66</v>
      </c>
      <c r="Q537" s="9">
        <f t="shared" si="51"/>
        <v>656.66</v>
      </c>
      <c r="R537" s="9" t="str">
        <f t="shared" si="52"/>
        <v>OK</v>
      </c>
      <c r="S537" s="11">
        <v>0.14899999999999999</v>
      </c>
      <c r="T537" s="11" t="str">
        <f t="shared" si="53"/>
        <v>OK</v>
      </c>
      <c r="U537" s="13">
        <v>14</v>
      </c>
    </row>
    <row r="538" spans="1:21" x14ac:dyDescent="0.3">
      <c r="A538" s="7" t="s">
        <v>551</v>
      </c>
      <c r="B538" s="4">
        <v>45520</v>
      </c>
      <c r="C538" s="4">
        <v>45530</v>
      </c>
      <c r="D538" s="4" t="str">
        <f t="shared" si="48"/>
        <v>Valid</v>
      </c>
      <c r="E538" s="4">
        <f t="shared" si="49"/>
        <v>45530</v>
      </c>
      <c r="F538" s="13">
        <f t="shared" si="50"/>
        <v>10</v>
      </c>
      <c r="G538" s="7" t="s">
        <v>648</v>
      </c>
      <c r="H538" s="7" t="s">
        <v>1425</v>
      </c>
      <c r="I538" s="7" t="s">
        <v>677</v>
      </c>
      <c r="J538" s="7" t="s">
        <v>701</v>
      </c>
      <c r="K538" s="7" t="s">
        <v>710</v>
      </c>
      <c r="L538" s="7" t="s">
        <v>716</v>
      </c>
      <c r="M538" s="7" t="s">
        <v>731</v>
      </c>
      <c r="N538" s="7" t="s">
        <v>1814</v>
      </c>
      <c r="O538" s="9">
        <v>1291.7</v>
      </c>
      <c r="P538" s="9">
        <v>2657.84</v>
      </c>
      <c r="Q538" s="9">
        <f t="shared" si="51"/>
        <v>2657.84</v>
      </c>
      <c r="R538" s="9" t="str">
        <f t="shared" si="52"/>
        <v>OK</v>
      </c>
      <c r="S538" s="11">
        <v>8.6999999999999994E-2</v>
      </c>
      <c r="T538" s="11" t="str">
        <f t="shared" si="53"/>
        <v>OK</v>
      </c>
      <c r="U538" s="13">
        <v>21</v>
      </c>
    </row>
    <row r="539" spans="1:21" x14ac:dyDescent="0.3">
      <c r="A539" s="7" t="s">
        <v>552</v>
      </c>
      <c r="B539" s="4">
        <v>45114</v>
      </c>
      <c r="C539" s="4">
        <v>45120</v>
      </c>
      <c r="D539" s="4" t="str">
        <f t="shared" si="48"/>
        <v>Valid</v>
      </c>
      <c r="E539" s="4">
        <f t="shared" si="49"/>
        <v>45120</v>
      </c>
      <c r="F539" s="13">
        <f t="shared" si="50"/>
        <v>6</v>
      </c>
      <c r="G539" s="7" t="s">
        <v>646</v>
      </c>
      <c r="H539" s="7" t="s">
        <v>661</v>
      </c>
      <c r="I539" s="7" t="s">
        <v>695</v>
      </c>
      <c r="J539" s="7" t="s">
        <v>705</v>
      </c>
      <c r="K539" s="7" t="s">
        <v>709</v>
      </c>
      <c r="L539" s="7" t="s">
        <v>717</v>
      </c>
      <c r="M539" s="7" t="s">
        <v>733</v>
      </c>
      <c r="N539" s="7" t="s">
        <v>1963</v>
      </c>
      <c r="O539" s="9">
        <v>612.59</v>
      </c>
      <c r="P539" s="9">
        <v>1424.74</v>
      </c>
      <c r="Q539" s="9">
        <f t="shared" si="51"/>
        <v>1424.74</v>
      </c>
      <c r="R539" s="9" t="str">
        <f t="shared" si="52"/>
        <v>OK</v>
      </c>
      <c r="S539" s="11">
        <v>4.3999999999999997E-2</v>
      </c>
      <c r="T539" s="11" t="str">
        <f t="shared" si="53"/>
        <v>OK</v>
      </c>
      <c r="U539" s="13">
        <v>15</v>
      </c>
    </row>
    <row r="540" spans="1:21" x14ac:dyDescent="0.3">
      <c r="A540" s="7" t="s">
        <v>553</v>
      </c>
      <c r="B540" s="4">
        <v>45288</v>
      </c>
      <c r="C540" s="4">
        <v>45292</v>
      </c>
      <c r="D540" s="4" t="str">
        <f t="shared" si="48"/>
        <v>Valid</v>
      </c>
      <c r="E540" s="4">
        <f t="shared" si="49"/>
        <v>45292</v>
      </c>
      <c r="F540" s="13">
        <f t="shared" si="50"/>
        <v>4</v>
      </c>
      <c r="G540" s="7" t="s">
        <v>646</v>
      </c>
      <c r="H540" s="7" t="s">
        <v>661</v>
      </c>
      <c r="I540" s="7" t="s">
        <v>695</v>
      </c>
      <c r="J540" s="7" t="s">
        <v>702</v>
      </c>
      <c r="K540" s="7" t="s">
        <v>710</v>
      </c>
      <c r="L540" s="7" t="s">
        <v>720</v>
      </c>
      <c r="M540" s="7" t="s">
        <v>728</v>
      </c>
      <c r="N540" s="7" t="s">
        <v>1964</v>
      </c>
      <c r="O540" s="9">
        <v>1141.8</v>
      </c>
      <c r="P540" s="9">
        <v>2318.7399999999998</v>
      </c>
      <c r="Q540" s="9">
        <f t="shared" si="51"/>
        <v>2318.7399999999998</v>
      </c>
      <c r="R540" s="9" t="str">
        <f t="shared" si="52"/>
        <v>OK</v>
      </c>
      <c r="S540" s="11">
        <v>0.107</v>
      </c>
      <c r="T540" s="11" t="str">
        <f t="shared" si="53"/>
        <v>OK</v>
      </c>
      <c r="U540" s="13">
        <v>32</v>
      </c>
    </row>
    <row r="541" spans="1:21" x14ac:dyDescent="0.3">
      <c r="A541" s="7" t="s">
        <v>554</v>
      </c>
      <c r="B541" s="4">
        <v>44952</v>
      </c>
      <c r="C541" s="4">
        <v>44972</v>
      </c>
      <c r="D541" s="4" t="str">
        <f t="shared" si="48"/>
        <v>Valid</v>
      </c>
      <c r="E541" s="4">
        <f t="shared" si="49"/>
        <v>44972</v>
      </c>
      <c r="F541" s="13">
        <f t="shared" si="50"/>
        <v>20</v>
      </c>
      <c r="G541" s="7" t="s">
        <v>649</v>
      </c>
      <c r="H541" s="7" t="s">
        <v>656</v>
      </c>
      <c r="I541" s="7" t="s">
        <v>671</v>
      </c>
      <c r="J541" s="7" t="s">
        <v>705</v>
      </c>
      <c r="K541" s="7" t="s">
        <v>708</v>
      </c>
      <c r="L541" s="7" t="s">
        <v>719</v>
      </c>
      <c r="M541" s="7" t="s">
        <v>729</v>
      </c>
      <c r="N541" s="7" t="s">
        <v>1965</v>
      </c>
      <c r="O541" s="9">
        <v>492.62</v>
      </c>
      <c r="P541" s="9">
        <v>366.7</v>
      </c>
      <c r="Q541" s="9">
        <f t="shared" si="51"/>
        <v>366.7</v>
      </c>
      <c r="R541" s="9" t="str">
        <f t="shared" si="52"/>
        <v>OK</v>
      </c>
      <c r="S541" s="11">
        <v>8.8999999999999996E-2</v>
      </c>
      <c r="T541" s="11" t="str">
        <f t="shared" si="53"/>
        <v>OK</v>
      </c>
      <c r="U541" s="13">
        <v>10</v>
      </c>
    </row>
    <row r="542" spans="1:21" x14ac:dyDescent="0.3">
      <c r="A542" s="7" t="s">
        <v>555</v>
      </c>
      <c r="B542" s="4">
        <v>45115</v>
      </c>
      <c r="C542" s="4">
        <v>45116</v>
      </c>
      <c r="D542" s="4" t="str">
        <f t="shared" si="48"/>
        <v>Valid</v>
      </c>
      <c r="E542" s="4">
        <f t="shared" si="49"/>
        <v>45116</v>
      </c>
      <c r="F542" s="13">
        <f t="shared" si="50"/>
        <v>1</v>
      </c>
      <c r="G542" s="7" t="s">
        <v>646</v>
      </c>
      <c r="H542" s="7" t="s">
        <v>650</v>
      </c>
      <c r="I542" s="7" t="s">
        <v>664</v>
      </c>
      <c r="J542" s="7" t="s">
        <v>704</v>
      </c>
      <c r="K542" s="7" t="s">
        <v>708</v>
      </c>
      <c r="L542" s="7" t="s">
        <v>726</v>
      </c>
      <c r="M542" s="7" t="s">
        <v>731</v>
      </c>
      <c r="N542" s="7" t="s">
        <v>1966</v>
      </c>
      <c r="O542" s="9">
        <v>1258.72</v>
      </c>
      <c r="P542" s="9">
        <v>2797.41</v>
      </c>
      <c r="Q542" s="9">
        <f t="shared" si="51"/>
        <v>2797.41</v>
      </c>
      <c r="R542" s="9" t="str">
        <f t="shared" si="52"/>
        <v>OK</v>
      </c>
      <c r="S542" s="11">
        <v>0</v>
      </c>
      <c r="T542" s="11" t="str">
        <f t="shared" si="53"/>
        <v>OK</v>
      </c>
      <c r="U542" s="13">
        <v>7</v>
      </c>
    </row>
    <row r="543" spans="1:21" x14ac:dyDescent="0.3">
      <c r="A543" s="7" t="s">
        <v>556</v>
      </c>
      <c r="B543" s="4">
        <v>45450</v>
      </c>
      <c r="C543" s="4">
        <v>45452</v>
      </c>
      <c r="D543" s="4" t="str">
        <f t="shared" si="48"/>
        <v>Valid</v>
      </c>
      <c r="E543" s="4">
        <f t="shared" si="49"/>
        <v>45452</v>
      </c>
      <c r="F543" s="13">
        <f t="shared" si="50"/>
        <v>2</v>
      </c>
      <c r="G543" s="7" t="s">
        <v>647</v>
      </c>
      <c r="H543" s="7" t="s">
        <v>659</v>
      </c>
      <c r="I543" s="7" t="s">
        <v>685</v>
      </c>
      <c r="J543" s="7" t="s">
        <v>701</v>
      </c>
      <c r="K543" s="7" t="s">
        <v>707</v>
      </c>
      <c r="L543" s="7" t="s">
        <v>719</v>
      </c>
      <c r="M543" s="7" t="s">
        <v>732</v>
      </c>
      <c r="N543" s="7" t="s">
        <v>1967</v>
      </c>
      <c r="O543" s="9">
        <v>1370.28</v>
      </c>
      <c r="P543" s="9">
        <v>2209.66</v>
      </c>
      <c r="Q543" s="9">
        <f t="shared" si="51"/>
        <v>2209.66</v>
      </c>
      <c r="R543" s="9" t="str">
        <f t="shared" si="52"/>
        <v>OK</v>
      </c>
      <c r="S543" s="11">
        <v>0.13300000000000001</v>
      </c>
      <c r="T543" s="11" t="str">
        <f t="shared" si="53"/>
        <v>OK</v>
      </c>
      <c r="U543" s="13">
        <v>16</v>
      </c>
    </row>
    <row r="544" spans="1:21" x14ac:dyDescent="0.3">
      <c r="A544" s="7" t="s">
        <v>557</v>
      </c>
      <c r="B544" s="4">
        <v>44968</v>
      </c>
      <c r="C544" s="4">
        <v>44969</v>
      </c>
      <c r="D544" s="4" t="str">
        <f t="shared" si="48"/>
        <v>Valid</v>
      </c>
      <c r="E544" s="4">
        <f t="shared" si="49"/>
        <v>44969</v>
      </c>
      <c r="F544" s="13">
        <f t="shared" si="50"/>
        <v>1</v>
      </c>
      <c r="G544" s="7" t="s">
        <v>646</v>
      </c>
      <c r="H544" s="7" t="s">
        <v>651</v>
      </c>
      <c r="I544" s="7" t="s">
        <v>663</v>
      </c>
      <c r="J544" s="7" t="s">
        <v>703</v>
      </c>
      <c r="K544" s="7" t="s">
        <v>711</v>
      </c>
      <c r="L544" s="7" t="s">
        <v>726</v>
      </c>
      <c r="M544" s="7" t="s">
        <v>733</v>
      </c>
      <c r="N544" s="7" t="s">
        <v>1968</v>
      </c>
      <c r="O544" s="9">
        <v>944.61</v>
      </c>
      <c r="P544" s="9">
        <v>839.04</v>
      </c>
      <c r="Q544" s="9">
        <f t="shared" si="51"/>
        <v>839.04</v>
      </c>
      <c r="R544" s="9" t="str">
        <f t="shared" si="52"/>
        <v>OK</v>
      </c>
      <c r="S544" s="11">
        <v>5.8999999999999997E-2</v>
      </c>
      <c r="T544" s="11" t="str">
        <f t="shared" si="53"/>
        <v>OK</v>
      </c>
      <c r="U544" s="13">
        <v>6</v>
      </c>
    </row>
    <row r="545" spans="1:21" x14ac:dyDescent="0.3">
      <c r="A545" s="7" t="s">
        <v>558</v>
      </c>
      <c r="B545" s="4">
        <v>45108</v>
      </c>
      <c r="C545" s="4">
        <v>45115</v>
      </c>
      <c r="D545" s="4" t="str">
        <f t="shared" si="48"/>
        <v>Valid</v>
      </c>
      <c r="E545" s="4">
        <f t="shared" si="49"/>
        <v>45115</v>
      </c>
      <c r="F545" s="13">
        <f t="shared" si="50"/>
        <v>7</v>
      </c>
      <c r="G545" s="7" t="s">
        <v>649</v>
      </c>
      <c r="H545" s="7" t="s">
        <v>656</v>
      </c>
      <c r="I545" s="7" t="s">
        <v>698</v>
      </c>
      <c r="J545" s="7" t="s">
        <v>705</v>
      </c>
      <c r="K545" s="7" t="s">
        <v>710</v>
      </c>
      <c r="L545" s="7" t="s">
        <v>725</v>
      </c>
      <c r="M545" s="7" t="s">
        <v>731</v>
      </c>
      <c r="N545" s="7" t="s">
        <v>1969</v>
      </c>
      <c r="O545" s="9">
        <v>460.21</v>
      </c>
      <c r="P545" s="9">
        <v>1139.1500000000001</v>
      </c>
      <c r="Q545" s="9">
        <f t="shared" si="51"/>
        <v>1139.1500000000001</v>
      </c>
      <c r="R545" s="9" t="str">
        <f t="shared" si="52"/>
        <v>OK</v>
      </c>
      <c r="S545" s="11">
        <v>0.115</v>
      </c>
      <c r="T545" s="11" t="str">
        <f t="shared" si="53"/>
        <v>OK</v>
      </c>
      <c r="U545" s="13">
        <v>14</v>
      </c>
    </row>
    <row r="546" spans="1:21" x14ac:dyDescent="0.3">
      <c r="A546" s="7" t="s">
        <v>559</v>
      </c>
      <c r="B546" s="4">
        <v>45889</v>
      </c>
      <c r="C546" s="4">
        <v>45895</v>
      </c>
      <c r="D546" s="4" t="str">
        <f t="shared" si="48"/>
        <v>Valid</v>
      </c>
      <c r="E546" s="4">
        <f t="shared" si="49"/>
        <v>45895</v>
      </c>
      <c r="F546" s="13">
        <f t="shared" si="50"/>
        <v>6</v>
      </c>
      <c r="G546" s="7" t="s">
        <v>648</v>
      </c>
      <c r="H546" s="7" t="s">
        <v>1425</v>
      </c>
      <c r="I546" s="7" t="s">
        <v>700</v>
      </c>
      <c r="J546" s="7" t="s">
        <v>701</v>
      </c>
      <c r="K546" s="7" t="s">
        <v>707</v>
      </c>
      <c r="L546" s="7" t="s">
        <v>724</v>
      </c>
      <c r="M546" s="7" t="s">
        <v>729</v>
      </c>
      <c r="N546" s="7" t="s">
        <v>1970</v>
      </c>
      <c r="O546" s="9">
        <v>1304.95</v>
      </c>
      <c r="P546" s="9">
        <v>1712.03</v>
      </c>
      <c r="Q546" s="9">
        <f t="shared" si="51"/>
        <v>1712.03</v>
      </c>
      <c r="R546" s="9" t="str">
        <f t="shared" si="52"/>
        <v>OK</v>
      </c>
      <c r="S546" s="11">
        <v>0.21199999999999999</v>
      </c>
      <c r="T546" s="11" t="str">
        <f t="shared" si="53"/>
        <v>OK</v>
      </c>
      <c r="U546" s="13">
        <v>8</v>
      </c>
    </row>
    <row r="547" spans="1:21" x14ac:dyDescent="0.3">
      <c r="A547" s="7" t="s">
        <v>560</v>
      </c>
      <c r="B547" s="4">
        <v>45355</v>
      </c>
      <c r="C547" s="4">
        <v>45367</v>
      </c>
      <c r="D547" s="4" t="str">
        <f t="shared" si="48"/>
        <v>Valid</v>
      </c>
      <c r="E547" s="4">
        <f t="shared" si="49"/>
        <v>45367</v>
      </c>
      <c r="F547" s="13">
        <f t="shared" si="50"/>
        <v>12</v>
      </c>
      <c r="G547" s="7" t="s">
        <v>646</v>
      </c>
      <c r="H547" s="7" t="s">
        <v>661</v>
      </c>
      <c r="I547" s="7" t="s">
        <v>682</v>
      </c>
      <c r="J547" s="7" t="s">
        <v>706</v>
      </c>
      <c r="K547" s="7" t="s">
        <v>710</v>
      </c>
      <c r="L547" s="7" t="s">
        <v>724</v>
      </c>
      <c r="M547" s="7" t="s">
        <v>732</v>
      </c>
      <c r="N547" s="7" t="s">
        <v>1971</v>
      </c>
      <c r="O547" s="9">
        <v>441.08</v>
      </c>
      <c r="P547" s="9">
        <v>1054.29</v>
      </c>
      <c r="Q547" s="9">
        <f t="shared" si="51"/>
        <v>1054.29</v>
      </c>
      <c r="R547" s="9" t="str">
        <f t="shared" si="52"/>
        <v>OK</v>
      </c>
      <c r="S547" s="11">
        <v>0.23699999999999999</v>
      </c>
      <c r="T547" s="11" t="str">
        <f t="shared" si="53"/>
        <v>OK</v>
      </c>
      <c r="U547" s="13">
        <v>6</v>
      </c>
    </row>
    <row r="548" spans="1:21" x14ac:dyDescent="0.3">
      <c r="A548" s="7" t="s">
        <v>561</v>
      </c>
      <c r="B548" s="4">
        <v>45177</v>
      </c>
      <c r="C548" s="4">
        <v>45201</v>
      </c>
      <c r="D548" s="4" t="str">
        <f t="shared" si="48"/>
        <v>Valid</v>
      </c>
      <c r="E548" s="4">
        <f t="shared" si="49"/>
        <v>45201</v>
      </c>
      <c r="F548" s="13">
        <f t="shared" si="50"/>
        <v>24</v>
      </c>
      <c r="G548" s="7" t="s">
        <v>648</v>
      </c>
      <c r="H548" s="7" t="s">
        <v>653</v>
      </c>
      <c r="I548" s="7" t="s">
        <v>667</v>
      </c>
      <c r="J548" s="7" t="s">
        <v>702</v>
      </c>
      <c r="K548" s="7" t="s">
        <v>711</v>
      </c>
      <c r="L548" s="7" t="s">
        <v>720</v>
      </c>
      <c r="M548" s="7" t="s">
        <v>733</v>
      </c>
      <c r="N548" s="7" t="s">
        <v>1972</v>
      </c>
      <c r="O548" s="9">
        <v>1299.03</v>
      </c>
      <c r="P548" s="9">
        <v>2451.2199999999998</v>
      </c>
      <c r="Q548" s="9">
        <f t="shared" si="51"/>
        <v>2451.2199999999998</v>
      </c>
      <c r="R548" s="9" t="str">
        <f t="shared" si="52"/>
        <v>OK</v>
      </c>
      <c r="S548" s="11">
        <v>0.20799999999999999</v>
      </c>
      <c r="T548" s="11" t="str">
        <f t="shared" si="53"/>
        <v>OK</v>
      </c>
      <c r="U548" s="13">
        <v>8</v>
      </c>
    </row>
    <row r="549" spans="1:21" x14ac:dyDescent="0.3">
      <c r="A549" s="7" t="s">
        <v>562</v>
      </c>
      <c r="B549" s="4">
        <v>44985</v>
      </c>
      <c r="C549" s="4">
        <v>44991</v>
      </c>
      <c r="D549" s="4" t="str">
        <f t="shared" si="48"/>
        <v>Valid</v>
      </c>
      <c r="E549" s="4">
        <f t="shared" si="49"/>
        <v>44991</v>
      </c>
      <c r="F549" s="13">
        <f t="shared" si="50"/>
        <v>6</v>
      </c>
      <c r="G549" s="7" t="s">
        <v>649</v>
      </c>
      <c r="H549" s="7" t="s">
        <v>656</v>
      </c>
      <c r="I549" s="7" t="s">
        <v>698</v>
      </c>
      <c r="J549" s="7" t="s">
        <v>705</v>
      </c>
      <c r="K549" s="7" t="s">
        <v>709</v>
      </c>
      <c r="L549" s="7" t="s">
        <v>726</v>
      </c>
      <c r="M549" s="7" t="s">
        <v>728</v>
      </c>
      <c r="N549" s="7" t="s">
        <v>1973</v>
      </c>
      <c r="O549" s="9">
        <v>880.02</v>
      </c>
      <c r="P549" s="9">
        <v>1251.21</v>
      </c>
      <c r="Q549" s="9">
        <f t="shared" si="51"/>
        <v>1251.21</v>
      </c>
      <c r="R549" s="9" t="str">
        <f t="shared" si="52"/>
        <v>OK</v>
      </c>
      <c r="S549" s="11">
        <v>0.123</v>
      </c>
      <c r="T549" s="11" t="str">
        <f t="shared" si="53"/>
        <v>OK</v>
      </c>
      <c r="U549" s="13">
        <v>29</v>
      </c>
    </row>
    <row r="550" spans="1:21" x14ac:dyDescent="0.3">
      <c r="A550" s="7" t="s">
        <v>563</v>
      </c>
      <c r="B550" s="4">
        <v>45486</v>
      </c>
      <c r="C550" s="4">
        <v>45507</v>
      </c>
      <c r="D550" s="4" t="str">
        <f t="shared" si="48"/>
        <v>Valid</v>
      </c>
      <c r="E550" s="4">
        <f t="shared" si="49"/>
        <v>45507</v>
      </c>
      <c r="F550" s="13">
        <f t="shared" si="50"/>
        <v>21</v>
      </c>
      <c r="G550" s="7" t="s">
        <v>648</v>
      </c>
      <c r="H550" s="7" t="s">
        <v>655</v>
      </c>
      <c r="I550" s="7" t="s">
        <v>1426</v>
      </c>
      <c r="J550" s="7" t="s">
        <v>701</v>
      </c>
      <c r="K550" s="7" t="s">
        <v>709</v>
      </c>
      <c r="L550" s="7" t="s">
        <v>724</v>
      </c>
      <c r="M550" s="7" t="s">
        <v>732</v>
      </c>
      <c r="N550" s="7" t="s">
        <v>1974</v>
      </c>
      <c r="O550" s="9">
        <v>702.98</v>
      </c>
      <c r="P550" s="9">
        <v>1104.8</v>
      </c>
      <c r="Q550" s="9">
        <f t="shared" si="51"/>
        <v>1104.8</v>
      </c>
      <c r="R550" s="9" t="str">
        <f t="shared" si="52"/>
        <v>OK</v>
      </c>
      <c r="S550" s="11">
        <v>0.17499999999999999</v>
      </c>
      <c r="T550" s="11" t="str">
        <f t="shared" si="53"/>
        <v>OK</v>
      </c>
      <c r="U550" s="13">
        <v>12</v>
      </c>
    </row>
    <row r="551" spans="1:21" x14ac:dyDescent="0.3">
      <c r="A551" s="7" t="s">
        <v>564</v>
      </c>
      <c r="B551" s="4">
        <v>45633</v>
      </c>
      <c r="C551" s="4">
        <v>45652</v>
      </c>
      <c r="D551" s="4" t="str">
        <f t="shared" si="48"/>
        <v>Valid</v>
      </c>
      <c r="E551" s="4">
        <f t="shared" si="49"/>
        <v>45652</v>
      </c>
      <c r="F551" s="13">
        <f t="shared" si="50"/>
        <v>19</v>
      </c>
      <c r="G551" s="7" t="s">
        <v>649</v>
      </c>
      <c r="H551" s="7" t="s">
        <v>658</v>
      </c>
      <c r="I551" s="7" t="s">
        <v>683</v>
      </c>
      <c r="J551" s="7" t="s">
        <v>706</v>
      </c>
      <c r="K551" s="7" t="s">
        <v>708</v>
      </c>
      <c r="L551" s="7" t="s">
        <v>726</v>
      </c>
      <c r="M551" s="7" t="s">
        <v>729</v>
      </c>
      <c r="N551" s="7" t="s">
        <v>1975</v>
      </c>
      <c r="O551" s="9">
        <v>1035.24</v>
      </c>
      <c r="P551" s="9">
        <v>2383.41</v>
      </c>
      <c r="Q551" s="9">
        <f t="shared" si="51"/>
        <v>2383.41</v>
      </c>
      <c r="R551" s="9" t="str">
        <f t="shared" si="52"/>
        <v>OK</v>
      </c>
      <c r="S551" s="11">
        <v>0.17</v>
      </c>
      <c r="T551" s="11" t="str">
        <f t="shared" si="53"/>
        <v>OK</v>
      </c>
      <c r="U551" s="13">
        <v>15</v>
      </c>
    </row>
    <row r="552" spans="1:21" x14ac:dyDescent="0.3">
      <c r="A552" s="7" t="s">
        <v>565</v>
      </c>
      <c r="B552" s="4">
        <v>45875</v>
      </c>
      <c r="C552" s="4">
        <v>45892</v>
      </c>
      <c r="D552" s="4" t="str">
        <f t="shared" si="48"/>
        <v>Valid</v>
      </c>
      <c r="E552" s="4">
        <f t="shared" si="49"/>
        <v>45892</v>
      </c>
      <c r="F552" s="13">
        <f t="shared" si="50"/>
        <v>17</v>
      </c>
      <c r="G552" s="7" t="s">
        <v>648</v>
      </c>
      <c r="H552" s="7" t="s">
        <v>655</v>
      </c>
      <c r="I552" s="7" t="s">
        <v>672</v>
      </c>
      <c r="J552" s="7" t="s">
        <v>704</v>
      </c>
      <c r="K552" s="7" t="s">
        <v>710</v>
      </c>
      <c r="L552" s="7" t="s">
        <v>720</v>
      </c>
      <c r="M552" s="7" t="s">
        <v>732</v>
      </c>
      <c r="N552" s="7" t="s">
        <v>1976</v>
      </c>
      <c r="O552" s="9">
        <v>86.64</v>
      </c>
      <c r="P552" s="9">
        <v>213.06</v>
      </c>
      <c r="Q552" s="9">
        <f t="shared" si="51"/>
        <v>213.06</v>
      </c>
      <c r="R552" s="9" t="str">
        <f t="shared" si="52"/>
        <v>OK</v>
      </c>
      <c r="S552" s="11">
        <v>0.21199999999999999</v>
      </c>
      <c r="T552" s="11" t="str">
        <f t="shared" si="53"/>
        <v>OK</v>
      </c>
      <c r="U552" s="13">
        <v>11</v>
      </c>
    </row>
    <row r="553" spans="1:21" x14ac:dyDescent="0.3">
      <c r="A553" s="7" t="s">
        <v>566</v>
      </c>
      <c r="B553" s="4">
        <v>44988</v>
      </c>
      <c r="C553" s="4">
        <v>45005</v>
      </c>
      <c r="D553" s="4" t="str">
        <f t="shared" si="48"/>
        <v>Valid</v>
      </c>
      <c r="E553" s="4">
        <f t="shared" si="49"/>
        <v>45005</v>
      </c>
      <c r="F553" s="13">
        <f t="shared" si="50"/>
        <v>17</v>
      </c>
      <c r="G553" s="7" t="s">
        <v>647</v>
      </c>
      <c r="H553" s="7" t="s">
        <v>652</v>
      </c>
      <c r="I553" s="7" t="s">
        <v>694</v>
      </c>
      <c r="J553" s="7" t="s">
        <v>705</v>
      </c>
      <c r="K553" s="7" t="s">
        <v>708</v>
      </c>
      <c r="L553" s="7" t="s">
        <v>726</v>
      </c>
      <c r="M553" s="7" t="s">
        <v>729</v>
      </c>
      <c r="N553" s="7" t="s">
        <v>1977</v>
      </c>
      <c r="O553" s="9">
        <v>1171.17</v>
      </c>
      <c r="P553" s="9">
        <v>2030.64</v>
      </c>
      <c r="Q553" s="9">
        <f t="shared" si="51"/>
        <v>2030.64</v>
      </c>
      <c r="R553" s="9" t="str">
        <f t="shared" si="52"/>
        <v>OK</v>
      </c>
      <c r="S553" s="11">
        <v>0.157</v>
      </c>
      <c r="T553" s="11" t="str">
        <f t="shared" si="53"/>
        <v>OK</v>
      </c>
      <c r="U553" s="13">
        <v>11</v>
      </c>
    </row>
    <row r="554" spans="1:21" x14ac:dyDescent="0.3">
      <c r="A554" s="7" t="s">
        <v>567</v>
      </c>
      <c r="B554" s="4">
        <v>45704</v>
      </c>
      <c r="C554" s="4">
        <v>45733</v>
      </c>
      <c r="D554" s="4" t="str">
        <f t="shared" si="48"/>
        <v>Valid</v>
      </c>
      <c r="E554" s="4">
        <f t="shared" si="49"/>
        <v>45733</v>
      </c>
      <c r="F554" s="13">
        <f t="shared" si="50"/>
        <v>29</v>
      </c>
      <c r="G554" s="7" t="s">
        <v>649</v>
      </c>
      <c r="H554" s="7" t="s">
        <v>656</v>
      </c>
      <c r="I554" s="7" t="s">
        <v>684</v>
      </c>
      <c r="J554" s="7" t="s">
        <v>704</v>
      </c>
      <c r="K554" s="7" t="s">
        <v>707</v>
      </c>
      <c r="L554" s="7" t="s">
        <v>716</v>
      </c>
      <c r="M554" s="7" t="s">
        <v>733</v>
      </c>
      <c r="N554" s="7" t="s">
        <v>1978</v>
      </c>
      <c r="O554" s="9">
        <v>730.42</v>
      </c>
      <c r="P554" s="9">
        <v>956.7</v>
      </c>
      <c r="Q554" s="9">
        <f t="shared" si="51"/>
        <v>956.7</v>
      </c>
      <c r="R554" s="9" t="str">
        <f t="shared" si="52"/>
        <v>OK</v>
      </c>
      <c r="S554" s="11">
        <v>4.2000000000000003E-2</v>
      </c>
      <c r="T554" s="11" t="str">
        <f t="shared" si="53"/>
        <v>OK</v>
      </c>
      <c r="U554" s="13">
        <v>22</v>
      </c>
    </row>
    <row r="555" spans="1:21" x14ac:dyDescent="0.3">
      <c r="A555" s="7" t="s">
        <v>568</v>
      </c>
      <c r="B555" s="4">
        <v>45703</v>
      </c>
      <c r="C555" s="4">
        <v>45717</v>
      </c>
      <c r="D555" s="4" t="str">
        <f t="shared" si="48"/>
        <v>Valid</v>
      </c>
      <c r="E555" s="4">
        <f t="shared" si="49"/>
        <v>45717</v>
      </c>
      <c r="F555" s="13">
        <f t="shared" si="50"/>
        <v>14</v>
      </c>
      <c r="G555" s="7" t="s">
        <v>646</v>
      </c>
      <c r="H555" s="7" t="s">
        <v>650</v>
      </c>
      <c r="I555" s="7" t="s">
        <v>675</v>
      </c>
      <c r="J555" s="7" t="s">
        <v>702</v>
      </c>
      <c r="K555" s="7" t="s">
        <v>711</v>
      </c>
      <c r="L555" s="7" t="s">
        <v>716</v>
      </c>
      <c r="M555" s="7" t="s">
        <v>733</v>
      </c>
      <c r="N555" s="7" t="s">
        <v>1979</v>
      </c>
      <c r="O555" s="9">
        <v>1162.8599999999999</v>
      </c>
      <c r="P555" s="9">
        <v>1447.68</v>
      </c>
      <c r="Q555" s="9">
        <f t="shared" si="51"/>
        <v>1447.68</v>
      </c>
      <c r="R555" s="9" t="str">
        <f t="shared" si="52"/>
        <v>OK</v>
      </c>
      <c r="S555" s="11">
        <v>8.6999999999999994E-2</v>
      </c>
      <c r="T555" s="11" t="str">
        <f t="shared" si="53"/>
        <v>OK</v>
      </c>
      <c r="U555" s="13">
        <v>12</v>
      </c>
    </row>
    <row r="556" spans="1:21" x14ac:dyDescent="0.3">
      <c r="A556" s="7" t="s">
        <v>569</v>
      </c>
      <c r="B556" s="4">
        <v>45535</v>
      </c>
      <c r="C556" s="4">
        <v>45561</v>
      </c>
      <c r="D556" s="4" t="str">
        <f t="shared" si="48"/>
        <v>Valid</v>
      </c>
      <c r="E556" s="4">
        <f t="shared" si="49"/>
        <v>45561</v>
      </c>
      <c r="F556" s="13">
        <f t="shared" si="50"/>
        <v>26</v>
      </c>
      <c r="G556" s="7" t="s">
        <v>647</v>
      </c>
      <c r="H556" s="7" t="s">
        <v>652</v>
      </c>
      <c r="I556" s="7" t="s">
        <v>689</v>
      </c>
      <c r="J556" s="7" t="s">
        <v>702</v>
      </c>
      <c r="K556" s="7" t="s">
        <v>708</v>
      </c>
      <c r="L556" s="7" t="s">
        <v>714</v>
      </c>
      <c r="M556" s="7" t="s">
        <v>730</v>
      </c>
      <c r="N556" s="7" t="s">
        <v>1980</v>
      </c>
      <c r="O556" s="9">
        <v>1189.03</v>
      </c>
      <c r="P556" s="9">
        <v>2949.62</v>
      </c>
      <c r="Q556" s="9">
        <f t="shared" si="51"/>
        <v>2949.62</v>
      </c>
      <c r="R556" s="9" t="str">
        <f t="shared" si="52"/>
        <v>OK</v>
      </c>
      <c r="S556" s="11">
        <v>0.125</v>
      </c>
      <c r="T556" s="11" t="str">
        <f t="shared" si="53"/>
        <v>OK</v>
      </c>
      <c r="U556" s="13">
        <v>13</v>
      </c>
    </row>
    <row r="557" spans="1:21" x14ac:dyDescent="0.3">
      <c r="A557" s="7" t="s">
        <v>570</v>
      </c>
      <c r="B557" s="4">
        <v>45053</v>
      </c>
      <c r="C557" s="4">
        <v>45066</v>
      </c>
      <c r="D557" s="4" t="str">
        <f t="shared" si="48"/>
        <v>Valid</v>
      </c>
      <c r="E557" s="4">
        <f t="shared" si="49"/>
        <v>45066</v>
      </c>
      <c r="F557" s="13">
        <f t="shared" si="50"/>
        <v>13</v>
      </c>
      <c r="G557" s="7" t="s">
        <v>647</v>
      </c>
      <c r="H557" s="7" t="s">
        <v>654</v>
      </c>
      <c r="I557" s="7" t="s">
        <v>691</v>
      </c>
      <c r="J557" s="7" t="s">
        <v>706</v>
      </c>
      <c r="K557" s="7" t="s">
        <v>707</v>
      </c>
      <c r="L557" s="7" t="s">
        <v>726</v>
      </c>
      <c r="M557" s="7" t="s">
        <v>733</v>
      </c>
      <c r="N557" s="7" t="s">
        <v>1981</v>
      </c>
      <c r="O557" s="9">
        <v>1443.28</v>
      </c>
      <c r="P557" s="9">
        <v>2580.5700000000002</v>
      </c>
      <c r="Q557" s="9">
        <f t="shared" si="51"/>
        <v>2580.5700000000002</v>
      </c>
      <c r="R557" s="9" t="str">
        <f t="shared" si="52"/>
        <v>OK</v>
      </c>
      <c r="S557" s="11">
        <v>0</v>
      </c>
      <c r="T557" s="11" t="str">
        <f t="shared" si="53"/>
        <v>OK</v>
      </c>
      <c r="U557" s="13">
        <v>18</v>
      </c>
    </row>
    <row r="558" spans="1:21" x14ac:dyDescent="0.3">
      <c r="A558" s="7" t="s">
        <v>571</v>
      </c>
      <c r="B558" s="4">
        <v>45791</v>
      </c>
      <c r="C558" s="4">
        <v>45789</v>
      </c>
      <c r="D558" s="4" t="str">
        <f t="shared" si="48"/>
        <v>Invalid</v>
      </c>
      <c r="E558" s="4">
        <f t="shared" si="49"/>
        <v>45791</v>
      </c>
      <c r="F558" s="13">
        <f t="shared" si="50"/>
        <v>0</v>
      </c>
      <c r="G558" s="7" t="s">
        <v>648</v>
      </c>
      <c r="H558" s="7" t="s">
        <v>653</v>
      </c>
      <c r="I558" s="7" t="s">
        <v>688</v>
      </c>
      <c r="J558" s="7" t="s">
        <v>703</v>
      </c>
      <c r="K558" s="7" t="s">
        <v>710</v>
      </c>
      <c r="L558" s="7" t="s">
        <v>721</v>
      </c>
      <c r="M558" s="7" t="s">
        <v>728</v>
      </c>
      <c r="N558" s="7" t="s">
        <v>1982</v>
      </c>
      <c r="O558" s="9">
        <v>883.5</v>
      </c>
      <c r="P558" s="9">
        <v>1978.91</v>
      </c>
      <c r="Q558" s="9">
        <f t="shared" si="51"/>
        <v>1978.91</v>
      </c>
      <c r="R558" s="9" t="str">
        <f t="shared" si="52"/>
        <v>OK</v>
      </c>
      <c r="S558" s="11">
        <v>5.3999999999999999E-2</v>
      </c>
      <c r="T558" s="11" t="str">
        <f t="shared" si="53"/>
        <v>OK</v>
      </c>
      <c r="U558" s="13">
        <v>27</v>
      </c>
    </row>
    <row r="559" spans="1:21" x14ac:dyDescent="0.3">
      <c r="A559" s="7" t="s">
        <v>572</v>
      </c>
      <c r="B559" s="4">
        <v>45362</v>
      </c>
      <c r="C559" s="4">
        <v>45380</v>
      </c>
      <c r="D559" s="4" t="str">
        <f t="shared" si="48"/>
        <v>Valid</v>
      </c>
      <c r="E559" s="4">
        <f t="shared" si="49"/>
        <v>45380</v>
      </c>
      <c r="F559" s="13">
        <f t="shared" si="50"/>
        <v>18</v>
      </c>
      <c r="G559" s="7" t="s">
        <v>648</v>
      </c>
      <c r="H559" s="7" t="s">
        <v>1425</v>
      </c>
      <c r="I559" s="7" t="s">
        <v>700</v>
      </c>
      <c r="J559" s="7" t="s">
        <v>701</v>
      </c>
      <c r="K559" s="7" t="s">
        <v>707</v>
      </c>
      <c r="L559" s="7" t="s">
        <v>724</v>
      </c>
      <c r="M559" s="7" t="s">
        <v>732</v>
      </c>
      <c r="N559" s="7" t="s">
        <v>1983</v>
      </c>
      <c r="O559" s="9">
        <v>710.98</v>
      </c>
      <c r="P559" s="9">
        <v>1481.45</v>
      </c>
      <c r="Q559" s="9">
        <f t="shared" si="51"/>
        <v>1481.45</v>
      </c>
      <c r="R559" s="9" t="str">
        <f t="shared" si="52"/>
        <v>OK</v>
      </c>
      <c r="S559" s="11">
        <v>0.21099999999999999</v>
      </c>
      <c r="T559" s="11" t="str">
        <f t="shared" si="53"/>
        <v>OK</v>
      </c>
      <c r="U559" s="13">
        <v>9</v>
      </c>
    </row>
    <row r="560" spans="1:21" x14ac:dyDescent="0.3">
      <c r="A560" s="7" t="s">
        <v>573</v>
      </c>
      <c r="B560" s="4">
        <v>45430</v>
      </c>
      <c r="C560" s="4">
        <v>45434</v>
      </c>
      <c r="D560" s="4" t="str">
        <f t="shared" si="48"/>
        <v>Valid</v>
      </c>
      <c r="E560" s="4">
        <f t="shared" si="49"/>
        <v>45434</v>
      </c>
      <c r="F560" s="13">
        <f t="shared" si="50"/>
        <v>4</v>
      </c>
      <c r="G560" s="7" t="s">
        <v>646</v>
      </c>
      <c r="H560" s="7" t="s">
        <v>650</v>
      </c>
      <c r="I560" s="7" t="s">
        <v>664</v>
      </c>
      <c r="J560" s="7" t="s">
        <v>701</v>
      </c>
      <c r="K560" s="7" t="s">
        <v>711</v>
      </c>
      <c r="L560" s="7" t="s">
        <v>722</v>
      </c>
      <c r="M560" s="7" t="s">
        <v>733</v>
      </c>
      <c r="N560" s="7" t="s">
        <v>1984</v>
      </c>
      <c r="O560" s="9">
        <v>857.42</v>
      </c>
      <c r="P560" s="9">
        <v>1658.92</v>
      </c>
      <c r="Q560" s="9">
        <f t="shared" si="51"/>
        <v>1658.92</v>
      </c>
      <c r="R560" s="9" t="str">
        <f t="shared" si="52"/>
        <v>OK</v>
      </c>
      <c r="S560" s="11">
        <v>0.122</v>
      </c>
      <c r="T560" s="11" t="str">
        <f t="shared" si="53"/>
        <v>OK</v>
      </c>
      <c r="U560" s="13">
        <v>9</v>
      </c>
    </row>
    <row r="561" spans="1:21" x14ac:dyDescent="0.3">
      <c r="A561" s="7" t="s">
        <v>574</v>
      </c>
      <c r="B561" s="4">
        <v>45299</v>
      </c>
      <c r="C561" s="4">
        <v>45303</v>
      </c>
      <c r="D561" s="4" t="str">
        <f t="shared" si="48"/>
        <v>Valid</v>
      </c>
      <c r="E561" s="4">
        <f t="shared" si="49"/>
        <v>45303</v>
      </c>
      <c r="F561" s="13">
        <f t="shared" si="50"/>
        <v>4</v>
      </c>
      <c r="G561" s="7" t="s">
        <v>647</v>
      </c>
      <c r="H561" s="7" t="s">
        <v>654</v>
      </c>
      <c r="I561" s="7" t="s">
        <v>668</v>
      </c>
      <c r="J561" s="7" t="s">
        <v>701</v>
      </c>
      <c r="K561" s="7" t="s">
        <v>711</v>
      </c>
      <c r="L561" s="7" t="s">
        <v>718</v>
      </c>
      <c r="M561" s="7" t="s">
        <v>728</v>
      </c>
      <c r="N561" s="7" t="s">
        <v>1985</v>
      </c>
      <c r="O561" s="9">
        <v>802.32</v>
      </c>
      <c r="P561" s="9">
        <v>602.34</v>
      </c>
      <c r="Q561" s="9">
        <f t="shared" si="51"/>
        <v>602.34</v>
      </c>
      <c r="R561" s="9" t="str">
        <f t="shared" si="52"/>
        <v>OK</v>
      </c>
      <c r="S561" s="11">
        <v>0.12</v>
      </c>
      <c r="T561" s="11" t="str">
        <f t="shared" si="53"/>
        <v>OK</v>
      </c>
      <c r="U561" s="13">
        <v>25</v>
      </c>
    </row>
    <row r="562" spans="1:21" x14ac:dyDescent="0.3">
      <c r="A562" s="7" t="s">
        <v>575</v>
      </c>
      <c r="B562" s="4">
        <v>45590</v>
      </c>
      <c r="C562" s="4">
        <v>45601</v>
      </c>
      <c r="D562" s="4" t="str">
        <f t="shared" si="48"/>
        <v>Valid</v>
      </c>
      <c r="E562" s="4">
        <f t="shared" si="49"/>
        <v>45601</v>
      </c>
      <c r="F562" s="13">
        <f t="shared" si="50"/>
        <v>11</v>
      </c>
      <c r="G562" s="7" t="s">
        <v>648</v>
      </c>
      <c r="H562" s="7" t="s">
        <v>1425</v>
      </c>
      <c r="I562" s="7" t="s">
        <v>700</v>
      </c>
      <c r="J562" s="7" t="s">
        <v>701</v>
      </c>
      <c r="K562" s="7" t="s">
        <v>710</v>
      </c>
      <c r="L562" s="7" t="s">
        <v>725</v>
      </c>
      <c r="M562" s="7" t="s">
        <v>727</v>
      </c>
      <c r="N562" s="7" t="s">
        <v>1986</v>
      </c>
      <c r="O562" s="9">
        <v>446.66</v>
      </c>
      <c r="P562" s="9">
        <v>527.64</v>
      </c>
      <c r="Q562" s="9">
        <f t="shared" si="51"/>
        <v>527.64</v>
      </c>
      <c r="R562" s="9" t="str">
        <f t="shared" si="52"/>
        <v>OK</v>
      </c>
      <c r="S562" s="11">
        <v>0.14499999999999999</v>
      </c>
      <c r="T562" s="11" t="str">
        <f t="shared" si="53"/>
        <v>OK</v>
      </c>
      <c r="U562" s="13">
        <v>15</v>
      </c>
    </row>
    <row r="563" spans="1:21" x14ac:dyDescent="0.3">
      <c r="A563" s="7" t="s">
        <v>576</v>
      </c>
      <c r="B563" s="4">
        <v>45626</v>
      </c>
      <c r="C563" s="4">
        <v>45645</v>
      </c>
      <c r="D563" s="4" t="str">
        <f t="shared" si="48"/>
        <v>Valid</v>
      </c>
      <c r="E563" s="4">
        <f t="shared" si="49"/>
        <v>45645</v>
      </c>
      <c r="F563" s="13">
        <f t="shared" si="50"/>
        <v>19</v>
      </c>
      <c r="G563" s="7" t="s">
        <v>646</v>
      </c>
      <c r="H563" s="7" t="s">
        <v>650</v>
      </c>
      <c r="I563" s="7" t="s">
        <v>662</v>
      </c>
      <c r="J563" s="7" t="s">
        <v>701</v>
      </c>
      <c r="K563" s="7" t="s">
        <v>708</v>
      </c>
      <c r="L563" s="7" t="s">
        <v>716</v>
      </c>
      <c r="M563" s="7" t="s">
        <v>730</v>
      </c>
      <c r="N563" s="7" t="s">
        <v>1987</v>
      </c>
      <c r="O563" s="9">
        <v>1195.98</v>
      </c>
      <c r="P563" s="9">
        <v>1841.9</v>
      </c>
      <c r="Q563" s="9">
        <f t="shared" si="51"/>
        <v>1841.9</v>
      </c>
      <c r="R563" s="9" t="str">
        <f t="shared" si="52"/>
        <v>OK</v>
      </c>
      <c r="S563" s="11">
        <v>5.5E-2</v>
      </c>
      <c r="T563" s="11" t="str">
        <f t="shared" si="53"/>
        <v>OK</v>
      </c>
      <c r="U563" s="13">
        <v>19</v>
      </c>
    </row>
    <row r="564" spans="1:21" x14ac:dyDescent="0.3">
      <c r="A564" s="7" t="s">
        <v>577</v>
      </c>
      <c r="B564" s="4">
        <v>45029</v>
      </c>
      <c r="C564" s="4">
        <v>45048</v>
      </c>
      <c r="D564" s="4" t="str">
        <f t="shared" si="48"/>
        <v>Valid</v>
      </c>
      <c r="E564" s="4">
        <f t="shared" si="49"/>
        <v>45048</v>
      </c>
      <c r="F564" s="13">
        <f t="shared" si="50"/>
        <v>19</v>
      </c>
      <c r="G564" s="7" t="s">
        <v>648</v>
      </c>
      <c r="H564" s="7" t="s">
        <v>653</v>
      </c>
      <c r="I564" s="7" t="s">
        <v>681</v>
      </c>
      <c r="J564" s="7" t="s">
        <v>704</v>
      </c>
      <c r="K564" s="7" t="s">
        <v>710</v>
      </c>
      <c r="L564" s="7" t="s">
        <v>718</v>
      </c>
      <c r="M564" s="7" t="s">
        <v>732</v>
      </c>
      <c r="N564" s="7" t="s">
        <v>1988</v>
      </c>
      <c r="O564" s="9">
        <v>671.05</v>
      </c>
      <c r="P564" s="9">
        <v>1645.48</v>
      </c>
      <c r="Q564" s="9">
        <f t="shared" si="51"/>
        <v>1645.48</v>
      </c>
      <c r="R564" s="9" t="str">
        <f t="shared" si="52"/>
        <v>OK</v>
      </c>
      <c r="S564" s="11">
        <v>0.13700000000000001</v>
      </c>
      <c r="T564" s="11" t="str">
        <f t="shared" si="53"/>
        <v>OK</v>
      </c>
      <c r="U564" s="13">
        <v>6</v>
      </c>
    </row>
    <row r="565" spans="1:21" x14ac:dyDescent="0.3">
      <c r="A565" s="7" t="s">
        <v>578</v>
      </c>
      <c r="B565" s="4">
        <v>45692</v>
      </c>
      <c r="C565" s="4">
        <v>45696</v>
      </c>
      <c r="D565" s="4" t="str">
        <f t="shared" si="48"/>
        <v>Valid</v>
      </c>
      <c r="E565" s="4">
        <f t="shared" si="49"/>
        <v>45696</v>
      </c>
      <c r="F565" s="13">
        <f t="shared" si="50"/>
        <v>4</v>
      </c>
      <c r="G565" s="7" t="s">
        <v>649</v>
      </c>
      <c r="H565" s="7" t="s">
        <v>658</v>
      </c>
      <c r="I565" s="7" t="s">
        <v>693</v>
      </c>
      <c r="J565" s="7" t="s">
        <v>706</v>
      </c>
      <c r="K565" s="7" t="s">
        <v>709</v>
      </c>
      <c r="L565" s="7" t="s">
        <v>716</v>
      </c>
      <c r="M565" s="7" t="s">
        <v>729</v>
      </c>
      <c r="N565" s="7" t="s">
        <v>1989</v>
      </c>
      <c r="O565" s="9">
        <v>586.21</v>
      </c>
      <c r="P565" s="9">
        <v>727.22</v>
      </c>
      <c r="Q565" s="9">
        <f t="shared" si="51"/>
        <v>727.22</v>
      </c>
      <c r="R565" s="9" t="str">
        <f t="shared" si="52"/>
        <v>OK</v>
      </c>
      <c r="S565" s="11">
        <v>6.8000000000000005E-2</v>
      </c>
      <c r="T565" s="11" t="str">
        <f t="shared" si="53"/>
        <v>OK</v>
      </c>
      <c r="U565" s="13">
        <v>15</v>
      </c>
    </row>
    <row r="566" spans="1:21" x14ac:dyDescent="0.3">
      <c r="A566" s="7" t="s">
        <v>579</v>
      </c>
      <c r="B566" s="4">
        <v>45315</v>
      </c>
      <c r="C566" s="4">
        <v>45326</v>
      </c>
      <c r="D566" s="4" t="str">
        <f t="shared" si="48"/>
        <v>Valid</v>
      </c>
      <c r="E566" s="4">
        <f t="shared" si="49"/>
        <v>45326</v>
      </c>
      <c r="F566" s="13">
        <f t="shared" si="50"/>
        <v>11</v>
      </c>
      <c r="G566" s="7" t="s">
        <v>649</v>
      </c>
      <c r="H566" s="7" t="s">
        <v>658</v>
      </c>
      <c r="I566" s="7" t="s">
        <v>693</v>
      </c>
      <c r="J566" s="7" t="s">
        <v>704</v>
      </c>
      <c r="K566" s="7" t="s">
        <v>707</v>
      </c>
      <c r="L566" s="7" t="s">
        <v>717</v>
      </c>
      <c r="M566" s="7" t="s">
        <v>731</v>
      </c>
      <c r="N566" s="7" t="s">
        <v>1990</v>
      </c>
      <c r="O566" s="9">
        <v>525.34</v>
      </c>
      <c r="P566" s="9">
        <v>1233.79</v>
      </c>
      <c r="Q566" s="9">
        <f t="shared" si="51"/>
        <v>1233.79</v>
      </c>
      <c r="R566" s="9" t="str">
        <f t="shared" si="52"/>
        <v>OK</v>
      </c>
      <c r="S566" s="11">
        <v>0.14299999999999999</v>
      </c>
      <c r="T566" s="11" t="str">
        <f t="shared" si="53"/>
        <v>OK</v>
      </c>
      <c r="U566" s="13">
        <v>4</v>
      </c>
    </row>
    <row r="567" spans="1:21" x14ac:dyDescent="0.3">
      <c r="A567" s="7" t="s">
        <v>580</v>
      </c>
      <c r="B567" s="4">
        <v>45330</v>
      </c>
      <c r="C567" s="4">
        <v>45331</v>
      </c>
      <c r="D567" s="4" t="str">
        <f t="shared" si="48"/>
        <v>Valid</v>
      </c>
      <c r="E567" s="4">
        <f t="shared" si="49"/>
        <v>45331</v>
      </c>
      <c r="F567" s="13">
        <f t="shared" si="50"/>
        <v>1</v>
      </c>
      <c r="G567" s="7" t="s">
        <v>646</v>
      </c>
      <c r="H567" s="7" t="s">
        <v>650</v>
      </c>
      <c r="I567" s="7" t="s">
        <v>675</v>
      </c>
      <c r="J567" s="7" t="s">
        <v>701</v>
      </c>
      <c r="K567" s="7" t="s">
        <v>711</v>
      </c>
      <c r="L567" s="7" t="s">
        <v>721</v>
      </c>
      <c r="M567" s="7" t="s">
        <v>727</v>
      </c>
      <c r="N567" s="7" t="s">
        <v>1991</v>
      </c>
      <c r="O567" s="9">
        <v>1233.52</v>
      </c>
      <c r="P567" s="9">
        <v>1543.76</v>
      </c>
      <c r="Q567" s="9">
        <f t="shared" si="51"/>
        <v>1543.76</v>
      </c>
      <c r="R567" s="9" t="str">
        <f t="shared" si="52"/>
        <v>OK</v>
      </c>
      <c r="S567" s="11">
        <v>0.126</v>
      </c>
      <c r="T567" s="11" t="str">
        <f t="shared" si="53"/>
        <v>OK</v>
      </c>
      <c r="U567" s="13">
        <v>13</v>
      </c>
    </row>
    <row r="568" spans="1:21" x14ac:dyDescent="0.3">
      <c r="A568" s="7" t="s">
        <v>581</v>
      </c>
      <c r="B568" s="4">
        <v>45834</v>
      </c>
      <c r="C568" s="4">
        <v>45849</v>
      </c>
      <c r="D568" s="4" t="str">
        <f t="shared" si="48"/>
        <v>Valid</v>
      </c>
      <c r="E568" s="4">
        <f t="shared" si="49"/>
        <v>45849</v>
      </c>
      <c r="F568" s="13">
        <f t="shared" si="50"/>
        <v>15</v>
      </c>
      <c r="G568" s="7" t="s">
        <v>646</v>
      </c>
      <c r="H568" s="7" t="s">
        <v>651</v>
      </c>
      <c r="I568" s="7" t="s">
        <v>663</v>
      </c>
      <c r="J568" s="7" t="s">
        <v>705</v>
      </c>
      <c r="K568" s="7" t="s">
        <v>708</v>
      </c>
      <c r="L568" s="7" t="s">
        <v>720</v>
      </c>
      <c r="M568" s="7" t="s">
        <v>731</v>
      </c>
      <c r="N568" s="7" t="s">
        <v>1992</v>
      </c>
      <c r="O568" s="9">
        <v>1170.1500000000001</v>
      </c>
      <c r="P568" s="9">
        <v>2115.19</v>
      </c>
      <c r="Q568" s="9">
        <f t="shared" si="51"/>
        <v>2115.19</v>
      </c>
      <c r="R568" s="9" t="str">
        <f t="shared" si="52"/>
        <v>OK</v>
      </c>
      <c r="S568" s="11">
        <v>9.1999999999999998E-2</v>
      </c>
      <c r="T568" s="11" t="str">
        <f t="shared" si="53"/>
        <v>OK</v>
      </c>
      <c r="U568" s="13">
        <v>23</v>
      </c>
    </row>
    <row r="569" spans="1:21" x14ac:dyDescent="0.3">
      <c r="A569" s="7" t="s">
        <v>582</v>
      </c>
      <c r="B569" s="4">
        <v>45600</v>
      </c>
      <c r="C569" s="4">
        <v>45603</v>
      </c>
      <c r="D569" s="4" t="str">
        <f t="shared" si="48"/>
        <v>Valid</v>
      </c>
      <c r="E569" s="4">
        <f t="shared" si="49"/>
        <v>45603</v>
      </c>
      <c r="F569" s="13">
        <f t="shared" si="50"/>
        <v>3</v>
      </c>
      <c r="G569" s="7" t="s">
        <v>649</v>
      </c>
      <c r="H569" s="7" t="s">
        <v>657</v>
      </c>
      <c r="I569" s="7" t="s">
        <v>679</v>
      </c>
      <c r="J569" s="7" t="s">
        <v>701</v>
      </c>
      <c r="K569" s="7" t="s">
        <v>708</v>
      </c>
      <c r="L569" s="7" t="s">
        <v>719</v>
      </c>
      <c r="M569" s="7" t="s">
        <v>732</v>
      </c>
      <c r="N569" s="7" t="s">
        <v>1993</v>
      </c>
      <c r="O569" s="9">
        <v>740.68</v>
      </c>
      <c r="P569" s="9">
        <v>1837.19</v>
      </c>
      <c r="Q569" s="9">
        <f t="shared" si="51"/>
        <v>1837.19</v>
      </c>
      <c r="R569" s="9" t="str">
        <f t="shared" si="52"/>
        <v>OK</v>
      </c>
      <c r="S569" s="11">
        <v>0.19700000000000001</v>
      </c>
      <c r="T569" s="11" t="str">
        <f t="shared" si="53"/>
        <v>OK</v>
      </c>
      <c r="U569" s="13">
        <v>17</v>
      </c>
    </row>
    <row r="570" spans="1:21" x14ac:dyDescent="0.3">
      <c r="A570" s="7" t="s">
        <v>583</v>
      </c>
      <c r="B570" s="4">
        <v>45342</v>
      </c>
      <c r="C570" s="4">
        <v>45342</v>
      </c>
      <c r="D570" s="4" t="str">
        <f t="shared" si="48"/>
        <v>Valid</v>
      </c>
      <c r="E570" s="4">
        <f t="shared" si="49"/>
        <v>45342</v>
      </c>
      <c r="F570" s="13">
        <f t="shared" si="50"/>
        <v>0</v>
      </c>
      <c r="G570" s="7" t="s">
        <v>648</v>
      </c>
      <c r="H570" s="7" t="s">
        <v>1425</v>
      </c>
      <c r="I570" s="7" t="s">
        <v>700</v>
      </c>
      <c r="J570" s="7" t="s">
        <v>706</v>
      </c>
      <c r="K570" s="7" t="s">
        <v>708</v>
      </c>
      <c r="L570" s="7" t="s">
        <v>712</v>
      </c>
      <c r="M570" s="7" t="s">
        <v>729</v>
      </c>
      <c r="N570" s="7" t="s">
        <v>1994</v>
      </c>
      <c r="O570" s="9">
        <v>1407.05</v>
      </c>
      <c r="P570" s="9">
        <v>2858.93</v>
      </c>
      <c r="Q570" s="9">
        <f t="shared" si="51"/>
        <v>2858.93</v>
      </c>
      <c r="R570" s="9" t="str">
        <f t="shared" si="52"/>
        <v>OK</v>
      </c>
      <c r="S570" s="11">
        <v>0</v>
      </c>
      <c r="T570" s="11" t="str">
        <f t="shared" si="53"/>
        <v>OK</v>
      </c>
      <c r="U570" s="13">
        <v>12</v>
      </c>
    </row>
    <row r="571" spans="1:21" x14ac:dyDescent="0.3">
      <c r="A571" s="7" t="s">
        <v>584</v>
      </c>
      <c r="B571" s="4">
        <v>45760</v>
      </c>
      <c r="C571" s="4">
        <v>45761</v>
      </c>
      <c r="D571" s="4" t="str">
        <f t="shared" si="48"/>
        <v>Valid</v>
      </c>
      <c r="E571" s="4">
        <f t="shared" si="49"/>
        <v>45761</v>
      </c>
      <c r="F571" s="13">
        <f t="shared" si="50"/>
        <v>1</v>
      </c>
      <c r="G571" s="7" t="s">
        <v>647</v>
      </c>
      <c r="H571" s="7" t="s">
        <v>652</v>
      </c>
      <c r="I571" s="7" t="s">
        <v>666</v>
      </c>
      <c r="J571" s="7" t="s">
        <v>706</v>
      </c>
      <c r="K571" s="7" t="s">
        <v>708</v>
      </c>
      <c r="L571" s="7" t="s">
        <v>715</v>
      </c>
      <c r="M571" s="7" t="s">
        <v>727</v>
      </c>
      <c r="N571" s="7" t="s">
        <v>1995</v>
      </c>
      <c r="O571" s="9">
        <v>138.9</v>
      </c>
      <c r="P571" s="9">
        <v>289.92</v>
      </c>
      <c r="Q571" s="9">
        <f t="shared" si="51"/>
        <v>289.92</v>
      </c>
      <c r="R571" s="9" t="str">
        <f t="shared" si="52"/>
        <v>OK</v>
      </c>
      <c r="S571" s="11">
        <v>2.9000000000000001E-2</v>
      </c>
      <c r="T571" s="11" t="str">
        <f t="shared" si="53"/>
        <v>OK</v>
      </c>
      <c r="U571" s="13">
        <v>12</v>
      </c>
    </row>
    <row r="572" spans="1:21" x14ac:dyDescent="0.3">
      <c r="A572" s="7" t="s">
        <v>585</v>
      </c>
      <c r="B572" s="4">
        <v>45078</v>
      </c>
      <c r="C572" s="4">
        <v>45078</v>
      </c>
      <c r="D572" s="4" t="str">
        <f t="shared" si="48"/>
        <v>Valid</v>
      </c>
      <c r="E572" s="4">
        <f t="shared" si="49"/>
        <v>45078</v>
      </c>
      <c r="F572" s="13">
        <f t="shared" si="50"/>
        <v>0</v>
      </c>
      <c r="G572" s="7" t="s">
        <v>647</v>
      </c>
      <c r="H572" s="7" t="s">
        <v>654</v>
      </c>
      <c r="I572" s="7" t="s">
        <v>668</v>
      </c>
      <c r="J572" s="7" t="s">
        <v>701</v>
      </c>
      <c r="K572" s="7" t="s">
        <v>707</v>
      </c>
      <c r="L572" s="7" t="s">
        <v>718</v>
      </c>
      <c r="M572" s="7" t="s">
        <v>733</v>
      </c>
      <c r="N572" s="7" t="s">
        <v>1996</v>
      </c>
      <c r="O572" s="9">
        <v>669.37</v>
      </c>
      <c r="P572" s="9">
        <v>997.2</v>
      </c>
      <c r="Q572" s="9">
        <f t="shared" si="51"/>
        <v>997.2</v>
      </c>
      <c r="R572" s="9" t="str">
        <f t="shared" si="52"/>
        <v>OK</v>
      </c>
      <c r="S572" s="11">
        <v>8.2000000000000003E-2</v>
      </c>
      <c r="T572" s="11" t="str">
        <f t="shared" si="53"/>
        <v>OK</v>
      </c>
      <c r="U572" s="13">
        <v>5</v>
      </c>
    </row>
    <row r="573" spans="1:21" x14ac:dyDescent="0.3">
      <c r="A573" s="7" t="s">
        <v>586</v>
      </c>
      <c r="B573" s="4">
        <v>45740</v>
      </c>
      <c r="C573" s="4">
        <v>45751</v>
      </c>
      <c r="D573" s="4" t="str">
        <f t="shared" si="48"/>
        <v>Valid</v>
      </c>
      <c r="E573" s="4">
        <f t="shared" si="49"/>
        <v>45751</v>
      </c>
      <c r="F573" s="13">
        <f t="shared" si="50"/>
        <v>11</v>
      </c>
      <c r="G573" s="7" t="s">
        <v>647</v>
      </c>
      <c r="H573" s="7" t="s">
        <v>654</v>
      </c>
      <c r="I573" s="7" t="s">
        <v>691</v>
      </c>
      <c r="J573" s="7" t="s">
        <v>702</v>
      </c>
      <c r="K573" s="7" t="s">
        <v>709</v>
      </c>
      <c r="L573" s="7" t="s">
        <v>713</v>
      </c>
      <c r="M573" s="7" t="s">
        <v>730</v>
      </c>
      <c r="N573" s="7" t="s">
        <v>1997</v>
      </c>
      <c r="O573" s="9">
        <v>23.83</v>
      </c>
      <c r="P573" s="9">
        <v>47.29</v>
      </c>
      <c r="Q573" s="9">
        <f t="shared" si="51"/>
        <v>47.29</v>
      </c>
      <c r="R573" s="9" t="str">
        <f t="shared" si="52"/>
        <v>OK</v>
      </c>
      <c r="S573" s="11">
        <v>6.4000000000000001E-2</v>
      </c>
      <c r="T573" s="11" t="str">
        <f t="shared" si="53"/>
        <v>OK</v>
      </c>
      <c r="U573" s="13">
        <v>19</v>
      </c>
    </row>
    <row r="574" spans="1:21" x14ac:dyDescent="0.3">
      <c r="A574" s="7" t="s">
        <v>587</v>
      </c>
      <c r="B574" s="4">
        <v>45293</v>
      </c>
      <c r="C574" s="4">
        <v>45293</v>
      </c>
      <c r="D574" s="4" t="str">
        <f t="shared" si="48"/>
        <v>Valid</v>
      </c>
      <c r="E574" s="4">
        <f t="shared" si="49"/>
        <v>45293</v>
      </c>
      <c r="F574" s="13">
        <f t="shared" si="50"/>
        <v>0</v>
      </c>
      <c r="G574" s="7" t="s">
        <v>648</v>
      </c>
      <c r="H574" s="7" t="s">
        <v>653</v>
      </c>
      <c r="I574" s="7" t="s">
        <v>688</v>
      </c>
      <c r="J574" s="7" t="s">
        <v>702</v>
      </c>
      <c r="K574" s="7" t="s">
        <v>711</v>
      </c>
      <c r="L574" s="7" t="s">
        <v>720</v>
      </c>
      <c r="M574" s="7" t="s">
        <v>731</v>
      </c>
      <c r="N574" s="7" t="s">
        <v>1998</v>
      </c>
      <c r="O574" s="9">
        <v>444.41</v>
      </c>
      <c r="P574" s="9">
        <v>754.24</v>
      </c>
      <c r="Q574" s="9">
        <f t="shared" si="51"/>
        <v>754.24</v>
      </c>
      <c r="R574" s="9" t="str">
        <f t="shared" si="52"/>
        <v>OK</v>
      </c>
      <c r="S574" s="11">
        <v>0.20699999999999999</v>
      </c>
      <c r="T574" s="11" t="str">
        <f t="shared" si="53"/>
        <v>OK</v>
      </c>
      <c r="U574" s="13">
        <v>32</v>
      </c>
    </row>
    <row r="575" spans="1:21" x14ac:dyDescent="0.3">
      <c r="A575" s="7" t="s">
        <v>588</v>
      </c>
      <c r="B575" s="4">
        <v>45279</v>
      </c>
      <c r="C575" s="4">
        <v>45292</v>
      </c>
      <c r="D575" s="4" t="str">
        <f t="shared" si="48"/>
        <v>Valid</v>
      </c>
      <c r="E575" s="4">
        <f t="shared" si="49"/>
        <v>45292</v>
      </c>
      <c r="F575" s="13">
        <f t="shared" si="50"/>
        <v>13</v>
      </c>
      <c r="G575" s="7" t="s">
        <v>648</v>
      </c>
      <c r="H575" s="7" t="s">
        <v>653</v>
      </c>
      <c r="I575" s="7" t="s">
        <v>667</v>
      </c>
      <c r="J575" s="7" t="s">
        <v>706</v>
      </c>
      <c r="K575" s="7" t="s">
        <v>707</v>
      </c>
      <c r="L575" s="7" t="s">
        <v>723</v>
      </c>
      <c r="M575" s="7" t="s">
        <v>732</v>
      </c>
      <c r="N575" s="7" t="s">
        <v>1999</v>
      </c>
      <c r="O575" s="9">
        <v>856.1</v>
      </c>
      <c r="P575" s="9">
        <v>901.48</v>
      </c>
      <c r="Q575" s="9">
        <f t="shared" si="51"/>
        <v>901.48</v>
      </c>
      <c r="R575" s="9" t="str">
        <f t="shared" si="52"/>
        <v>OK</v>
      </c>
      <c r="S575" s="11">
        <v>5.6000000000000001E-2</v>
      </c>
      <c r="T575" s="11" t="str">
        <f t="shared" si="53"/>
        <v>OK</v>
      </c>
      <c r="U575" s="13">
        <v>17</v>
      </c>
    </row>
    <row r="576" spans="1:21" x14ac:dyDescent="0.3">
      <c r="A576" s="7" t="s">
        <v>589</v>
      </c>
      <c r="B576" s="4">
        <v>45042</v>
      </c>
      <c r="C576" s="4">
        <v>45042</v>
      </c>
      <c r="D576" s="4" t="str">
        <f t="shared" si="48"/>
        <v>Valid</v>
      </c>
      <c r="E576" s="4">
        <f t="shared" si="49"/>
        <v>45042</v>
      </c>
      <c r="F576" s="13">
        <f t="shared" si="50"/>
        <v>0</v>
      </c>
      <c r="G576" s="7" t="s">
        <v>649</v>
      </c>
      <c r="H576" s="7" t="s">
        <v>657</v>
      </c>
      <c r="I576" s="7" t="s">
        <v>673</v>
      </c>
      <c r="J576" s="7" t="s">
        <v>704</v>
      </c>
      <c r="K576" s="7" t="s">
        <v>711</v>
      </c>
      <c r="L576" s="7" t="s">
        <v>724</v>
      </c>
      <c r="M576" s="7" t="s">
        <v>727</v>
      </c>
      <c r="N576" s="7" t="s">
        <v>2000</v>
      </c>
      <c r="O576" s="9">
        <v>81.489999999999995</v>
      </c>
      <c r="P576" s="9">
        <v>113.08</v>
      </c>
      <c r="Q576" s="9">
        <f t="shared" si="51"/>
        <v>113.08</v>
      </c>
      <c r="R576" s="9" t="str">
        <f t="shared" si="52"/>
        <v>OK</v>
      </c>
      <c r="S576" s="11">
        <v>0.121</v>
      </c>
      <c r="T576" s="11" t="str">
        <f t="shared" si="53"/>
        <v>OK</v>
      </c>
      <c r="U576" s="13">
        <v>5</v>
      </c>
    </row>
    <row r="577" spans="1:21" x14ac:dyDescent="0.3">
      <c r="A577" s="7" t="s">
        <v>590</v>
      </c>
      <c r="B577" s="4">
        <v>45872</v>
      </c>
      <c r="C577" s="4">
        <v>45885</v>
      </c>
      <c r="D577" s="4" t="str">
        <f t="shared" si="48"/>
        <v>Valid</v>
      </c>
      <c r="E577" s="4">
        <f t="shared" si="49"/>
        <v>45885</v>
      </c>
      <c r="F577" s="13">
        <f t="shared" si="50"/>
        <v>13</v>
      </c>
      <c r="G577" s="7" t="s">
        <v>648</v>
      </c>
      <c r="H577" s="7" t="s">
        <v>653</v>
      </c>
      <c r="I577" s="7" t="s">
        <v>681</v>
      </c>
      <c r="J577" s="7" t="s">
        <v>706</v>
      </c>
      <c r="K577" s="7" t="s">
        <v>710</v>
      </c>
      <c r="L577" s="7" t="s">
        <v>719</v>
      </c>
      <c r="M577" s="7" t="s">
        <v>729</v>
      </c>
      <c r="N577" s="7" t="s">
        <v>2001</v>
      </c>
      <c r="O577" s="9">
        <v>698.66</v>
      </c>
      <c r="P577" s="9">
        <v>868.62</v>
      </c>
      <c r="Q577" s="9">
        <f t="shared" si="51"/>
        <v>868.62</v>
      </c>
      <c r="R577" s="9" t="str">
        <f t="shared" si="52"/>
        <v>OK</v>
      </c>
      <c r="S577" s="11">
        <v>7.1999999999999995E-2</v>
      </c>
      <c r="T577" s="11" t="str">
        <f t="shared" si="53"/>
        <v>OK</v>
      </c>
      <c r="U577" s="13">
        <v>15</v>
      </c>
    </row>
    <row r="578" spans="1:21" x14ac:dyDescent="0.3">
      <c r="A578" s="7" t="s">
        <v>591</v>
      </c>
      <c r="B578" s="4">
        <v>45140</v>
      </c>
      <c r="C578" s="4">
        <v>45157</v>
      </c>
      <c r="D578" s="4" t="str">
        <f t="shared" si="48"/>
        <v>Valid</v>
      </c>
      <c r="E578" s="4">
        <f t="shared" si="49"/>
        <v>45157</v>
      </c>
      <c r="F578" s="13">
        <f t="shared" si="50"/>
        <v>17</v>
      </c>
      <c r="G578" s="7" t="s">
        <v>648</v>
      </c>
      <c r="H578" s="7" t="s">
        <v>653</v>
      </c>
      <c r="I578" s="7" t="s">
        <v>688</v>
      </c>
      <c r="J578" s="7" t="s">
        <v>701</v>
      </c>
      <c r="K578" s="7" t="s">
        <v>708</v>
      </c>
      <c r="L578" s="7" t="s">
        <v>721</v>
      </c>
      <c r="M578" s="7" t="s">
        <v>729</v>
      </c>
      <c r="N578" s="7" t="s">
        <v>2002</v>
      </c>
      <c r="O578" s="9">
        <v>175.38</v>
      </c>
      <c r="P578" s="9">
        <v>347.9</v>
      </c>
      <c r="Q578" s="9">
        <f t="shared" si="51"/>
        <v>347.9</v>
      </c>
      <c r="R578" s="9" t="str">
        <f t="shared" si="52"/>
        <v>OK</v>
      </c>
      <c r="S578" s="11">
        <v>7.1999999999999995E-2</v>
      </c>
      <c r="T578" s="11" t="str">
        <f t="shared" si="53"/>
        <v>OK</v>
      </c>
      <c r="U578" s="13">
        <v>43</v>
      </c>
    </row>
    <row r="579" spans="1:21" x14ac:dyDescent="0.3">
      <c r="A579" s="7" t="s">
        <v>592</v>
      </c>
      <c r="B579" s="4">
        <v>45092</v>
      </c>
      <c r="C579" s="4">
        <v>45119</v>
      </c>
      <c r="D579" s="4" t="str">
        <f t="shared" ref="D579:D632" si="54">IF(C579&lt;B579,"Invalid","Valid")</f>
        <v>Valid</v>
      </c>
      <c r="E579" s="4">
        <f t="shared" ref="E579:E632" si="55">IF(C579&lt;B579,B579,C579)</f>
        <v>45119</v>
      </c>
      <c r="F579" s="13">
        <f t="shared" ref="F579:F632" si="56">E579-B579</f>
        <v>27</v>
      </c>
      <c r="G579" s="7" t="s">
        <v>649</v>
      </c>
      <c r="H579" s="7" t="s">
        <v>658</v>
      </c>
      <c r="I579" s="7" t="s">
        <v>693</v>
      </c>
      <c r="J579" s="7" t="s">
        <v>704</v>
      </c>
      <c r="K579" s="7" t="s">
        <v>711</v>
      </c>
      <c r="L579" s="7" t="s">
        <v>714</v>
      </c>
      <c r="M579" s="7" t="s">
        <v>733</v>
      </c>
      <c r="N579" s="7" t="s">
        <v>2003</v>
      </c>
      <c r="O579" s="9">
        <v>751.28</v>
      </c>
      <c r="P579" s="9">
        <v>1111.8800000000001</v>
      </c>
      <c r="Q579" s="9">
        <f t="shared" ref="Q579:Q632" si="57">ABS(P579)</f>
        <v>1111.8800000000001</v>
      </c>
      <c r="R579" s="9" t="str">
        <f t="shared" ref="R579:R632" si="58">IF(P579&lt;=0,"FLAG","OK")</f>
        <v>OK</v>
      </c>
      <c r="S579" s="11">
        <v>0.13500000000000001</v>
      </c>
      <c r="T579" s="11" t="str">
        <f t="shared" ref="T579:T632" si="59">IF(S579&gt;30%,"FLAG","OK")</f>
        <v>OK</v>
      </c>
      <c r="U579" s="13">
        <v>7</v>
      </c>
    </row>
    <row r="580" spans="1:21" x14ac:dyDescent="0.3">
      <c r="A580" s="7" t="s">
        <v>593</v>
      </c>
      <c r="B580" s="4">
        <v>45607</v>
      </c>
      <c r="C580" s="4">
        <v>45620</v>
      </c>
      <c r="D580" s="4" t="str">
        <f t="shared" si="54"/>
        <v>Valid</v>
      </c>
      <c r="E580" s="4">
        <f t="shared" si="55"/>
        <v>45620</v>
      </c>
      <c r="F580" s="13">
        <f t="shared" si="56"/>
        <v>13</v>
      </c>
      <c r="G580" s="7" t="s">
        <v>649</v>
      </c>
      <c r="H580" s="7" t="s">
        <v>658</v>
      </c>
      <c r="I580" s="7" t="s">
        <v>683</v>
      </c>
      <c r="J580" s="7" t="s">
        <v>701</v>
      </c>
      <c r="K580" s="7" t="s">
        <v>707</v>
      </c>
      <c r="L580" s="7" t="s">
        <v>718</v>
      </c>
      <c r="M580" s="7" t="s">
        <v>729</v>
      </c>
      <c r="N580" s="7" t="s">
        <v>2004</v>
      </c>
      <c r="O580" s="9">
        <v>164.53</v>
      </c>
      <c r="P580" s="9">
        <v>327.72</v>
      </c>
      <c r="Q580" s="9">
        <f t="shared" si="57"/>
        <v>327.72</v>
      </c>
      <c r="R580" s="9" t="str">
        <f t="shared" si="58"/>
        <v>OK</v>
      </c>
      <c r="S580" s="11">
        <v>6.7000000000000004E-2</v>
      </c>
      <c r="T580" s="11" t="str">
        <f t="shared" si="59"/>
        <v>OK</v>
      </c>
      <c r="U580" s="13">
        <v>14</v>
      </c>
    </row>
    <row r="581" spans="1:21" x14ac:dyDescent="0.3">
      <c r="A581" s="7" t="s">
        <v>594</v>
      </c>
      <c r="B581" s="4">
        <v>45849</v>
      </c>
      <c r="C581" s="4">
        <v>45872</v>
      </c>
      <c r="D581" s="4" t="str">
        <f t="shared" si="54"/>
        <v>Valid</v>
      </c>
      <c r="E581" s="4">
        <f t="shared" si="55"/>
        <v>45872</v>
      </c>
      <c r="F581" s="13">
        <f t="shared" si="56"/>
        <v>23</v>
      </c>
      <c r="G581" s="7" t="s">
        <v>646</v>
      </c>
      <c r="H581" s="7" t="s">
        <v>650</v>
      </c>
      <c r="I581" s="7" t="s">
        <v>678</v>
      </c>
      <c r="J581" s="7" t="s">
        <v>705</v>
      </c>
      <c r="K581" s="7" t="s">
        <v>707</v>
      </c>
      <c r="L581" s="7" t="s">
        <v>712</v>
      </c>
      <c r="M581" s="7" t="s">
        <v>730</v>
      </c>
      <c r="N581" s="7" t="s">
        <v>2005</v>
      </c>
      <c r="O581" s="9">
        <v>389.93</v>
      </c>
      <c r="P581" s="9">
        <v>486.13</v>
      </c>
      <c r="Q581" s="9">
        <f t="shared" si="57"/>
        <v>486.13</v>
      </c>
      <c r="R581" s="9" t="str">
        <f t="shared" si="58"/>
        <v>OK</v>
      </c>
      <c r="S581" s="11">
        <v>0.13200000000000001</v>
      </c>
      <c r="T581" s="11" t="str">
        <f t="shared" si="59"/>
        <v>OK</v>
      </c>
      <c r="U581" s="13">
        <v>17</v>
      </c>
    </row>
    <row r="582" spans="1:21" x14ac:dyDescent="0.3">
      <c r="A582" s="7" t="s">
        <v>595</v>
      </c>
      <c r="B582" s="4">
        <v>45080</v>
      </c>
      <c r="C582" s="4">
        <v>45108</v>
      </c>
      <c r="D582" s="4" t="str">
        <f t="shared" si="54"/>
        <v>Valid</v>
      </c>
      <c r="E582" s="4">
        <f t="shared" si="55"/>
        <v>45108</v>
      </c>
      <c r="F582" s="13">
        <f t="shared" si="56"/>
        <v>28</v>
      </c>
      <c r="G582" s="7" t="s">
        <v>648</v>
      </c>
      <c r="H582" s="7" t="s">
        <v>655</v>
      </c>
      <c r="I582" s="7" t="s">
        <v>672</v>
      </c>
      <c r="J582" s="7" t="s">
        <v>705</v>
      </c>
      <c r="K582" s="7" t="s">
        <v>709</v>
      </c>
      <c r="L582" s="7" t="s">
        <v>720</v>
      </c>
      <c r="M582" s="7" t="s">
        <v>727</v>
      </c>
      <c r="N582" s="7" t="s">
        <v>2006</v>
      </c>
      <c r="O582" s="9">
        <v>860.4</v>
      </c>
      <c r="P582" s="9">
        <v>2066.6</v>
      </c>
      <c r="Q582" s="9">
        <f t="shared" si="57"/>
        <v>2066.6</v>
      </c>
      <c r="R582" s="9" t="str">
        <f t="shared" si="58"/>
        <v>OK</v>
      </c>
      <c r="S582" s="11">
        <v>0.01</v>
      </c>
      <c r="T582" s="11" t="str">
        <f t="shared" si="59"/>
        <v>OK</v>
      </c>
      <c r="U582" s="13">
        <v>3</v>
      </c>
    </row>
    <row r="583" spans="1:21" x14ac:dyDescent="0.3">
      <c r="A583" s="7" t="s">
        <v>596</v>
      </c>
      <c r="B583" s="4">
        <v>44955</v>
      </c>
      <c r="C583" s="4">
        <v>44963</v>
      </c>
      <c r="D583" s="4" t="str">
        <f t="shared" si="54"/>
        <v>Valid</v>
      </c>
      <c r="E583" s="4">
        <f t="shared" si="55"/>
        <v>44963</v>
      </c>
      <c r="F583" s="13">
        <f t="shared" si="56"/>
        <v>8</v>
      </c>
      <c r="G583" s="7" t="s">
        <v>648</v>
      </c>
      <c r="H583" s="7" t="s">
        <v>655</v>
      </c>
      <c r="I583" s="7" t="s">
        <v>672</v>
      </c>
      <c r="J583" s="7" t="s">
        <v>701</v>
      </c>
      <c r="K583" s="7" t="s">
        <v>709</v>
      </c>
      <c r="L583" s="7" t="s">
        <v>726</v>
      </c>
      <c r="M583" s="7" t="s">
        <v>732</v>
      </c>
      <c r="N583" s="7" t="s">
        <v>2007</v>
      </c>
      <c r="O583" s="9">
        <v>41.84</v>
      </c>
      <c r="P583" s="9">
        <v>86.2</v>
      </c>
      <c r="Q583" s="9">
        <f t="shared" si="57"/>
        <v>86.2</v>
      </c>
      <c r="R583" s="9" t="str">
        <f t="shared" si="58"/>
        <v>OK</v>
      </c>
      <c r="S583" s="11">
        <v>0.22600000000000001</v>
      </c>
      <c r="T583" s="11" t="str">
        <f t="shared" si="59"/>
        <v>OK</v>
      </c>
      <c r="U583" s="13">
        <v>27</v>
      </c>
    </row>
    <row r="584" spans="1:21" x14ac:dyDescent="0.3">
      <c r="A584" s="7" t="s">
        <v>597</v>
      </c>
      <c r="B584" s="4">
        <v>45541</v>
      </c>
      <c r="C584" s="4">
        <v>45539</v>
      </c>
      <c r="D584" s="4" t="str">
        <f t="shared" si="54"/>
        <v>Invalid</v>
      </c>
      <c r="E584" s="4">
        <f t="shared" si="55"/>
        <v>45541</v>
      </c>
      <c r="F584" s="13">
        <f t="shared" si="56"/>
        <v>0</v>
      </c>
      <c r="G584" s="7" t="s">
        <v>647</v>
      </c>
      <c r="H584" s="7" t="s">
        <v>652</v>
      </c>
      <c r="I584" s="7" t="s">
        <v>666</v>
      </c>
      <c r="J584" s="7" t="s">
        <v>701</v>
      </c>
      <c r="K584" s="7" t="s">
        <v>711</v>
      </c>
      <c r="L584" s="7" t="s">
        <v>720</v>
      </c>
      <c r="M584" s="7" t="s">
        <v>731</v>
      </c>
      <c r="N584" s="7" t="s">
        <v>2008</v>
      </c>
      <c r="O584" s="9">
        <v>1368.17</v>
      </c>
      <c r="P584" s="9">
        <v>2307.75</v>
      </c>
      <c r="Q584" s="9">
        <f t="shared" si="57"/>
        <v>2307.75</v>
      </c>
      <c r="R584" s="9" t="str">
        <f t="shared" si="58"/>
        <v>OK</v>
      </c>
      <c r="S584" s="11">
        <v>0.16300000000000001</v>
      </c>
      <c r="T584" s="11" t="str">
        <f t="shared" si="59"/>
        <v>OK</v>
      </c>
      <c r="U584" s="13">
        <v>21</v>
      </c>
    </row>
    <row r="585" spans="1:21" x14ac:dyDescent="0.3">
      <c r="A585" s="7" t="s">
        <v>598</v>
      </c>
      <c r="B585" s="4">
        <v>45507</v>
      </c>
      <c r="C585" s="4">
        <v>45513</v>
      </c>
      <c r="D585" s="4" t="str">
        <f t="shared" si="54"/>
        <v>Valid</v>
      </c>
      <c r="E585" s="4">
        <f t="shared" si="55"/>
        <v>45513</v>
      </c>
      <c r="F585" s="13">
        <f t="shared" si="56"/>
        <v>6</v>
      </c>
      <c r="G585" s="7" t="s">
        <v>646</v>
      </c>
      <c r="H585" s="7" t="s">
        <v>650</v>
      </c>
      <c r="I585" s="7" t="s">
        <v>675</v>
      </c>
      <c r="J585" s="7" t="s">
        <v>704</v>
      </c>
      <c r="K585" s="7" t="s">
        <v>709</v>
      </c>
      <c r="L585" s="7" t="s">
        <v>722</v>
      </c>
      <c r="M585" s="7" t="s">
        <v>731</v>
      </c>
      <c r="N585" s="7" t="s">
        <v>2009</v>
      </c>
      <c r="O585" s="9">
        <v>643.21</v>
      </c>
      <c r="P585" s="9">
        <v>1112.81</v>
      </c>
      <c r="Q585" s="9">
        <f t="shared" si="57"/>
        <v>1112.81</v>
      </c>
      <c r="R585" s="9" t="str">
        <f t="shared" si="58"/>
        <v>OK</v>
      </c>
      <c r="S585" s="11">
        <v>0.14099999999999999</v>
      </c>
      <c r="T585" s="11" t="str">
        <f t="shared" si="59"/>
        <v>OK</v>
      </c>
      <c r="U585" s="13">
        <v>4</v>
      </c>
    </row>
    <row r="586" spans="1:21" x14ac:dyDescent="0.3">
      <c r="A586" s="7" t="s">
        <v>599</v>
      </c>
      <c r="B586" s="4">
        <v>45764</v>
      </c>
      <c r="C586" s="4">
        <v>45764</v>
      </c>
      <c r="D586" s="4" t="str">
        <f t="shared" si="54"/>
        <v>Valid</v>
      </c>
      <c r="E586" s="4">
        <f t="shared" si="55"/>
        <v>45764</v>
      </c>
      <c r="F586" s="13">
        <f t="shared" si="56"/>
        <v>0</v>
      </c>
      <c r="G586" s="7" t="s">
        <v>648</v>
      </c>
      <c r="H586" s="7" t="s">
        <v>655</v>
      </c>
      <c r="I586" s="7" t="s">
        <v>670</v>
      </c>
      <c r="J586" s="7" t="s">
        <v>701</v>
      </c>
      <c r="K586" s="7" t="s">
        <v>710</v>
      </c>
      <c r="L586" s="7" t="s">
        <v>716</v>
      </c>
      <c r="M586" s="7" t="s">
        <v>730</v>
      </c>
      <c r="N586" s="7" t="s">
        <v>2010</v>
      </c>
      <c r="O586" s="9">
        <v>719.41</v>
      </c>
      <c r="P586" s="9">
        <v>1125.99</v>
      </c>
      <c r="Q586" s="9">
        <f t="shared" si="57"/>
        <v>1125.99</v>
      </c>
      <c r="R586" s="9" t="str">
        <f t="shared" si="58"/>
        <v>OK</v>
      </c>
      <c r="S586" s="11">
        <v>4.1000000000000002E-2</v>
      </c>
      <c r="T586" s="11" t="str">
        <f t="shared" si="59"/>
        <v>OK</v>
      </c>
      <c r="U586" s="13">
        <v>21</v>
      </c>
    </row>
    <row r="587" spans="1:21" x14ac:dyDescent="0.3">
      <c r="A587" s="7" t="s">
        <v>600</v>
      </c>
      <c r="B587" s="4">
        <v>45049</v>
      </c>
      <c r="C587" s="4">
        <v>45062</v>
      </c>
      <c r="D587" s="4" t="str">
        <f t="shared" si="54"/>
        <v>Valid</v>
      </c>
      <c r="E587" s="4">
        <f t="shared" si="55"/>
        <v>45062</v>
      </c>
      <c r="F587" s="13">
        <f t="shared" si="56"/>
        <v>13</v>
      </c>
      <c r="G587" s="7" t="s">
        <v>648</v>
      </c>
      <c r="H587" s="7" t="s">
        <v>1425</v>
      </c>
      <c r="I587" s="7" t="s">
        <v>700</v>
      </c>
      <c r="J587" s="7" t="s">
        <v>701</v>
      </c>
      <c r="K587" s="7" t="s">
        <v>709</v>
      </c>
      <c r="L587" s="7" t="s">
        <v>716</v>
      </c>
      <c r="M587" s="7" t="s">
        <v>730</v>
      </c>
      <c r="N587" s="7" t="s">
        <v>2011</v>
      </c>
      <c r="O587" s="9">
        <v>64.5</v>
      </c>
      <c r="P587" s="9">
        <v>123.62</v>
      </c>
      <c r="Q587" s="9">
        <f t="shared" si="57"/>
        <v>123.62</v>
      </c>
      <c r="R587" s="9" t="str">
        <f t="shared" si="58"/>
        <v>OK</v>
      </c>
      <c r="S587" s="11">
        <v>0</v>
      </c>
      <c r="T587" s="11" t="str">
        <f t="shared" si="59"/>
        <v>OK</v>
      </c>
      <c r="U587" s="13">
        <v>3</v>
      </c>
    </row>
    <row r="588" spans="1:21" x14ac:dyDescent="0.3">
      <c r="A588" s="7" t="s">
        <v>601</v>
      </c>
      <c r="B588" s="4">
        <v>45364</v>
      </c>
      <c r="C588" s="4">
        <v>45388</v>
      </c>
      <c r="D588" s="4" t="str">
        <f t="shared" si="54"/>
        <v>Valid</v>
      </c>
      <c r="E588" s="4">
        <f t="shared" si="55"/>
        <v>45388</v>
      </c>
      <c r="F588" s="13">
        <f t="shared" si="56"/>
        <v>24</v>
      </c>
      <c r="G588" s="7" t="s">
        <v>646</v>
      </c>
      <c r="H588" s="7" t="s">
        <v>651</v>
      </c>
      <c r="I588" s="7" t="s">
        <v>669</v>
      </c>
      <c r="J588" s="7" t="s">
        <v>704</v>
      </c>
      <c r="K588" s="7" t="s">
        <v>710</v>
      </c>
      <c r="L588" s="7" t="s">
        <v>716</v>
      </c>
      <c r="M588" s="7" t="s">
        <v>727</v>
      </c>
      <c r="N588" s="7" t="s">
        <v>2012</v>
      </c>
      <c r="O588" s="9">
        <v>1232.78</v>
      </c>
      <c r="P588" s="9">
        <v>1731.75</v>
      </c>
      <c r="Q588" s="9">
        <f t="shared" si="57"/>
        <v>1731.75</v>
      </c>
      <c r="R588" s="9" t="str">
        <f t="shared" si="58"/>
        <v>OK</v>
      </c>
      <c r="S588" s="11">
        <v>9.2999999999999999E-2</v>
      </c>
      <c r="T588" s="11" t="str">
        <f t="shared" si="59"/>
        <v>OK</v>
      </c>
      <c r="U588" s="13">
        <v>16</v>
      </c>
    </row>
    <row r="589" spans="1:21" x14ac:dyDescent="0.3">
      <c r="A589" s="7" t="s">
        <v>602</v>
      </c>
      <c r="B589" s="4">
        <v>45459</v>
      </c>
      <c r="C589" s="4">
        <v>45464</v>
      </c>
      <c r="D589" s="4" t="str">
        <f t="shared" si="54"/>
        <v>Valid</v>
      </c>
      <c r="E589" s="4">
        <f t="shared" si="55"/>
        <v>45464</v>
      </c>
      <c r="F589" s="13">
        <f t="shared" si="56"/>
        <v>5</v>
      </c>
      <c r="G589" s="7" t="s">
        <v>647</v>
      </c>
      <c r="H589" s="7" t="s">
        <v>652</v>
      </c>
      <c r="I589" s="7" t="s">
        <v>689</v>
      </c>
      <c r="J589" s="7" t="s">
        <v>705</v>
      </c>
      <c r="K589" s="7" t="s">
        <v>710</v>
      </c>
      <c r="L589" s="7" t="s">
        <v>721</v>
      </c>
      <c r="M589" s="7" t="s">
        <v>730</v>
      </c>
      <c r="N589" s="7" t="s">
        <v>2013</v>
      </c>
      <c r="O589" s="9">
        <v>1367.13</v>
      </c>
      <c r="P589" s="9">
        <v>3062.01</v>
      </c>
      <c r="Q589" s="9">
        <f t="shared" si="57"/>
        <v>3062.01</v>
      </c>
      <c r="R589" s="9" t="str">
        <f t="shared" si="58"/>
        <v>OK</v>
      </c>
      <c r="S589" s="11">
        <v>0.10299999999999999</v>
      </c>
      <c r="T589" s="11" t="str">
        <f t="shared" si="59"/>
        <v>OK</v>
      </c>
      <c r="U589" s="13">
        <v>25</v>
      </c>
    </row>
    <row r="590" spans="1:21" x14ac:dyDescent="0.3">
      <c r="A590" s="7" t="s">
        <v>603</v>
      </c>
      <c r="B590" s="4">
        <v>45703</v>
      </c>
      <c r="C590" s="4">
        <v>45715</v>
      </c>
      <c r="D590" s="4" t="str">
        <f t="shared" si="54"/>
        <v>Valid</v>
      </c>
      <c r="E590" s="4">
        <f t="shared" si="55"/>
        <v>45715</v>
      </c>
      <c r="F590" s="13">
        <f t="shared" si="56"/>
        <v>12</v>
      </c>
      <c r="G590" s="7" t="s">
        <v>649</v>
      </c>
      <c r="H590" s="7" t="s">
        <v>657</v>
      </c>
      <c r="I590" s="7" t="s">
        <v>679</v>
      </c>
      <c r="J590" s="7" t="s">
        <v>703</v>
      </c>
      <c r="K590" s="7" t="s">
        <v>711</v>
      </c>
      <c r="L590" s="7" t="s">
        <v>723</v>
      </c>
      <c r="M590" s="7" t="s">
        <v>733</v>
      </c>
      <c r="N590" s="7" t="s">
        <v>2014</v>
      </c>
      <c r="O590" s="9">
        <v>1027.26</v>
      </c>
      <c r="P590" s="9">
        <v>2200.41</v>
      </c>
      <c r="Q590" s="9">
        <f t="shared" si="57"/>
        <v>2200.41</v>
      </c>
      <c r="R590" s="9" t="str">
        <f t="shared" si="58"/>
        <v>OK</v>
      </c>
      <c r="S590" s="11">
        <v>8.7999999999999995E-2</v>
      </c>
      <c r="T590" s="11" t="str">
        <f t="shared" si="59"/>
        <v>OK</v>
      </c>
      <c r="U590" s="13">
        <v>6</v>
      </c>
    </row>
    <row r="591" spans="1:21" x14ac:dyDescent="0.3">
      <c r="A591" s="7" t="s">
        <v>604</v>
      </c>
      <c r="B591" s="4">
        <v>45019</v>
      </c>
      <c r="C591" s="4">
        <v>45032</v>
      </c>
      <c r="D591" s="4" t="str">
        <f t="shared" si="54"/>
        <v>Valid</v>
      </c>
      <c r="E591" s="4">
        <f t="shared" si="55"/>
        <v>45032</v>
      </c>
      <c r="F591" s="13">
        <f t="shared" si="56"/>
        <v>13</v>
      </c>
      <c r="G591" s="7" t="s">
        <v>649</v>
      </c>
      <c r="H591" s="7" t="s">
        <v>657</v>
      </c>
      <c r="I591" s="7" t="s">
        <v>673</v>
      </c>
      <c r="J591" s="7" t="s">
        <v>703</v>
      </c>
      <c r="K591" s="7" t="s">
        <v>709</v>
      </c>
      <c r="L591" s="7" t="s">
        <v>724</v>
      </c>
      <c r="M591" s="7" t="s">
        <v>733</v>
      </c>
      <c r="N591" s="7" t="s">
        <v>2015</v>
      </c>
      <c r="O591" s="9">
        <v>790.54</v>
      </c>
      <c r="P591" s="9">
        <v>601.49</v>
      </c>
      <c r="Q591" s="9">
        <f t="shared" si="57"/>
        <v>601.49</v>
      </c>
      <c r="R591" s="9" t="str">
        <f t="shared" si="58"/>
        <v>OK</v>
      </c>
      <c r="S591" s="11">
        <v>0</v>
      </c>
      <c r="T591" s="11" t="str">
        <f t="shared" si="59"/>
        <v>OK</v>
      </c>
      <c r="U591" s="13">
        <v>15</v>
      </c>
    </row>
    <row r="592" spans="1:21" x14ac:dyDescent="0.3">
      <c r="A592" s="7" t="s">
        <v>605</v>
      </c>
      <c r="B592" s="4">
        <v>45899</v>
      </c>
      <c r="C592" s="4">
        <v>45922</v>
      </c>
      <c r="D592" s="4" t="str">
        <f t="shared" si="54"/>
        <v>Valid</v>
      </c>
      <c r="E592" s="4">
        <f t="shared" si="55"/>
        <v>45922</v>
      </c>
      <c r="F592" s="13">
        <f t="shared" si="56"/>
        <v>23</v>
      </c>
      <c r="G592" s="7" t="s">
        <v>649</v>
      </c>
      <c r="H592" s="7" t="s">
        <v>657</v>
      </c>
      <c r="I592" s="7" t="s">
        <v>673</v>
      </c>
      <c r="J592" s="7" t="s">
        <v>701</v>
      </c>
      <c r="K592" s="7" t="s">
        <v>711</v>
      </c>
      <c r="L592" s="7" t="s">
        <v>718</v>
      </c>
      <c r="M592" s="7" t="s">
        <v>727</v>
      </c>
      <c r="N592" s="7" t="s">
        <v>2016</v>
      </c>
      <c r="O592" s="9">
        <v>663.9</v>
      </c>
      <c r="P592" s="9">
        <v>947.77</v>
      </c>
      <c r="Q592" s="9">
        <f t="shared" si="57"/>
        <v>947.77</v>
      </c>
      <c r="R592" s="9" t="str">
        <f t="shared" si="58"/>
        <v>OK</v>
      </c>
      <c r="S592" s="11">
        <v>0.17399999999999999</v>
      </c>
      <c r="T592" s="11" t="str">
        <f t="shared" si="59"/>
        <v>OK</v>
      </c>
      <c r="U592" s="13">
        <v>15</v>
      </c>
    </row>
    <row r="593" spans="1:21" x14ac:dyDescent="0.3">
      <c r="A593" s="7" t="s">
        <v>606</v>
      </c>
      <c r="B593" s="4">
        <v>44984</v>
      </c>
      <c r="C593" s="4">
        <v>44983</v>
      </c>
      <c r="D593" s="4" t="str">
        <f t="shared" si="54"/>
        <v>Invalid</v>
      </c>
      <c r="E593" s="4">
        <f t="shared" si="55"/>
        <v>44984</v>
      </c>
      <c r="F593" s="13">
        <f t="shared" si="56"/>
        <v>0</v>
      </c>
      <c r="G593" s="7" t="s">
        <v>648</v>
      </c>
      <c r="H593" s="7" t="s">
        <v>1425</v>
      </c>
      <c r="I593" s="7" t="s">
        <v>686</v>
      </c>
      <c r="J593" s="7" t="s">
        <v>703</v>
      </c>
      <c r="K593" s="7" t="s">
        <v>708</v>
      </c>
      <c r="L593" s="7" t="s">
        <v>716</v>
      </c>
      <c r="M593" s="7" t="s">
        <v>729</v>
      </c>
      <c r="N593" s="7" t="s">
        <v>2017</v>
      </c>
      <c r="O593" s="9">
        <v>1015.91</v>
      </c>
      <c r="P593" s="9">
        <v>2331.48</v>
      </c>
      <c r="Q593" s="9">
        <f t="shared" si="57"/>
        <v>2331.48</v>
      </c>
      <c r="R593" s="9" t="str">
        <f t="shared" si="58"/>
        <v>OK</v>
      </c>
      <c r="S593" s="11">
        <v>0.14599999999999999</v>
      </c>
      <c r="T593" s="11" t="str">
        <f t="shared" si="59"/>
        <v>OK</v>
      </c>
      <c r="U593" s="13">
        <v>26</v>
      </c>
    </row>
    <row r="594" spans="1:21" x14ac:dyDescent="0.3">
      <c r="A594" s="7" t="s">
        <v>607</v>
      </c>
      <c r="B594" s="4">
        <v>45504</v>
      </c>
      <c r="C594" s="4">
        <v>45519</v>
      </c>
      <c r="D594" s="4" t="str">
        <f t="shared" si="54"/>
        <v>Valid</v>
      </c>
      <c r="E594" s="4">
        <f t="shared" si="55"/>
        <v>45519</v>
      </c>
      <c r="F594" s="13">
        <f t="shared" si="56"/>
        <v>15</v>
      </c>
      <c r="G594" s="7" t="s">
        <v>647</v>
      </c>
      <c r="H594" s="7" t="s">
        <v>652</v>
      </c>
      <c r="I594" s="7" t="s">
        <v>689</v>
      </c>
      <c r="J594" s="7" t="s">
        <v>701</v>
      </c>
      <c r="K594" s="7" t="s">
        <v>709</v>
      </c>
      <c r="L594" s="7" t="s">
        <v>721</v>
      </c>
      <c r="M594" s="7" t="s">
        <v>732</v>
      </c>
      <c r="N594" s="7" t="s">
        <v>2018</v>
      </c>
      <c r="O594" s="9">
        <v>1252.52</v>
      </c>
      <c r="P594" s="9">
        <v>1417.24</v>
      </c>
      <c r="Q594" s="9">
        <f t="shared" si="57"/>
        <v>1417.24</v>
      </c>
      <c r="R594" s="9" t="str">
        <f t="shared" si="58"/>
        <v>OK</v>
      </c>
      <c r="S594" s="11">
        <v>0.192</v>
      </c>
      <c r="T594" s="11" t="str">
        <f t="shared" si="59"/>
        <v>OK</v>
      </c>
      <c r="U594" s="13">
        <v>5</v>
      </c>
    </row>
    <row r="595" spans="1:21" x14ac:dyDescent="0.3">
      <c r="A595" s="7" t="s">
        <v>608</v>
      </c>
      <c r="B595" s="4">
        <v>45823</v>
      </c>
      <c r="C595" s="4">
        <v>45850</v>
      </c>
      <c r="D595" s="4" t="str">
        <f t="shared" si="54"/>
        <v>Valid</v>
      </c>
      <c r="E595" s="4">
        <f t="shared" si="55"/>
        <v>45850</v>
      </c>
      <c r="F595" s="13">
        <f t="shared" si="56"/>
        <v>27</v>
      </c>
      <c r="G595" s="7" t="s">
        <v>649</v>
      </c>
      <c r="H595" s="7" t="s">
        <v>657</v>
      </c>
      <c r="I595" s="7" t="s">
        <v>673</v>
      </c>
      <c r="J595" s="7" t="s">
        <v>704</v>
      </c>
      <c r="K595" s="7" t="s">
        <v>711</v>
      </c>
      <c r="L595" s="7" t="s">
        <v>712</v>
      </c>
      <c r="M595" s="7" t="s">
        <v>733</v>
      </c>
      <c r="N595" s="7" t="s">
        <v>2019</v>
      </c>
      <c r="O595" s="9">
        <v>318.83</v>
      </c>
      <c r="P595" s="9">
        <v>699.5</v>
      </c>
      <c r="Q595" s="9">
        <f t="shared" si="57"/>
        <v>699.5</v>
      </c>
      <c r="R595" s="9" t="str">
        <f t="shared" si="58"/>
        <v>OK</v>
      </c>
      <c r="S595" s="11">
        <v>0.08</v>
      </c>
      <c r="T595" s="11" t="str">
        <f t="shared" si="59"/>
        <v>OK</v>
      </c>
      <c r="U595" s="13">
        <v>13</v>
      </c>
    </row>
    <row r="596" spans="1:21" x14ac:dyDescent="0.3">
      <c r="A596" s="7" t="s">
        <v>609</v>
      </c>
      <c r="B596" s="4">
        <v>45473</v>
      </c>
      <c r="C596" s="4">
        <v>45494</v>
      </c>
      <c r="D596" s="4" t="str">
        <f t="shared" si="54"/>
        <v>Valid</v>
      </c>
      <c r="E596" s="4">
        <f t="shared" si="55"/>
        <v>45494</v>
      </c>
      <c r="F596" s="13">
        <f t="shared" si="56"/>
        <v>21</v>
      </c>
      <c r="G596" s="7" t="s">
        <v>646</v>
      </c>
      <c r="H596" s="7" t="s">
        <v>650</v>
      </c>
      <c r="I596" s="7" t="s">
        <v>662</v>
      </c>
      <c r="J596" s="7" t="s">
        <v>705</v>
      </c>
      <c r="K596" s="7" t="s">
        <v>707</v>
      </c>
      <c r="L596" s="7" t="s">
        <v>723</v>
      </c>
      <c r="M596" s="7" t="s">
        <v>731</v>
      </c>
      <c r="N596" s="7" t="s">
        <v>2020</v>
      </c>
      <c r="O596" s="9">
        <v>753.43</v>
      </c>
      <c r="P596" s="9">
        <v>1787.2</v>
      </c>
      <c r="Q596" s="9">
        <f t="shared" si="57"/>
        <v>1787.2</v>
      </c>
      <c r="R596" s="9" t="str">
        <f t="shared" si="58"/>
        <v>OK</v>
      </c>
      <c r="S596" s="11">
        <v>7.2999999999999995E-2</v>
      </c>
      <c r="T596" s="11" t="str">
        <f t="shared" si="59"/>
        <v>OK</v>
      </c>
      <c r="U596" s="13">
        <v>9</v>
      </c>
    </row>
    <row r="597" spans="1:21" x14ac:dyDescent="0.3">
      <c r="A597" s="7" t="s">
        <v>610</v>
      </c>
      <c r="B597" s="4">
        <v>45705</v>
      </c>
      <c r="C597" s="4">
        <v>45703</v>
      </c>
      <c r="D597" s="4" t="str">
        <f t="shared" si="54"/>
        <v>Invalid</v>
      </c>
      <c r="E597" s="4">
        <f t="shared" si="55"/>
        <v>45705</v>
      </c>
      <c r="F597" s="13">
        <f t="shared" si="56"/>
        <v>0</v>
      </c>
      <c r="G597" s="7" t="s">
        <v>648</v>
      </c>
      <c r="H597" s="7" t="s">
        <v>653</v>
      </c>
      <c r="I597" s="7" t="s">
        <v>667</v>
      </c>
      <c r="J597" s="7" t="s">
        <v>705</v>
      </c>
      <c r="K597" s="7" t="s">
        <v>707</v>
      </c>
      <c r="L597" s="7" t="s">
        <v>726</v>
      </c>
      <c r="M597" s="7" t="s">
        <v>727</v>
      </c>
      <c r="N597" s="7" t="s">
        <v>2021</v>
      </c>
      <c r="O597" s="9">
        <v>1133.47</v>
      </c>
      <c r="P597" s="9">
        <v>1698.75</v>
      </c>
      <c r="Q597" s="9">
        <f t="shared" si="57"/>
        <v>1698.75</v>
      </c>
      <c r="R597" s="9" t="str">
        <f t="shared" si="58"/>
        <v>OK</v>
      </c>
      <c r="S597" s="11">
        <v>4.2999999999999997E-2</v>
      </c>
      <c r="T597" s="11" t="str">
        <f t="shared" si="59"/>
        <v>OK</v>
      </c>
      <c r="U597" s="13">
        <v>5</v>
      </c>
    </row>
    <row r="598" spans="1:21" x14ac:dyDescent="0.3">
      <c r="A598" s="7" t="s">
        <v>611</v>
      </c>
      <c r="B598" s="4">
        <v>44933</v>
      </c>
      <c r="C598" s="4">
        <v>44956</v>
      </c>
      <c r="D598" s="4" t="str">
        <f t="shared" si="54"/>
        <v>Valid</v>
      </c>
      <c r="E598" s="4">
        <f t="shared" si="55"/>
        <v>44956</v>
      </c>
      <c r="F598" s="13">
        <f t="shared" si="56"/>
        <v>23</v>
      </c>
      <c r="G598" s="7" t="s">
        <v>646</v>
      </c>
      <c r="H598" s="7" t="s">
        <v>661</v>
      </c>
      <c r="I598" s="7" t="s">
        <v>695</v>
      </c>
      <c r="J598" s="7" t="s">
        <v>704</v>
      </c>
      <c r="K598" s="7" t="s">
        <v>708</v>
      </c>
      <c r="L598" s="7" t="s">
        <v>720</v>
      </c>
      <c r="M598" s="7" t="s">
        <v>728</v>
      </c>
      <c r="N598" s="7" t="s">
        <v>2022</v>
      </c>
      <c r="O598" s="9">
        <v>299.02</v>
      </c>
      <c r="P598" s="9">
        <v>724.7</v>
      </c>
      <c r="Q598" s="9">
        <f t="shared" si="57"/>
        <v>724.7</v>
      </c>
      <c r="R598" s="9" t="str">
        <f t="shared" si="58"/>
        <v>OK</v>
      </c>
      <c r="S598" s="11">
        <v>0.14000000000000001</v>
      </c>
      <c r="T598" s="11" t="str">
        <f t="shared" si="59"/>
        <v>OK</v>
      </c>
      <c r="U598" s="13">
        <v>5</v>
      </c>
    </row>
    <row r="599" spans="1:21" x14ac:dyDescent="0.3">
      <c r="A599" s="7" t="s">
        <v>612</v>
      </c>
      <c r="B599" s="4">
        <v>45726</v>
      </c>
      <c r="C599" s="4">
        <v>45751</v>
      </c>
      <c r="D599" s="4" t="str">
        <f t="shared" si="54"/>
        <v>Valid</v>
      </c>
      <c r="E599" s="4">
        <f t="shared" si="55"/>
        <v>45751</v>
      </c>
      <c r="F599" s="13">
        <f t="shared" si="56"/>
        <v>25</v>
      </c>
      <c r="G599" s="7" t="s">
        <v>647</v>
      </c>
      <c r="H599" s="7" t="s">
        <v>652</v>
      </c>
      <c r="I599" s="7" t="s">
        <v>666</v>
      </c>
      <c r="J599" s="7" t="s">
        <v>701</v>
      </c>
      <c r="K599" s="7" t="s">
        <v>711</v>
      </c>
      <c r="L599" s="7" t="s">
        <v>722</v>
      </c>
      <c r="M599" s="7" t="s">
        <v>728</v>
      </c>
      <c r="N599" s="7" t="s">
        <v>2023</v>
      </c>
      <c r="O599" s="9">
        <v>783.72</v>
      </c>
      <c r="P599" s="9">
        <v>1355.94</v>
      </c>
      <c r="Q599" s="9">
        <f t="shared" si="57"/>
        <v>1355.94</v>
      </c>
      <c r="R599" s="9" t="str">
        <f t="shared" si="58"/>
        <v>OK</v>
      </c>
      <c r="S599" s="11">
        <v>0.187</v>
      </c>
      <c r="T599" s="11" t="str">
        <f t="shared" si="59"/>
        <v>OK</v>
      </c>
      <c r="U599" s="13">
        <v>4</v>
      </c>
    </row>
    <row r="600" spans="1:21" x14ac:dyDescent="0.3">
      <c r="A600" s="7" t="s">
        <v>613</v>
      </c>
      <c r="B600" s="4">
        <v>45521</v>
      </c>
      <c r="C600" s="4">
        <v>45519</v>
      </c>
      <c r="D600" s="4" t="str">
        <f t="shared" si="54"/>
        <v>Invalid</v>
      </c>
      <c r="E600" s="4">
        <f t="shared" si="55"/>
        <v>45521</v>
      </c>
      <c r="F600" s="13">
        <f t="shared" si="56"/>
        <v>0</v>
      </c>
      <c r="G600" s="7" t="s">
        <v>648</v>
      </c>
      <c r="H600" s="7" t="s">
        <v>655</v>
      </c>
      <c r="I600" s="7" t="s">
        <v>1426</v>
      </c>
      <c r="J600" s="7" t="s">
        <v>704</v>
      </c>
      <c r="K600" s="7" t="s">
        <v>711</v>
      </c>
      <c r="L600" s="7" t="s">
        <v>724</v>
      </c>
      <c r="M600" s="7" t="s">
        <v>732</v>
      </c>
      <c r="N600" s="7" t="s">
        <v>2024</v>
      </c>
      <c r="O600" s="9">
        <v>165.3</v>
      </c>
      <c r="P600" s="9">
        <v>275.07</v>
      </c>
      <c r="Q600" s="9">
        <f t="shared" si="57"/>
        <v>275.07</v>
      </c>
      <c r="R600" s="9" t="str">
        <f t="shared" si="58"/>
        <v>OK</v>
      </c>
      <c r="S600" s="11">
        <v>0.13300000000000001</v>
      </c>
      <c r="T600" s="11" t="str">
        <f t="shared" si="59"/>
        <v>OK</v>
      </c>
      <c r="U600" s="13">
        <v>25</v>
      </c>
    </row>
    <row r="601" spans="1:21" x14ac:dyDescent="0.3">
      <c r="A601" s="7" t="s">
        <v>614</v>
      </c>
      <c r="B601" s="4">
        <v>45360</v>
      </c>
      <c r="C601" s="4">
        <v>45373</v>
      </c>
      <c r="D601" s="4" t="str">
        <f t="shared" si="54"/>
        <v>Valid</v>
      </c>
      <c r="E601" s="4">
        <f t="shared" si="55"/>
        <v>45373</v>
      </c>
      <c r="F601" s="13">
        <f t="shared" si="56"/>
        <v>13</v>
      </c>
      <c r="G601" s="7" t="s">
        <v>649</v>
      </c>
      <c r="H601" s="7" t="s">
        <v>658</v>
      </c>
      <c r="I601" s="7" t="s">
        <v>693</v>
      </c>
      <c r="J601" s="7" t="s">
        <v>704</v>
      </c>
      <c r="K601" s="7" t="s">
        <v>708</v>
      </c>
      <c r="L601" s="7" t="s">
        <v>718</v>
      </c>
      <c r="M601" s="7" t="s">
        <v>731</v>
      </c>
      <c r="N601" s="7" t="s">
        <v>2025</v>
      </c>
      <c r="O601" s="9">
        <v>985.45</v>
      </c>
      <c r="P601" s="9">
        <v>1802.44</v>
      </c>
      <c r="Q601" s="9">
        <f t="shared" si="57"/>
        <v>1802.44</v>
      </c>
      <c r="R601" s="9" t="str">
        <f t="shared" si="58"/>
        <v>OK</v>
      </c>
      <c r="S601" s="11">
        <v>8.9999999999999993E-3</v>
      </c>
      <c r="T601" s="11" t="str">
        <f t="shared" si="59"/>
        <v>OK</v>
      </c>
      <c r="U601" s="13">
        <v>19</v>
      </c>
    </row>
    <row r="602" spans="1:21" x14ac:dyDescent="0.3">
      <c r="A602" s="7" t="s">
        <v>615</v>
      </c>
      <c r="B602" s="4">
        <v>45523</v>
      </c>
      <c r="C602" s="4">
        <v>45537</v>
      </c>
      <c r="D602" s="4" t="str">
        <f t="shared" si="54"/>
        <v>Valid</v>
      </c>
      <c r="E602" s="4">
        <f t="shared" si="55"/>
        <v>45537</v>
      </c>
      <c r="F602" s="13">
        <f t="shared" si="56"/>
        <v>14</v>
      </c>
      <c r="G602" s="7" t="s">
        <v>648</v>
      </c>
      <c r="H602" s="7" t="s">
        <v>653</v>
      </c>
      <c r="I602" s="7" t="s">
        <v>667</v>
      </c>
      <c r="J602" s="7" t="s">
        <v>704</v>
      </c>
      <c r="K602" s="7" t="s">
        <v>710</v>
      </c>
      <c r="L602" s="7" t="s">
        <v>712</v>
      </c>
      <c r="M602" s="7" t="s">
        <v>728</v>
      </c>
      <c r="N602" s="7" t="s">
        <v>2026</v>
      </c>
      <c r="O602" s="9">
        <v>1337.01</v>
      </c>
      <c r="P602" s="9">
        <v>1269.78</v>
      </c>
      <c r="Q602" s="9">
        <f t="shared" si="57"/>
        <v>1269.78</v>
      </c>
      <c r="R602" s="9" t="str">
        <f t="shared" si="58"/>
        <v>OK</v>
      </c>
      <c r="S602" s="11">
        <v>0.16</v>
      </c>
      <c r="T602" s="11" t="str">
        <f t="shared" si="59"/>
        <v>OK</v>
      </c>
      <c r="U602" s="13">
        <v>7</v>
      </c>
    </row>
    <row r="603" spans="1:21" x14ac:dyDescent="0.3">
      <c r="A603" s="7" t="s">
        <v>616</v>
      </c>
      <c r="B603" s="4">
        <v>45880</v>
      </c>
      <c r="C603" s="4">
        <v>45897</v>
      </c>
      <c r="D603" s="4" t="str">
        <f t="shared" si="54"/>
        <v>Valid</v>
      </c>
      <c r="E603" s="4">
        <f t="shared" si="55"/>
        <v>45897</v>
      </c>
      <c r="F603" s="13">
        <f t="shared" si="56"/>
        <v>17</v>
      </c>
      <c r="G603" s="7" t="s">
        <v>649</v>
      </c>
      <c r="H603" s="7" t="s">
        <v>657</v>
      </c>
      <c r="I603" s="7" t="s">
        <v>690</v>
      </c>
      <c r="J603" s="7" t="s">
        <v>702</v>
      </c>
      <c r="K603" s="7" t="s">
        <v>708</v>
      </c>
      <c r="L603" s="7" t="s">
        <v>721</v>
      </c>
      <c r="M603" s="7" t="s">
        <v>729</v>
      </c>
      <c r="N603" s="7" t="s">
        <v>2027</v>
      </c>
      <c r="O603" s="9">
        <v>416.16</v>
      </c>
      <c r="P603" s="9">
        <v>571.9</v>
      </c>
      <c r="Q603" s="9">
        <f t="shared" si="57"/>
        <v>571.9</v>
      </c>
      <c r="R603" s="9" t="str">
        <f t="shared" si="58"/>
        <v>OK</v>
      </c>
      <c r="S603" s="11">
        <v>7.0999999999999994E-2</v>
      </c>
      <c r="T603" s="11" t="str">
        <f t="shared" si="59"/>
        <v>OK</v>
      </c>
      <c r="U603" s="13">
        <v>2</v>
      </c>
    </row>
    <row r="604" spans="1:21" x14ac:dyDescent="0.3">
      <c r="A604" s="7" t="s">
        <v>617</v>
      </c>
      <c r="B604" s="4">
        <v>45793</v>
      </c>
      <c r="C604" s="4">
        <v>45795</v>
      </c>
      <c r="D604" s="4" t="str">
        <f t="shared" si="54"/>
        <v>Valid</v>
      </c>
      <c r="E604" s="4">
        <f t="shared" si="55"/>
        <v>45795</v>
      </c>
      <c r="F604" s="13">
        <f t="shared" si="56"/>
        <v>2</v>
      </c>
      <c r="G604" s="7" t="s">
        <v>647</v>
      </c>
      <c r="H604" s="7" t="s">
        <v>652</v>
      </c>
      <c r="I604" s="7" t="s">
        <v>689</v>
      </c>
      <c r="J604" s="7" t="s">
        <v>706</v>
      </c>
      <c r="K604" s="7" t="s">
        <v>707</v>
      </c>
      <c r="L604" s="7" t="s">
        <v>713</v>
      </c>
      <c r="M604" s="7" t="s">
        <v>728</v>
      </c>
      <c r="N604" s="7" t="s">
        <v>2028</v>
      </c>
      <c r="O604" s="9">
        <v>1144.3800000000001</v>
      </c>
      <c r="P604" s="9">
        <v>2755.04</v>
      </c>
      <c r="Q604" s="9">
        <f t="shared" si="57"/>
        <v>2755.04</v>
      </c>
      <c r="R604" s="9" t="str">
        <f t="shared" si="58"/>
        <v>OK</v>
      </c>
      <c r="S604" s="11">
        <v>0.15</v>
      </c>
      <c r="T604" s="11" t="str">
        <f t="shared" si="59"/>
        <v>OK</v>
      </c>
      <c r="U604" s="13">
        <v>17</v>
      </c>
    </row>
    <row r="605" spans="1:21" x14ac:dyDescent="0.3">
      <c r="A605" s="7" t="s">
        <v>618</v>
      </c>
      <c r="B605" s="4">
        <v>45026</v>
      </c>
      <c r="C605" s="4">
        <v>45041</v>
      </c>
      <c r="D605" s="4" t="str">
        <f t="shared" si="54"/>
        <v>Valid</v>
      </c>
      <c r="E605" s="4">
        <f t="shared" si="55"/>
        <v>45041</v>
      </c>
      <c r="F605" s="13">
        <f t="shared" si="56"/>
        <v>15</v>
      </c>
      <c r="G605" s="7" t="s">
        <v>649</v>
      </c>
      <c r="H605" s="7" t="s">
        <v>658</v>
      </c>
      <c r="I605" s="7" t="s">
        <v>683</v>
      </c>
      <c r="J605" s="7" t="s">
        <v>705</v>
      </c>
      <c r="K605" s="7" t="s">
        <v>707</v>
      </c>
      <c r="L605" s="7" t="s">
        <v>726</v>
      </c>
      <c r="M605" s="7" t="s">
        <v>728</v>
      </c>
      <c r="N605" s="7" t="s">
        <v>2029</v>
      </c>
      <c r="O605" s="9">
        <v>405.66</v>
      </c>
      <c r="P605" s="9">
        <v>962.51</v>
      </c>
      <c r="Q605" s="9">
        <f t="shared" si="57"/>
        <v>962.51</v>
      </c>
      <c r="R605" s="9" t="str">
        <f t="shared" si="58"/>
        <v>OK</v>
      </c>
      <c r="S605" s="11">
        <v>0.19</v>
      </c>
      <c r="T605" s="11" t="str">
        <f t="shared" si="59"/>
        <v>OK</v>
      </c>
      <c r="U605" s="13">
        <v>7</v>
      </c>
    </row>
    <row r="606" spans="1:21" x14ac:dyDescent="0.3">
      <c r="A606" s="7" t="s">
        <v>619</v>
      </c>
      <c r="B606" s="4">
        <v>45186</v>
      </c>
      <c r="C606" s="4">
        <v>45201</v>
      </c>
      <c r="D606" s="4" t="str">
        <f t="shared" si="54"/>
        <v>Valid</v>
      </c>
      <c r="E606" s="4">
        <f t="shared" si="55"/>
        <v>45201</v>
      </c>
      <c r="F606" s="13">
        <f t="shared" si="56"/>
        <v>15</v>
      </c>
      <c r="G606" s="7" t="s">
        <v>648</v>
      </c>
      <c r="H606" s="7" t="s">
        <v>655</v>
      </c>
      <c r="I606" s="7" t="s">
        <v>1426</v>
      </c>
      <c r="J606" s="7" t="s">
        <v>705</v>
      </c>
      <c r="K606" s="7" t="s">
        <v>707</v>
      </c>
      <c r="L606" s="7" t="s">
        <v>717</v>
      </c>
      <c r="M606" s="7" t="s">
        <v>731</v>
      </c>
      <c r="N606" s="7" t="s">
        <v>2030</v>
      </c>
      <c r="O606" s="9">
        <v>689.33</v>
      </c>
      <c r="P606" s="9">
        <v>668.27</v>
      </c>
      <c r="Q606" s="9">
        <f t="shared" si="57"/>
        <v>668.27</v>
      </c>
      <c r="R606" s="9" t="str">
        <f t="shared" si="58"/>
        <v>OK</v>
      </c>
      <c r="S606" s="11">
        <v>0.186</v>
      </c>
      <c r="T606" s="11" t="str">
        <f t="shared" si="59"/>
        <v>OK</v>
      </c>
      <c r="U606" s="13">
        <v>13</v>
      </c>
    </row>
    <row r="607" spans="1:21" x14ac:dyDescent="0.3">
      <c r="A607" s="7" t="s">
        <v>620</v>
      </c>
      <c r="B607" s="4">
        <v>45038</v>
      </c>
      <c r="C607" s="4">
        <v>45060</v>
      </c>
      <c r="D607" s="4" t="str">
        <f t="shared" si="54"/>
        <v>Valid</v>
      </c>
      <c r="E607" s="4">
        <f t="shared" si="55"/>
        <v>45060</v>
      </c>
      <c r="F607" s="13">
        <f t="shared" si="56"/>
        <v>22</v>
      </c>
      <c r="G607" s="7" t="s">
        <v>647</v>
      </c>
      <c r="H607" s="7" t="s">
        <v>652</v>
      </c>
      <c r="I607" s="7" t="s">
        <v>694</v>
      </c>
      <c r="J607" s="7" t="s">
        <v>706</v>
      </c>
      <c r="K607" s="7" t="s">
        <v>707</v>
      </c>
      <c r="L607" s="7" t="s">
        <v>720</v>
      </c>
      <c r="M607" s="7" t="s">
        <v>733</v>
      </c>
      <c r="N607" s="7" t="s">
        <v>2031</v>
      </c>
      <c r="O607" s="9">
        <v>1209.22</v>
      </c>
      <c r="P607" s="9">
        <v>1404.33</v>
      </c>
      <c r="Q607" s="9">
        <f t="shared" si="57"/>
        <v>1404.33</v>
      </c>
      <c r="R607" s="9" t="str">
        <f t="shared" si="58"/>
        <v>OK</v>
      </c>
      <c r="S607" s="11">
        <v>0.10299999999999999</v>
      </c>
      <c r="T607" s="11" t="str">
        <f t="shared" si="59"/>
        <v>OK</v>
      </c>
      <c r="U607" s="13">
        <v>11</v>
      </c>
    </row>
    <row r="608" spans="1:21" x14ac:dyDescent="0.3">
      <c r="A608" s="7" t="s">
        <v>621</v>
      </c>
      <c r="B608" s="4">
        <v>45827</v>
      </c>
      <c r="C608" s="4">
        <v>45829</v>
      </c>
      <c r="D608" s="4" t="str">
        <f t="shared" si="54"/>
        <v>Valid</v>
      </c>
      <c r="E608" s="4">
        <f t="shared" si="55"/>
        <v>45829</v>
      </c>
      <c r="F608" s="13">
        <f t="shared" si="56"/>
        <v>2</v>
      </c>
      <c r="G608" s="7" t="s">
        <v>646</v>
      </c>
      <c r="H608" s="7" t="s">
        <v>661</v>
      </c>
      <c r="I608" s="7" t="s">
        <v>682</v>
      </c>
      <c r="J608" s="7" t="s">
        <v>705</v>
      </c>
      <c r="K608" s="7" t="s">
        <v>2057</v>
      </c>
      <c r="L608" s="7" t="s">
        <v>722</v>
      </c>
      <c r="M608" s="7" t="s">
        <v>730</v>
      </c>
      <c r="N608" s="7" t="s">
        <v>2032</v>
      </c>
      <c r="O608" s="9">
        <v>1466.27</v>
      </c>
      <c r="P608" s="9">
        <v>3589.89</v>
      </c>
      <c r="Q608" s="9">
        <f t="shared" si="57"/>
        <v>3589.89</v>
      </c>
      <c r="R608" s="9" t="str">
        <f t="shared" si="58"/>
        <v>OK</v>
      </c>
      <c r="S608" s="11">
        <v>9.7000000000000003E-2</v>
      </c>
      <c r="T608" s="11" t="str">
        <f t="shared" si="59"/>
        <v>OK</v>
      </c>
      <c r="U608" s="13">
        <v>9</v>
      </c>
    </row>
    <row r="609" spans="1:21" x14ac:dyDescent="0.3">
      <c r="A609" s="7" t="s">
        <v>622</v>
      </c>
      <c r="B609" s="4">
        <v>45623</v>
      </c>
      <c r="C609" s="4">
        <v>45650</v>
      </c>
      <c r="D609" s="4" t="str">
        <f t="shared" si="54"/>
        <v>Valid</v>
      </c>
      <c r="E609" s="4">
        <f t="shared" si="55"/>
        <v>45650</v>
      </c>
      <c r="F609" s="13">
        <f t="shared" si="56"/>
        <v>27</v>
      </c>
      <c r="G609" s="7" t="s">
        <v>646</v>
      </c>
      <c r="H609" s="7" t="s">
        <v>650</v>
      </c>
      <c r="I609" s="7" t="s">
        <v>675</v>
      </c>
      <c r="J609" s="7" t="s">
        <v>701</v>
      </c>
      <c r="K609" s="7" t="s">
        <v>710</v>
      </c>
      <c r="L609" s="7" t="s">
        <v>717</v>
      </c>
      <c r="M609" s="7" t="s">
        <v>728</v>
      </c>
      <c r="N609" s="7" t="s">
        <v>2033</v>
      </c>
      <c r="O609" s="9">
        <v>143.33000000000001</v>
      </c>
      <c r="P609" s="9">
        <v>233.51</v>
      </c>
      <c r="Q609" s="9">
        <f t="shared" si="57"/>
        <v>233.51</v>
      </c>
      <c r="R609" s="9" t="str">
        <f t="shared" si="58"/>
        <v>OK</v>
      </c>
      <c r="S609" s="11">
        <v>0.16300000000000001</v>
      </c>
      <c r="T609" s="11" t="str">
        <f t="shared" si="59"/>
        <v>OK</v>
      </c>
      <c r="U609" s="13">
        <v>14</v>
      </c>
    </row>
    <row r="610" spans="1:21" x14ac:dyDescent="0.3">
      <c r="A610" s="7" t="s">
        <v>623</v>
      </c>
      <c r="B610" s="4">
        <v>45319</v>
      </c>
      <c r="C610" s="4">
        <v>45318</v>
      </c>
      <c r="D610" s="4" t="str">
        <f t="shared" si="54"/>
        <v>Invalid</v>
      </c>
      <c r="E610" s="4">
        <f t="shared" si="55"/>
        <v>45319</v>
      </c>
      <c r="F610" s="13">
        <f t="shared" si="56"/>
        <v>0</v>
      </c>
      <c r="G610" s="7" t="s">
        <v>646</v>
      </c>
      <c r="H610" s="7" t="s">
        <v>661</v>
      </c>
      <c r="I610" s="7" t="s">
        <v>695</v>
      </c>
      <c r="J610" s="7" t="s">
        <v>706</v>
      </c>
      <c r="K610" s="7" t="s">
        <v>711</v>
      </c>
      <c r="L610" s="7" t="s">
        <v>719</v>
      </c>
      <c r="M610" s="7" t="s">
        <v>727</v>
      </c>
      <c r="N610" s="7" t="s">
        <v>2034</v>
      </c>
      <c r="O610" s="9">
        <v>109.75</v>
      </c>
      <c r="P610" s="9">
        <v>124.25</v>
      </c>
      <c r="Q610" s="9">
        <f t="shared" si="57"/>
        <v>124.25</v>
      </c>
      <c r="R610" s="9" t="str">
        <f t="shared" si="58"/>
        <v>OK</v>
      </c>
      <c r="S610" s="11">
        <v>0.12</v>
      </c>
      <c r="T610" s="11" t="str">
        <f t="shared" si="59"/>
        <v>OK</v>
      </c>
      <c r="U610" s="13">
        <v>19</v>
      </c>
    </row>
    <row r="611" spans="1:21" x14ac:dyDescent="0.3">
      <c r="A611" s="7" t="s">
        <v>624</v>
      </c>
      <c r="B611" s="4">
        <v>45032</v>
      </c>
      <c r="C611" s="4">
        <v>45039</v>
      </c>
      <c r="D611" s="4" t="str">
        <f t="shared" si="54"/>
        <v>Valid</v>
      </c>
      <c r="E611" s="4">
        <f t="shared" si="55"/>
        <v>45039</v>
      </c>
      <c r="F611" s="13">
        <f t="shared" si="56"/>
        <v>7</v>
      </c>
      <c r="G611" s="7" t="s">
        <v>648</v>
      </c>
      <c r="H611" s="7" t="s">
        <v>1425</v>
      </c>
      <c r="I611" s="7" t="s">
        <v>697</v>
      </c>
      <c r="J611" s="7" t="s">
        <v>701</v>
      </c>
      <c r="K611" s="7" t="s">
        <v>710</v>
      </c>
      <c r="L611" s="7" t="s">
        <v>719</v>
      </c>
      <c r="M611" s="7" t="s">
        <v>728</v>
      </c>
      <c r="N611" s="7" t="s">
        <v>2035</v>
      </c>
      <c r="O611" s="9">
        <v>1099.1500000000001</v>
      </c>
      <c r="P611" s="9">
        <v>1431.37</v>
      </c>
      <c r="Q611" s="9">
        <f t="shared" si="57"/>
        <v>1431.37</v>
      </c>
      <c r="R611" s="9" t="str">
        <f t="shared" si="58"/>
        <v>OK</v>
      </c>
      <c r="S611" s="11">
        <v>0.104</v>
      </c>
      <c r="T611" s="11" t="str">
        <f t="shared" si="59"/>
        <v>OK</v>
      </c>
      <c r="U611" s="13">
        <v>8</v>
      </c>
    </row>
    <row r="612" spans="1:21" x14ac:dyDescent="0.3">
      <c r="A612" s="7" t="s">
        <v>625</v>
      </c>
      <c r="B612" s="4">
        <v>45323</v>
      </c>
      <c r="C612" s="4">
        <v>45323</v>
      </c>
      <c r="D612" s="4" t="str">
        <f t="shared" si="54"/>
        <v>Valid</v>
      </c>
      <c r="E612" s="4">
        <f t="shared" si="55"/>
        <v>45323</v>
      </c>
      <c r="F612" s="13">
        <f t="shared" si="56"/>
        <v>0</v>
      </c>
      <c r="G612" s="7" t="s">
        <v>648</v>
      </c>
      <c r="H612" s="7" t="s">
        <v>1425</v>
      </c>
      <c r="I612" s="7" t="s">
        <v>697</v>
      </c>
      <c r="J612" s="7" t="s">
        <v>704</v>
      </c>
      <c r="K612" s="7" t="s">
        <v>710</v>
      </c>
      <c r="L612" s="7" t="s">
        <v>722</v>
      </c>
      <c r="M612" s="7" t="s">
        <v>728</v>
      </c>
      <c r="N612" s="7" t="s">
        <v>2036</v>
      </c>
      <c r="O612" s="9">
        <v>714.43</v>
      </c>
      <c r="P612" s="9">
        <v>1595.52</v>
      </c>
      <c r="Q612" s="9">
        <f t="shared" si="57"/>
        <v>1595.52</v>
      </c>
      <c r="R612" s="9" t="str">
        <f t="shared" si="58"/>
        <v>OK</v>
      </c>
      <c r="S612" s="11">
        <v>0.19400000000000001</v>
      </c>
      <c r="T612" s="11" t="str">
        <f t="shared" si="59"/>
        <v>OK</v>
      </c>
      <c r="U612" s="13">
        <v>14</v>
      </c>
    </row>
    <row r="613" spans="1:21" x14ac:dyDescent="0.3">
      <c r="A613" s="7" t="s">
        <v>626</v>
      </c>
      <c r="B613" s="4">
        <v>45584</v>
      </c>
      <c r="C613" s="4">
        <v>45602</v>
      </c>
      <c r="D613" s="4" t="str">
        <f t="shared" si="54"/>
        <v>Valid</v>
      </c>
      <c r="E613" s="4">
        <f t="shared" si="55"/>
        <v>45602</v>
      </c>
      <c r="F613" s="13">
        <f t="shared" si="56"/>
        <v>18</v>
      </c>
      <c r="G613" s="7" t="s">
        <v>648</v>
      </c>
      <c r="H613" s="7" t="s">
        <v>1425</v>
      </c>
      <c r="I613" s="7" t="s">
        <v>677</v>
      </c>
      <c r="J613" s="7" t="s">
        <v>702</v>
      </c>
      <c r="K613" s="7" t="s">
        <v>2057</v>
      </c>
      <c r="L613" s="7" t="s">
        <v>712</v>
      </c>
      <c r="M613" s="7" t="s">
        <v>732</v>
      </c>
      <c r="N613" s="7" t="s">
        <v>2037</v>
      </c>
      <c r="O613" s="9">
        <v>942.02</v>
      </c>
      <c r="P613" s="9">
        <v>1028.46</v>
      </c>
      <c r="Q613" s="9">
        <f t="shared" si="57"/>
        <v>1028.46</v>
      </c>
      <c r="R613" s="9" t="str">
        <f t="shared" si="58"/>
        <v>OK</v>
      </c>
      <c r="S613" s="11">
        <v>0</v>
      </c>
      <c r="T613" s="11" t="str">
        <f t="shared" si="59"/>
        <v>OK</v>
      </c>
      <c r="U613" s="13">
        <v>9</v>
      </c>
    </row>
    <row r="614" spans="1:21" x14ac:dyDescent="0.3">
      <c r="A614" s="7" t="s">
        <v>627</v>
      </c>
      <c r="B614" s="4">
        <v>45468</v>
      </c>
      <c r="C614" s="4">
        <v>45473</v>
      </c>
      <c r="D614" s="4" t="str">
        <f t="shared" si="54"/>
        <v>Valid</v>
      </c>
      <c r="E614" s="4">
        <f t="shared" si="55"/>
        <v>45473</v>
      </c>
      <c r="F614" s="13">
        <f t="shared" si="56"/>
        <v>5</v>
      </c>
      <c r="G614" s="7" t="s">
        <v>646</v>
      </c>
      <c r="H614" s="7" t="s">
        <v>650</v>
      </c>
      <c r="I614" s="7" t="s">
        <v>662</v>
      </c>
      <c r="J614" s="7" t="s">
        <v>702</v>
      </c>
      <c r="K614" s="7" t="s">
        <v>711</v>
      </c>
      <c r="L614" s="7" t="s">
        <v>724</v>
      </c>
      <c r="M614" s="7" t="s">
        <v>729</v>
      </c>
      <c r="N614" s="7" t="s">
        <v>2038</v>
      </c>
      <c r="O614" s="9">
        <v>1323.55</v>
      </c>
      <c r="P614" s="9">
        <v>3230.35</v>
      </c>
      <c r="Q614" s="9">
        <f t="shared" si="57"/>
        <v>3230.35</v>
      </c>
      <c r="R614" s="9" t="str">
        <f t="shared" si="58"/>
        <v>OK</v>
      </c>
      <c r="S614" s="11">
        <v>2.1999999999999999E-2</v>
      </c>
      <c r="T614" s="11" t="str">
        <f t="shared" si="59"/>
        <v>OK</v>
      </c>
      <c r="U614" s="13">
        <v>26</v>
      </c>
    </row>
    <row r="615" spans="1:21" x14ac:dyDescent="0.3">
      <c r="A615" s="7" t="s">
        <v>628</v>
      </c>
      <c r="B615" s="4">
        <v>45137</v>
      </c>
      <c r="C615" s="4">
        <v>45157</v>
      </c>
      <c r="D615" s="4" t="str">
        <f t="shared" si="54"/>
        <v>Valid</v>
      </c>
      <c r="E615" s="4">
        <f t="shared" si="55"/>
        <v>45157</v>
      </c>
      <c r="F615" s="13">
        <f t="shared" si="56"/>
        <v>20</v>
      </c>
      <c r="G615" s="7" t="s">
        <v>649</v>
      </c>
      <c r="H615" s="7" t="s">
        <v>657</v>
      </c>
      <c r="I615" s="7" t="s">
        <v>690</v>
      </c>
      <c r="J615" s="7" t="s">
        <v>706</v>
      </c>
      <c r="K615" s="7" t="s">
        <v>709</v>
      </c>
      <c r="L615" s="7" t="s">
        <v>715</v>
      </c>
      <c r="M615" s="7" t="s">
        <v>729</v>
      </c>
      <c r="N615" s="7" t="s">
        <v>2039</v>
      </c>
      <c r="O615" s="9">
        <v>1418.51</v>
      </c>
      <c r="P615" s="9">
        <v>2789.61</v>
      </c>
      <c r="Q615" s="9">
        <f t="shared" si="57"/>
        <v>2789.61</v>
      </c>
      <c r="R615" s="9" t="str">
        <f t="shared" si="58"/>
        <v>OK</v>
      </c>
      <c r="S615" s="11">
        <v>0.17100000000000001</v>
      </c>
      <c r="T615" s="11" t="str">
        <f t="shared" si="59"/>
        <v>OK</v>
      </c>
      <c r="U615" s="13">
        <v>8</v>
      </c>
    </row>
    <row r="616" spans="1:21" x14ac:dyDescent="0.3">
      <c r="A616" s="7" t="s">
        <v>629</v>
      </c>
      <c r="B616" s="4">
        <v>45727</v>
      </c>
      <c r="C616" s="4">
        <v>45743</v>
      </c>
      <c r="D616" s="4" t="str">
        <f t="shared" si="54"/>
        <v>Valid</v>
      </c>
      <c r="E616" s="4">
        <f t="shared" si="55"/>
        <v>45743</v>
      </c>
      <c r="F616" s="13">
        <f t="shared" si="56"/>
        <v>16</v>
      </c>
      <c r="G616" s="7" t="s">
        <v>647</v>
      </c>
      <c r="H616" s="7" t="s">
        <v>652</v>
      </c>
      <c r="I616" s="7" t="s">
        <v>689</v>
      </c>
      <c r="J616" s="7" t="s">
        <v>706</v>
      </c>
      <c r="K616" s="7" t="s">
        <v>710</v>
      </c>
      <c r="L616" s="7" t="s">
        <v>717</v>
      </c>
      <c r="M616" s="7" t="s">
        <v>728</v>
      </c>
      <c r="N616" s="7" t="s">
        <v>2040</v>
      </c>
      <c r="O616" s="9">
        <v>1317.58</v>
      </c>
      <c r="P616" s="9">
        <v>1897.74</v>
      </c>
      <c r="Q616" s="9">
        <f t="shared" si="57"/>
        <v>1897.74</v>
      </c>
      <c r="R616" s="9" t="str">
        <f t="shared" si="58"/>
        <v>OK</v>
      </c>
      <c r="S616" s="11">
        <v>8.1000000000000003E-2</v>
      </c>
      <c r="T616" s="11" t="str">
        <f t="shared" si="59"/>
        <v>OK</v>
      </c>
      <c r="U616" s="13">
        <v>6</v>
      </c>
    </row>
    <row r="617" spans="1:21" x14ac:dyDescent="0.3">
      <c r="A617" s="7" t="s">
        <v>630</v>
      </c>
      <c r="B617" s="4">
        <v>45208</v>
      </c>
      <c r="C617" s="4">
        <v>45210</v>
      </c>
      <c r="D617" s="4" t="str">
        <f t="shared" si="54"/>
        <v>Valid</v>
      </c>
      <c r="E617" s="4">
        <f t="shared" si="55"/>
        <v>45210</v>
      </c>
      <c r="F617" s="13">
        <f t="shared" si="56"/>
        <v>2</v>
      </c>
      <c r="G617" s="7" t="s">
        <v>646</v>
      </c>
      <c r="H617" s="7" t="s">
        <v>651</v>
      </c>
      <c r="I617" s="7" t="s">
        <v>663</v>
      </c>
      <c r="J617" s="7" t="s">
        <v>702</v>
      </c>
      <c r="K617" s="7" t="s">
        <v>709</v>
      </c>
      <c r="L617" s="7" t="s">
        <v>723</v>
      </c>
      <c r="M617" s="7" t="s">
        <v>729</v>
      </c>
      <c r="N617" s="7" t="s">
        <v>2041</v>
      </c>
      <c r="O617" s="9">
        <v>391.16</v>
      </c>
      <c r="P617" s="9">
        <v>902.47</v>
      </c>
      <c r="Q617" s="9">
        <f t="shared" si="57"/>
        <v>902.47</v>
      </c>
      <c r="R617" s="9" t="str">
        <f t="shared" si="58"/>
        <v>OK</v>
      </c>
      <c r="S617" s="11">
        <v>4.0000000000000001E-3</v>
      </c>
      <c r="T617" s="11" t="str">
        <f t="shared" si="59"/>
        <v>OK</v>
      </c>
      <c r="U617" s="13">
        <v>12</v>
      </c>
    </row>
    <row r="618" spans="1:21" x14ac:dyDescent="0.3">
      <c r="A618" s="7" t="s">
        <v>631</v>
      </c>
      <c r="B618" s="4">
        <v>45643</v>
      </c>
      <c r="C618" s="4">
        <v>45673</v>
      </c>
      <c r="D618" s="4" t="str">
        <f t="shared" si="54"/>
        <v>Valid</v>
      </c>
      <c r="E618" s="4">
        <f t="shared" si="55"/>
        <v>45673</v>
      </c>
      <c r="F618" s="13">
        <f t="shared" si="56"/>
        <v>30</v>
      </c>
      <c r="G618" s="7" t="s">
        <v>649</v>
      </c>
      <c r="H618" s="7" t="s">
        <v>658</v>
      </c>
      <c r="I618" s="7" t="s">
        <v>693</v>
      </c>
      <c r="J618" s="7" t="s">
        <v>701</v>
      </c>
      <c r="K618" s="7" t="s">
        <v>707</v>
      </c>
      <c r="L618" s="7" t="s">
        <v>726</v>
      </c>
      <c r="M618" s="7" t="s">
        <v>732</v>
      </c>
      <c r="N618" s="7" t="s">
        <v>2042</v>
      </c>
      <c r="O618" s="9">
        <v>722.87</v>
      </c>
      <c r="P618" s="9">
        <v>-33.659999999999997</v>
      </c>
      <c r="Q618" s="9">
        <f t="shared" si="57"/>
        <v>33.659999999999997</v>
      </c>
      <c r="R618" s="9" t="str">
        <f t="shared" si="58"/>
        <v>FLAG</v>
      </c>
      <c r="S618" s="11">
        <v>0.10199999999999999</v>
      </c>
      <c r="T618" s="11" t="str">
        <f t="shared" si="59"/>
        <v>OK</v>
      </c>
      <c r="U618" s="13">
        <v>28</v>
      </c>
    </row>
    <row r="619" spans="1:21" x14ac:dyDescent="0.3">
      <c r="A619" s="7" t="s">
        <v>632</v>
      </c>
      <c r="B619" s="4">
        <v>45849</v>
      </c>
      <c r="C619" s="4">
        <v>45854</v>
      </c>
      <c r="D619" s="4" t="str">
        <f t="shared" si="54"/>
        <v>Valid</v>
      </c>
      <c r="E619" s="4">
        <f t="shared" si="55"/>
        <v>45854</v>
      </c>
      <c r="F619" s="13">
        <f t="shared" si="56"/>
        <v>5</v>
      </c>
      <c r="G619" s="7" t="s">
        <v>649</v>
      </c>
      <c r="H619" s="7" t="s">
        <v>658</v>
      </c>
      <c r="I619" s="7" t="s">
        <v>683</v>
      </c>
      <c r="J619" s="7" t="s">
        <v>706</v>
      </c>
      <c r="K619" s="7" t="s">
        <v>708</v>
      </c>
      <c r="L619" s="7" t="s">
        <v>723</v>
      </c>
      <c r="M619" s="7" t="s">
        <v>728</v>
      </c>
      <c r="N619" s="7" t="s">
        <v>2043</v>
      </c>
      <c r="O619" s="9">
        <v>930.03</v>
      </c>
      <c r="P619" s="9">
        <v>1086.68</v>
      </c>
      <c r="Q619" s="9">
        <f t="shared" si="57"/>
        <v>1086.68</v>
      </c>
      <c r="R619" s="9" t="str">
        <f t="shared" si="58"/>
        <v>OK</v>
      </c>
      <c r="S619" s="11">
        <v>0.109</v>
      </c>
      <c r="T619" s="11" t="str">
        <f t="shared" si="59"/>
        <v>OK</v>
      </c>
      <c r="U619" s="13">
        <v>26</v>
      </c>
    </row>
    <row r="620" spans="1:21" x14ac:dyDescent="0.3">
      <c r="A620" s="7" t="s">
        <v>633</v>
      </c>
      <c r="B620" s="4">
        <v>45578</v>
      </c>
      <c r="C620" s="4">
        <v>45589</v>
      </c>
      <c r="D620" s="4" t="str">
        <f t="shared" si="54"/>
        <v>Valid</v>
      </c>
      <c r="E620" s="4">
        <f t="shared" si="55"/>
        <v>45589</v>
      </c>
      <c r="F620" s="13">
        <f t="shared" si="56"/>
        <v>11</v>
      </c>
      <c r="G620" s="7" t="s">
        <v>649</v>
      </c>
      <c r="H620" s="7" t="s">
        <v>657</v>
      </c>
      <c r="I620" s="7" t="s">
        <v>690</v>
      </c>
      <c r="J620" s="7" t="s">
        <v>702</v>
      </c>
      <c r="K620" s="7" t="s">
        <v>710</v>
      </c>
      <c r="L620" s="7" t="s">
        <v>721</v>
      </c>
      <c r="M620" s="7" t="s">
        <v>727</v>
      </c>
      <c r="N620" s="7" t="s">
        <v>2044</v>
      </c>
      <c r="O620" s="9">
        <v>816.7</v>
      </c>
      <c r="P620" s="9">
        <v>1010.75</v>
      </c>
      <c r="Q620" s="9">
        <f t="shared" si="57"/>
        <v>1010.75</v>
      </c>
      <c r="R620" s="9" t="str">
        <f t="shared" si="58"/>
        <v>OK</v>
      </c>
      <c r="S620" s="11">
        <v>4.7E-2</v>
      </c>
      <c r="T620" s="11" t="str">
        <f t="shared" si="59"/>
        <v>OK</v>
      </c>
      <c r="U620" s="13">
        <v>43</v>
      </c>
    </row>
    <row r="621" spans="1:21" x14ac:dyDescent="0.3">
      <c r="A621" s="7" t="s">
        <v>634</v>
      </c>
      <c r="B621" s="4">
        <v>45177</v>
      </c>
      <c r="C621" s="4">
        <v>45183</v>
      </c>
      <c r="D621" s="4" t="str">
        <f t="shared" si="54"/>
        <v>Valid</v>
      </c>
      <c r="E621" s="4">
        <f t="shared" si="55"/>
        <v>45183</v>
      </c>
      <c r="F621" s="13">
        <f t="shared" si="56"/>
        <v>6</v>
      </c>
      <c r="G621" s="7" t="s">
        <v>646</v>
      </c>
      <c r="H621" s="7" t="s">
        <v>650</v>
      </c>
      <c r="I621" s="7" t="s">
        <v>678</v>
      </c>
      <c r="J621" s="7" t="s">
        <v>702</v>
      </c>
      <c r="K621" s="7" t="s">
        <v>711</v>
      </c>
      <c r="L621" s="7" t="s">
        <v>714</v>
      </c>
      <c r="M621" s="7" t="s">
        <v>733</v>
      </c>
      <c r="N621" s="7" t="s">
        <v>2045</v>
      </c>
      <c r="O621" s="9">
        <v>251.03</v>
      </c>
      <c r="P621" s="9">
        <v>411.48</v>
      </c>
      <c r="Q621" s="9">
        <f t="shared" si="57"/>
        <v>411.48</v>
      </c>
      <c r="R621" s="9" t="str">
        <f t="shared" si="58"/>
        <v>OK</v>
      </c>
      <c r="S621" s="11">
        <v>0.16500000000000001</v>
      </c>
      <c r="T621" s="11" t="str">
        <f t="shared" si="59"/>
        <v>OK</v>
      </c>
      <c r="U621" s="13">
        <v>3</v>
      </c>
    </row>
    <row r="622" spans="1:21" x14ac:dyDescent="0.3">
      <c r="A622" s="7" t="s">
        <v>635</v>
      </c>
      <c r="B622" s="4">
        <v>45764</v>
      </c>
      <c r="C622" s="4">
        <v>45780</v>
      </c>
      <c r="D622" s="4" t="str">
        <f t="shared" si="54"/>
        <v>Valid</v>
      </c>
      <c r="E622" s="4">
        <f t="shared" si="55"/>
        <v>45780</v>
      </c>
      <c r="F622" s="13">
        <f t="shared" si="56"/>
        <v>16</v>
      </c>
      <c r="G622" s="7" t="s">
        <v>648</v>
      </c>
      <c r="H622" s="7" t="s">
        <v>655</v>
      </c>
      <c r="I622" s="7" t="s">
        <v>1426</v>
      </c>
      <c r="J622" s="7" t="s">
        <v>704</v>
      </c>
      <c r="K622" s="7" t="s">
        <v>709</v>
      </c>
      <c r="L622" s="7" t="s">
        <v>713</v>
      </c>
      <c r="M622" s="7" t="s">
        <v>729</v>
      </c>
      <c r="N622" s="7" t="s">
        <v>2046</v>
      </c>
      <c r="O622" s="9">
        <v>168.68</v>
      </c>
      <c r="P622" s="9">
        <v>413.34</v>
      </c>
      <c r="Q622" s="9">
        <f t="shared" si="57"/>
        <v>413.34</v>
      </c>
      <c r="R622" s="9" t="str">
        <f t="shared" si="58"/>
        <v>OK</v>
      </c>
      <c r="S622" s="11">
        <v>0.186</v>
      </c>
      <c r="T622" s="11" t="str">
        <f t="shared" si="59"/>
        <v>OK</v>
      </c>
      <c r="U622" s="13">
        <v>7</v>
      </c>
    </row>
    <row r="623" spans="1:21" x14ac:dyDescent="0.3">
      <c r="A623" s="7" t="s">
        <v>636</v>
      </c>
      <c r="B623" s="4">
        <v>45501</v>
      </c>
      <c r="C623" s="4">
        <v>45527</v>
      </c>
      <c r="D623" s="4" t="str">
        <f t="shared" si="54"/>
        <v>Valid</v>
      </c>
      <c r="E623" s="4">
        <f t="shared" si="55"/>
        <v>45527</v>
      </c>
      <c r="F623" s="13">
        <f t="shared" si="56"/>
        <v>26</v>
      </c>
      <c r="G623" s="7" t="s">
        <v>647</v>
      </c>
      <c r="H623" s="7" t="s">
        <v>654</v>
      </c>
      <c r="I623" s="7" t="s">
        <v>696</v>
      </c>
      <c r="J623" s="7" t="s">
        <v>701</v>
      </c>
      <c r="K623" s="7" t="s">
        <v>707</v>
      </c>
      <c r="L623" s="7" t="s">
        <v>713</v>
      </c>
      <c r="M623" s="7" t="s">
        <v>729</v>
      </c>
      <c r="N623" s="7" t="s">
        <v>2047</v>
      </c>
      <c r="O623" s="9">
        <v>1339.24</v>
      </c>
      <c r="P623" s="9">
        <v>1558.89</v>
      </c>
      <c r="Q623" s="9">
        <f t="shared" si="57"/>
        <v>1558.89</v>
      </c>
      <c r="R623" s="9" t="str">
        <f t="shared" si="58"/>
        <v>OK</v>
      </c>
      <c r="S623" s="11">
        <v>0.192</v>
      </c>
      <c r="T623" s="11" t="str">
        <f t="shared" si="59"/>
        <v>OK</v>
      </c>
      <c r="U623" s="13">
        <v>24</v>
      </c>
    </row>
    <row r="624" spans="1:21" x14ac:dyDescent="0.3">
      <c r="A624" s="7" t="s">
        <v>637</v>
      </c>
      <c r="B624" s="4">
        <v>45857</v>
      </c>
      <c r="C624" s="4">
        <v>45869</v>
      </c>
      <c r="D624" s="4" t="str">
        <f t="shared" si="54"/>
        <v>Valid</v>
      </c>
      <c r="E624" s="4">
        <f t="shared" si="55"/>
        <v>45869</v>
      </c>
      <c r="F624" s="13">
        <f t="shared" si="56"/>
        <v>12</v>
      </c>
      <c r="G624" s="7" t="s">
        <v>646</v>
      </c>
      <c r="H624" s="7" t="s">
        <v>650</v>
      </c>
      <c r="I624" s="7" t="s">
        <v>664</v>
      </c>
      <c r="J624" s="7" t="s">
        <v>705</v>
      </c>
      <c r="K624" s="7" t="s">
        <v>709</v>
      </c>
      <c r="L624" s="7" t="s">
        <v>719</v>
      </c>
      <c r="M624" s="7" t="s">
        <v>733</v>
      </c>
      <c r="N624" s="7" t="s">
        <v>2048</v>
      </c>
      <c r="O624" s="9">
        <v>619.64</v>
      </c>
      <c r="P624" s="9">
        <v>861.16</v>
      </c>
      <c r="Q624" s="9">
        <f t="shared" si="57"/>
        <v>861.16</v>
      </c>
      <c r="R624" s="9" t="str">
        <f t="shared" si="58"/>
        <v>OK</v>
      </c>
      <c r="S624" s="11">
        <v>0.113</v>
      </c>
      <c r="T624" s="11" t="str">
        <f t="shared" si="59"/>
        <v>OK</v>
      </c>
      <c r="U624" s="13">
        <v>14</v>
      </c>
    </row>
    <row r="625" spans="1:21" x14ac:dyDescent="0.3">
      <c r="A625" s="7" t="s">
        <v>638</v>
      </c>
      <c r="B625" s="4">
        <v>45141</v>
      </c>
      <c r="C625" s="4">
        <v>45140</v>
      </c>
      <c r="D625" s="4" t="str">
        <f t="shared" si="54"/>
        <v>Invalid</v>
      </c>
      <c r="E625" s="4">
        <f t="shared" si="55"/>
        <v>45141</v>
      </c>
      <c r="F625" s="13">
        <f t="shared" si="56"/>
        <v>0</v>
      </c>
      <c r="G625" s="7" t="s">
        <v>647</v>
      </c>
      <c r="H625" s="7" t="s">
        <v>659</v>
      </c>
      <c r="I625" s="7" t="s">
        <v>685</v>
      </c>
      <c r="J625" s="7" t="s">
        <v>703</v>
      </c>
      <c r="K625" s="7" t="s">
        <v>711</v>
      </c>
      <c r="L625" s="7" t="s">
        <v>713</v>
      </c>
      <c r="M625" s="7" t="s">
        <v>729</v>
      </c>
      <c r="N625" s="7" t="s">
        <v>2049</v>
      </c>
      <c r="O625" s="9">
        <v>1021.97</v>
      </c>
      <c r="P625" s="9">
        <v>2296.25</v>
      </c>
      <c r="Q625" s="9">
        <f t="shared" si="57"/>
        <v>2296.25</v>
      </c>
      <c r="R625" s="9" t="str">
        <f t="shared" si="58"/>
        <v>OK</v>
      </c>
      <c r="S625" s="11">
        <v>0.161</v>
      </c>
      <c r="T625" s="11" t="str">
        <f t="shared" si="59"/>
        <v>OK</v>
      </c>
      <c r="U625" s="13">
        <v>26</v>
      </c>
    </row>
    <row r="626" spans="1:21" x14ac:dyDescent="0.3">
      <c r="A626" s="7" t="s">
        <v>639</v>
      </c>
      <c r="B626" s="4">
        <v>45249</v>
      </c>
      <c r="C626" s="4">
        <v>45272</v>
      </c>
      <c r="D626" s="4" t="str">
        <f t="shared" si="54"/>
        <v>Valid</v>
      </c>
      <c r="E626" s="4">
        <f t="shared" si="55"/>
        <v>45272</v>
      </c>
      <c r="F626" s="13">
        <f t="shared" si="56"/>
        <v>23</v>
      </c>
      <c r="G626" s="7" t="s">
        <v>647</v>
      </c>
      <c r="H626" s="7" t="s">
        <v>654</v>
      </c>
      <c r="I626" s="7" t="s">
        <v>680</v>
      </c>
      <c r="J626" s="7" t="s">
        <v>705</v>
      </c>
      <c r="K626" s="7" t="s">
        <v>711</v>
      </c>
      <c r="L626" s="7" t="s">
        <v>712</v>
      </c>
      <c r="M626" s="7" t="s">
        <v>729</v>
      </c>
      <c r="N626" s="7" t="s">
        <v>2050</v>
      </c>
      <c r="O626" s="9">
        <v>1349.04</v>
      </c>
      <c r="P626" s="9">
        <v>2636.6</v>
      </c>
      <c r="Q626" s="9">
        <f t="shared" si="57"/>
        <v>2636.6</v>
      </c>
      <c r="R626" s="9" t="str">
        <f t="shared" si="58"/>
        <v>OK</v>
      </c>
      <c r="S626" s="11">
        <v>0.114</v>
      </c>
      <c r="T626" s="11" t="str">
        <f t="shared" si="59"/>
        <v>OK</v>
      </c>
      <c r="U626" s="13">
        <v>14</v>
      </c>
    </row>
    <row r="627" spans="1:21" x14ac:dyDescent="0.3">
      <c r="A627" s="7" t="s">
        <v>640</v>
      </c>
      <c r="B627" s="4">
        <v>45282</v>
      </c>
      <c r="C627" s="4">
        <v>45307</v>
      </c>
      <c r="D627" s="4" t="str">
        <f t="shared" si="54"/>
        <v>Valid</v>
      </c>
      <c r="E627" s="4">
        <f t="shared" si="55"/>
        <v>45307</v>
      </c>
      <c r="F627" s="13">
        <f t="shared" si="56"/>
        <v>25</v>
      </c>
      <c r="G627" s="7" t="s">
        <v>647</v>
      </c>
      <c r="H627" s="7" t="s">
        <v>654</v>
      </c>
      <c r="I627" s="7" t="s">
        <v>696</v>
      </c>
      <c r="J627" s="7" t="s">
        <v>705</v>
      </c>
      <c r="K627" s="7" t="s">
        <v>707</v>
      </c>
      <c r="L627" s="7" t="s">
        <v>720</v>
      </c>
      <c r="M627" s="7" t="s">
        <v>727</v>
      </c>
      <c r="N627" s="7" t="s">
        <v>2051</v>
      </c>
      <c r="O627" s="9">
        <v>1346.81</v>
      </c>
      <c r="P627" s="9">
        <v>978.09</v>
      </c>
      <c r="Q627" s="9">
        <f t="shared" si="57"/>
        <v>978.09</v>
      </c>
      <c r="R627" s="9" t="str">
        <f t="shared" si="58"/>
        <v>OK</v>
      </c>
      <c r="S627" s="11">
        <v>0.159</v>
      </c>
      <c r="T627" s="11" t="str">
        <f t="shared" si="59"/>
        <v>OK</v>
      </c>
      <c r="U627" s="13">
        <v>17</v>
      </c>
    </row>
    <row r="628" spans="1:21" x14ac:dyDescent="0.3">
      <c r="A628" s="7" t="s">
        <v>641</v>
      </c>
      <c r="B628" s="4">
        <v>45141</v>
      </c>
      <c r="C628" s="4">
        <v>45168</v>
      </c>
      <c r="D628" s="4" t="str">
        <f t="shared" si="54"/>
        <v>Valid</v>
      </c>
      <c r="E628" s="4">
        <f t="shared" si="55"/>
        <v>45168</v>
      </c>
      <c r="F628" s="13">
        <f t="shared" si="56"/>
        <v>27</v>
      </c>
      <c r="G628" s="7" t="s">
        <v>647</v>
      </c>
      <c r="H628" s="7" t="s">
        <v>659</v>
      </c>
      <c r="I628" s="7" t="s">
        <v>685</v>
      </c>
      <c r="J628" s="7" t="s">
        <v>704</v>
      </c>
      <c r="K628" s="7" t="s">
        <v>710</v>
      </c>
      <c r="L628" s="7" t="s">
        <v>725</v>
      </c>
      <c r="M628" s="7" t="s">
        <v>732</v>
      </c>
      <c r="N628" s="7" t="s">
        <v>2052</v>
      </c>
      <c r="O628" s="9">
        <v>226.04</v>
      </c>
      <c r="P628" s="9">
        <v>545.72</v>
      </c>
      <c r="Q628" s="9">
        <f t="shared" si="57"/>
        <v>545.72</v>
      </c>
      <c r="R628" s="9" t="str">
        <f t="shared" si="58"/>
        <v>OK</v>
      </c>
      <c r="S628" s="11">
        <v>0.151</v>
      </c>
      <c r="T628" s="11" t="str">
        <f t="shared" si="59"/>
        <v>OK</v>
      </c>
      <c r="U628" s="13">
        <v>11</v>
      </c>
    </row>
    <row r="629" spans="1:21" x14ac:dyDescent="0.3">
      <c r="A629" s="7" t="s">
        <v>642</v>
      </c>
      <c r="B629" s="4">
        <v>45100</v>
      </c>
      <c r="C629" s="4">
        <v>45125</v>
      </c>
      <c r="D629" s="4" t="str">
        <f t="shared" si="54"/>
        <v>Valid</v>
      </c>
      <c r="E629" s="4">
        <f t="shared" si="55"/>
        <v>45125</v>
      </c>
      <c r="F629" s="13">
        <f t="shared" si="56"/>
        <v>25</v>
      </c>
      <c r="G629" s="7" t="s">
        <v>648</v>
      </c>
      <c r="H629" s="7" t="s">
        <v>653</v>
      </c>
      <c r="I629" s="7" t="s">
        <v>688</v>
      </c>
      <c r="J629" s="7" t="s">
        <v>706</v>
      </c>
      <c r="K629" s="7" t="s">
        <v>708</v>
      </c>
      <c r="L629" s="7" t="s">
        <v>725</v>
      </c>
      <c r="M629" s="7" t="s">
        <v>730</v>
      </c>
      <c r="N629" s="7" t="s">
        <v>2053</v>
      </c>
      <c r="O629" s="9">
        <v>807.02</v>
      </c>
      <c r="P629" s="9">
        <v>1435.54</v>
      </c>
      <c r="Q629" s="9">
        <f t="shared" si="57"/>
        <v>1435.54</v>
      </c>
      <c r="R629" s="9" t="str">
        <f t="shared" si="58"/>
        <v>OK</v>
      </c>
      <c r="S629" s="11">
        <v>0</v>
      </c>
      <c r="T629" s="11" t="str">
        <f t="shared" si="59"/>
        <v>OK</v>
      </c>
      <c r="U629" s="13">
        <v>23</v>
      </c>
    </row>
    <row r="630" spans="1:21" x14ac:dyDescent="0.3">
      <c r="A630" s="7" t="s">
        <v>643</v>
      </c>
      <c r="B630" s="4">
        <v>45267</v>
      </c>
      <c r="C630" s="4">
        <v>45293</v>
      </c>
      <c r="D630" s="4" t="str">
        <f t="shared" si="54"/>
        <v>Valid</v>
      </c>
      <c r="E630" s="4">
        <f t="shared" si="55"/>
        <v>45293</v>
      </c>
      <c r="F630" s="13">
        <f t="shared" si="56"/>
        <v>26</v>
      </c>
      <c r="G630" s="7" t="s">
        <v>649</v>
      </c>
      <c r="H630" s="7" t="s">
        <v>656</v>
      </c>
      <c r="I630" s="7" t="s">
        <v>698</v>
      </c>
      <c r="J630" s="7" t="s">
        <v>706</v>
      </c>
      <c r="K630" s="7" t="s">
        <v>710</v>
      </c>
      <c r="L630" s="7" t="s">
        <v>718</v>
      </c>
      <c r="M630" s="7" t="s">
        <v>727</v>
      </c>
      <c r="N630" s="7" t="s">
        <v>2054</v>
      </c>
      <c r="O630" s="9">
        <v>1071.99</v>
      </c>
      <c r="P630" s="9">
        <v>2397.3000000000002</v>
      </c>
      <c r="Q630" s="9">
        <f t="shared" si="57"/>
        <v>2397.3000000000002</v>
      </c>
      <c r="R630" s="9" t="str">
        <f t="shared" si="58"/>
        <v>OK</v>
      </c>
      <c r="S630" s="11">
        <v>6.2E-2</v>
      </c>
      <c r="T630" s="11" t="str">
        <f t="shared" si="59"/>
        <v>OK</v>
      </c>
      <c r="U630" s="13">
        <v>18</v>
      </c>
    </row>
    <row r="631" spans="1:21" x14ac:dyDescent="0.3">
      <c r="A631" s="7" t="s">
        <v>644</v>
      </c>
      <c r="B631" s="4">
        <v>45249</v>
      </c>
      <c r="C631" s="4">
        <v>45279</v>
      </c>
      <c r="D631" s="4" t="str">
        <f t="shared" si="54"/>
        <v>Valid</v>
      </c>
      <c r="E631" s="4">
        <f t="shared" si="55"/>
        <v>45279</v>
      </c>
      <c r="F631" s="13">
        <f t="shared" si="56"/>
        <v>30</v>
      </c>
      <c r="G631" s="7" t="s">
        <v>647</v>
      </c>
      <c r="H631" s="7" t="s">
        <v>652</v>
      </c>
      <c r="I631" s="7" t="s">
        <v>694</v>
      </c>
      <c r="J631" s="7" t="s">
        <v>704</v>
      </c>
      <c r="K631" s="7" t="s">
        <v>707</v>
      </c>
      <c r="L631" s="7" t="s">
        <v>2057</v>
      </c>
      <c r="M631" s="7" t="s">
        <v>730</v>
      </c>
      <c r="N631" s="7" t="s">
        <v>2055</v>
      </c>
      <c r="O631" s="9">
        <v>807.11</v>
      </c>
      <c r="P631" s="9">
        <v>1853.86</v>
      </c>
      <c r="Q631" s="9">
        <f t="shared" si="57"/>
        <v>1853.86</v>
      </c>
      <c r="R631" s="9" t="str">
        <f t="shared" si="58"/>
        <v>OK</v>
      </c>
      <c r="S631" s="11">
        <v>0.13900000000000001</v>
      </c>
      <c r="T631" s="11" t="str">
        <f t="shared" si="59"/>
        <v>OK</v>
      </c>
      <c r="U631" s="13">
        <v>8</v>
      </c>
    </row>
    <row r="632" spans="1:21" x14ac:dyDescent="0.3">
      <c r="A632" s="7" t="s">
        <v>645</v>
      </c>
      <c r="B632" s="4">
        <v>45716</v>
      </c>
      <c r="C632" s="4">
        <v>45726</v>
      </c>
      <c r="D632" s="4" t="str">
        <f t="shared" si="54"/>
        <v>Valid</v>
      </c>
      <c r="E632" s="4">
        <f t="shared" si="55"/>
        <v>45726</v>
      </c>
      <c r="F632" s="13">
        <f t="shared" si="56"/>
        <v>10</v>
      </c>
      <c r="G632" s="7" t="s">
        <v>647</v>
      </c>
      <c r="H632" s="7" t="s">
        <v>652</v>
      </c>
      <c r="I632" s="7" t="s">
        <v>666</v>
      </c>
      <c r="J632" s="7" t="s">
        <v>702</v>
      </c>
      <c r="K632" s="7" t="s">
        <v>710</v>
      </c>
      <c r="L632" s="7" t="s">
        <v>725</v>
      </c>
      <c r="M632" s="7" t="s">
        <v>731</v>
      </c>
      <c r="N632" s="7" t="s">
        <v>2056</v>
      </c>
      <c r="O632" s="9">
        <v>51.86</v>
      </c>
      <c r="P632" s="9">
        <v>45.98</v>
      </c>
      <c r="Q632" s="9">
        <f t="shared" si="57"/>
        <v>45.98</v>
      </c>
      <c r="R632" s="9" t="str">
        <f t="shared" si="58"/>
        <v>OK</v>
      </c>
      <c r="S632" s="11">
        <v>0.17299999999999999</v>
      </c>
      <c r="T632" s="11" t="str">
        <f t="shared" si="59"/>
        <v>OK</v>
      </c>
      <c r="U632" s="13">
        <v>7</v>
      </c>
    </row>
  </sheetData>
  <conditionalFormatting sqref="D1:D1048576">
    <cfRule type="containsText" dxfId="10" priority="1" operator="containsText" text="Invalid">
      <formula>NOT(ISERROR(SEARCH("Invalid",D1)))</formula>
    </cfRule>
  </conditionalFormatting>
  <conditionalFormatting sqref="I1:I1048576">
    <cfRule type="containsText" dxfId="9" priority="6" operator="containsText" text="Not Provided">
      <formula>NOT(ISERROR(SEARCH("Not Provided",I1)))</formula>
    </cfRule>
  </conditionalFormatting>
  <conditionalFormatting sqref="K1:L1048576">
    <cfRule type="containsText" dxfId="8" priority="4" operator="containsText" text="Not Provided">
      <formula>NOT(ISERROR(SEARCH("Not Provided",K1)))</formula>
    </cfRule>
  </conditionalFormatting>
  <conditionalFormatting sqref="P1:P1048576">
    <cfRule type="cellIs" dxfId="7" priority="3" operator="lessThan">
      <formula>0</formula>
    </cfRule>
  </conditionalFormatting>
  <conditionalFormatting sqref="S1:S1048576">
    <cfRule type="cellIs" dxfId="6" priority="2" operator="greaterThan">
      <formula>0.3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EB0F-F1A0-49A6-A723-F7CC5A17F1EC}">
  <dimension ref="A1:Y632"/>
  <sheetViews>
    <sheetView topLeftCell="K1" workbookViewId="0">
      <selection activeCell="K1" sqref="A1:XFD1048576"/>
    </sheetView>
  </sheetViews>
  <sheetFormatPr defaultRowHeight="14.4" x14ac:dyDescent="0.3"/>
  <cols>
    <col min="1" max="1" width="16.109375" bestFit="1" customWidth="1"/>
    <col min="2" max="2" width="9.5546875" bestFit="1" customWidth="1"/>
    <col min="3" max="3" width="12.109375" bestFit="1" customWidth="1"/>
    <col min="4" max="4" width="10" bestFit="1" customWidth="1"/>
    <col min="5" max="5" width="16.88671875" bestFit="1" customWidth="1"/>
    <col min="6" max="6" width="12.77734375" bestFit="1" customWidth="1"/>
    <col min="7" max="7" width="8.44140625" bestFit="1" customWidth="1"/>
    <col min="8" max="8" width="14" bestFit="1" customWidth="1"/>
    <col min="9" max="9" width="12.6640625" bestFit="1" customWidth="1"/>
    <col min="10" max="10" width="16" bestFit="1" customWidth="1"/>
    <col min="11" max="12" width="11.6640625" bestFit="1" customWidth="1"/>
    <col min="13" max="13" width="14.77734375" bestFit="1" customWidth="1"/>
    <col min="14" max="14" width="9.44140625" bestFit="1" customWidth="1"/>
    <col min="15" max="17" width="10.77734375" style="9" bestFit="1" customWidth="1"/>
    <col min="18" max="18" width="5.109375" bestFit="1" customWidth="1"/>
    <col min="19" max="19" width="10.6640625" style="11" bestFit="1" customWidth="1"/>
    <col min="20" max="20" width="7.33203125" bestFit="1" customWidth="1"/>
    <col min="21" max="21" width="8" style="13" bestFit="1" customWidth="1"/>
    <col min="22" max="22" width="12.77734375" style="9" bestFit="1" customWidth="1"/>
    <col min="23" max="23" width="11.88671875" bestFit="1" customWidth="1"/>
    <col min="24" max="24" width="13.88671875" customWidth="1"/>
    <col min="25" max="25" width="11.21875" style="11" customWidth="1"/>
  </cols>
  <sheetData>
    <row r="1" spans="1:25" s="2" customFormat="1" x14ac:dyDescent="0.3">
      <c r="A1" s="2" t="s">
        <v>0</v>
      </c>
      <c r="B1" s="2" t="s">
        <v>1</v>
      </c>
      <c r="C1" s="2" t="s">
        <v>2</v>
      </c>
      <c r="D1" s="2" t="s">
        <v>2061</v>
      </c>
      <c r="E1" s="2" t="s">
        <v>2062</v>
      </c>
      <c r="F1" s="2" t="s">
        <v>2063</v>
      </c>
      <c r="G1" s="2" t="s">
        <v>3</v>
      </c>
      <c r="H1" s="2" t="s">
        <v>4</v>
      </c>
      <c r="I1" s="2" t="s">
        <v>5</v>
      </c>
      <c r="J1" s="2" t="s">
        <v>6</v>
      </c>
      <c r="K1" s="2" t="s">
        <v>7</v>
      </c>
      <c r="L1" s="2" t="s">
        <v>1427</v>
      </c>
      <c r="M1" s="2" t="s">
        <v>9</v>
      </c>
      <c r="N1" s="2" t="s">
        <v>10</v>
      </c>
      <c r="O1" s="17" t="s">
        <v>11</v>
      </c>
      <c r="P1" s="17" t="s">
        <v>12</v>
      </c>
      <c r="Q1" s="17" t="s">
        <v>2059</v>
      </c>
      <c r="R1" s="2" t="s">
        <v>2058</v>
      </c>
      <c r="S1" s="18" t="s">
        <v>13</v>
      </c>
      <c r="T1" s="2" t="s">
        <v>2060</v>
      </c>
      <c r="U1" s="24" t="s">
        <v>14</v>
      </c>
      <c r="V1" s="17" t="s">
        <v>2068</v>
      </c>
      <c r="W1" s="2" t="s">
        <v>2069</v>
      </c>
      <c r="X1" s="2" t="s">
        <v>2070</v>
      </c>
      <c r="Y1" s="18" t="s">
        <v>2071</v>
      </c>
    </row>
    <row r="2" spans="1:25" x14ac:dyDescent="0.3">
      <c r="A2" t="s">
        <v>15</v>
      </c>
      <c r="B2">
        <v>45362</v>
      </c>
      <c r="C2">
        <v>45388</v>
      </c>
      <c r="D2" t="s">
        <v>2064</v>
      </c>
      <c r="E2">
        <v>45388</v>
      </c>
      <c r="F2">
        <v>26</v>
      </c>
      <c r="G2" t="s">
        <v>646</v>
      </c>
      <c r="H2" t="s">
        <v>650</v>
      </c>
      <c r="I2" t="s">
        <v>662</v>
      </c>
      <c r="J2" t="s">
        <v>701</v>
      </c>
      <c r="K2" t="s">
        <v>707</v>
      </c>
      <c r="L2" t="s">
        <v>712</v>
      </c>
      <c r="M2" t="s">
        <v>727</v>
      </c>
      <c r="N2" t="s">
        <v>1428</v>
      </c>
      <c r="O2" s="9">
        <v>279.24</v>
      </c>
      <c r="P2" s="9">
        <v>608.9</v>
      </c>
      <c r="Q2" s="9">
        <v>608.9</v>
      </c>
      <c r="R2" t="s">
        <v>2065</v>
      </c>
      <c r="S2" s="11">
        <v>0.112</v>
      </c>
      <c r="T2" t="s">
        <v>2065</v>
      </c>
      <c r="U2" s="13">
        <v>9</v>
      </c>
      <c r="V2" s="9">
        <f>Q2*U2*(1-S2)</f>
        <v>4866.3287999999993</v>
      </c>
      <c r="W2" s="9">
        <f>O2*U2</f>
        <v>2513.16</v>
      </c>
      <c r="X2" s="9">
        <f>V2-W2</f>
        <v>2353.1687999999995</v>
      </c>
      <c r="Y2" s="11">
        <f>IF(V2=0,0,X2/V2)</f>
        <v>0.48356140670149533</v>
      </c>
    </row>
    <row r="3" spans="1:25" x14ac:dyDescent="0.3">
      <c r="A3" t="s">
        <v>16</v>
      </c>
      <c r="B3">
        <v>45588</v>
      </c>
      <c r="C3">
        <v>45587</v>
      </c>
      <c r="D3" t="s">
        <v>2066</v>
      </c>
      <c r="E3">
        <v>45588</v>
      </c>
      <c r="F3">
        <v>0</v>
      </c>
      <c r="G3" t="s">
        <v>646</v>
      </c>
      <c r="H3" t="s">
        <v>651</v>
      </c>
      <c r="I3" t="s">
        <v>663</v>
      </c>
      <c r="J3" t="s">
        <v>702</v>
      </c>
      <c r="K3" t="s">
        <v>708</v>
      </c>
      <c r="L3" t="s">
        <v>713</v>
      </c>
      <c r="M3" t="s">
        <v>728</v>
      </c>
      <c r="N3" t="s">
        <v>1429</v>
      </c>
      <c r="O3" s="9">
        <v>1084.3900000000001</v>
      </c>
      <c r="P3" s="9">
        <v>759.33</v>
      </c>
      <c r="Q3" s="9">
        <v>759.33</v>
      </c>
      <c r="R3" t="s">
        <v>2065</v>
      </c>
      <c r="S3" s="11">
        <v>0.23699999999999999</v>
      </c>
      <c r="T3" t="s">
        <v>2065</v>
      </c>
      <c r="U3" s="13">
        <v>31</v>
      </c>
      <c r="V3" s="9">
        <f t="shared" ref="V3:V66" si="0">Q3*U3*(1-S3)</f>
        <v>17960.432489999999</v>
      </c>
      <c r="W3" s="9">
        <f t="shared" ref="W3:W66" si="1">O3*U3</f>
        <v>33616.090000000004</v>
      </c>
      <c r="X3" s="9">
        <f t="shared" ref="X3:X66" si="2">V3-W3</f>
        <v>-15655.657510000005</v>
      </c>
      <c r="Y3" s="11">
        <f t="shared" ref="Y3:Y66" si="3">IF(V3=0,0,X3/V3)</f>
        <v>-0.87167486187856302</v>
      </c>
    </row>
    <row r="4" spans="1:25" x14ac:dyDescent="0.3">
      <c r="A4" t="s">
        <v>17</v>
      </c>
      <c r="B4">
        <v>44985</v>
      </c>
      <c r="C4">
        <v>45010</v>
      </c>
      <c r="D4" t="s">
        <v>2064</v>
      </c>
      <c r="E4">
        <v>45010</v>
      </c>
      <c r="F4">
        <v>25</v>
      </c>
      <c r="G4" t="s">
        <v>646</v>
      </c>
      <c r="H4" t="s">
        <v>650</v>
      </c>
      <c r="I4" t="s">
        <v>664</v>
      </c>
      <c r="J4" t="s">
        <v>701</v>
      </c>
      <c r="K4" t="s">
        <v>707</v>
      </c>
      <c r="L4" t="s">
        <v>714</v>
      </c>
      <c r="M4" t="s">
        <v>729</v>
      </c>
      <c r="N4" t="s">
        <v>1430</v>
      </c>
      <c r="O4" s="9">
        <v>1460.76</v>
      </c>
      <c r="P4" s="9">
        <v>-30.66</v>
      </c>
      <c r="Q4" s="9">
        <v>30.66</v>
      </c>
      <c r="R4" t="s">
        <v>2067</v>
      </c>
      <c r="S4" s="11">
        <v>0.13100000000000001</v>
      </c>
      <c r="T4" t="s">
        <v>2065</v>
      </c>
      <c r="U4" s="13">
        <v>12</v>
      </c>
      <c r="V4" s="9">
        <f t="shared" si="0"/>
        <v>319.72248000000002</v>
      </c>
      <c r="W4" s="9">
        <f t="shared" si="1"/>
        <v>17529.12</v>
      </c>
      <c r="X4" s="9">
        <f t="shared" si="2"/>
        <v>-17209.397519999999</v>
      </c>
      <c r="Y4" s="11">
        <f t="shared" si="3"/>
        <v>-53.826047890032626</v>
      </c>
    </row>
    <row r="5" spans="1:25" x14ac:dyDescent="0.3">
      <c r="A5" t="s">
        <v>18</v>
      </c>
      <c r="B5">
        <v>45745</v>
      </c>
      <c r="C5">
        <v>45749</v>
      </c>
      <c r="D5" t="s">
        <v>2064</v>
      </c>
      <c r="E5">
        <v>45749</v>
      </c>
      <c r="F5">
        <v>4</v>
      </c>
      <c r="G5" t="s">
        <v>646</v>
      </c>
      <c r="H5" t="s">
        <v>651</v>
      </c>
      <c r="I5" t="s">
        <v>665</v>
      </c>
      <c r="J5" t="s">
        <v>703</v>
      </c>
      <c r="K5" t="s">
        <v>709</v>
      </c>
      <c r="L5" t="s">
        <v>715</v>
      </c>
      <c r="M5" t="s">
        <v>730</v>
      </c>
      <c r="N5" t="s">
        <v>1431</v>
      </c>
      <c r="O5" s="9">
        <v>259.93</v>
      </c>
      <c r="P5" s="9">
        <v>255.94</v>
      </c>
      <c r="Q5" s="9">
        <v>255.94</v>
      </c>
      <c r="R5" t="s">
        <v>2065</v>
      </c>
      <c r="S5" s="11">
        <v>7.1999999999999995E-2</v>
      </c>
      <c r="T5" t="s">
        <v>2065</v>
      </c>
      <c r="U5" s="13">
        <v>22</v>
      </c>
      <c r="V5" s="9">
        <f t="shared" si="0"/>
        <v>5225.2710400000005</v>
      </c>
      <c r="W5" s="9">
        <f t="shared" si="1"/>
        <v>5718.46</v>
      </c>
      <c r="X5" s="9">
        <f t="shared" si="2"/>
        <v>-493.1889599999995</v>
      </c>
      <c r="Y5" s="11">
        <f t="shared" si="3"/>
        <v>-9.4385335463861311E-2</v>
      </c>
    </row>
    <row r="6" spans="1:25" x14ac:dyDescent="0.3">
      <c r="A6" t="s">
        <v>19</v>
      </c>
      <c r="B6">
        <v>45266</v>
      </c>
      <c r="C6">
        <v>45291</v>
      </c>
      <c r="D6" t="s">
        <v>2064</v>
      </c>
      <c r="E6">
        <v>45291</v>
      </c>
      <c r="F6">
        <v>25</v>
      </c>
      <c r="G6" t="s">
        <v>647</v>
      </c>
      <c r="H6" t="s">
        <v>652</v>
      </c>
      <c r="I6" t="s">
        <v>666</v>
      </c>
      <c r="J6" t="s">
        <v>704</v>
      </c>
      <c r="K6" t="s">
        <v>707</v>
      </c>
      <c r="L6" t="s">
        <v>716</v>
      </c>
      <c r="M6" t="s">
        <v>728</v>
      </c>
      <c r="N6" t="s">
        <v>1432</v>
      </c>
      <c r="O6" s="9">
        <v>663.03</v>
      </c>
      <c r="P6" s="9">
        <v>813.51</v>
      </c>
      <c r="Q6" s="9">
        <v>813.51</v>
      </c>
      <c r="R6" t="s">
        <v>2065</v>
      </c>
      <c r="S6" s="11">
        <v>0.10199999999999999</v>
      </c>
      <c r="T6" t="s">
        <v>2065</v>
      </c>
      <c r="U6" s="13">
        <v>15</v>
      </c>
      <c r="V6" s="9">
        <f t="shared" si="0"/>
        <v>10957.9797</v>
      </c>
      <c r="W6" s="9">
        <f t="shared" si="1"/>
        <v>9945.4499999999989</v>
      </c>
      <c r="X6" s="9">
        <f t="shared" si="2"/>
        <v>1012.529700000001</v>
      </c>
      <c r="Y6" s="11">
        <f t="shared" si="3"/>
        <v>9.2401129379715952E-2</v>
      </c>
    </row>
    <row r="7" spans="1:25" x14ac:dyDescent="0.3">
      <c r="A7" t="s">
        <v>20</v>
      </c>
      <c r="B7">
        <v>44928</v>
      </c>
      <c r="C7">
        <v>44931</v>
      </c>
      <c r="D7" t="s">
        <v>2064</v>
      </c>
      <c r="E7">
        <v>44931</v>
      </c>
      <c r="F7">
        <v>3</v>
      </c>
      <c r="G7" t="s">
        <v>648</v>
      </c>
      <c r="H7" t="s">
        <v>653</v>
      </c>
      <c r="I7" t="s">
        <v>667</v>
      </c>
      <c r="J7" t="s">
        <v>701</v>
      </c>
      <c r="K7" t="s">
        <v>710</v>
      </c>
      <c r="L7" t="s">
        <v>717</v>
      </c>
      <c r="M7" t="s">
        <v>731</v>
      </c>
      <c r="N7" t="s">
        <v>1433</v>
      </c>
      <c r="O7" s="9">
        <v>315.87</v>
      </c>
      <c r="P7" s="9">
        <v>591.67999999999995</v>
      </c>
      <c r="Q7" s="9">
        <v>591.67999999999995</v>
      </c>
      <c r="R7" t="s">
        <v>2065</v>
      </c>
      <c r="S7" s="11">
        <v>0</v>
      </c>
      <c r="T7" t="s">
        <v>2065</v>
      </c>
      <c r="U7" s="13">
        <v>7</v>
      </c>
      <c r="V7" s="9">
        <f t="shared" si="0"/>
        <v>4141.7599999999993</v>
      </c>
      <c r="W7" s="9">
        <f t="shared" si="1"/>
        <v>2211.09</v>
      </c>
      <c r="X7" s="9">
        <f t="shared" si="2"/>
        <v>1930.6699999999992</v>
      </c>
      <c r="Y7" s="11">
        <f t="shared" si="3"/>
        <v>0.46614724175229844</v>
      </c>
    </row>
    <row r="8" spans="1:25" x14ac:dyDescent="0.3">
      <c r="A8" t="s">
        <v>21</v>
      </c>
      <c r="B8">
        <v>45653</v>
      </c>
      <c r="C8">
        <v>45671</v>
      </c>
      <c r="D8" t="s">
        <v>2064</v>
      </c>
      <c r="E8">
        <v>45671</v>
      </c>
      <c r="F8">
        <v>18</v>
      </c>
      <c r="G8" t="s">
        <v>647</v>
      </c>
      <c r="H8" t="s">
        <v>654</v>
      </c>
      <c r="I8" t="s">
        <v>668</v>
      </c>
      <c r="J8" t="s">
        <v>705</v>
      </c>
      <c r="K8" t="s">
        <v>709</v>
      </c>
      <c r="L8" t="s">
        <v>718</v>
      </c>
      <c r="M8" t="s">
        <v>732</v>
      </c>
      <c r="N8" t="s">
        <v>1434</v>
      </c>
      <c r="O8" s="9">
        <v>586.07000000000005</v>
      </c>
      <c r="P8" s="9">
        <v>845.97</v>
      </c>
      <c r="Q8" s="9">
        <v>845.97</v>
      </c>
      <c r="R8" t="s">
        <v>2065</v>
      </c>
      <c r="S8" s="11">
        <v>0.14699999999999999</v>
      </c>
      <c r="T8" t="s">
        <v>2065</v>
      </c>
      <c r="U8" s="13">
        <v>4</v>
      </c>
      <c r="V8" s="9">
        <f t="shared" si="0"/>
        <v>2886.4496399999998</v>
      </c>
      <c r="W8" s="9">
        <f t="shared" si="1"/>
        <v>2344.2800000000002</v>
      </c>
      <c r="X8" s="9">
        <f t="shared" si="2"/>
        <v>542.16963999999962</v>
      </c>
      <c r="Y8" s="11">
        <f t="shared" si="3"/>
        <v>0.18783270370862928</v>
      </c>
    </row>
    <row r="9" spans="1:25" x14ac:dyDescent="0.3">
      <c r="A9" t="s">
        <v>22</v>
      </c>
      <c r="B9">
        <v>44941</v>
      </c>
      <c r="C9">
        <v>44939</v>
      </c>
      <c r="D9" t="s">
        <v>2066</v>
      </c>
      <c r="E9">
        <v>44941</v>
      </c>
      <c r="F9">
        <v>0</v>
      </c>
      <c r="G9" t="s">
        <v>646</v>
      </c>
      <c r="H9" t="s">
        <v>651</v>
      </c>
      <c r="I9" t="s">
        <v>669</v>
      </c>
      <c r="J9" t="s">
        <v>702</v>
      </c>
      <c r="K9" t="s">
        <v>708</v>
      </c>
      <c r="L9" t="s">
        <v>719</v>
      </c>
      <c r="M9" t="s">
        <v>728</v>
      </c>
      <c r="N9" t="s">
        <v>1435</v>
      </c>
      <c r="O9" s="9">
        <v>28.38</v>
      </c>
      <c r="P9" s="9">
        <v>47.22</v>
      </c>
      <c r="Q9" s="9">
        <v>47.22</v>
      </c>
      <c r="R9" t="s">
        <v>2065</v>
      </c>
      <c r="S9" s="11">
        <v>0.19400000000000001</v>
      </c>
      <c r="T9" t="s">
        <v>2065</v>
      </c>
      <c r="U9" s="13">
        <v>18</v>
      </c>
      <c r="V9" s="9">
        <f t="shared" si="0"/>
        <v>685.06776000000002</v>
      </c>
      <c r="W9" s="9">
        <f t="shared" si="1"/>
        <v>510.84</v>
      </c>
      <c r="X9" s="9">
        <f t="shared" si="2"/>
        <v>174.22776000000005</v>
      </c>
      <c r="Y9" s="11">
        <f t="shared" si="3"/>
        <v>0.25432193743871417</v>
      </c>
    </row>
    <row r="10" spans="1:25" x14ac:dyDescent="0.3">
      <c r="A10" t="s">
        <v>23</v>
      </c>
      <c r="B10">
        <v>45416</v>
      </c>
      <c r="C10">
        <v>45441</v>
      </c>
      <c r="D10" t="s">
        <v>2064</v>
      </c>
      <c r="E10">
        <v>45441</v>
      </c>
      <c r="F10">
        <v>25</v>
      </c>
      <c r="G10" t="s">
        <v>646</v>
      </c>
      <c r="H10" t="s">
        <v>651</v>
      </c>
      <c r="I10" t="s">
        <v>669</v>
      </c>
      <c r="J10" t="s">
        <v>703</v>
      </c>
      <c r="K10" t="s">
        <v>709</v>
      </c>
      <c r="L10" t="s">
        <v>719</v>
      </c>
      <c r="M10" t="s">
        <v>732</v>
      </c>
      <c r="N10" t="s">
        <v>1436</v>
      </c>
      <c r="O10" s="9">
        <v>1295.3399999999999</v>
      </c>
      <c r="P10" s="9">
        <v>2530.81</v>
      </c>
      <c r="Q10" s="9">
        <v>2530.81</v>
      </c>
      <c r="R10" t="s">
        <v>2065</v>
      </c>
      <c r="S10" s="11">
        <v>3.1E-2</v>
      </c>
      <c r="T10" t="s">
        <v>2065</v>
      </c>
      <c r="U10" s="13">
        <v>6</v>
      </c>
      <c r="V10" s="9">
        <f t="shared" si="0"/>
        <v>14714.12934</v>
      </c>
      <c r="W10" s="9">
        <f t="shared" si="1"/>
        <v>7772.0399999999991</v>
      </c>
      <c r="X10" s="9">
        <f t="shared" si="2"/>
        <v>6942.0893400000004</v>
      </c>
      <c r="Y10" s="11">
        <f t="shared" si="3"/>
        <v>0.4717974933880798</v>
      </c>
    </row>
    <row r="11" spans="1:25" x14ac:dyDescent="0.3">
      <c r="A11" t="s">
        <v>24</v>
      </c>
      <c r="B11">
        <v>45798</v>
      </c>
      <c r="C11">
        <v>45817</v>
      </c>
      <c r="D11" t="s">
        <v>2064</v>
      </c>
      <c r="E11">
        <v>45817</v>
      </c>
      <c r="F11">
        <v>19</v>
      </c>
      <c r="G11" t="s">
        <v>648</v>
      </c>
      <c r="H11" t="s">
        <v>655</v>
      </c>
      <c r="I11" t="s">
        <v>670</v>
      </c>
      <c r="J11" t="s">
        <v>703</v>
      </c>
      <c r="K11" t="s">
        <v>708</v>
      </c>
      <c r="L11" t="s">
        <v>720</v>
      </c>
      <c r="M11" t="s">
        <v>727</v>
      </c>
      <c r="N11" t="s">
        <v>1437</v>
      </c>
      <c r="O11" s="9">
        <v>1331.38</v>
      </c>
      <c r="P11" s="9">
        <v>2309.56</v>
      </c>
      <c r="Q11" s="9">
        <v>2309.56</v>
      </c>
      <c r="R11" t="s">
        <v>2065</v>
      </c>
      <c r="S11" s="11">
        <v>0.14899999999999999</v>
      </c>
      <c r="T11" t="s">
        <v>2065</v>
      </c>
      <c r="U11" s="13">
        <v>31</v>
      </c>
      <c r="V11" s="9">
        <f t="shared" si="0"/>
        <v>60928.502359999999</v>
      </c>
      <c r="W11" s="9">
        <f t="shared" si="1"/>
        <v>41272.780000000006</v>
      </c>
      <c r="X11" s="9">
        <f t="shared" si="2"/>
        <v>19655.722359999992</v>
      </c>
      <c r="Y11" s="11">
        <f t="shared" si="3"/>
        <v>0.32260307735553528</v>
      </c>
    </row>
    <row r="12" spans="1:25" x14ac:dyDescent="0.3">
      <c r="A12" t="s">
        <v>25</v>
      </c>
      <c r="B12">
        <v>45319</v>
      </c>
      <c r="C12">
        <v>45331</v>
      </c>
      <c r="D12" t="s">
        <v>2064</v>
      </c>
      <c r="E12">
        <v>45331</v>
      </c>
      <c r="F12">
        <v>12</v>
      </c>
      <c r="G12" t="s">
        <v>649</v>
      </c>
      <c r="H12" t="s">
        <v>656</v>
      </c>
      <c r="I12" t="s">
        <v>671</v>
      </c>
      <c r="J12" t="s">
        <v>701</v>
      </c>
      <c r="K12" t="s">
        <v>708</v>
      </c>
      <c r="L12" t="s">
        <v>715</v>
      </c>
      <c r="M12" t="s">
        <v>733</v>
      </c>
      <c r="N12" t="s">
        <v>1438</v>
      </c>
      <c r="O12" s="9">
        <v>644.16999999999996</v>
      </c>
      <c r="P12" s="9">
        <v>700.12</v>
      </c>
      <c r="Q12" s="9">
        <v>700.12</v>
      </c>
      <c r="R12" t="s">
        <v>2065</v>
      </c>
      <c r="S12" s="11">
        <v>6.0000000000000001E-3</v>
      </c>
      <c r="T12" t="s">
        <v>2065</v>
      </c>
      <c r="U12" s="13">
        <v>23</v>
      </c>
      <c r="V12" s="9">
        <f t="shared" si="0"/>
        <v>16006.14344</v>
      </c>
      <c r="W12" s="9">
        <f t="shared" si="1"/>
        <v>14815.91</v>
      </c>
      <c r="X12" s="9">
        <f t="shared" si="2"/>
        <v>1190.23344</v>
      </c>
      <c r="Y12" s="11">
        <f t="shared" si="3"/>
        <v>7.436103796405813E-2</v>
      </c>
    </row>
    <row r="13" spans="1:25" x14ac:dyDescent="0.3">
      <c r="A13" t="s">
        <v>26</v>
      </c>
      <c r="B13">
        <v>45660</v>
      </c>
      <c r="C13">
        <v>45680</v>
      </c>
      <c r="D13" t="s">
        <v>2064</v>
      </c>
      <c r="E13">
        <v>45680</v>
      </c>
      <c r="F13">
        <v>20</v>
      </c>
      <c r="G13" t="s">
        <v>647</v>
      </c>
      <c r="H13" t="s">
        <v>652</v>
      </c>
      <c r="I13" t="s">
        <v>666</v>
      </c>
      <c r="J13" t="s">
        <v>701</v>
      </c>
      <c r="K13" t="s">
        <v>710</v>
      </c>
      <c r="L13" t="s">
        <v>721</v>
      </c>
      <c r="M13" t="s">
        <v>730</v>
      </c>
      <c r="N13" t="s">
        <v>1439</v>
      </c>
      <c r="O13" s="9">
        <v>908.6</v>
      </c>
      <c r="P13" s="9">
        <v>691.37</v>
      </c>
      <c r="Q13" s="9">
        <v>691.37</v>
      </c>
      <c r="R13" t="s">
        <v>2065</v>
      </c>
      <c r="S13" s="11">
        <v>0.25</v>
      </c>
      <c r="T13" t="s">
        <v>2065</v>
      </c>
      <c r="U13" s="13">
        <v>20</v>
      </c>
      <c r="V13" s="9">
        <f t="shared" si="0"/>
        <v>10370.549999999999</v>
      </c>
      <c r="W13" s="9">
        <f t="shared" si="1"/>
        <v>18172</v>
      </c>
      <c r="X13" s="9">
        <f t="shared" si="2"/>
        <v>-7801.4500000000007</v>
      </c>
      <c r="Y13" s="11">
        <f t="shared" si="3"/>
        <v>-0.75226964818645115</v>
      </c>
    </row>
    <row r="14" spans="1:25" x14ac:dyDescent="0.3">
      <c r="A14" t="s">
        <v>27</v>
      </c>
      <c r="B14">
        <v>45722</v>
      </c>
      <c r="C14">
        <v>45747</v>
      </c>
      <c r="D14" t="s">
        <v>2064</v>
      </c>
      <c r="E14">
        <v>45747</v>
      </c>
      <c r="F14">
        <v>25</v>
      </c>
      <c r="G14" t="s">
        <v>648</v>
      </c>
      <c r="H14" t="s">
        <v>655</v>
      </c>
      <c r="I14" t="s">
        <v>672</v>
      </c>
      <c r="J14" t="s">
        <v>703</v>
      </c>
      <c r="K14" t="s">
        <v>708</v>
      </c>
      <c r="L14" t="s">
        <v>713</v>
      </c>
      <c r="M14" t="s">
        <v>727</v>
      </c>
      <c r="N14" t="s">
        <v>1440</v>
      </c>
      <c r="O14" s="9">
        <v>331.57</v>
      </c>
      <c r="P14" s="9">
        <v>548.4</v>
      </c>
      <c r="Q14" s="9">
        <v>548.4</v>
      </c>
      <c r="R14" t="s">
        <v>2065</v>
      </c>
      <c r="S14" s="11">
        <v>9.4E-2</v>
      </c>
      <c r="T14" t="s">
        <v>2065</v>
      </c>
      <c r="U14" s="13">
        <v>10</v>
      </c>
      <c r="V14" s="9">
        <f t="shared" si="0"/>
        <v>4968.5039999999999</v>
      </c>
      <c r="W14" s="9">
        <f t="shared" si="1"/>
        <v>3315.7</v>
      </c>
      <c r="X14" s="9">
        <f t="shared" si="2"/>
        <v>1652.8040000000001</v>
      </c>
      <c r="Y14" s="11">
        <f t="shared" si="3"/>
        <v>0.33265626836568918</v>
      </c>
    </row>
    <row r="15" spans="1:25" x14ac:dyDescent="0.3">
      <c r="A15" t="s">
        <v>28</v>
      </c>
      <c r="B15">
        <v>45311</v>
      </c>
      <c r="C15">
        <v>45335</v>
      </c>
      <c r="D15" t="s">
        <v>2064</v>
      </c>
      <c r="E15">
        <v>45335</v>
      </c>
      <c r="F15">
        <v>24</v>
      </c>
      <c r="G15" t="s">
        <v>649</v>
      </c>
      <c r="H15" t="s">
        <v>657</v>
      </c>
      <c r="I15" t="s">
        <v>673</v>
      </c>
      <c r="J15" t="s">
        <v>701</v>
      </c>
      <c r="K15" t="s">
        <v>707</v>
      </c>
      <c r="L15" t="s">
        <v>722</v>
      </c>
      <c r="M15" t="s">
        <v>728</v>
      </c>
      <c r="N15" t="s">
        <v>1441</v>
      </c>
      <c r="O15" s="9">
        <v>643.53</v>
      </c>
      <c r="P15" s="9">
        <v>1439.01</v>
      </c>
      <c r="Q15" s="9">
        <v>1439.01</v>
      </c>
      <c r="R15" t="s">
        <v>2065</v>
      </c>
      <c r="S15" s="11">
        <v>0</v>
      </c>
      <c r="T15" t="s">
        <v>2065</v>
      </c>
      <c r="U15" s="13">
        <v>15</v>
      </c>
      <c r="V15" s="9">
        <f t="shared" si="0"/>
        <v>21585.15</v>
      </c>
      <c r="W15" s="9">
        <f t="shared" si="1"/>
        <v>9652.9499999999989</v>
      </c>
      <c r="X15" s="9">
        <f t="shared" si="2"/>
        <v>11932.200000000003</v>
      </c>
      <c r="Y15" s="11">
        <f t="shared" si="3"/>
        <v>0.55279671440782208</v>
      </c>
    </row>
    <row r="16" spans="1:25" x14ac:dyDescent="0.3">
      <c r="A16" t="s">
        <v>29</v>
      </c>
      <c r="B16">
        <v>45901</v>
      </c>
      <c r="C16">
        <v>45930</v>
      </c>
      <c r="D16" t="s">
        <v>2064</v>
      </c>
      <c r="E16">
        <v>45930</v>
      </c>
      <c r="F16">
        <v>29</v>
      </c>
      <c r="G16" t="s">
        <v>648</v>
      </c>
      <c r="H16" t="s">
        <v>655</v>
      </c>
      <c r="I16" t="s">
        <v>672</v>
      </c>
      <c r="J16" t="s">
        <v>702</v>
      </c>
      <c r="K16" t="s">
        <v>707</v>
      </c>
      <c r="L16" t="s">
        <v>723</v>
      </c>
      <c r="M16" t="s">
        <v>733</v>
      </c>
      <c r="N16" t="s">
        <v>1442</v>
      </c>
      <c r="O16" s="9">
        <v>780.59</v>
      </c>
      <c r="P16" s="9">
        <v>631.57000000000005</v>
      </c>
      <c r="Q16" s="9">
        <v>631.57000000000005</v>
      </c>
      <c r="R16" t="s">
        <v>2065</v>
      </c>
      <c r="S16" s="11">
        <v>0</v>
      </c>
      <c r="T16" t="s">
        <v>2065</v>
      </c>
      <c r="U16" s="13">
        <v>12</v>
      </c>
      <c r="V16" s="9">
        <f t="shared" si="0"/>
        <v>7578.84</v>
      </c>
      <c r="W16" s="9">
        <f t="shared" si="1"/>
        <v>9367.08</v>
      </c>
      <c r="X16" s="9">
        <f t="shared" si="2"/>
        <v>-1788.2399999999998</v>
      </c>
      <c r="Y16" s="11">
        <f t="shared" si="3"/>
        <v>-0.23595167598207639</v>
      </c>
    </row>
    <row r="17" spans="1:25" x14ac:dyDescent="0.3">
      <c r="A17" t="s">
        <v>30</v>
      </c>
      <c r="B17">
        <v>45039</v>
      </c>
      <c r="C17">
        <v>45038</v>
      </c>
      <c r="D17" t="s">
        <v>2066</v>
      </c>
      <c r="E17">
        <v>45039</v>
      </c>
      <c r="F17">
        <v>0</v>
      </c>
      <c r="G17" t="s">
        <v>646</v>
      </c>
      <c r="H17" t="s">
        <v>650</v>
      </c>
      <c r="I17" t="s">
        <v>664</v>
      </c>
      <c r="J17" t="s">
        <v>705</v>
      </c>
      <c r="K17" t="s">
        <v>711</v>
      </c>
      <c r="L17" t="s">
        <v>718</v>
      </c>
      <c r="M17" t="s">
        <v>731</v>
      </c>
      <c r="N17" t="s">
        <v>1443</v>
      </c>
      <c r="O17" s="9">
        <v>756.51</v>
      </c>
      <c r="P17" s="9">
        <v>850.8</v>
      </c>
      <c r="Q17" s="9">
        <v>850.8</v>
      </c>
      <c r="R17" t="s">
        <v>2065</v>
      </c>
      <c r="S17" s="11">
        <v>7.3999999999999996E-2</v>
      </c>
      <c r="T17" t="s">
        <v>2065</v>
      </c>
      <c r="U17" s="13">
        <v>9</v>
      </c>
      <c r="V17" s="9">
        <f t="shared" si="0"/>
        <v>7090.5672000000004</v>
      </c>
      <c r="W17" s="9">
        <f t="shared" si="1"/>
        <v>6808.59</v>
      </c>
      <c r="X17" s="9">
        <f t="shared" si="2"/>
        <v>281.97720000000027</v>
      </c>
      <c r="Y17" s="11">
        <f t="shared" si="3"/>
        <v>3.9767932810791252E-2</v>
      </c>
    </row>
    <row r="18" spans="1:25" x14ac:dyDescent="0.3">
      <c r="A18" t="s">
        <v>31</v>
      </c>
      <c r="B18">
        <v>45636</v>
      </c>
      <c r="C18">
        <v>45665</v>
      </c>
      <c r="D18" t="s">
        <v>2064</v>
      </c>
      <c r="E18">
        <v>45665</v>
      </c>
      <c r="F18">
        <v>29</v>
      </c>
      <c r="G18" t="s">
        <v>649</v>
      </c>
      <c r="H18" t="s">
        <v>657</v>
      </c>
      <c r="I18" t="s">
        <v>673</v>
      </c>
      <c r="J18" t="s">
        <v>705</v>
      </c>
      <c r="K18" t="s">
        <v>707</v>
      </c>
      <c r="L18" t="s">
        <v>723</v>
      </c>
      <c r="M18" t="s">
        <v>728</v>
      </c>
      <c r="N18" t="s">
        <v>1444</v>
      </c>
      <c r="O18" s="9">
        <v>891.08</v>
      </c>
      <c r="P18" s="9">
        <v>1040.0999999999999</v>
      </c>
      <c r="Q18" s="9">
        <v>1040.0999999999999</v>
      </c>
      <c r="R18" t="s">
        <v>2065</v>
      </c>
      <c r="S18" s="11">
        <v>0.109</v>
      </c>
      <c r="T18" t="s">
        <v>2065</v>
      </c>
      <c r="U18" s="13">
        <v>28</v>
      </c>
      <c r="V18" s="9">
        <f t="shared" si="0"/>
        <v>25948.414799999995</v>
      </c>
      <c r="W18" s="9">
        <f t="shared" si="1"/>
        <v>24950.240000000002</v>
      </c>
      <c r="X18" s="9">
        <f t="shared" si="2"/>
        <v>998.17479999999341</v>
      </c>
      <c r="Y18" s="11">
        <f t="shared" si="3"/>
        <v>3.8467660074556598E-2</v>
      </c>
    </row>
    <row r="19" spans="1:25" x14ac:dyDescent="0.3">
      <c r="A19" t="s">
        <v>32</v>
      </c>
      <c r="B19">
        <v>45908</v>
      </c>
      <c r="C19">
        <v>45916</v>
      </c>
      <c r="D19" t="s">
        <v>2064</v>
      </c>
      <c r="E19">
        <v>45916</v>
      </c>
      <c r="F19">
        <v>8</v>
      </c>
      <c r="G19" t="s">
        <v>647</v>
      </c>
      <c r="H19" t="s">
        <v>652</v>
      </c>
      <c r="I19" t="s">
        <v>666</v>
      </c>
      <c r="J19" t="s">
        <v>701</v>
      </c>
      <c r="K19" t="s">
        <v>710</v>
      </c>
      <c r="L19" t="s">
        <v>712</v>
      </c>
      <c r="M19" t="s">
        <v>730</v>
      </c>
      <c r="N19" t="s">
        <v>1445</v>
      </c>
      <c r="O19" s="9">
        <v>1225.57</v>
      </c>
      <c r="P19" s="9">
        <v>2705.57</v>
      </c>
      <c r="Q19" s="9">
        <v>2705.57</v>
      </c>
      <c r="R19" t="s">
        <v>2065</v>
      </c>
      <c r="S19" s="11">
        <v>0.183</v>
      </c>
      <c r="T19" t="s">
        <v>2065</v>
      </c>
      <c r="U19" s="13">
        <v>16</v>
      </c>
      <c r="V19" s="9">
        <f t="shared" si="0"/>
        <v>35367.211040000002</v>
      </c>
      <c r="W19" s="9">
        <f t="shared" si="1"/>
        <v>19609.12</v>
      </c>
      <c r="X19" s="9">
        <f t="shared" si="2"/>
        <v>15758.091040000003</v>
      </c>
      <c r="Y19" s="11">
        <f t="shared" si="3"/>
        <v>0.44555650775453404</v>
      </c>
    </row>
    <row r="20" spans="1:25" x14ac:dyDescent="0.3">
      <c r="A20" t="s">
        <v>33</v>
      </c>
      <c r="B20">
        <v>45858</v>
      </c>
      <c r="C20">
        <v>45874</v>
      </c>
      <c r="D20" t="s">
        <v>2064</v>
      </c>
      <c r="E20">
        <v>45874</v>
      </c>
      <c r="F20">
        <v>16</v>
      </c>
      <c r="G20" t="s">
        <v>648</v>
      </c>
      <c r="H20" t="s">
        <v>655</v>
      </c>
      <c r="I20" t="s">
        <v>672</v>
      </c>
      <c r="J20" t="s">
        <v>706</v>
      </c>
      <c r="K20" t="s">
        <v>709</v>
      </c>
      <c r="L20" t="s">
        <v>715</v>
      </c>
      <c r="M20" t="s">
        <v>733</v>
      </c>
      <c r="N20" t="s">
        <v>1446</v>
      </c>
      <c r="O20" s="9">
        <v>1068.17</v>
      </c>
      <c r="P20" s="9">
        <v>2375.37</v>
      </c>
      <c r="Q20" s="9">
        <v>2375.37</v>
      </c>
      <c r="R20" t="s">
        <v>2065</v>
      </c>
      <c r="S20" s="11">
        <v>0.109</v>
      </c>
      <c r="T20" t="s">
        <v>2065</v>
      </c>
      <c r="U20" s="13">
        <v>18</v>
      </c>
      <c r="V20" s="9">
        <f t="shared" si="0"/>
        <v>38096.18406</v>
      </c>
      <c r="W20" s="9">
        <f t="shared" si="1"/>
        <v>19227.060000000001</v>
      </c>
      <c r="X20" s="9">
        <f t="shared" si="2"/>
        <v>18869.124059999998</v>
      </c>
      <c r="Y20" s="11">
        <f t="shared" si="3"/>
        <v>0.49530220744108822</v>
      </c>
    </row>
    <row r="21" spans="1:25" x14ac:dyDescent="0.3">
      <c r="A21" t="s">
        <v>34</v>
      </c>
      <c r="B21">
        <v>45798</v>
      </c>
      <c r="C21">
        <v>45796</v>
      </c>
      <c r="D21" t="s">
        <v>2066</v>
      </c>
      <c r="E21">
        <v>45798</v>
      </c>
      <c r="F21">
        <v>0</v>
      </c>
      <c r="G21" t="s">
        <v>649</v>
      </c>
      <c r="H21" t="s">
        <v>658</v>
      </c>
      <c r="I21" t="s">
        <v>674</v>
      </c>
      <c r="J21" t="s">
        <v>706</v>
      </c>
      <c r="K21" t="s">
        <v>708</v>
      </c>
      <c r="L21" t="s">
        <v>724</v>
      </c>
      <c r="M21" t="s">
        <v>731</v>
      </c>
      <c r="N21" t="s">
        <v>1447</v>
      </c>
      <c r="O21" s="9">
        <v>1015.16</v>
      </c>
      <c r="P21" s="9">
        <v>2148.14</v>
      </c>
      <c r="Q21" s="9">
        <v>2148.14</v>
      </c>
      <c r="R21" t="s">
        <v>2065</v>
      </c>
      <c r="S21" s="11">
        <v>3.7999999999999999E-2</v>
      </c>
      <c r="T21" t="s">
        <v>2065</v>
      </c>
      <c r="U21" s="13">
        <v>19</v>
      </c>
      <c r="V21" s="9">
        <f t="shared" si="0"/>
        <v>39263.702919999996</v>
      </c>
      <c r="W21" s="9">
        <f t="shared" si="1"/>
        <v>19288.04</v>
      </c>
      <c r="X21" s="9">
        <f t="shared" si="2"/>
        <v>19975.662919999995</v>
      </c>
      <c r="Y21" s="11">
        <f t="shared" si="3"/>
        <v>0.50875647059322227</v>
      </c>
    </row>
    <row r="22" spans="1:25" x14ac:dyDescent="0.3">
      <c r="A22" t="s">
        <v>35</v>
      </c>
      <c r="B22">
        <v>45498</v>
      </c>
      <c r="C22">
        <v>45497</v>
      </c>
      <c r="D22" t="s">
        <v>2066</v>
      </c>
      <c r="E22">
        <v>45498</v>
      </c>
      <c r="F22">
        <v>0</v>
      </c>
      <c r="G22" t="s">
        <v>646</v>
      </c>
      <c r="H22" t="s">
        <v>650</v>
      </c>
      <c r="I22" t="s">
        <v>675</v>
      </c>
      <c r="J22" t="s">
        <v>703</v>
      </c>
      <c r="K22" t="s">
        <v>711</v>
      </c>
      <c r="L22" t="s">
        <v>713</v>
      </c>
      <c r="M22" t="s">
        <v>731</v>
      </c>
      <c r="N22" t="s">
        <v>1448</v>
      </c>
      <c r="O22" s="9">
        <v>1494.4</v>
      </c>
      <c r="P22" s="9">
        <v>3661.07</v>
      </c>
      <c r="Q22" s="9">
        <v>3661.07</v>
      </c>
      <c r="R22" t="s">
        <v>2065</v>
      </c>
      <c r="S22" s="11">
        <v>7.1999999999999995E-2</v>
      </c>
      <c r="T22" t="s">
        <v>2065</v>
      </c>
      <c r="U22" s="13">
        <v>7</v>
      </c>
      <c r="V22" s="9">
        <f t="shared" si="0"/>
        <v>23782.310720000001</v>
      </c>
      <c r="W22" s="9">
        <f t="shared" si="1"/>
        <v>10460.800000000001</v>
      </c>
      <c r="X22" s="9">
        <f t="shared" si="2"/>
        <v>13321.51072</v>
      </c>
      <c r="Y22" s="11">
        <f t="shared" si="3"/>
        <v>0.56014366630897339</v>
      </c>
    </row>
    <row r="23" spans="1:25" x14ac:dyDescent="0.3">
      <c r="A23" t="s">
        <v>36</v>
      </c>
      <c r="B23">
        <v>45057</v>
      </c>
      <c r="C23">
        <v>45074</v>
      </c>
      <c r="D23" t="s">
        <v>2064</v>
      </c>
      <c r="E23">
        <v>45074</v>
      </c>
      <c r="F23">
        <v>17</v>
      </c>
      <c r="G23" t="s">
        <v>647</v>
      </c>
      <c r="H23" t="s">
        <v>659</v>
      </c>
      <c r="I23" t="s">
        <v>676</v>
      </c>
      <c r="J23" t="s">
        <v>706</v>
      </c>
      <c r="K23" t="s">
        <v>709</v>
      </c>
      <c r="L23" t="s">
        <v>718</v>
      </c>
      <c r="M23" t="s">
        <v>729</v>
      </c>
      <c r="N23" t="s">
        <v>1449</v>
      </c>
      <c r="O23" s="9">
        <v>1331.19</v>
      </c>
      <c r="P23" s="9">
        <v>2903.09</v>
      </c>
      <c r="Q23" s="9">
        <v>2903.09</v>
      </c>
      <c r="R23" t="s">
        <v>2065</v>
      </c>
      <c r="S23" s="11">
        <v>0.14299999999999999</v>
      </c>
      <c r="T23" t="s">
        <v>2065</v>
      </c>
      <c r="U23" s="13">
        <v>8</v>
      </c>
      <c r="V23" s="9">
        <f t="shared" si="0"/>
        <v>19903.585040000002</v>
      </c>
      <c r="W23" s="9">
        <f t="shared" si="1"/>
        <v>10649.52</v>
      </c>
      <c r="X23" s="9">
        <f t="shared" si="2"/>
        <v>9254.0650400000013</v>
      </c>
      <c r="Y23" s="11">
        <f t="shared" si="3"/>
        <v>0.46494463290920784</v>
      </c>
    </row>
    <row r="24" spans="1:25" x14ac:dyDescent="0.3">
      <c r="A24" t="s">
        <v>37</v>
      </c>
      <c r="B24">
        <v>45822</v>
      </c>
      <c r="C24">
        <v>45837</v>
      </c>
      <c r="D24" t="s">
        <v>2064</v>
      </c>
      <c r="E24">
        <v>45837</v>
      </c>
      <c r="F24">
        <v>15</v>
      </c>
      <c r="G24" t="s">
        <v>646</v>
      </c>
      <c r="H24" t="s">
        <v>651</v>
      </c>
      <c r="I24" t="s">
        <v>663</v>
      </c>
      <c r="J24" t="s">
        <v>704</v>
      </c>
      <c r="K24" t="s">
        <v>709</v>
      </c>
      <c r="L24" t="s">
        <v>724</v>
      </c>
      <c r="M24" t="s">
        <v>733</v>
      </c>
      <c r="N24" t="s">
        <v>1450</v>
      </c>
      <c r="O24" s="9">
        <v>730.99</v>
      </c>
      <c r="P24" s="9">
        <v>1242.8399999999999</v>
      </c>
      <c r="Q24" s="9">
        <v>1242.8399999999999</v>
      </c>
      <c r="R24" t="s">
        <v>2065</v>
      </c>
      <c r="S24" s="11">
        <v>0.12</v>
      </c>
      <c r="T24" t="s">
        <v>2065</v>
      </c>
      <c r="U24" s="13">
        <v>10</v>
      </c>
      <c r="V24" s="9">
        <f t="shared" si="0"/>
        <v>10936.992</v>
      </c>
      <c r="W24" s="9">
        <f t="shared" si="1"/>
        <v>7309.9</v>
      </c>
      <c r="X24" s="9">
        <f t="shared" si="2"/>
        <v>3627.0920000000006</v>
      </c>
      <c r="Y24" s="11">
        <f t="shared" si="3"/>
        <v>0.33163524303574515</v>
      </c>
    </row>
    <row r="25" spans="1:25" x14ac:dyDescent="0.3">
      <c r="A25" t="s">
        <v>38</v>
      </c>
      <c r="B25">
        <v>45430</v>
      </c>
      <c r="C25">
        <v>45435</v>
      </c>
      <c r="D25" t="s">
        <v>2064</v>
      </c>
      <c r="E25">
        <v>45435</v>
      </c>
      <c r="F25">
        <v>5</v>
      </c>
      <c r="G25" t="s">
        <v>648</v>
      </c>
      <c r="H25" t="s">
        <v>1425</v>
      </c>
      <c r="I25" t="s">
        <v>677</v>
      </c>
      <c r="J25" t="s">
        <v>706</v>
      </c>
      <c r="K25" t="s">
        <v>707</v>
      </c>
      <c r="L25" t="s">
        <v>722</v>
      </c>
      <c r="M25" t="s">
        <v>731</v>
      </c>
      <c r="N25" t="s">
        <v>1451</v>
      </c>
      <c r="O25" s="9">
        <v>1274.5899999999999</v>
      </c>
      <c r="P25" s="9">
        <v>2553.69</v>
      </c>
      <c r="Q25" s="9">
        <v>2553.69</v>
      </c>
      <c r="R25" t="s">
        <v>2065</v>
      </c>
      <c r="S25" s="11">
        <v>0.01</v>
      </c>
      <c r="T25" t="s">
        <v>2065</v>
      </c>
      <c r="U25" s="13">
        <v>8</v>
      </c>
      <c r="V25" s="9">
        <f t="shared" si="0"/>
        <v>20225.2248</v>
      </c>
      <c r="W25" s="9">
        <f t="shared" si="1"/>
        <v>10196.719999999999</v>
      </c>
      <c r="X25" s="9">
        <f t="shared" si="2"/>
        <v>10028.504800000001</v>
      </c>
      <c r="Y25" s="11">
        <f t="shared" si="3"/>
        <v>0.49584145042481803</v>
      </c>
    </row>
    <row r="26" spans="1:25" x14ac:dyDescent="0.3">
      <c r="A26" t="s">
        <v>39</v>
      </c>
      <c r="B26">
        <v>44964</v>
      </c>
      <c r="C26">
        <v>44969</v>
      </c>
      <c r="D26" t="s">
        <v>2064</v>
      </c>
      <c r="E26">
        <v>44969</v>
      </c>
      <c r="F26">
        <v>5</v>
      </c>
      <c r="G26" t="s">
        <v>648</v>
      </c>
      <c r="H26" t="s">
        <v>655</v>
      </c>
      <c r="I26" t="s">
        <v>670</v>
      </c>
      <c r="J26" t="s">
        <v>702</v>
      </c>
      <c r="K26" t="s">
        <v>708</v>
      </c>
      <c r="L26" t="s">
        <v>725</v>
      </c>
      <c r="M26" t="s">
        <v>727</v>
      </c>
      <c r="N26" t="s">
        <v>1452</v>
      </c>
      <c r="O26" s="9">
        <v>948.55</v>
      </c>
      <c r="P26" s="9">
        <v>2089.16</v>
      </c>
      <c r="Q26" s="9">
        <v>2089.16</v>
      </c>
      <c r="R26" t="s">
        <v>2065</v>
      </c>
      <c r="S26" s="11">
        <v>7.0000000000000001E-3</v>
      </c>
      <c r="T26" t="s">
        <v>2065</v>
      </c>
      <c r="U26" s="13">
        <v>12</v>
      </c>
      <c r="V26" s="9">
        <f t="shared" si="0"/>
        <v>24894.430559999997</v>
      </c>
      <c r="W26" s="9">
        <f t="shared" si="1"/>
        <v>11382.599999999999</v>
      </c>
      <c r="X26" s="9">
        <f t="shared" si="2"/>
        <v>13511.830559999999</v>
      </c>
      <c r="Y26" s="11">
        <f t="shared" si="3"/>
        <v>0.54276519912492427</v>
      </c>
    </row>
    <row r="27" spans="1:25" x14ac:dyDescent="0.3">
      <c r="A27" t="s">
        <v>40</v>
      </c>
      <c r="B27">
        <v>45473</v>
      </c>
      <c r="C27">
        <v>45487</v>
      </c>
      <c r="D27" t="s">
        <v>2064</v>
      </c>
      <c r="E27">
        <v>45487</v>
      </c>
      <c r="F27">
        <v>14</v>
      </c>
      <c r="G27" t="s">
        <v>648</v>
      </c>
      <c r="H27" t="s">
        <v>655</v>
      </c>
      <c r="I27" t="s">
        <v>672</v>
      </c>
      <c r="J27" t="s">
        <v>702</v>
      </c>
      <c r="K27" t="s">
        <v>707</v>
      </c>
      <c r="L27" t="s">
        <v>712</v>
      </c>
      <c r="M27" t="s">
        <v>733</v>
      </c>
      <c r="N27" t="s">
        <v>1453</v>
      </c>
      <c r="O27" s="9">
        <v>1491.85</v>
      </c>
      <c r="P27" s="9">
        <v>2583.02</v>
      </c>
      <c r="Q27" s="9">
        <v>2583.02</v>
      </c>
      <c r="R27" t="s">
        <v>2065</v>
      </c>
      <c r="S27" s="11">
        <v>0.16800000000000001</v>
      </c>
      <c r="T27" t="s">
        <v>2065</v>
      </c>
      <c r="U27" s="13">
        <v>4</v>
      </c>
      <c r="V27" s="9">
        <f t="shared" si="0"/>
        <v>8596.2905599999995</v>
      </c>
      <c r="W27" s="9">
        <f t="shared" si="1"/>
        <v>5967.4</v>
      </c>
      <c r="X27" s="9">
        <f t="shared" si="2"/>
        <v>2628.8905599999998</v>
      </c>
      <c r="Y27" s="11">
        <f t="shared" si="3"/>
        <v>0.30581685689321325</v>
      </c>
    </row>
    <row r="28" spans="1:25" x14ac:dyDescent="0.3">
      <c r="A28" t="s">
        <v>41</v>
      </c>
      <c r="B28">
        <v>45626</v>
      </c>
      <c r="C28">
        <v>45656</v>
      </c>
      <c r="D28" t="s">
        <v>2064</v>
      </c>
      <c r="E28">
        <v>45656</v>
      </c>
      <c r="F28">
        <v>30</v>
      </c>
      <c r="G28" t="s">
        <v>649</v>
      </c>
      <c r="H28" t="s">
        <v>657</v>
      </c>
      <c r="I28" t="s">
        <v>673</v>
      </c>
      <c r="J28" t="s">
        <v>704</v>
      </c>
      <c r="K28" t="s">
        <v>709</v>
      </c>
      <c r="L28" t="s">
        <v>721</v>
      </c>
      <c r="M28" t="s">
        <v>728</v>
      </c>
      <c r="N28" t="s">
        <v>1454</v>
      </c>
      <c r="O28" s="9">
        <v>117.64</v>
      </c>
      <c r="P28" s="9">
        <v>175.67</v>
      </c>
      <c r="Q28" s="9">
        <v>175.67</v>
      </c>
      <c r="R28" t="s">
        <v>2065</v>
      </c>
      <c r="S28" s="11">
        <v>0</v>
      </c>
      <c r="T28" t="s">
        <v>2065</v>
      </c>
      <c r="U28" s="13">
        <v>10</v>
      </c>
      <c r="V28" s="9">
        <f t="shared" si="0"/>
        <v>1756.6999999999998</v>
      </c>
      <c r="W28" s="9">
        <f t="shared" si="1"/>
        <v>1176.4000000000001</v>
      </c>
      <c r="X28" s="9">
        <f t="shared" si="2"/>
        <v>580.29999999999973</v>
      </c>
      <c r="Y28" s="11">
        <f t="shared" si="3"/>
        <v>0.33033528775545046</v>
      </c>
    </row>
    <row r="29" spans="1:25" x14ac:dyDescent="0.3">
      <c r="A29" t="s">
        <v>42</v>
      </c>
      <c r="B29">
        <v>45492</v>
      </c>
      <c r="C29">
        <v>45492</v>
      </c>
      <c r="D29" t="s">
        <v>2064</v>
      </c>
      <c r="E29">
        <v>45492</v>
      </c>
      <c r="F29">
        <v>0</v>
      </c>
      <c r="G29" t="s">
        <v>646</v>
      </c>
      <c r="H29" t="s">
        <v>650</v>
      </c>
      <c r="I29" t="s">
        <v>662</v>
      </c>
      <c r="J29" t="s">
        <v>705</v>
      </c>
      <c r="K29" t="s">
        <v>707</v>
      </c>
      <c r="L29" t="s">
        <v>720</v>
      </c>
      <c r="M29" t="s">
        <v>730</v>
      </c>
      <c r="N29" t="s">
        <v>1455</v>
      </c>
      <c r="O29" s="9">
        <v>857.24</v>
      </c>
      <c r="P29" s="9">
        <v>758.23</v>
      </c>
      <c r="Q29" s="9">
        <v>758.23</v>
      </c>
      <c r="R29" t="s">
        <v>2065</v>
      </c>
      <c r="S29" s="11">
        <v>0.125</v>
      </c>
      <c r="T29" t="s">
        <v>2065</v>
      </c>
      <c r="U29" s="13">
        <v>6</v>
      </c>
      <c r="V29" s="9">
        <f t="shared" si="0"/>
        <v>3980.7075</v>
      </c>
      <c r="W29" s="9">
        <f t="shared" si="1"/>
        <v>5143.4400000000005</v>
      </c>
      <c r="X29" s="9">
        <f t="shared" si="2"/>
        <v>-1162.7325000000005</v>
      </c>
      <c r="Y29" s="11">
        <f t="shared" si="3"/>
        <v>-0.29209192084572921</v>
      </c>
    </row>
    <row r="30" spans="1:25" x14ac:dyDescent="0.3">
      <c r="A30" t="s">
        <v>43</v>
      </c>
      <c r="B30">
        <v>45030</v>
      </c>
      <c r="C30">
        <v>45060</v>
      </c>
      <c r="D30" t="s">
        <v>2064</v>
      </c>
      <c r="E30">
        <v>45060</v>
      </c>
      <c r="F30">
        <v>30</v>
      </c>
      <c r="G30" t="s">
        <v>646</v>
      </c>
      <c r="H30" t="s">
        <v>650</v>
      </c>
      <c r="I30" t="s">
        <v>678</v>
      </c>
      <c r="J30" t="s">
        <v>704</v>
      </c>
      <c r="K30" t="s">
        <v>709</v>
      </c>
      <c r="L30" t="s">
        <v>724</v>
      </c>
      <c r="M30" t="s">
        <v>730</v>
      </c>
      <c r="N30" t="s">
        <v>1456</v>
      </c>
      <c r="O30" s="9">
        <v>209.25</v>
      </c>
      <c r="P30" s="9">
        <v>434.8</v>
      </c>
      <c r="Q30" s="9">
        <v>434.8</v>
      </c>
      <c r="R30" t="s">
        <v>2065</v>
      </c>
      <c r="S30" s="11">
        <v>0</v>
      </c>
      <c r="T30" t="s">
        <v>2065</v>
      </c>
      <c r="U30" s="13">
        <v>9</v>
      </c>
      <c r="V30" s="9">
        <f t="shared" si="0"/>
        <v>3913.2000000000003</v>
      </c>
      <c r="W30" s="9">
        <f t="shared" si="1"/>
        <v>1883.25</v>
      </c>
      <c r="X30" s="9">
        <f t="shared" si="2"/>
        <v>2029.9500000000003</v>
      </c>
      <c r="Y30" s="11">
        <f t="shared" si="3"/>
        <v>0.51874425022999082</v>
      </c>
    </row>
    <row r="31" spans="1:25" x14ac:dyDescent="0.3">
      <c r="A31" t="s">
        <v>44</v>
      </c>
      <c r="B31">
        <v>45754</v>
      </c>
      <c r="C31">
        <v>45758</v>
      </c>
      <c r="D31" t="s">
        <v>2064</v>
      </c>
      <c r="E31">
        <v>45758</v>
      </c>
      <c r="F31">
        <v>4</v>
      </c>
      <c r="G31" t="s">
        <v>649</v>
      </c>
      <c r="H31" t="s">
        <v>657</v>
      </c>
      <c r="I31" t="s">
        <v>679</v>
      </c>
      <c r="J31" t="s">
        <v>702</v>
      </c>
      <c r="K31" t="s">
        <v>707</v>
      </c>
      <c r="L31" t="s">
        <v>718</v>
      </c>
      <c r="M31" t="s">
        <v>729</v>
      </c>
      <c r="N31" t="s">
        <v>1457</v>
      </c>
      <c r="O31" s="9">
        <v>754.77</v>
      </c>
      <c r="P31" s="9">
        <v>1666.18</v>
      </c>
      <c r="Q31" s="9">
        <v>1666.18</v>
      </c>
      <c r="R31" t="s">
        <v>2065</v>
      </c>
      <c r="S31" s="11">
        <v>0.13900000000000001</v>
      </c>
      <c r="T31" t="s">
        <v>2065</v>
      </c>
      <c r="U31" s="13">
        <v>14</v>
      </c>
      <c r="V31" s="9">
        <f t="shared" si="0"/>
        <v>20084.133720000002</v>
      </c>
      <c r="W31" s="9">
        <f t="shared" si="1"/>
        <v>10566.779999999999</v>
      </c>
      <c r="X31" s="9">
        <f t="shared" si="2"/>
        <v>9517.3537200000028</v>
      </c>
      <c r="Y31" s="11">
        <f t="shared" si="3"/>
        <v>0.47387424584424653</v>
      </c>
    </row>
    <row r="32" spans="1:25" x14ac:dyDescent="0.3">
      <c r="A32" t="s">
        <v>45</v>
      </c>
      <c r="B32">
        <v>45653</v>
      </c>
      <c r="C32">
        <v>45672</v>
      </c>
      <c r="D32" t="s">
        <v>2064</v>
      </c>
      <c r="E32">
        <v>45672</v>
      </c>
      <c r="F32">
        <v>19</v>
      </c>
      <c r="G32" t="s">
        <v>647</v>
      </c>
      <c r="H32" t="s">
        <v>654</v>
      </c>
      <c r="I32" t="s">
        <v>680</v>
      </c>
      <c r="J32" t="s">
        <v>703</v>
      </c>
      <c r="K32" t="s">
        <v>710</v>
      </c>
      <c r="L32" t="s">
        <v>715</v>
      </c>
      <c r="M32" t="s">
        <v>727</v>
      </c>
      <c r="N32" t="s">
        <v>1458</v>
      </c>
      <c r="O32" s="9">
        <v>495.59</v>
      </c>
      <c r="P32" s="9">
        <v>631.78</v>
      </c>
      <c r="Q32" s="9">
        <v>631.78</v>
      </c>
      <c r="R32" t="s">
        <v>2065</v>
      </c>
      <c r="S32" s="11">
        <v>8.6999999999999994E-2</v>
      </c>
      <c r="T32" t="s">
        <v>2065</v>
      </c>
      <c r="U32" s="13">
        <v>17</v>
      </c>
      <c r="V32" s="9">
        <f t="shared" si="0"/>
        <v>9805.8573800000013</v>
      </c>
      <c r="W32" s="9">
        <f t="shared" si="1"/>
        <v>8425.0299999999988</v>
      </c>
      <c r="X32" s="9">
        <f t="shared" si="2"/>
        <v>1380.8273800000024</v>
      </c>
      <c r="Y32" s="11">
        <f t="shared" si="3"/>
        <v>0.14081658813601899</v>
      </c>
    </row>
    <row r="33" spans="1:25" x14ac:dyDescent="0.3">
      <c r="A33" t="s">
        <v>46</v>
      </c>
      <c r="B33">
        <v>44980</v>
      </c>
      <c r="C33">
        <v>45010</v>
      </c>
      <c r="D33" t="s">
        <v>2064</v>
      </c>
      <c r="E33">
        <v>45010</v>
      </c>
      <c r="F33">
        <v>30</v>
      </c>
      <c r="G33" t="s">
        <v>648</v>
      </c>
      <c r="H33" t="s">
        <v>653</v>
      </c>
      <c r="I33" t="s">
        <v>681</v>
      </c>
      <c r="J33" t="s">
        <v>706</v>
      </c>
      <c r="K33" t="s">
        <v>708</v>
      </c>
      <c r="L33" t="s">
        <v>726</v>
      </c>
      <c r="M33" t="s">
        <v>730</v>
      </c>
      <c r="N33" t="s">
        <v>1459</v>
      </c>
      <c r="O33" s="9">
        <v>1242.6600000000001</v>
      </c>
      <c r="P33" s="9">
        <v>1794.07</v>
      </c>
      <c r="Q33" s="9">
        <v>1794.07</v>
      </c>
      <c r="R33" t="s">
        <v>2065</v>
      </c>
      <c r="S33" s="11">
        <v>8.8999999999999996E-2</v>
      </c>
      <c r="T33" t="s">
        <v>2065</v>
      </c>
      <c r="U33" s="13">
        <v>16</v>
      </c>
      <c r="V33" s="9">
        <f t="shared" si="0"/>
        <v>26150.364320000001</v>
      </c>
      <c r="W33" s="9">
        <f t="shared" si="1"/>
        <v>19882.560000000001</v>
      </c>
      <c r="X33" s="9">
        <f t="shared" si="2"/>
        <v>6267.8043199999993</v>
      </c>
      <c r="Y33" s="11">
        <f t="shared" si="3"/>
        <v>0.23968325042440553</v>
      </c>
    </row>
    <row r="34" spans="1:25" x14ac:dyDescent="0.3">
      <c r="A34" t="s">
        <v>47</v>
      </c>
      <c r="B34">
        <v>45862</v>
      </c>
      <c r="C34">
        <v>45875</v>
      </c>
      <c r="D34" t="s">
        <v>2064</v>
      </c>
      <c r="E34">
        <v>45875</v>
      </c>
      <c r="F34">
        <v>13</v>
      </c>
      <c r="G34" t="s">
        <v>646</v>
      </c>
      <c r="H34" t="s">
        <v>661</v>
      </c>
      <c r="I34" t="s">
        <v>682</v>
      </c>
      <c r="J34" t="s">
        <v>702</v>
      </c>
      <c r="K34" t="s">
        <v>709</v>
      </c>
      <c r="L34" t="s">
        <v>726</v>
      </c>
      <c r="M34" t="s">
        <v>729</v>
      </c>
      <c r="N34" t="s">
        <v>1460</v>
      </c>
      <c r="O34" s="9">
        <v>1463.9</v>
      </c>
      <c r="P34" s="9">
        <v>2633.02</v>
      </c>
      <c r="Q34" s="9">
        <v>2633.02</v>
      </c>
      <c r="R34" t="s">
        <v>2065</v>
      </c>
      <c r="S34" s="11">
        <v>8.4000000000000005E-2</v>
      </c>
      <c r="T34" t="s">
        <v>2065</v>
      </c>
      <c r="U34" s="13">
        <v>4</v>
      </c>
      <c r="V34" s="9">
        <f t="shared" si="0"/>
        <v>9647.3852800000004</v>
      </c>
      <c r="W34" s="9">
        <f t="shared" si="1"/>
        <v>5855.6</v>
      </c>
      <c r="X34" s="9">
        <f t="shared" si="2"/>
        <v>3791.7852800000001</v>
      </c>
      <c r="Y34" s="11">
        <f t="shared" si="3"/>
        <v>0.39303761277791527</v>
      </c>
    </row>
    <row r="35" spans="1:25" x14ac:dyDescent="0.3">
      <c r="A35" t="s">
        <v>48</v>
      </c>
      <c r="B35">
        <v>45400</v>
      </c>
      <c r="C35">
        <v>45420</v>
      </c>
      <c r="D35" t="s">
        <v>2064</v>
      </c>
      <c r="E35">
        <v>45420</v>
      </c>
      <c r="F35">
        <v>20</v>
      </c>
      <c r="G35" t="s">
        <v>649</v>
      </c>
      <c r="H35" t="s">
        <v>658</v>
      </c>
      <c r="I35" t="s">
        <v>683</v>
      </c>
      <c r="J35" t="s">
        <v>703</v>
      </c>
      <c r="K35" t="s">
        <v>2057</v>
      </c>
      <c r="L35" t="s">
        <v>726</v>
      </c>
      <c r="M35" t="s">
        <v>731</v>
      </c>
      <c r="N35" t="s">
        <v>1461</v>
      </c>
      <c r="O35" s="9">
        <v>645.33000000000004</v>
      </c>
      <c r="P35" s="9">
        <v>1321.85</v>
      </c>
      <c r="Q35" s="9">
        <v>1321.85</v>
      </c>
      <c r="R35" t="s">
        <v>2065</v>
      </c>
      <c r="S35" s="11">
        <v>0</v>
      </c>
      <c r="T35" t="s">
        <v>2065</v>
      </c>
      <c r="U35" s="13">
        <v>10</v>
      </c>
      <c r="V35" s="9">
        <f t="shared" si="0"/>
        <v>13218.5</v>
      </c>
      <c r="W35" s="9">
        <f t="shared" si="1"/>
        <v>6453.3</v>
      </c>
      <c r="X35" s="9">
        <f t="shared" si="2"/>
        <v>6765.2</v>
      </c>
      <c r="Y35" s="11">
        <f t="shared" si="3"/>
        <v>0.51179785906116426</v>
      </c>
    </row>
    <row r="36" spans="1:25" x14ac:dyDescent="0.3">
      <c r="A36" t="s">
        <v>49</v>
      </c>
      <c r="B36">
        <v>45527</v>
      </c>
      <c r="C36">
        <v>45525</v>
      </c>
      <c r="D36" t="s">
        <v>2066</v>
      </c>
      <c r="E36">
        <v>45527</v>
      </c>
      <c r="F36">
        <v>0</v>
      </c>
      <c r="G36" t="s">
        <v>646</v>
      </c>
      <c r="H36" t="s">
        <v>661</v>
      </c>
      <c r="I36" t="s">
        <v>682</v>
      </c>
      <c r="J36" t="s">
        <v>702</v>
      </c>
      <c r="K36" t="s">
        <v>707</v>
      </c>
      <c r="L36" t="s">
        <v>718</v>
      </c>
      <c r="M36" t="s">
        <v>727</v>
      </c>
      <c r="N36" t="s">
        <v>1462</v>
      </c>
      <c r="O36" s="9">
        <v>1432.52</v>
      </c>
      <c r="P36" s="9">
        <v>3036.87</v>
      </c>
      <c r="Q36" s="9">
        <v>3036.87</v>
      </c>
      <c r="R36" t="s">
        <v>2065</v>
      </c>
      <c r="S36" s="11">
        <v>0</v>
      </c>
      <c r="T36" t="s">
        <v>2065</v>
      </c>
      <c r="U36" s="13">
        <v>9</v>
      </c>
      <c r="V36" s="9">
        <f t="shared" si="0"/>
        <v>27331.829999999998</v>
      </c>
      <c r="W36" s="9">
        <f t="shared" si="1"/>
        <v>12892.68</v>
      </c>
      <c r="X36" s="9">
        <f t="shared" si="2"/>
        <v>14439.149999999998</v>
      </c>
      <c r="Y36" s="11">
        <f t="shared" si="3"/>
        <v>0.52829064135112791</v>
      </c>
    </row>
    <row r="37" spans="1:25" x14ac:dyDescent="0.3">
      <c r="A37" t="s">
        <v>50</v>
      </c>
      <c r="B37">
        <v>45012</v>
      </c>
      <c r="C37">
        <v>45038</v>
      </c>
      <c r="D37" t="s">
        <v>2064</v>
      </c>
      <c r="E37">
        <v>45038</v>
      </c>
      <c r="F37">
        <v>26</v>
      </c>
      <c r="G37" t="s">
        <v>647</v>
      </c>
      <c r="H37" t="s">
        <v>654</v>
      </c>
      <c r="I37" t="s">
        <v>680</v>
      </c>
      <c r="J37" t="s">
        <v>703</v>
      </c>
      <c r="K37" t="s">
        <v>709</v>
      </c>
      <c r="L37" t="s">
        <v>713</v>
      </c>
      <c r="M37" t="s">
        <v>728</v>
      </c>
      <c r="N37" t="s">
        <v>1463</v>
      </c>
      <c r="O37" s="9">
        <v>178.53</v>
      </c>
      <c r="P37" s="9">
        <v>199.37</v>
      </c>
      <c r="Q37" s="9">
        <v>199.37</v>
      </c>
      <c r="R37" t="s">
        <v>2065</v>
      </c>
      <c r="S37" s="11">
        <v>0.10100000000000001</v>
      </c>
      <c r="T37" t="s">
        <v>2065</v>
      </c>
      <c r="U37" s="13">
        <v>37</v>
      </c>
      <c r="V37" s="9">
        <f t="shared" si="0"/>
        <v>6631.6443100000006</v>
      </c>
      <c r="W37" s="9">
        <f t="shared" si="1"/>
        <v>6605.61</v>
      </c>
      <c r="X37" s="9">
        <f t="shared" si="2"/>
        <v>26.034310000000914</v>
      </c>
      <c r="Y37" s="11">
        <f t="shared" si="3"/>
        <v>3.9257699573457538E-3</v>
      </c>
    </row>
    <row r="38" spans="1:25" x14ac:dyDescent="0.3">
      <c r="A38" t="s">
        <v>51</v>
      </c>
      <c r="B38">
        <v>45358</v>
      </c>
      <c r="C38">
        <v>45376</v>
      </c>
      <c r="D38" t="s">
        <v>2064</v>
      </c>
      <c r="E38">
        <v>45376</v>
      </c>
      <c r="F38">
        <v>18</v>
      </c>
      <c r="G38" t="s">
        <v>649</v>
      </c>
      <c r="H38" t="s">
        <v>656</v>
      </c>
      <c r="I38" t="s">
        <v>684</v>
      </c>
      <c r="J38" t="s">
        <v>701</v>
      </c>
      <c r="K38" t="s">
        <v>708</v>
      </c>
      <c r="L38" t="s">
        <v>717</v>
      </c>
      <c r="M38" t="s">
        <v>727</v>
      </c>
      <c r="N38" t="s">
        <v>1464</v>
      </c>
      <c r="O38" s="9">
        <v>712.84</v>
      </c>
      <c r="P38" s="9">
        <v>927.51</v>
      </c>
      <c r="Q38" s="9">
        <v>927.51</v>
      </c>
      <c r="R38" t="s">
        <v>2065</v>
      </c>
      <c r="S38" s="11">
        <v>0.24299999999999999</v>
      </c>
      <c r="T38" t="s">
        <v>2065</v>
      </c>
      <c r="U38" s="13">
        <v>27</v>
      </c>
      <c r="V38" s="9">
        <f t="shared" si="0"/>
        <v>18957.37689</v>
      </c>
      <c r="W38" s="9">
        <f t="shared" si="1"/>
        <v>19246.68</v>
      </c>
      <c r="X38" s="9">
        <f t="shared" si="2"/>
        <v>-289.30311000000074</v>
      </c>
      <c r="Y38" s="11">
        <f t="shared" si="3"/>
        <v>-1.5260714163076427E-2</v>
      </c>
    </row>
    <row r="39" spans="1:25" x14ac:dyDescent="0.3">
      <c r="A39" t="s">
        <v>52</v>
      </c>
      <c r="B39">
        <v>45832</v>
      </c>
      <c r="C39">
        <v>45848</v>
      </c>
      <c r="D39" t="s">
        <v>2064</v>
      </c>
      <c r="E39">
        <v>45848</v>
      </c>
      <c r="F39">
        <v>16</v>
      </c>
      <c r="G39" t="s">
        <v>647</v>
      </c>
      <c r="H39" t="s">
        <v>659</v>
      </c>
      <c r="I39" t="s">
        <v>685</v>
      </c>
      <c r="J39" t="s">
        <v>706</v>
      </c>
      <c r="K39" t="s">
        <v>711</v>
      </c>
      <c r="L39" t="s">
        <v>725</v>
      </c>
      <c r="M39" t="s">
        <v>727</v>
      </c>
      <c r="N39" t="s">
        <v>1465</v>
      </c>
      <c r="O39" s="9">
        <v>757.19</v>
      </c>
      <c r="P39" s="9">
        <v>1735.41</v>
      </c>
      <c r="Q39" s="9">
        <v>1735.41</v>
      </c>
      <c r="R39" t="s">
        <v>2065</v>
      </c>
      <c r="S39" s="11">
        <v>0.13600000000000001</v>
      </c>
      <c r="T39" t="s">
        <v>2065</v>
      </c>
      <c r="U39" s="13">
        <v>8</v>
      </c>
      <c r="V39" s="9">
        <f t="shared" si="0"/>
        <v>11995.153920000001</v>
      </c>
      <c r="W39" s="9">
        <f t="shared" si="1"/>
        <v>6057.52</v>
      </c>
      <c r="X39" s="9">
        <f t="shared" si="2"/>
        <v>5937.6339200000002</v>
      </c>
      <c r="Y39" s="11">
        <f t="shared" si="3"/>
        <v>0.4950027285685718</v>
      </c>
    </row>
    <row r="40" spans="1:25" x14ac:dyDescent="0.3">
      <c r="A40" t="s">
        <v>53</v>
      </c>
      <c r="B40">
        <v>45401</v>
      </c>
      <c r="C40">
        <v>45418</v>
      </c>
      <c r="D40" t="s">
        <v>2064</v>
      </c>
      <c r="E40">
        <v>45418</v>
      </c>
      <c r="F40">
        <v>17</v>
      </c>
      <c r="G40" t="s">
        <v>646</v>
      </c>
      <c r="H40" t="s">
        <v>651</v>
      </c>
      <c r="I40" t="s">
        <v>663</v>
      </c>
      <c r="J40" t="s">
        <v>703</v>
      </c>
      <c r="K40" t="s">
        <v>708</v>
      </c>
      <c r="L40" t="s">
        <v>720</v>
      </c>
      <c r="M40" t="s">
        <v>728</v>
      </c>
      <c r="N40" t="s">
        <v>1466</v>
      </c>
      <c r="O40" s="9">
        <v>865.33</v>
      </c>
      <c r="P40" s="9">
        <v>1395.64</v>
      </c>
      <c r="Q40" s="9">
        <v>1395.64</v>
      </c>
      <c r="R40" t="s">
        <v>2065</v>
      </c>
      <c r="S40" s="11">
        <v>0.17499999999999999</v>
      </c>
      <c r="T40" t="s">
        <v>2065</v>
      </c>
      <c r="U40" s="13">
        <v>13</v>
      </c>
      <c r="V40" s="9">
        <f t="shared" si="0"/>
        <v>14968.239</v>
      </c>
      <c r="W40" s="9">
        <f t="shared" si="1"/>
        <v>11249.29</v>
      </c>
      <c r="X40" s="9">
        <f t="shared" si="2"/>
        <v>3718.9489999999987</v>
      </c>
      <c r="Y40" s="11">
        <f t="shared" si="3"/>
        <v>0.24845601409758347</v>
      </c>
    </row>
    <row r="41" spans="1:25" x14ac:dyDescent="0.3">
      <c r="A41" t="s">
        <v>54</v>
      </c>
      <c r="B41">
        <v>45094</v>
      </c>
      <c r="C41">
        <v>45101</v>
      </c>
      <c r="D41" t="s">
        <v>2064</v>
      </c>
      <c r="E41">
        <v>45101</v>
      </c>
      <c r="F41">
        <v>7</v>
      </c>
      <c r="G41" t="s">
        <v>648</v>
      </c>
      <c r="H41" t="s">
        <v>1425</v>
      </c>
      <c r="I41" t="s">
        <v>686</v>
      </c>
      <c r="J41" t="s">
        <v>701</v>
      </c>
      <c r="K41" t="s">
        <v>707</v>
      </c>
      <c r="L41" t="s">
        <v>714</v>
      </c>
      <c r="M41" t="s">
        <v>728</v>
      </c>
      <c r="N41" t="s">
        <v>1467</v>
      </c>
      <c r="O41" s="9">
        <v>313.99</v>
      </c>
      <c r="P41" s="9">
        <v>454.42</v>
      </c>
      <c r="Q41" s="9">
        <v>454.42</v>
      </c>
      <c r="R41" t="s">
        <v>2065</v>
      </c>
      <c r="S41" s="11">
        <v>0.129</v>
      </c>
      <c r="T41" t="s">
        <v>2065</v>
      </c>
      <c r="U41" s="13">
        <v>9</v>
      </c>
      <c r="V41" s="9">
        <f t="shared" si="0"/>
        <v>3562.1983800000003</v>
      </c>
      <c r="W41" s="9">
        <f t="shared" si="1"/>
        <v>2825.91</v>
      </c>
      <c r="X41" s="9">
        <f t="shared" si="2"/>
        <v>736.28838000000042</v>
      </c>
      <c r="Y41" s="11">
        <f t="shared" si="3"/>
        <v>0.20669493988147858</v>
      </c>
    </row>
    <row r="42" spans="1:25" x14ac:dyDescent="0.3">
      <c r="A42" t="s">
        <v>55</v>
      </c>
      <c r="B42">
        <v>45531</v>
      </c>
      <c r="C42">
        <v>45554</v>
      </c>
      <c r="D42" t="s">
        <v>2064</v>
      </c>
      <c r="E42">
        <v>45554</v>
      </c>
      <c r="F42">
        <v>23</v>
      </c>
      <c r="G42" t="s">
        <v>649</v>
      </c>
      <c r="H42" t="s">
        <v>656</v>
      </c>
      <c r="I42" t="s">
        <v>671</v>
      </c>
      <c r="J42" t="s">
        <v>705</v>
      </c>
      <c r="K42" t="s">
        <v>711</v>
      </c>
      <c r="L42" t="s">
        <v>726</v>
      </c>
      <c r="M42" t="s">
        <v>732</v>
      </c>
      <c r="N42" t="s">
        <v>1468</v>
      </c>
      <c r="O42" s="9">
        <v>1024.01</v>
      </c>
      <c r="P42" s="9">
        <v>1580.97</v>
      </c>
      <c r="Q42" s="9">
        <v>1580.97</v>
      </c>
      <c r="R42" t="s">
        <v>2065</v>
      </c>
      <c r="S42" s="11">
        <v>3.6999999999999998E-2</v>
      </c>
      <c r="T42" t="s">
        <v>2065</v>
      </c>
      <c r="U42" s="13">
        <v>27</v>
      </c>
      <c r="V42" s="9">
        <f t="shared" si="0"/>
        <v>41106.800970000004</v>
      </c>
      <c r="W42" s="9">
        <f t="shared" si="1"/>
        <v>27648.27</v>
      </c>
      <c r="X42" s="9">
        <f t="shared" si="2"/>
        <v>13458.530970000003</v>
      </c>
      <c r="Y42" s="11">
        <f t="shared" si="3"/>
        <v>0.3274039976942531</v>
      </c>
    </row>
    <row r="43" spans="1:25" x14ac:dyDescent="0.3">
      <c r="A43" t="s">
        <v>56</v>
      </c>
      <c r="B43">
        <v>45302</v>
      </c>
      <c r="C43">
        <v>45324</v>
      </c>
      <c r="D43" t="s">
        <v>2064</v>
      </c>
      <c r="E43">
        <v>45324</v>
      </c>
      <c r="F43">
        <v>22</v>
      </c>
      <c r="G43" t="s">
        <v>646</v>
      </c>
      <c r="H43" t="s">
        <v>661</v>
      </c>
      <c r="I43" t="s">
        <v>687</v>
      </c>
      <c r="J43" t="s">
        <v>704</v>
      </c>
      <c r="K43" t="s">
        <v>708</v>
      </c>
      <c r="L43" t="s">
        <v>723</v>
      </c>
      <c r="M43" t="s">
        <v>729</v>
      </c>
      <c r="N43" t="s">
        <v>1469</v>
      </c>
      <c r="O43" s="9">
        <v>1206.2</v>
      </c>
      <c r="P43" s="9">
        <v>1759.79</v>
      </c>
      <c r="Q43" s="9">
        <v>1759.79</v>
      </c>
      <c r="R43" t="s">
        <v>2065</v>
      </c>
      <c r="S43" s="11">
        <v>0</v>
      </c>
      <c r="T43" t="s">
        <v>2065</v>
      </c>
      <c r="U43" s="13">
        <v>6</v>
      </c>
      <c r="V43" s="9">
        <f t="shared" si="0"/>
        <v>10558.74</v>
      </c>
      <c r="W43" s="9">
        <f t="shared" si="1"/>
        <v>7237.2000000000007</v>
      </c>
      <c r="X43" s="9">
        <f t="shared" si="2"/>
        <v>3321.5399999999991</v>
      </c>
      <c r="Y43" s="11">
        <f t="shared" si="3"/>
        <v>0.31457730751964713</v>
      </c>
    </row>
    <row r="44" spans="1:25" x14ac:dyDescent="0.3">
      <c r="A44" t="s">
        <v>57</v>
      </c>
      <c r="B44">
        <v>45590</v>
      </c>
      <c r="C44">
        <v>45610</v>
      </c>
      <c r="D44" t="s">
        <v>2064</v>
      </c>
      <c r="E44">
        <v>45610</v>
      </c>
      <c r="F44">
        <v>20</v>
      </c>
      <c r="G44" t="s">
        <v>646</v>
      </c>
      <c r="H44" t="s">
        <v>650</v>
      </c>
      <c r="I44" t="s">
        <v>675</v>
      </c>
      <c r="J44" t="s">
        <v>701</v>
      </c>
      <c r="K44" t="s">
        <v>711</v>
      </c>
      <c r="L44" t="s">
        <v>722</v>
      </c>
      <c r="M44" t="s">
        <v>728</v>
      </c>
      <c r="N44" t="s">
        <v>1470</v>
      </c>
      <c r="O44" s="9">
        <v>1396.48</v>
      </c>
      <c r="P44" s="9">
        <v>3204.5</v>
      </c>
      <c r="Q44" s="9">
        <v>3204.5</v>
      </c>
      <c r="R44" t="s">
        <v>2065</v>
      </c>
      <c r="S44" s="11">
        <v>0.318</v>
      </c>
      <c r="T44" t="s">
        <v>2067</v>
      </c>
      <c r="U44" s="13">
        <v>14</v>
      </c>
      <c r="V44" s="9">
        <f t="shared" si="0"/>
        <v>30596.565999999999</v>
      </c>
      <c r="W44" s="9">
        <f t="shared" si="1"/>
        <v>19550.72</v>
      </c>
      <c r="X44" s="9">
        <f t="shared" si="2"/>
        <v>11045.845999999998</v>
      </c>
      <c r="Y44" s="11">
        <f t="shared" si="3"/>
        <v>0.36101587348070363</v>
      </c>
    </row>
    <row r="45" spans="1:25" x14ac:dyDescent="0.3">
      <c r="A45" t="s">
        <v>58</v>
      </c>
      <c r="B45">
        <v>45806</v>
      </c>
      <c r="C45">
        <v>45828</v>
      </c>
      <c r="D45" t="s">
        <v>2064</v>
      </c>
      <c r="E45">
        <v>45828</v>
      </c>
      <c r="F45">
        <v>22</v>
      </c>
      <c r="G45" t="s">
        <v>649</v>
      </c>
      <c r="H45" t="s">
        <v>656</v>
      </c>
      <c r="I45" t="s">
        <v>671</v>
      </c>
      <c r="J45" t="s">
        <v>701</v>
      </c>
      <c r="K45" t="s">
        <v>711</v>
      </c>
      <c r="L45" t="s">
        <v>720</v>
      </c>
      <c r="M45" t="s">
        <v>728</v>
      </c>
      <c r="N45" t="s">
        <v>1471</v>
      </c>
      <c r="O45" s="9">
        <v>483.47</v>
      </c>
      <c r="P45" s="9">
        <v>1135.43</v>
      </c>
      <c r="Q45" s="9">
        <v>1135.43</v>
      </c>
      <c r="R45" t="s">
        <v>2065</v>
      </c>
      <c r="S45" s="11">
        <v>0.14599999999999999</v>
      </c>
      <c r="T45" t="s">
        <v>2065</v>
      </c>
      <c r="U45" s="13">
        <v>11</v>
      </c>
      <c r="V45" s="9">
        <f t="shared" si="0"/>
        <v>10666.229420000001</v>
      </c>
      <c r="W45" s="9">
        <f t="shared" si="1"/>
        <v>5318.17</v>
      </c>
      <c r="X45" s="9">
        <f t="shared" si="2"/>
        <v>5348.0594200000014</v>
      </c>
      <c r="Y45" s="11">
        <f t="shared" si="3"/>
        <v>0.50140112399719983</v>
      </c>
    </row>
    <row r="46" spans="1:25" x14ac:dyDescent="0.3">
      <c r="A46" t="s">
        <v>59</v>
      </c>
      <c r="B46">
        <v>45432</v>
      </c>
      <c r="C46">
        <v>45445</v>
      </c>
      <c r="D46" t="s">
        <v>2064</v>
      </c>
      <c r="E46">
        <v>45445</v>
      </c>
      <c r="F46">
        <v>13</v>
      </c>
      <c r="G46" t="s">
        <v>648</v>
      </c>
      <c r="H46" t="s">
        <v>653</v>
      </c>
      <c r="I46" t="s">
        <v>688</v>
      </c>
      <c r="J46" t="s">
        <v>706</v>
      </c>
      <c r="K46" t="s">
        <v>709</v>
      </c>
      <c r="L46" t="s">
        <v>723</v>
      </c>
      <c r="M46" t="s">
        <v>727</v>
      </c>
      <c r="N46" t="s">
        <v>1472</v>
      </c>
      <c r="O46" s="9">
        <v>675.43</v>
      </c>
      <c r="P46" s="9">
        <v>996.36</v>
      </c>
      <c r="Q46" s="9">
        <v>996.36</v>
      </c>
      <c r="R46" t="s">
        <v>2065</v>
      </c>
      <c r="S46" s="11">
        <v>0.182</v>
      </c>
      <c r="T46" t="s">
        <v>2065</v>
      </c>
      <c r="U46" s="13">
        <v>22</v>
      </c>
      <c r="V46" s="9">
        <f t="shared" si="0"/>
        <v>17930.494560000003</v>
      </c>
      <c r="W46" s="9">
        <f t="shared" si="1"/>
        <v>14859.46</v>
      </c>
      <c r="X46" s="9">
        <f t="shared" si="2"/>
        <v>3071.0345600000037</v>
      </c>
      <c r="Y46" s="11">
        <f t="shared" si="3"/>
        <v>0.17127439233332575</v>
      </c>
    </row>
    <row r="47" spans="1:25" x14ac:dyDescent="0.3">
      <c r="A47" t="s">
        <v>60</v>
      </c>
      <c r="B47">
        <v>45035</v>
      </c>
      <c r="C47">
        <v>45046</v>
      </c>
      <c r="D47" t="s">
        <v>2064</v>
      </c>
      <c r="E47">
        <v>45046</v>
      </c>
      <c r="F47">
        <v>11</v>
      </c>
      <c r="G47" t="s">
        <v>647</v>
      </c>
      <c r="H47" t="s">
        <v>654</v>
      </c>
      <c r="I47" t="s">
        <v>680</v>
      </c>
      <c r="J47" t="s">
        <v>705</v>
      </c>
      <c r="K47" t="s">
        <v>707</v>
      </c>
      <c r="L47" t="s">
        <v>720</v>
      </c>
      <c r="M47" t="s">
        <v>729</v>
      </c>
      <c r="N47" t="s">
        <v>1473</v>
      </c>
      <c r="O47" s="9">
        <v>826.55</v>
      </c>
      <c r="P47" s="9">
        <v>1397.05</v>
      </c>
      <c r="Q47" s="9">
        <v>1397.05</v>
      </c>
      <c r="R47" t="s">
        <v>2065</v>
      </c>
      <c r="S47" s="11">
        <v>0.16900000000000001</v>
      </c>
      <c r="T47" t="s">
        <v>2065</v>
      </c>
      <c r="U47" s="13">
        <v>28</v>
      </c>
      <c r="V47" s="9">
        <f t="shared" si="0"/>
        <v>32506.559399999998</v>
      </c>
      <c r="W47" s="9">
        <f t="shared" si="1"/>
        <v>23143.399999999998</v>
      </c>
      <c r="X47" s="9">
        <f t="shared" si="2"/>
        <v>9363.1594000000005</v>
      </c>
      <c r="Y47" s="11">
        <f t="shared" si="3"/>
        <v>0.28803907804527601</v>
      </c>
    </row>
    <row r="48" spans="1:25" x14ac:dyDescent="0.3">
      <c r="A48" t="s">
        <v>61</v>
      </c>
      <c r="B48">
        <v>45100</v>
      </c>
      <c r="C48">
        <v>45110</v>
      </c>
      <c r="D48" t="s">
        <v>2064</v>
      </c>
      <c r="E48">
        <v>45110</v>
      </c>
      <c r="F48">
        <v>10</v>
      </c>
      <c r="G48" t="s">
        <v>646</v>
      </c>
      <c r="H48" t="s">
        <v>651</v>
      </c>
      <c r="I48" t="s">
        <v>669</v>
      </c>
      <c r="J48" t="s">
        <v>704</v>
      </c>
      <c r="K48" t="s">
        <v>708</v>
      </c>
      <c r="L48" t="s">
        <v>713</v>
      </c>
      <c r="M48" t="s">
        <v>728</v>
      </c>
      <c r="N48" t="s">
        <v>1474</v>
      </c>
      <c r="O48" s="9">
        <v>337.75</v>
      </c>
      <c r="P48" s="9">
        <v>548.89</v>
      </c>
      <c r="Q48" s="9">
        <v>548.89</v>
      </c>
      <c r="R48" t="s">
        <v>2065</v>
      </c>
      <c r="S48" s="11">
        <v>0</v>
      </c>
      <c r="T48" t="s">
        <v>2065</v>
      </c>
      <c r="U48" s="13">
        <v>13</v>
      </c>
      <c r="V48" s="9">
        <f t="shared" si="0"/>
        <v>7135.57</v>
      </c>
      <c r="W48" s="9">
        <f t="shared" si="1"/>
        <v>4390.75</v>
      </c>
      <c r="X48" s="9">
        <f t="shared" si="2"/>
        <v>2744.8199999999997</v>
      </c>
      <c r="Y48" s="11">
        <f t="shared" si="3"/>
        <v>0.38466723751571352</v>
      </c>
    </row>
    <row r="49" spans="1:25" x14ac:dyDescent="0.3">
      <c r="A49" t="s">
        <v>62</v>
      </c>
      <c r="B49">
        <v>45426</v>
      </c>
      <c r="C49">
        <v>45440</v>
      </c>
      <c r="D49" t="s">
        <v>2064</v>
      </c>
      <c r="E49">
        <v>45440</v>
      </c>
      <c r="F49">
        <v>14</v>
      </c>
      <c r="G49" t="s">
        <v>649</v>
      </c>
      <c r="H49" t="s">
        <v>658</v>
      </c>
      <c r="I49" t="s">
        <v>674</v>
      </c>
      <c r="J49" t="s">
        <v>704</v>
      </c>
      <c r="K49" t="s">
        <v>707</v>
      </c>
      <c r="L49" t="s">
        <v>717</v>
      </c>
      <c r="M49" t="s">
        <v>729</v>
      </c>
      <c r="N49" t="s">
        <v>1475</v>
      </c>
      <c r="O49" s="9">
        <v>1421.14</v>
      </c>
      <c r="P49" s="9">
        <v>3524</v>
      </c>
      <c r="Q49" s="9">
        <v>3524</v>
      </c>
      <c r="R49" t="s">
        <v>2065</v>
      </c>
      <c r="S49" s="11">
        <v>0</v>
      </c>
      <c r="T49" t="s">
        <v>2065</v>
      </c>
      <c r="U49" s="13">
        <v>31</v>
      </c>
      <c r="V49" s="9">
        <f t="shared" si="0"/>
        <v>109244</v>
      </c>
      <c r="W49" s="9">
        <f t="shared" si="1"/>
        <v>44055.340000000004</v>
      </c>
      <c r="X49" s="9">
        <f t="shared" si="2"/>
        <v>65188.659999999996</v>
      </c>
      <c r="Y49" s="11">
        <f t="shared" si="3"/>
        <v>0.59672531214528945</v>
      </c>
    </row>
    <row r="50" spans="1:25" x14ac:dyDescent="0.3">
      <c r="A50" t="s">
        <v>63</v>
      </c>
      <c r="B50">
        <v>45579</v>
      </c>
      <c r="C50">
        <v>45604</v>
      </c>
      <c r="D50" t="s">
        <v>2064</v>
      </c>
      <c r="E50">
        <v>45604</v>
      </c>
      <c r="F50">
        <v>25</v>
      </c>
      <c r="G50" t="s">
        <v>646</v>
      </c>
      <c r="H50" t="s">
        <v>651</v>
      </c>
      <c r="I50" t="s">
        <v>665</v>
      </c>
      <c r="J50" t="s">
        <v>706</v>
      </c>
      <c r="K50" t="s">
        <v>708</v>
      </c>
      <c r="L50" t="s">
        <v>719</v>
      </c>
      <c r="M50" t="s">
        <v>729</v>
      </c>
      <c r="N50" t="s">
        <v>1476</v>
      </c>
      <c r="O50" s="9">
        <v>859.35</v>
      </c>
      <c r="P50" s="9">
        <v>1825.61</v>
      </c>
      <c r="Q50" s="9">
        <v>1825.61</v>
      </c>
      <c r="R50" t="s">
        <v>2065</v>
      </c>
      <c r="S50" s="11">
        <v>0.187</v>
      </c>
      <c r="T50" t="s">
        <v>2065</v>
      </c>
      <c r="U50" s="13">
        <v>24</v>
      </c>
      <c r="V50" s="9">
        <f t="shared" si="0"/>
        <v>35621.302319999995</v>
      </c>
      <c r="W50" s="9">
        <f t="shared" si="1"/>
        <v>20624.400000000001</v>
      </c>
      <c r="X50" s="9">
        <f t="shared" si="2"/>
        <v>14996.902319999994</v>
      </c>
      <c r="Y50" s="11">
        <f t="shared" si="3"/>
        <v>0.42100937762681989</v>
      </c>
    </row>
    <row r="51" spans="1:25" x14ac:dyDescent="0.3">
      <c r="A51" t="s">
        <v>64</v>
      </c>
      <c r="B51">
        <v>45117</v>
      </c>
      <c r="C51">
        <v>45139</v>
      </c>
      <c r="D51" t="s">
        <v>2064</v>
      </c>
      <c r="E51">
        <v>45139</v>
      </c>
      <c r="F51">
        <v>22</v>
      </c>
      <c r="G51" t="s">
        <v>649</v>
      </c>
      <c r="H51" t="s">
        <v>657</v>
      </c>
      <c r="I51" t="s">
        <v>673</v>
      </c>
      <c r="J51" t="s">
        <v>704</v>
      </c>
      <c r="K51" t="s">
        <v>709</v>
      </c>
      <c r="L51" t="s">
        <v>717</v>
      </c>
      <c r="M51" t="s">
        <v>728</v>
      </c>
      <c r="N51" t="s">
        <v>1477</v>
      </c>
      <c r="O51" s="9">
        <v>1303.56</v>
      </c>
      <c r="P51" s="9">
        <v>1791.37</v>
      </c>
      <c r="Q51" s="9">
        <v>1791.37</v>
      </c>
      <c r="R51" t="s">
        <v>2065</v>
      </c>
      <c r="S51" s="11">
        <v>0.126</v>
      </c>
      <c r="T51" t="s">
        <v>2065</v>
      </c>
      <c r="U51" s="13">
        <v>22</v>
      </c>
      <c r="V51" s="9">
        <f t="shared" si="0"/>
        <v>34444.462359999998</v>
      </c>
      <c r="W51" s="9">
        <f t="shared" si="1"/>
        <v>28678.32</v>
      </c>
      <c r="X51" s="9">
        <f t="shared" si="2"/>
        <v>5766.142359999998</v>
      </c>
      <c r="Y51" s="11">
        <f t="shared" si="3"/>
        <v>0.16740404596055358</v>
      </c>
    </row>
    <row r="52" spans="1:25" x14ac:dyDescent="0.3">
      <c r="A52" t="s">
        <v>65</v>
      </c>
      <c r="B52">
        <v>45602</v>
      </c>
      <c r="C52">
        <v>45618</v>
      </c>
      <c r="D52" t="s">
        <v>2064</v>
      </c>
      <c r="E52">
        <v>45618</v>
      </c>
      <c r="F52">
        <v>16</v>
      </c>
      <c r="G52" t="s">
        <v>648</v>
      </c>
      <c r="H52" t="s">
        <v>653</v>
      </c>
      <c r="I52" t="s">
        <v>667</v>
      </c>
      <c r="J52" t="s">
        <v>703</v>
      </c>
      <c r="K52" t="s">
        <v>710</v>
      </c>
      <c r="L52" t="s">
        <v>726</v>
      </c>
      <c r="M52" t="s">
        <v>733</v>
      </c>
      <c r="N52" t="s">
        <v>1478</v>
      </c>
      <c r="O52" s="9">
        <v>1454.11</v>
      </c>
      <c r="P52" s="9">
        <v>2629.75</v>
      </c>
      <c r="Q52" s="9">
        <v>2629.75</v>
      </c>
      <c r="R52" t="s">
        <v>2065</v>
      </c>
      <c r="S52" s="11">
        <v>0.29199999999999998</v>
      </c>
      <c r="T52" t="s">
        <v>2065</v>
      </c>
      <c r="U52" s="13">
        <v>8</v>
      </c>
      <c r="V52" s="9">
        <f t="shared" si="0"/>
        <v>14894.903999999999</v>
      </c>
      <c r="W52" s="9">
        <f t="shared" si="1"/>
        <v>11632.88</v>
      </c>
      <c r="X52" s="9">
        <f t="shared" si="2"/>
        <v>3262.0239999999994</v>
      </c>
      <c r="Y52" s="11">
        <f t="shared" si="3"/>
        <v>0.21900268709351867</v>
      </c>
    </row>
    <row r="53" spans="1:25" x14ac:dyDescent="0.3">
      <c r="A53" t="s">
        <v>66</v>
      </c>
      <c r="B53">
        <v>45582</v>
      </c>
      <c r="C53">
        <v>45602</v>
      </c>
      <c r="D53" t="s">
        <v>2064</v>
      </c>
      <c r="E53">
        <v>45602</v>
      </c>
      <c r="F53">
        <v>20</v>
      </c>
      <c r="G53" t="s">
        <v>647</v>
      </c>
      <c r="H53" t="s">
        <v>654</v>
      </c>
      <c r="I53" t="s">
        <v>668</v>
      </c>
      <c r="J53" t="s">
        <v>706</v>
      </c>
      <c r="K53" t="s">
        <v>710</v>
      </c>
      <c r="L53" t="s">
        <v>719</v>
      </c>
      <c r="M53" t="s">
        <v>732</v>
      </c>
      <c r="N53" t="s">
        <v>1479</v>
      </c>
      <c r="O53" s="9">
        <v>72.94</v>
      </c>
      <c r="P53" s="9">
        <v>106.3</v>
      </c>
      <c r="Q53" s="9">
        <v>106.3</v>
      </c>
      <c r="R53" t="s">
        <v>2065</v>
      </c>
      <c r="S53" s="11">
        <v>0.29499999999999998</v>
      </c>
      <c r="T53" t="s">
        <v>2065</v>
      </c>
      <c r="U53" s="13">
        <v>8</v>
      </c>
      <c r="V53" s="9">
        <f t="shared" si="0"/>
        <v>599.53200000000004</v>
      </c>
      <c r="W53" s="9">
        <f t="shared" si="1"/>
        <v>583.52</v>
      </c>
      <c r="X53" s="9">
        <f t="shared" si="2"/>
        <v>16.012000000000057</v>
      </c>
      <c r="Y53" s="11">
        <f t="shared" si="3"/>
        <v>2.6707498515508857E-2</v>
      </c>
    </row>
    <row r="54" spans="1:25" x14ac:dyDescent="0.3">
      <c r="A54" t="s">
        <v>67</v>
      </c>
      <c r="B54">
        <v>45016</v>
      </c>
      <c r="C54">
        <v>45021</v>
      </c>
      <c r="D54" t="s">
        <v>2064</v>
      </c>
      <c r="E54">
        <v>45021</v>
      </c>
      <c r="F54">
        <v>5</v>
      </c>
      <c r="G54" t="s">
        <v>646</v>
      </c>
      <c r="H54" t="s">
        <v>650</v>
      </c>
      <c r="I54" t="s">
        <v>678</v>
      </c>
      <c r="J54" t="s">
        <v>702</v>
      </c>
      <c r="K54" t="s">
        <v>709</v>
      </c>
      <c r="L54" t="s">
        <v>717</v>
      </c>
      <c r="M54" t="s">
        <v>731</v>
      </c>
      <c r="N54" t="s">
        <v>1480</v>
      </c>
      <c r="O54" s="9">
        <v>533.26</v>
      </c>
      <c r="P54" s="9">
        <v>385.72</v>
      </c>
      <c r="Q54" s="9">
        <v>385.72</v>
      </c>
      <c r="R54" t="s">
        <v>2065</v>
      </c>
      <c r="S54" s="11">
        <v>0</v>
      </c>
      <c r="T54" t="s">
        <v>2065</v>
      </c>
      <c r="U54" s="13">
        <v>15</v>
      </c>
      <c r="V54" s="9">
        <f t="shared" si="0"/>
        <v>5785.8</v>
      </c>
      <c r="W54" s="9">
        <f t="shared" si="1"/>
        <v>7998.9</v>
      </c>
      <c r="X54" s="9">
        <f t="shared" si="2"/>
        <v>-2213.0999999999995</v>
      </c>
      <c r="Y54" s="11">
        <f t="shared" si="3"/>
        <v>-0.38250544436378708</v>
      </c>
    </row>
    <row r="55" spans="1:25" x14ac:dyDescent="0.3">
      <c r="A55" t="s">
        <v>68</v>
      </c>
      <c r="B55">
        <v>45678</v>
      </c>
      <c r="C55">
        <v>45704</v>
      </c>
      <c r="D55" t="s">
        <v>2064</v>
      </c>
      <c r="E55">
        <v>45704</v>
      </c>
      <c r="F55">
        <v>26</v>
      </c>
      <c r="G55" t="s">
        <v>649</v>
      </c>
      <c r="H55" t="s">
        <v>657</v>
      </c>
      <c r="I55" t="s">
        <v>679</v>
      </c>
      <c r="J55" t="s">
        <v>701</v>
      </c>
      <c r="K55" t="s">
        <v>710</v>
      </c>
      <c r="L55" t="s">
        <v>719</v>
      </c>
      <c r="M55" t="s">
        <v>731</v>
      </c>
      <c r="N55" t="s">
        <v>1481</v>
      </c>
      <c r="O55" s="9">
        <v>204.11</v>
      </c>
      <c r="P55" s="9">
        <v>236.87</v>
      </c>
      <c r="Q55" s="9">
        <v>236.87</v>
      </c>
      <c r="R55" t="s">
        <v>2065</v>
      </c>
      <c r="S55" s="11">
        <v>0.182</v>
      </c>
      <c r="T55" t="s">
        <v>2065</v>
      </c>
      <c r="U55" s="13">
        <v>13</v>
      </c>
      <c r="V55" s="9">
        <f t="shared" si="0"/>
        <v>2518.8755800000004</v>
      </c>
      <c r="W55" s="9">
        <f t="shared" si="1"/>
        <v>2653.4300000000003</v>
      </c>
      <c r="X55" s="9">
        <f t="shared" si="2"/>
        <v>-134.55441999999994</v>
      </c>
      <c r="Y55" s="11">
        <f t="shared" si="3"/>
        <v>-5.3418446337075494E-2</v>
      </c>
    </row>
    <row r="56" spans="1:25" x14ac:dyDescent="0.3">
      <c r="A56" t="s">
        <v>69</v>
      </c>
      <c r="B56">
        <v>45168</v>
      </c>
      <c r="C56">
        <v>45170</v>
      </c>
      <c r="D56" t="s">
        <v>2064</v>
      </c>
      <c r="E56">
        <v>45170</v>
      </c>
      <c r="F56">
        <v>2</v>
      </c>
      <c r="G56" t="s">
        <v>649</v>
      </c>
      <c r="H56" t="s">
        <v>656</v>
      </c>
      <c r="I56" t="s">
        <v>684</v>
      </c>
      <c r="J56" t="s">
        <v>701</v>
      </c>
      <c r="K56" t="s">
        <v>711</v>
      </c>
      <c r="L56" t="s">
        <v>725</v>
      </c>
      <c r="M56" t="s">
        <v>729</v>
      </c>
      <c r="N56" t="s">
        <v>1482</v>
      </c>
      <c r="O56" s="9">
        <v>44.42</v>
      </c>
      <c r="P56" s="9">
        <v>41.9</v>
      </c>
      <c r="Q56" s="9">
        <v>41.9</v>
      </c>
      <c r="R56" t="s">
        <v>2065</v>
      </c>
      <c r="S56" s="11">
        <v>0.14399999999999999</v>
      </c>
      <c r="T56" t="s">
        <v>2065</v>
      </c>
      <c r="U56" s="13">
        <v>6</v>
      </c>
      <c r="V56" s="9">
        <f t="shared" si="0"/>
        <v>215.19839999999996</v>
      </c>
      <c r="W56" s="9">
        <f t="shared" si="1"/>
        <v>266.52</v>
      </c>
      <c r="X56" s="9">
        <f t="shared" si="2"/>
        <v>-51.321600000000018</v>
      </c>
      <c r="Y56" s="11">
        <f t="shared" si="3"/>
        <v>-0.23848504449847224</v>
      </c>
    </row>
    <row r="57" spans="1:25" x14ac:dyDescent="0.3">
      <c r="A57" t="s">
        <v>70</v>
      </c>
      <c r="B57">
        <v>45753</v>
      </c>
      <c r="C57">
        <v>45777</v>
      </c>
      <c r="D57" t="s">
        <v>2064</v>
      </c>
      <c r="E57">
        <v>45777</v>
      </c>
      <c r="F57">
        <v>24</v>
      </c>
      <c r="G57" t="s">
        <v>648</v>
      </c>
      <c r="H57" t="s">
        <v>655</v>
      </c>
      <c r="I57" t="s">
        <v>672</v>
      </c>
      <c r="J57" t="s">
        <v>702</v>
      </c>
      <c r="K57" t="s">
        <v>708</v>
      </c>
      <c r="L57" t="s">
        <v>723</v>
      </c>
      <c r="M57" t="s">
        <v>732</v>
      </c>
      <c r="N57" t="s">
        <v>1483</v>
      </c>
      <c r="O57" s="9">
        <v>855.78</v>
      </c>
      <c r="P57" s="9">
        <v>977.38</v>
      </c>
      <c r="Q57" s="9">
        <v>977.38</v>
      </c>
      <c r="R57" t="s">
        <v>2065</v>
      </c>
      <c r="S57" s="11">
        <v>0.14699999999999999</v>
      </c>
      <c r="T57" t="s">
        <v>2065</v>
      </c>
      <c r="U57" s="13">
        <v>38</v>
      </c>
      <c r="V57" s="9">
        <f t="shared" si="0"/>
        <v>31680.795320000001</v>
      </c>
      <c r="W57" s="9">
        <f t="shared" si="1"/>
        <v>32519.64</v>
      </c>
      <c r="X57" s="9">
        <f t="shared" si="2"/>
        <v>-838.84467999999833</v>
      </c>
      <c r="Y57" s="11">
        <f t="shared" si="3"/>
        <v>-2.6478018355506307E-2</v>
      </c>
    </row>
    <row r="58" spans="1:25" x14ac:dyDescent="0.3">
      <c r="A58" t="s">
        <v>71</v>
      </c>
      <c r="B58">
        <v>45697</v>
      </c>
      <c r="C58">
        <v>45717</v>
      </c>
      <c r="D58" t="s">
        <v>2064</v>
      </c>
      <c r="E58">
        <v>45717</v>
      </c>
      <c r="F58">
        <v>20</v>
      </c>
      <c r="G58" t="s">
        <v>648</v>
      </c>
      <c r="H58" t="s">
        <v>655</v>
      </c>
      <c r="I58" t="s">
        <v>670</v>
      </c>
      <c r="J58" t="s">
        <v>701</v>
      </c>
      <c r="K58" t="s">
        <v>710</v>
      </c>
      <c r="L58" t="s">
        <v>717</v>
      </c>
      <c r="M58" t="s">
        <v>731</v>
      </c>
      <c r="N58" t="s">
        <v>1484</v>
      </c>
      <c r="O58" s="9">
        <v>1154.6400000000001</v>
      </c>
      <c r="P58" s="9">
        <v>2794.13</v>
      </c>
      <c r="Q58" s="9">
        <v>2794.13</v>
      </c>
      <c r="R58" t="s">
        <v>2065</v>
      </c>
      <c r="S58" s="11">
        <v>3.5000000000000003E-2</v>
      </c>
      <c r="T58" t="s">
        <v>2065</v>
      </c>
      <c r="U58" s="13">
        <v>11</v>
      </c>
      <c r="V58" s="9">
        <f t="shared" si="0"/>
        <v>29659.68995</v>
      </c>
      <c r="W58" s="9">
        <f t="shared" si="1"/>
        <v>12701.04</v>
      </c>
      <c r="X58" s="9">
        <f t="shared" si="2"/>
        <v>16958.649949999999</v>
      </c>
      <c r="Y58" s="11">
        <f t="shared" si="3"/>
        <v>0.57177435025749479</v>
      </c>
    </row>
    <row r="59" spans="1:25" x14ac:dyDescent="0.3">
      <c r="A59" t="s">
        <v>72</v>
      </c>
      <c r="B59">
        <v>45643</v>
      </c>
      <c r="C59">
        <v>45644</v>
      </c>
      <c r="D59" t="s">
        <v>2064</v>
      </c>
      <c r="E59">
        <v>45644</v>
      </c>
      <c r="F59">
        <v>1</v>
      </c>
      <c r="G59" t="s">
        <v>649</v>
      </c>
      <c r="H59" t="s">
        <v>656</v>
      </c>
      <c r="I59" t="s">
        <v>684</v>
      </c>
      <c r="J59" t="s">
        <v>702</v>
      </c>
      <c r="K59" t="s">
        <v>707</v>
      </c>
      <c r="L59" t="s">
        <v>716</v>
      </c>
      <c r="M59" t="s">
        <v>733</v>
      </c>
      <c r="N59" t="s">
        <v>1485</v>
      </c>
      <c r="O59" s="9">
        <v>346.82</v>
      </c>
      <c r="P59" s="9">
        <v>701.95</v>
      </c>
      <c r="Q59" s="9">
        <v>701.95</v>
      </c>
      <c r="R59" t="s">
        <v>2065</v>
      </c>
      <c r="S59" s="11">
        <v>0.14699999999999999</v>
      </c>
      <c r="T59" t="s">
        <v>2065</v>
      </c>
      <c r="U59" s="13">
        <v>8</v>
      </c>
      <c r="V59" s="9">
        <f t="shared" si="0"/>
        <v>4790.1068000000005</v>
      </c>
      <c r="W59" s="9">
        <f t="shared" si="1"/>
        <v>2774.56</v>
      </c>
      <c r="X59" s="9">
        <f t="shared" si="2"/>
        <v>2015.5468000000005</v>
      </c>
      <c r="Y59" s="11">
        <f t="shared" si="3"/>
        <v>0.42077283120284509</v>
      </c>
    </row>
    <row r="60" spans="1:25" x14ac:dyDescent="0.3">
      <c r="A60" t="s">
        <v>73</v>
      </c>
      <c r="B60">
        <v>45817</v>
      </c>
      <c r="C60">
        <v>45826</v>
      </c>
      <c r="D60" t="s">
        <v>2064</v>
      </c>
      <c r="E60">
        <v>45826</v>
      </c>
      <c r="F60">
        <v>9</v>
      </c>
      <c r="G60" t="s">
        <v>649</v>
      </c>
      <c r="H60" t="s">
        <v>657</v>
      </c>
      <c r="I60" t="s">
        <v>673</v>
      </c>
      <c r="J60" t="s">
        <v>705</v>
      </c>
      <c r="K60" t="s">
        <v>709</v>
      </c>
      <c r="L60" t="s">
        <v>722</v>
      </c>
      <c r="M60" t="s">
        <v>733</v>
      </c>
      <c r="N60" t="s">
        <v>1486</v>
      </c>
      <c r="O60" s="9">
        <v>1225.5</v>
      </c>
      <c r="P60" s="9">
        <v>-5.27</v>
      </c>
      <c r="Q60" s="9">
        <v>5.27</v>
      </c>
      <c r="R60" t="s">
        <v>2067</v>
      </c>
      <c r="S60" s="11">
        <v>7.4999999999999997E-2</v>
      </c>
      <c r="T60" t="s">
        <v>2065</v>
      </c>
      <c r="U60" s="13">
        <v>56</v>
      </c>
      <c r="V60" s="9">
        <f t="shared" si="0"/>
        <v>272.98599999999999</v>
      </c>
      <c r="W60" s="9">
        <f t="shared" si="1"/>
        <v>68628</v>
      </c>
      <c r="X60" s="9">
        <f t="shared" si="2"/>
        <v>-68355.013999999996</v>
      </c>
      <c r="Y60" s="11">
        <f t="shared" si="3"/>
        <v>-250.39750756449047</v>
      </c>
    </row>
    <row r="61" spans="1:25" x14ac:dyDescent="0.3">
      <c r="A61" t="s">
        <v>74</v>
      </c>
      <c r="B61">
        <v>45779</v>
      </c>
      <c r="C61">
        <v>45790</v>
      </c>
      <c r="D61" t="s">
        <v>2064</v>
      </c>
      <c r="E61">
        <v>45790</v>
      </c>
      <c r="F61">
        <v>11</v>
      </c>
      <c r="G61" t="s">
        <v>646</v>
      </c>
      <c r="H61" t="s">
        <v>650</v>
      </c>
      <c r="I61" t="s">
        <v>678</v>
      </c>
      <c r="J61" t="s">
        <v>705</v>
      </c>
      <c r="K61" t="s">
        <v>708</v>
      </c>
      <c r="L61" t="s">
        <v>720</v>
      </c>
      <c r="M61" t="s">
        <v>733</v>
      </c>
      <c r="N61" t="s">
        <v>1487</v>
      </c>
      <c r="O61" s="9">
        <v>1057.5999999999999</v>
      </c>
      <c r="P61" s="9">
        <v>1437.06</v>
      </c>
      <c r="Q61" s="9">
        <v>1437.06</v>
      </c>
      <c r="R61" t="s">
        <v>2065</v>
      </c>
      <c r="S61" s="11">
        <v>0.20499999999999999</v>
      </c>
      <c r="T61" t="s">
        <v>2065</v>
      </c>
      <c r="U61" s="13">
        <v>4</v>
      </c>
      <c r="V61" s="9">
        <f t="shared" si="0"/>
        <v>4569.8508000000002</v>
      </c>
      <c r="W61" s="9">
        <f t="shared" si="1"/>
        <v>4230.3999999999996</v>
      </c>
      <c r="X61" s="9">
        <f t="shared" si="2"/>
        <v>339.45080000000053</v>
      </c>
      <c r="Y61" s="11">
        <f t="shared" si="3"/>
        <v>7.4280499485891424E-2</v>
      </c>
    </row>
    <row r="62" spans="1:25" x14ac:dyDescent="0.3">
      <c r="A62" t="s">
        <v>75</v>
      </c>
      <c r="B62">
        <v>45361</v>
      </c>
      <c r="C62">
        <v>45391</v>
      </c>
      <c r="D62" t="s">
        <v>2064</v>
      </c>
      <c r="E62">
        <v>45391</v>
      </c>
      <c r="F62">
        <v>30</v>
      </c>
      <c r="G62" t="s">
        <v>649</v>
      </c>
      <c r="H62" t="s">
        <v>657</v>
      </c>
      <c r="I62" t="s">
        <v>679</v>
      </c>
      <c r="J62" t="s">
        <v>701</v>
      </c>
      <c r="K62" t="s">
        <v>711</v>
      </c>
      <c r="L62" t="s">
        <v>714</v>
      </c>
      <c r="M62" t="s">
        <v>727</v>
      </c>
      <c r="N62" t="s">
        <v>1488</v>
      </c>
      <c r="O62" s="9">
        <v>1176.56</v>
      </c>
      <c r="P62" s="9">
        <v>1911.89</v>
      </c>
      <c r="Q62" s="9">
        <v>1911.89</v>
      </c>
      <c r="R62" t="s">
        <v>2065</v>
      </c>
      <c r="S62" s="11">
        <v>0.11899999999999999</v>
      </c>
      <c r="T62" t="s">
        <v>2065</v>
      </c>
      <c r="U62" s="13">
        <v>20</v>
      </c>
      <c r="V62" s="9">
        <f t="shared" si="0"/>
        <v>33687.501800000005</v>
      </c>
      <c r="W62" s="9">
        <f t="shared" si="1"/>
        <v>23531.199999999997</v>
      </c>
      <c r="X62" s="9">
        <f t="shared" si="2"/>
        <v>10156.301800000008</v>
      </c>
      <c r="Y62" s="11">
        <f t="shared" si="3"/>
        <v>0.30148575160892477</v>
      </c>
    </row>
    <row r="63" spans="1:25" x14ac:dyDescent="0.3">
      <c r="A63" t="s">
        <v>76</v>
      </c>
      <c r="B63">
        <v>45910</v>
      </c>
      <c r="C63">
        <v>45912</v>
      </c>
      <c r="D63" t="s">
        <v>2064</v>
      </c>
      <c r="E63">
        <v>45912</v>
      </c>
      <c r="F63">
        <v>2</v>
      </c>
      <c r="G63" t="s">
        <v>647</v>
      </c>
      <c r="H63" t="s">
        <v>652</v>
      </c>
      <c r="I63" t="s">
        <v>689</v>
      </c>
      <c r="J63" t="s">
        <v>704</v>
      </c>
      <c r="K63" t="s">
        <v>708</v>
      </c>
      <c r="L63" t="s">
        <v>719</v>
      </c>
      <c r="M63" t="s">
        <v>727</v>
      </c>
      <c r="N63" t="s">
        <v>1489</v>
      </c>
      <c r="O63" s="9">
        <v>1470.15</v>
      </c>
      <c r="P63" s="9">
        <v>2593.7800000000002</v>
      </c>
      <c r="Q63" s="9">
        <v>2593.7800000000002</v>
      </c>
      <c r="R63" t="s">
        <v>2065</v>
      </c>
      <c r="S63" s="11">
        <v>0.11</v>
      </c>
      <c r="T63" t="s">
        <v>2065</v>
      </c>
      <c r="U63" s="13">
        <v>12</v>
      </c>
      <c r="V63" s="9">
        <f t="shared" si="0"/>
        <v>27701.570400000001</v>
      </c>
      <c r="W63" s="9">
        <f t="shared" si="1"/>
        <v>17641.800000000003</v>
      </c>
      <c r="X63" s="9">
        <f t="shared" si="2"/>
        <v>10059.770399999998</v>
      </c>
      <c r="Y63" s="11">
        <f t="shared" si="3"/>
        <v>0.36314801849645306</v>
      </c>
    </row>
    <row r="64" spans="1:25" x14ac:dyDescent="0.3">
      <c r="A64" t="s">
        <v>77</v>
      </c>
      <c r="B64">
        <v>45774</v>
      </c>
      <c r="C64">
        <v>45802</v>
      </c>
      <c r="D64" t="s">
        <v>2064</v>
      </c>
      <c r="E64">
        <v>45802</v>
      </c>
      <c r="F64">
        <v>28</v>
      </c>
      <c r="G64" t="s">
        <v>649</v>
      </c>
      <c r="H64" t="s">
        <v>657</v>
      </c>
      <c r="I64" t="s">
        <v>690</v>
      </c>
      <c r="J64" t="s">
        <v>705</v>
      </c>
      <c r="K64" t="s">
        <v>709</v>
      </c>
      <c r="L64" t="s">
        <v>714</v>
      </c>
      <c r="M64" t="s">
        <v>730</v>
      </c>
      <c r="N64" t="s">
        <v>1490</v>
      </c>
      <c r="O64" s="9">
        <v>603.45000000000005</v>
      </c>
      <c r="P64" s="9">
        <v>1244.08</v>
      </c>
      <c r="Q64" s="9">
        <v>1244.08</v>
      </c>
      <c r="R64" t="s">
        <v>2065</v>
      </c>
      <c r="S64" s="11">
        <v>0.2</v>
      </c>
      <c r="T64" t="s">
        <v>2065</v>
      </c>
      <c r="U64" s="13">
        <v>11</v>
      </c>
      <c r="V64" s="9">
        <f t="shared" si="0"/>
        <v>10947.904</v>
      </c>
      <c r="W64" s="9">
        <f t="shared" si="1"/>
        <v>6637.9500000000007</v>
      </c>
      <c r="X64" s="9">
        <f t="shared" si="2"/>
        <v>4309.9539999999997</v>
      </c>
      <c r="Y64" s="11">
        <f t="shared" si="3"/>
        <v>0.39367846119220623</v>
      </c>
    </row>
    <row r="65" spans="1:25" x14ac:dyDescent="0.3">
      <c r="A65" t="s">
        <v>78</v>
      </c>
      <c r="B65">
        <v>45598</v>
      </c>
      <c r="C65">
        <v>45614</v>
      </c>
      <c r="D65" t="s">
        <v>2064</v>
      </c>
      <c r="E65">
        <v>45614</v>
      </c>
      <c r="F65">
        <v>16</v>
      </c>
      <c r="G65" t="s">
        <v>647</v>
      </c>
      <c r="H65" t="s">
        <v>654</v>
      </c>
      <c r="I65" t="s">
        <v>691</v>
      </c>
      <c r="J65" t="s">
        <v>705</v>
      </c>
      <c r="K65" t="s">
        <v>710</v>
      </c>
      <c r="L65" t="s">
        <v>719</v>
      </c>
      <c r="M65" t="s">
        <v>732</v>
      </c>
      <c r="N65" t="s">
        <v>1491</v>
      </c>
      <c r="O65" s="9">
        <v>1233.58</v>
      </c>
      <c r="P65" s="9">
        <v>1912.51</v>
      </c>
      <c r="Q65" s="9">
        <v>1912.51</v>
      </c>
      <c r="R65" t="s">
        <v>2065</v>
      </c>
      <c r="S65" s="11">
        <v>0.255</v>
      </c>
      <c r="T65" t="s">
        <v>2065</v>
      </c>
      <c r="U65" s="13">
        <v>51</v>
      </c>
      <c r="V65" s="9">
        <f t="shared" si="0"/>
        <v>72665.817450000002</v>
      </c>
      <c r="W65" s="9">
        <f t="shared" si="1"/>
        <v>62912.579999999994</v>
      </c>
      <c r="X65" s="9">
        <f t="shared" si="2"/>
        <v>9753.2374500000078</v>
      </c>
      <c r="Y65" s="11">
        <f t="shared" si="3"/>
        <v>0.134220432553601</v>
      </c>
    </row>
    <row r="66" spans="1:25" x14ac:dyDescent="0.3">
      <c r="A66" t="s">
        <v>79</v>
      </c>
      <c r="B66">
        <v>44972</v>
      </c>
      <c r="C66">
        <v>44983</v>
      </c>
      <c r="D66" t="s">
        <v>2064</v>
      </c>
      <c r="E66">
        <v>44983</v>
      </c>
      <c r="F66">
        <v>11</v>
      </c>
      <c r="G66" t="s">
        <v>646</v>
      </c>
      <c r="H66" t="s">
        <v>661</v>
      </c>
      <c r="I66" t="s">
        <v>682</v>
      </c>
      <c r="J66" t="s">
        <v>703</v>
      </c>
      <c r="K66" t="s">
        <v>707</v>
      </c>
      <c r="L66" t="s">
        <v>723</v>
      </c>
      <c r="M66" t="s">
        <v>731</v>
      </c>
      <c r="N66" t="s">
        <v>1492</v>
      </c>
      <c r="O66" s="9">
        <v>498.5</v>
      </c>
      <c r="P66" s="9">
        <v>755.87</v>
      </c>
      <c r="Q66" s="9">
        <v>755.87</v>
      </c>
      <c r="R66" t="s">
        <v>2065</v>
      </c>
      <c r="S66" s="11">
        <v>0.13</v>
      </c>
      <c r="T66" t="s">
        <v>2065</v>
      </c>
      <c r="U66" s="13">
        <v>40</v>
      </c>
      <c r="V66" s="9">
        <f t="shared" si="0"/>
        <v>26304.275999999998</v>
      </c>
      <c r="W66" s="9">
        <f t="shared" si="1"/>
        <v>19940</v>
      </c>
      <c r="X66" s="9">
        <f t="shared" si="2"/>
        <v>6364.275999999998</v>
      </c>
      <c r="Y66" s="11">
        <f t="shared" si="3"/>
        <v>0.24194834330357537</v>
      </c>
    </row>
    <row r="67" spans="1:25" x14ac:dyDescent="0.3">
      <c r="A67" t="s">
        <v>80</v>
      </c>
      <c r="B67">
        <v>45263</v>
      </c>
      <c r="C67">
        <v>45286</v>
      </c>
      <c r="D67" t="s">
        <v>2064</v>
      </c>
      <c r="E67">
        <v>45286</v>
      </c>
      <c r="F67">
        <v>23</v>
      </c>
      <c r="G67" t="s">
        <v>648</v>
      </c>
      <c r="H67" t="s">
        <v>655</v>
      </c>
      <c r="I67" t="s">
        <v>1426</v>
      </c>
      <c r="J67" t="s">
        <v>702</v>
      </c>
      <c r="K67" t="s">
        <v>707</v>
      </c>
      <c r="L67" t="s">
        <v>719</v>
      </c>
      <c r="M67" t="s">
        <v>730</v>
      </c>
      <c r="N67" t="s">
        <v>1493</v>
      </c>
      <c r="O67" s="9">
        <v>1303.1099999999999</v>
      </c>
      <c r="P67" s="9">
        <v>1145.67</v>
      </c>
      <c r="Q67" s="9">
        <v>1145.67</v>
      </c>
      <c r="R67" t="s">
        <v>2065</v>
      </c>
      <c r="S67" s="11">
        <v>0.184</v>
      </c>
      <c r="T67" t="s">
        <v>2065</v>
      </c>
      <c r="U67" s="13">
        <v>13</v>
      </c>
      <c r="V67" s="9">
        <f t="shared" ref="V67:V130" si="4">Q67*U67*(1-S67)</f>
        <v>12153.267360000002</v>
      </c>
      <c r="W67" s="9">
        <f t="shared" ref="W67:W130" si="5">O67*U67</f>
        <v>16940.43</v>
      </c>
      <c r="X67" s="9">
        <f t="shared" ref="X67:X130" si="6">V67-W67</f>
        <v>-4787.1626399999986</v>
      </c>
      <c r="Y67" s="11">
        <f t="shared" ref="Y67:Y130" si="7">IF(V67=0,0,X67/V67)</f>
        <v>-0.39389922875851208</v>
      </c>
    </row>
    <row r="68" spans="1:25" x14ac:dyDescent="0.3">
      <c r="A68" t="s">
        <v>81</v>
      </c>
      <c r="B68">
        <v>45004</v>
      </c>
      <c r="C68">
        <v>45025</v>
      </c>
      <c r="D68" t="s">
        <v>2064</v>
      </c>
      <c r="E68">
        <v>45025</v>
      </c>
      <c r="F68">
        <v>21</v>
      </c>
      <c r="G68" t="s">
        <v>649</v>
      </c>
      <c r="H68" t="s">
        <v>658</v>
      </c>
      <c r="I68" t="s">
        <v>693</v>
      </c>
      <c r="J68" t="s">
        <v>704</v>
      </c>
      <c r="K68" t="s">
        <v>707</v>
      </c>
      <c r="L68" t="s">
        <v>716</v>
      </c>
      <c r="M68" t="s">
        <v>733</v>
      </c>
      <c r="N68" t="s">
        <v>1494</v>
      </c>
      <c r="O68" s="9">
        <v>1082.17</v>
      </c>
      <c r="P68" s="9">
        <v>1234.0999999999999</v>
      </c>
      <c r="Q68" s="9">
        <v>1234.0999999999999</v>
      </c>
      <c r="R68" t="s">
        <v>2065</v>
      </c>
      <c r="S68" s="11">
        <v>0.189</v>
      </c>
      <c r="T68" t="s">
        <v>2065</v>
      </c>
      <c r="U68" s="13">
        <v>16</v>
      </c>
      <c r="V68" s="9">
        <f t="shared" si="4"/>
        <v>16013.681599999998</v>
      </c>
      <c r="W68" s="9">
        <f t="shared" si="5"/>
        <v>17314.72</v>
      </c>
      <c r="X68" s="9">
        <f t="shared" si="6"/>
        <v>-1301.0384000000031</v>
      </c>
      <c r="Y68" s="11">
        <f t="shared" si="7"/>
        <v>-8.124542703534228E-2</v>
      </c>
    </row>
    <row r="69" spans="1:25" x14ac:dyDescent="0.3">
      <c r="A69" t="s">
        <v>82</v>
      </c>
      <c r="B69">
        <v>45434</v>
      </c>
      <c r="C69">
        <v>45449</v>
      </c>
      <c r="D69" t="s">
        <v>2064</v>
      </c>
      <c r="E69">
        <v>45449</v>
      </c>
      <c r="F69">
        <v>15</v>
      </c>
      <c r="G69" t="s">
        <v>647</v>
      </c>
      <c r="H69" t="s">
        <v>652</v>
      </c>
      <c r="I69" t="s">
        <v>694</v>
      </c>
      <c r="J69" t="s">
        <v>701</v>
      </c>
      <c r="K69" t="s">
        <v>710</v>
      </c>
      <c r="L69" t="s">
        <v>712</v>
      </c>
      <c r="M69" t="s">
        <v>732</v>
      </c>
      <c r="N69" t="s">
        <v>1495</v>
      </c>
      <c r="O69" s="9">
        <v>673.88</v>
      </c>
      <c r="P69" s="9">
        <v>1228.01</v>
      </c>
      <c r="Q69" s="9">
        <v>1228.01</v>
      </c>
      <c r="R69" t="s">
        <v>2065</v>
      </c>
      <c r="S69" s="11">
        <v>0.105</v>
      </c>
      <c r="T69" t="s">
        <v>2065</v>
      </c>
      <c r="U69" s="13">
        <v>13</v>
      </c>
      <c r="V69" s="9">
        <f t="shared" si="4"/>
        <v>14287.896349999999</v>
      </c>
      <c r="W69" s="9">
        <f t="shared" si="5"/>
        <v>8760.44</v>
      </c>
      <c r="X69" s="9">
        <f t="shared" si="6"/>
        <v>5527.4563499999986</v>
      </c>
      <c r="Y69" s="11">
        <f t="shared" si="7"/>
        <v>0.38686285332689996</v>
      </c>
    </row>
    <row r="70" spans="1:25" x14ac:dyDescent="0.3">
      <c r="A70" t="s">
        <v>83</v>
      </c>
      <c r="B70">
        <v>45157</v>
      </c>
      <c r="C70">
        <v>45176</v>
      </c>
      <c r="D70" t="s">
        <v>2064</v>
      </c>
      <c r="E70">
        <v>45176</v>
      </c>
      <c r="F70">
        <v>19</v>
      </c>
      <c r="G70" t="s">
        <v>646</v>
      </c>
      <c r="H70" t="s">
        <v>661</v>
      </c>
      <c r="I70" t="s">
        <v>682</v>
      </c>
      <c r="J70" t="s">
        <v>706</v>
      </c>
      <c r="K70" t="s">
        <v>707</v>
      </c>
      <c r="L70" t="s">
        <v>726</v>
      </c>
      <c r="M70" t="s">
        <v>732</v>
      </c>
      <c r="N70" t="s">
        <v>1496</v>
      </c>
      <c r="O70" s="9">
        <v>494.61</v>
      </c>
      <c r="P70" s="9">
        <v>605.23</v>
      </c>
      <c r="Q70" s="9">
        <v>605.23</v>
      </c>
      <c r="R70" t="s">
        <v>2065</v>
      </c>
      <c r="S70" s="11">
        <v>0.20399999999999999</v>
      </c>
      <c r="T70" t="s">
        <v>2065</v>
      </c>
      <c r="U70" s="13">
        <v>18</v>
      </c>
      <c r="V70" s="9">
        <f t="shared" si="4"/>
        <v>8671.7354400000004</v>
      </c>
      <c r="W70" s="9">
        <f t="shared" si="5"/>
        <v>8902.98</v>
      </c>
      <c r="X70" s="9">
        <f t="shared" si="6"/>
        <v>-231.24455999999918</v>
      </c>
      <c r="Y70" s="11">
        <f t="shared" si="7"/>
        <v>-2.6666468505639647E-2</v>
      </c>
    </row>
    <row r="71" spans="1:25" x14ac:dyDescent="0.3">
      <c r="A71" t="s">
        <v>84</v>
      </c>
      <c r="B71">
        <v>45037</v>
      </c>
      <c r="C71">
        <v>45056</v>
      </c>
      <c r="D71" t="s">
        <v>2064</v>
      </c>
      <c r="E71">
        <v>45056</v>
      </c>
      <c r="F71">
        <v>19</v>
      </c>
      <c r="G71" t="s">
        <v>647</v>
      </c>
      <c r="H71" t="s">
        <v>659</v>
      </c>
      <c r="I71" t="s">
        <v>685</v>
      </c>
      <c r="J71" t="s">
        <v>701</v>
      </c>
      <c r="K71" t="s">
        <v>707</v>
      </c>
      <c r="L71" t="s">
        <v>720</v>
      </c>
      <c r="M71" t="s">
        <v>727</v>
      </c>
      <c r="N71" t="s">
        <v>1497</v>
      </c>
      <c r="O71" s="9">
        <v>882.33</v>
      </c>
      <c r="P71" s="9">
        <v>1880.15</v>
      </c>
      <c r="Q71" s="9">
        <v>1880.15</v>
      </c>
      <c r="R71" t="s">
        <v>2065</v>
      </c>
      <c r="S71" s="11">
        <v>0.05</v>
      </c>
      <c r="T71" t="s">
        <v>2065</v>
      </c>
      <c r="U71" s="13">
        <v>5</v>
      </c>
      <c r="V71" s="9">
        <f t="shared" si="4"/>
        <v>8930.7124999999996</v>
      </c>
      <c r="W71" s="9">
        <f t="shared" si="5"/>
        <v>4411.6500000000005</v>
      </c>
      <c r="X71" s="9">
        <f t="shared" si="6"/>
        <v>4519.0624999999991</v>
      </c>
      <c r="Y71" s="11">
        <f t="shared" si="7"/>
        <v>0.50601365792482955</v>
      </c>
    </row>
    <row r="72" spans="1:25" x14ac:dyDescent="0.3">
      <c r="A72" t="s">
        <v>85</v>
      </c>
      <c r="B72">
        <v>45369</v>
      </c>
      <c r="C72">
        <v>45372</v>
      </c>
      <c r="D72" t="s">
        <v>2064</v>
      </c>
      <c r="E72">
        <v>45372</v>
      </c>
      <c r="F72">
        <v>3</v>
      </c>
      <c r="G72" t="s">
        <v>649</v>
      </c>
      <c r="H72" t="s">
        <v>656</v>
      </c>
      <c r="I72" t="s">
        <v>684</v>
      </c>
      <c r="J72" t="s">
        <v>705</v>
      </c>
      <c r="K72" t="s">
        <v>708</v>
      </c>
      <c r="L72" t="s">
        <v>724</v>
      </c>
      <c r="M72" t="s">
        <v>733</v>
      </c>
      <c r="N72" t="s">
        <v>1498</v>
      </c>
      <c r="O72" s="9">
        <v>910.63</v>
      </c>
      <c r="P72" s="9">
        <v>1269.4000000000001</v>
      </c>
      <c r="Q72" s="9">
        <v>1269.4000000000001</v>
      </c>
      <c r="R72" t="s">
        <v>2065</v>
      </c>
      <c r="S72" s="11">
        <v>6.8000000000000005E-2</v>
      </c>
      <c r="T72" t="s">
        <v>2065</v>
      </c>
      <c r="U72" s="13">
        <v>9</v>
      </c>
      <c r="V72" s="9">
        <f t="shared" si="4"/>
        <v>10647.727199999999</v>
      </c>
      <c r="W72" s="9">
        <f t="shared" si="5"/>
        <v>8195.67</v>
      </c>
      <c r="X72" s="9">
        <f t="shared" si="6"/>
        <v>2452.0571999999993</v>
      </c>
      <c r="Y72" s="11">
        <f t="shared" si="7"/>
        <v>0.23028925834989455</v>
      </c>
    </row>
    <row r="73" spans="1:25" x14ac:dyDescent="0.3">
      <c r="A73" t="s">
        <v>86</v>
      </c>
      <c r="B73">
        <v>45756</v>
      </c>
      <c r="C73">
        <v>45783</v>
      </c>
      <c r="D73" t="s">
        <v>2064</v>
      </c>
      <c r="E73">
        <v>45783</v>
      </c>
      <c r="F73">
        <v>27</v>
      </c>
      <c r="G73" t="s">
        <v>648</v>
      </c>
      <c r="H73" t="s">
        <v>655</v>
      </c>
      <c r="I73" t="s">
        <v>672</v>
      </c>
      <c r="J73" t="s">
        <v>706</v>
      </c>
      <c r="K73" t="s">
        <v>709</v>
      </c>
      <c r="L73" t="s">
        <v>721</v>
      </c>
      <c r="M73" t="s">
        <v>731</v>
      </c>
      <c r="N73" t="s">
        <v>1499</v>
      </c>
      <c r="O73" s="9">
        <v>264.19</v>
      </c>
      <c r="P73" s="9">
        <v>620.92999999999995</v>
      </c>
      <c r="Q73" s="9">
        <v>620.92999999999995</v>
      </c>
      <c r="R73" t="s">
        <v>2065</v>
      </c>
      <c r="S73" s="11">
        <v>0.14199999999999999</v>
      </c>
      <c r="T73" t="s">
        <v>2065</v>
      </c>
      <c r="U73" s="13">
        <v>12</v>
      </c>
      <c r="V73" s="9">
        <f t="shared" si="4"/>
        <v>6393.0952799999995</v>
      </c>
      <c r="W73" s="9">
        <f t="shared" si="5"/>
        <v>3170.2799999999997</v>
      </c>
      <c r="X73" s="9">
        <f t="shared" si="6"/>
        <v>3222.8152799999998</v>
      </c>
      <c r="Y73" s="11">
        <f t="shared" si="7"/>
        <v>0.50410875152794532</v>
      </c>
    </row>
    <row r="74" spans="1:25" x14ac:dyDescent="0.3">
      <c r="A74" t="s">
        <v>87</v>
      </c>
      <c r="B74">
        <v>45394</v>
      </c>
      <c r="C74">
        <v>45419</v>
      </c>
      <c r="D74" t="s">
        <v>2064</v>
      </c>
      <c r="E74">
        <v>45419</v>
      </c>
      <c r="F74">
        <v>25</v>
      </c>
      <c r="G74" t="s">
        <v>646</v>
      </c>
      <c r="H74" t="s">
        <v>661</v>
      </c>
      <c r="I74" t="s">
        <v>682</v>
      </c>
      <c r="J74" t="s">
        <v>702</v>
      </c>
      <c r="K74" t="s">
        <v>710</v>
      </c>
      <c r="L74" t="s">
        <v>720</v>
      </c>
      <c r="M74" t="s">
        <v>731</v>
      </c>
      <c r="N74" t="s">
        <v>1500</v>
      </c>
      <c r="O74" s="9">
        <v>1376.51</v>
      </c>
      <c r="P74" s="9">
        <v>1455.91</v>
      </c>
      <c r="Q74" s="9">
        <v>1455.91</v>
      </c>
      <c r="R74" t="s">
        <v>2065</v>
      </c>
      <c r="S74" s="11">
        <v>0.185</v>
      </c>
      <c r="T74" t="s">
        <v>2065</v>
      </c>
      <c r="U74" s="13">
        <v>17</v>
      </c>
      <c r="V74" s="9">
        <f t="shared" si="4"/>
        <v>20171.63305</v>
      </c>
      <c r="W74" s="9">
        <f t="shared" si="5"/>
        <v>23400.67</v>
      </c>
      <c r="X74" s="9">
        <f t="shared" si="6"/>
        <v>-3229.0369499999979</v>
      </c>
      <c r="Y74" s="11">
        <f t="shared" si="7"/>
        <v>-0.1600781127634085</v>
      </c>
    </row>
    <row r="75" spans="1:25" x14ac:dyDescent="0.3">
      <c r="A75" t="s">
        <v>88</v>
      </c>
      <c r="B75">
        <v>45641</v>
      </c>
      <c r="C75">
        <v>45646</v>
      </c>
      <c r="D75" t="s">
        <v>2064</v>
      </c>
      <c r="E75">
        <v>45646</v>
      </c>
      <c r="F75">
        <v>5</v>
      </c>
      <c r="G75" t="s">
        <v>647</v>
      </c>
      <c r="H75" t="s">
        <v>659</v>
      </c>
      <c r="I75" t="s">
        <v>676</v>
      </c>
      <c r="J75" t="s">
        <v>705</v>
      </c>
      <c r="K75" t="s">
        <v>711</v>
      </c>
      <c r="L75" t="s">
        <v>713</v>
      </c>
      <c r="M75" t="s">
        <v>729</v>
      </c>
      <c r="N75" t="s">
        <v>1501</v>
      </c>
      <c r="O75" s="9">
        <v>717.55</v>
      </c>
      <c r="P75" s="9">
        <v>546.42999999999995</v>
      </c>
      <c r="Q75" s="9">
        <v>546.42999999999995</v>
      </c>
      <c r="R75" t="s">
        <v>2065</v>
      </c>
      <c r="S75" s="11">
        <v>4.7E-2</v>
      </c>
      <c r="T75" t="s">
        <v>2065</v>
      </c>
      <c r="U75" s="13">
        <v>18</v>
      </c>
      <c r="V75" s="9">
        <f t="shared" si="4"/>
        <v>9373.460219999999</v>
      </c>
      <c r="W75" s="9">
        <f t="shared" si="5"/>
        <v>12915.9</v>
      </c>
      <c r="X75" s="9">
        <f t="shared" si="6"/>
        <v>-3542.4397800000006</v>
      </c>
      <c r="Y75" s="11">
        <f t="shared" si="7"/>
        <v>-0.37792231437026369</v>
      </c>
    </row>
    <row r="76" spans="1:25" x14ac:dyDescent="0.3">
      <c r="A76" t="s">
        <v>89</v>
      </c>
      <c r="B76">
        <v>45066</v>
      </c>
      <c r="C76">
        <v>45064</v>
      </c>
      <c r="D76" t="s">
        <v>2066</v>
      </c>
      <c r="E76">
        <v>45066</v>
      </c>
      <c r="F76">
        <v>0</v>
      </c>
      <c r="G76" t="s">
        <v>646</v>
      </c>
      <c r="H76" t="s">
        <v>661</v>
      </c>
      <c r="I76" t="s">
        <v>687</v>
      </c>
      <c r="J76" t="s">
        <v>701</v>
      </c>
      <c r="K76" t="s">
        <v>710</v>
      </c>
      <c r="L76" t="s">
        <v>720</v>
      </c>
      <c r="M76" t="s">
        <v>727</v>
      </c>
      <c r="N76" t="s">
        <v>1502</v>
      </c>
      <c r="O76" s="9">
        <v>917.88</v>
      </c>
      <c r="P76" s="9">
        <v>1347.92</v>
      </c>
      <c r="Q76" s="9">
        <v>1347.92</v>
      </c>
      <c r="R76" t="s">
        <v>2065</v>
      </c>
      <c r="S76" s="11">
        <v>0.34300000000000003</v>
      </c>
      <c r="T76" t="s">
        <v>2067</v>
      </c>
      <c r="U76" s="13">
        <v>5</v>
      </c>
      <c r="V76" s="9">
        <f t="shared" si="4"/>
        <v>4427.9172000000008</v>
      </c>
      <c r="W76" s="9">
        <f t="shared" si="5"/>
        <v>4589.3999999999996</v>
      </c>
      <c r="X76" s="9">
        <f t="shared" si="6"/>
        <v>-161.48279999999886</v>
      </c>
      <c r="Y76" s="11">
        <f t="shared" si="7"/>
        <v>-3.6469245630880096E-2</v>
      </c>
    </row>
    <row r="77" spans="1:25" x14ac:dyDescent="0.3">
      <c r="A77" t="s">
        <v>90</v>
      </c>
      <c r="B77">
        <v>45187</v>
      </c>
      <c r="C77">
        <v>45207</v>
      </c>
      <c r="D77" t="s">
        <v>2064</v>
      </c>
      <c r="E77">
        <v>45207</v>
      </c>
      <c r="F77">
        <v>20</v>
      </c>
      <c r="G77" t="s">
        <v>647</v>
      </c>
      <c r="H77" t="s">
        <v>654</v>
      </c>
      <c r="I77" t="s">
        <v>680</v>
      </c>
      <c r="J77" t="s">
        <v>705</v>
      </c>
      <c r="K77" t="s">
        <v>711</v>
      </c>
      <c r="L77" t="s">
        <v>717</v>
      </c>
      <c r="M77" t="s">
        <v>727</v>
      </c>
      <c r="N77" t="s">
        <v>1503</v>
      </c>
      <c r="O77" s="9">
        <v>825.64</v>
      </c>
      <c r="P77" s="9">
        <v>1108.43</v>
      </c>
      <c r="Q77" s="9">
        <v>1108.43</v>
      </c>
      <c r="R77" t="s">
        <v>2065</v>
      </c>
      <c r="S77" s="11">
        <v>0.114</v>
      </c>
      <c r="T77" t="s">
        <v>2065</v>
      </c>
      <c r="U77" s="13">
        <v>7</v>
      </c>
      <c r="V77" s="9">
        <f t="shared" si="4"/>
        <v>6874.4828600000001</v>
      </c>
      <c r="W77" s="9">
        <f t="shared" si="5"/>
        <v>5779.48</v>
      </c>
      <c r="X77" s="9">
        <f t="shared" si="6"/>
        <v>1095.0028600000005</v>
      </c>
      <c r="Y77" s="11">
        <f t="shared" si="7"/>
        <v>0.15928512475773349</v>
      </c>
    </row>
    <row r="78" spans="1:25" x14ac:dyDescent="0.3">
      <c r="A78" t="s">
        <v>91</v>
      </c>
      <c r="B78">
        <v>45532</v>
      </c>
      <c r="C78">
        <v>45560</v>
      </c>
      <c r="D78" t="s">
        <v>2064</v>
      </c>
      <c r="E78">
        <v>45560</v>
      </c>
      <c r="F78">
        <v>28</v>
      </c>
      <c r="G78" t="s">
        <v>648</v>
      </c>
      <c r="H78" t="s">
        <v>655</v>
      </c>
      <c r="I78" t="s">
        <v>1426</v>
      </c>
      <c r="J78" t="s">
        <v>703</v>
      </c>
      <c r="K78" t="s">
        <v>708</v>
      </c>
      <c r="L78" t="s">
        <v>2057</v>
      </c>
      <c r="M78" t="s">
        <v>733</v>
      </c>
      <c r="N78" t="s">
        <v>1504</v>
      </c>
      <c r="O78" s="9">
        <v>1394.65</v>
      </c>
      <c r="P78" s="9">
        <v>3144.1</v>
      </c>
      <c r="Q78" s="9">
        <v>3144.1</v>
      </c>
      <c r="R78" t="s">
        <v>2065</v>
      </c>
      <c r="S78" s="11">
        <v>0.13400000000000001</v>
      </c>
      <c r="T78" t="s">
        <v>2065</v>
      </c>
      <c r="U78" s="13">
        <v>13</v>
      </c>
      <c r="V78" s="9">
        <f t="shared" si="4"/>
        <v>35396.277799999996</v>
      </c>
      <c r="W78" s="9">
        <f t="shared" si="5"/>
        <v>18130.45</v>
      </c>
      <c r="X78" s="9">
        <f t="shared" si="6"/>
        <v>17265.827799999995</v>
      </c>
      <c r="Y78" s="11">
        <f t="shared" si="7"/>
        <v>0.4877865378263021</v>
      </c>
    </row>
    <row r="79" spans="1:25" x14ac:dyDescent="0.3">
      <c r="A79" t="s">
        <v>92</v>
      </c>
      <c r="B79">
        <v>45473</v>
      </c>
      <c r="C79">
        <v>45471</v>
      </c>
      <c r="D79" t="s">
        <v>2066</v>
      </c>
      <c r="E79">
        <v>45473</v>
      </c>
      <c r="F79">
        <v>0</v>
      </c>
      <c r="G79" t="s">
        <v>648</v>
      </c>
      <c r="H79" t="s">
        <v>655</v>
      </c>
      <c r="I79" t="s">
        <v>1426</v>
      </c>
      <c r="J79" t="s">
        <v>705</v>
      </c>
      <c r="K79" t="s">
        <v>711</v>
      </c>
      <c r="L79" t="s">
        <v>716</v>
      </c>
      <c r="M79" t="s">
        <v>733</v>
      </c>
      <c r="N79" t="s">
        <v>1505</v>
      </c>
      <c r="O79" s="9">
        <v>1112.98</v>
      </c>
      <c r="P79" s="9">
        <v>2095.73</v>
      </c>
      <c r="Q79" s="9">
        <v>2095.73</v>
      </c>
      <c r="R79" t="s">
        <v>2065</v>
      </c>
      <c r="S79" s="11">
        <v>7.1999999999999995E-2</v>
      </c>
      <c r="T79" t="s">
        <v>2065</v>
      </c>
      <c r="U79" s="13">
        <v>17</v>
      </c>
      <c r="V79" s="9">
        <f t="shared" si="4"/>
        <v>33062.236480000007</v>
      </c>
      <c r="W79" s="9">
        <f t="shared" si="5"/>
        <v>18920.66</v>
      </c>
      <c r="X79" s="9">
        <f t="shared" si="6"/>
        <v>14141.576480000007</v>
      </c>
      <c r="Y79" s="11">
        <f t="shared" si="7"/>
        <v>0.42772594916724777</v>
      </c>
    </row>
    <row r="80" spans="1:25" x14ac:dyDescent="0.3">
      <c r="A80" t="s">
        <v>93</v>
      </c>
      <c r="B80">
        <v>45091</v>
      </c>
      <c r="C80">
        <v>45093</v>
      </c>
      <c r="D80" t="s">
        <v>2064</v>
      </c>
      <c r="E80">
        <v>45093</v>
      </c>
      <c r="F80">
        <v>2</v>
      </c>
      <c r="G80" t="s">
        <v>649</v>
      </c>
      <c r="H80" t="s">
        <v>658</v>
      </c>
      <c r="I80" t="s">
        <v>693</v>
      </c>
      <c r="J80" t="s">
        <v>703</v>
      </c>
      <c r="K80" t="s">
        <v>711</v>
      </c>
      <c r="L80" t="s">
        <v>723</v>
      </c>
      <c r="M80" t="s">
        <v>727</v>
      </c>
      <c r="N80" t="s">
        <v>1506</v>
      </c>
      <c r="O80" s="9">
        <v>357.36</v>
      </c>
      <c r="P80" s="9">
        <v>703.62</v>
      </c>
      <c r="Q80" s="9">
        <v>703.62</v>
      </c>
      <c r="R80" t="s">
        <v>2065</v>
      </c>
      <c r="S80" s="11">
        <v>0.25700000000000001</v>
      </c>
      <c r="T80" t="s">
        <v>2065</v>
      </c>
      <c r="U80" s="13">
        <v>20</v>
      </c>
      <c r="V80" s="9">
        <f t="shared" si="4"/>
        <v>10455.7932</v>
      </c>
      <c r="W80" s="9">
        <f t="shared" si="5"/>
        <v>7147.2000000000007</v>
      </c>
      <c r="X80" s="9">
        <f t="shared" si="6"/>
        <v>3308.5931999999993</v>
      </c>
      <c r="Y80" s="11">
        <f t="shared" si="7"/>
        <v>0.31643636563125593</v>
      </c>
    </row>
    <row r="81" spans="1:25" x14ac:dyDescent="0.3">
      <c r="A81" t="s">
        <v>94</v>
      </c>
      <c r="B81">
        <v>45617</v>
      </c>
      <c r="C81">
        <v>45647</v>
      </c>
      <c r="D81" t="s">
        <v>2064</v>
      </c>
      <c r="E81">
        <v>45647</v>
      </c>
      <c r="F81">
        <v>30</v>
      </c>
      <c r="G81" t="s">
        <v>649</v>
      </c>
      <c r="H81" t="s">
        <v>657</v>
      </c>
      <c r="I81" t="s">
        <v>673</v>
      </c>
      <c r="J81" t="s">
        <v>705</v>
      </c>
      <c r="K81" t="s">
        <v>711</v>
      </c>
      <c r="L81" t="s">
        <v>714</v>
      </c>
      <c r="M81" t="s">
        <v>732</v>
      </c>
      <c r="N81" t="s">
        <v>1507</v>
      </c>
      <c r="O81" s="9">
        <v>1122.68</v>
      </c>
      <c r="P81" s="9">
        <v>1997.19</v>
      </c>
      <c r="Q81" s="9">
        <v>1997.19</v>
      </c>
      <c r="R81" t="s">
        <v>2065</v>
      </c>
      <c r="S81" s="11">
        <v>0.186</v>
      </c>
      <c r="T81" t="s">
        <v>2065</v>
      </c>
      <c r="U81" s="13">
        <v>3</v>
      </c>
      <c r="V81" s="9">
        <f t="shared" si="4"/>
        <v>4877.1379800000004</v>
      </c>
      <c r="W81" s="9">
        <f t="shared" si="5"/>
        <v>3368.04</v>
      </c>
      <c r="X81" s="9">
        <f t="shared" si="6"/>
        <v>1509.0979800000005</v>
      </c>
      <c r="Y81" s="11">
        <f t="shared" si="7"/>
        <v>0.30942285951073306</v>
      </c>
    </row>
    <row r="82" spans="1:25" x14ac:dyDescent="0.3">
      <c r="A82" t="s">
        <v>95</v>
      </c>
      <c r="B82">
        <v>44965</v>
      </c>
      <c r="C82">
        <v>44968</v>
      </c>
      <c r="D82" t="s">
        <v>2064</v>
      </c>
      <c r="E82">
        <v>44968</v>
      </c>
      <c r="F82">
        <v>3</v>
      </c>
      <c r="G82" t="s">
        <v>646</v>
      </c>
      <c r="H82" t="s">
        <v>661</v>
      </c>
      <c r="I82" t="s">
        <v>695</v>
      </c>
      <c r="J82" t="s">
        <v>701</v>
      </c>
      <c r="K82" t="s">
        <v>711</v>
      </c>
      <c r="L82" t="s">
        <v>724</v>
      </c>
      <c r="M82" t="s">
        <v>729</v>
      </c>
      <c r="N82" t="s">
        <v>1508</v>
      </c>
      <c r="O82" s="9">
        <v>1410.05</v>
      </c>
      <c r="P82" s="9">
        <v>2763.95</v>
      </c>
      <c r="Q82" s="9">
        <v>2763.95</v>
      </c>
      <c r="R82" t="s">
        <v>2065</v>
      </c>
      <c r="S82" s="11">
        <v>0.161</v>
      </c>
      <c r="T82" t="s">
        <v>2065</v>
      </c>
      <c r="U82" s="13">
        <v>26</v>
      </c>
      <c r="V82" s="9">
        <f t="shared" si="4"/>
        <v>60292.805299999993</v>
      </c>
      <c r="W82" s="9">
        <f t="shared" si="5"/>
        <v>36661.299999999996</v>
      </c>
      <c r="X82" s="9">
        <f t="shared" si="6"/>
        <v>23631.505299999997</v>
      </c>
      <c r="Y82" s="11">
        <f t="shared" si="7"/>
        <v>0.39194569206750779</v>
      </c>
    </row>
    <row r="83" spans="1:25" x14ac:dyDescent="0.3">
      <c r="A83" t="s">
        <v>96</v>
      </c>
      <c r="B83">
        <v>45157</v>
      </c>
      <c r="C83">
        <v>45181</v>
      </c>
      <c r="D83" t="s">
        <v>2064</v>
      </c>
      <c r="E83">
        <v>45181</v>
      </c>
      <c r="F83">
        <v>24</v>
      </c>
      <c r="G83" t="s">
        <v>648</v>
      </c>
      <c r="H83" t="s">
        <v>653</v>
      </c>
      <c r="I83" t="s">
        <v>688</v>
      </c>
      <c r="J83" t="s">
        <v>706</v>
      </c>
      <c r="K83" t="s">
        <v>707</v>
      </c>
      <c r="L83" t="s">
        <v>714</v>
      </c>
      <c r="M83" t="s">
        <v>728</v>
      </c>
      <c r="N83" t="s">
        <v>1509</v>
      </c>
      <c r="O83" s="9">
        <v>1183.95</v>
      </c>
      <c r="P83" s="9">
        <v>1503.53</v>
      </c>
      <c r="Q83" s="9">
        <v>1503.53</v>
      </c>
      <c r="R83" t="s">
        <v>2065</v>
      </c>
      <c r="S83" s="11">
        <v>0.24099999999999999</v>
      </c>
      <c r="T83" t="s">
        <v>2065</v>
      </c>
      <c r="U83" s="13">
        <v>16</v>
      </c>
      <c r="V83" s="9">
        <f t="shared" si="4"/>
        <v>18258.868320000001</v>
      </c>
      <c r="W83" s="9">
        <f t="shared" si="5"/>
        <v>18943.2</v>
      </c>
      <c r="X83" s="9">
        <f t="shared" si="6"/>
        <v>-684.33167999999932</v>
      </c>
      <c r="Y83" s="11">
        <f t="shared" si="7"/>
        <v>-3.7479413729623705E-2</v>
      </c>
    </row>
    <row r="84" spans="1:25" x14ac:dyDescent="0.3">
      <c r="A84" t="s">
        <v>97</v>
      </c>
      <c r="B84">
        <v>45791</v>
      </c>
      <c r="C84">
        <v>45801</v>
      </c>
      <c r="D84" t="s">
        <v>2064</v>
      </c>
      <c r="E84">
        <v>45801</v>
      </c>
      <c r="F84">
        <v>10</v>
      </c>
      <c r="G84" t="s">
        <v>649</v>
      </c>
      <c r="H84" t="s">
        <v>657</v>
      </c>
      <c r="I84" t="s">
        <v>690</v>
      </c>
      <c r="J84" t="s">
        <v>705</v>
      </c>
      <c r="K84" t="s">
        <v>709</v>
      </c>
      <c r="L84" t="s">
        <v>723</v>
      </c>
      <c r="M84" t="s">
        <v>727</v>
      </c>
      <c r="N84" t="s">
        <v>1510</v>
      </c>
      <c r="O84" s="9">
        <v>170.39</v>
      </c>
      <c r="P84" s="9">
        <v>388.04</v>
      </c>
      <c r="Q84" s="9">
        <v>388.04</v>
      </c>
      <c r="R84" t="s">
        <v>2065</v>
      </c>
      <c r="S84" s="11">
        <v>8.4000000000000005E-2</v>
      </c>
      <c r="T84" t="s">
        <v>2065</v>
      </c>
      <c r="U84" s="13">
        <v>15</v>
      </c>
      <c r="V84" s="9">
        <f t="shared" si="4"/>
        <v>5331.6696000000002</v>
      </c>
      <c r="W84" s="9">
        <f t="shared" si="5"/>
        <v>2555.85</v>
      </c>
      <c r="X84" s="9">
        <f t="shared" si="6"/>
        <v>2775.8196000000003</v>
      </c>
      <c r="Y84" s="11">
        <f t="shared" si="7"/>
        <v>0.52062858508711796</v>
      </c>
    </row>
    <row r="85" spans="1:25" x14ac:dyDescent="0.3">
      <c r="A85" t="s">
        <v>98</v>
      </c>
      <c r="B85">
        <v>45770</v>
      </c>
      <c r="C85">
        <v>45769</v>
      </c>
      <c r="D85" t="s">
        <v>2066</v>
      </c>
      <c r="E85">
        <v>45770</v>
      </c>
      <c r="F85">
        <v>0</v>
      </c>
      <c r="G85" t="s">
        <v>648</v>
      </c>
      <c r="H85" t="s">
        <v>1425</v>
      </c>
      <c r="I85" t="s">
        <v>686</v>
      </c>
      <c r="J85" t="s">
        <v>703</v>
      </c>
      <c r="K85" t="s">
        <v>710</v>
      </c>
      <c r="L85" t="s">
        <v>726</v>
      </c>
      <c r="M85" t="s">
        <v>732</v>
      </c>
      <c r="N85" t="s">
        <v>1511</v>
      </c>
      <c r="O85" s="9">
        <v>23.24</v>
      </c>
      <c r="P85" s="9">
        <v>44.57</v>
      </c>
      <c r="Q85" s="9">
        <v>44.57</v>
      </c>
      <c r="R85" t="s">
        <v>2065</v>
      </c>
      <c r="S85" s="11">
        <v>0.215</v>
      </c>
      <c r="T85" t="s">
        <v>2065</v>
      </c>
      <c r="U85" s="13">
        <v>15</v>
      </c>
      <c r="V85" s="9">
        <f t="shared" si="4"/>
        <v>524.81174999999996</v>
      </c>
      <c r="W85" s="9">
        <f t="shared" si="5"/>
        <v>348.59999999999997</v>
      </c>
      <c r="X85" s="9">
        <f t="shared" si="6"/>
        <v>176.21174999999999</v>
      </c>
      <c r="Y85" s="11">
        <f t="shared" si="7"/>
        <v>0.33576182316802167</v>
      </c>
    </row>
    <row r="86" spans="1:25" x14ac:dyDescent="0.3">
      <c r="A86" t="s">
        <v>99</v>
      </c>
      <c r="B86">
        <v>45741</v>
      </c>
      <c r="C86">
        <v>45764</v>
      </c>
      <c r="D86" t="s">
        <v>2064</v>
      </c>
      <c r="E86">
        <v>45764</v>
      </c>
      <c r="F86">
        <v>23</v>
      </c>
      <c r="G86" t="s">
        <v>649</v>
      </c>
      <c r="H86" t="s">
        <v>658</v>
      </c>
      <c r="I86" t="s">
        <v>683</v>
      </c>
      <c r="J86" t="s">
        <v>704</v>
      </c>
      <c r="K86" t="s">
        <v>707</v>
      </c>
      <c r="L86" t="s">
        <v>722</v>
      </c>
      <c r="M86" t="s">
        <v>729</v>
      </c>
      <c r="N86" t="s">
        <v>1512</v>
      </c>
      <c r="O86" s="9">
        <v>1421.19</v>
      </c>
      <c r="P86" s="9">
        <v>1808.26</v>
      </c>
      <c r="Q86" s="9">
        <v>1808.26</v>
      </c>
      <c r="R86" t="s">
        <v>2065</v>
      </c>
      <c r="S86" s="11">
        <v>0.104</v>
      </c>
      <c r="T86" t="s">
        <v>2065</v>
      </c>
      <c r="U86" s="13">
        <v>13</v>
      </c>
      <c r="V86" s="9">
        <f t="shared" si="4"/>
        <v>21062.61248</v>
      </c>
      <c r="W86" s="9">
        <f t="shared" si="5"/>
        <v>18475.47</v>
      </c>
      <c r="X86" s="9">
        <f t="shared" si="6"/>
        <v>2587.1424799999986</v>
      </c>
      <c r="Y86" s="11">
        <f t="shared" si="7"/>
        <v>0.12283103449093123</v>
      </c>
    </row>
    <row r="87" spans="1:25" x14ac:dyDescent="0.3">
      <c r="A87" t="s">
        <v>100</v>
      </c>
      <c r="B87">
        <v>45282</v>
      </c>
      <c r="C87">
        <v>45283</v>
      </c>
      <c r="D87" t="s">
        <v>2064</v>
      </c>
      <c r="E87">
        <v>45283</v>
      </c>
      <c r="F87">
        <v>1</v>
      </c>
      <c r="G87" t="s">
        <v>646</v>
      </c>
      <c r="H87" t="s">
        <v>661</v>
      </c>
      <c r="I87" t="s">
        <v>695</v>
      </c>
      <c r="J87" t="s">
        <v>703</v>
      </c>
      <c r="K87" t="s">
        <v>709</v>
      </c>
      <c r="L87" t="s">
        <v>726</v>
      </c>
      <c r="M87" t="s">
        <v>727</v>
      </c>
      <c r="N87" t="s">
        <v>1513</v>
      </c>
      <c r="O87" s="9">
        <v>1186.18</v>
      </c>
      <c r="P87" s="9">
        <v>1285.0899999999999</v>
      </c>
      <c r="Q87" s="9">
        <v>1285.0899999999999</v>
      </c>
      <c r="R87" t="s">
        <v>2065</v>
      </c>
      <c r="S87" s="11">
        <v>7.0000000000000007E-2</v>
      </c>
      <c r="T87" t="s">
        <v>2065</v>
      </c>
      <c r="U87" s="13">
        <v>11</v>
      </c>
      <c r="V87" s="9">
        <f t="shared" si="4"/>
        <v>13146.470699999998</v>
      </c>
      <c r="W87" s="9">
        <f t="shared" si="5"/>
        <v>13047.980000000001</v>
      </c>
      <c r="X87" s="9">
        <f t="shared" si="6"/>
        <v>98.49069999999665</v>
      </c>
      <c r="Y87" s="11">
        <f t="shared" si="7"/>
        <v>7.4917977796121861E-3</v>
      </c>
    </row>
    <row r="88" spans="1:25" x14ac:dyDescent="0.3">
      <c r="A88" t="s">
        <v>101</v>
      </c>
      <c r="B88">
        <v>45388</v>
      </c>
      <c r="C88">
        <v>45407</v>
      </c>
      <c r="D88" t="s">
        <v>2064</v>
      </c>
      <c r="E88">
        <v>45407</v>
      </c>
      <c r="F88">
        <v>19</v>
      </c>
      <c r="G88" t="s">
        <v>647</v>
      </c>
      <c r="H88" t="s">
        <v>659</v>
      </c>
      <c r="I88" t="s">
        <v>685</v>
      </c>
      <c r="J88" t="s">
        <v>701</v>
      </c>
      <c r="K88" t="s">
        <v>707</v>
      </c>
      <c r="L88" t="s">
        <v>723</v>
      </c>
      <c r="M88" t="s">
        <v>727</v>
      </c>
      <c r="N88" t="s">
        <v>1514</v>
      </c>
      <c r="O88" s="9">
        <v>1366.48</v>
      </c>
      <c r="P88" s="9">
        <v>1678.14</v>
      </c>
      <c r="Q88" s="9">
        <v>1678.14</v>
      </c>
      <c r="R88" t="s">
        <v>2065</v>
      </c>
      <c r="S88" s="11">
        <v>0.154</v>
      </c>
      <c r="T88" t="s">
        <v>2065</v>
      </c>
      <c r="U88" s="13">
        <v>10</v>
      </c>
      <c r="V88" s="9">
        <f t="shared" si="4"/>
        <v>14197.064400000001</v>
      </c>
      <c r="W88" s="9">
        <f t="shared" si="5"/>
        <v>13664.8</v>
      </c>
      <c r="X88" s="9">
        <f t="shared" si="6"/>
        <v>532.26440000000184</v>
      </c>
      <c r="Y88" s="11">
        <f t="shared" si="7"/>
        <v>3.7491159087790132E-2</v>
      </c>
    </row>
    <row r="89" spans="1:25" x14ac:dyDescent="0.3">
      <c r="A89" t="s">
        <v>102</v>
      </c>
      <c r="B89">
        <v>45876</v>
      </c>
      <c r="C89">
        <v>45888</v>
      </c>
      <c r="D89" t="s">
        <v>2064</v>
      </c>
      <c r="E89">
        <v>45888</v>
      </c>
      <c r="F89">
        <v>12</v>
      </c>
      <c r="G89" t="s">
        <v>646</v>
      </c>
      <c r="H89" t="s">
        <v>650</v>
      </c>
      <c r="I89" t="s">
        <v>678</v>
      </c>
      <c r="J89" t="s">
        <v>701</v>
      </c>
      <c r="K89" t="s">
        <v>2057</v>
      </c>
      <c r="L89" t="s">
        <v>724</v>
      </c>
      <c r="M89" t="s">
        <v>727</v>
      </c>
      <c r="N89" t="s">
        <v>1515</v>
      </c>
      <c r="O89" s="9">
        <v>601.51</v>
      </c>
      <c r="P89" s="9">
        <v>679.35</v>
      </c>
      <c r="Q89" s="9">
        <v>679.35</v>
      </c>
      <c r="R89" t="s">
        <v>2065</v>
      </c>
      <c r="S89" s="11">
        <v>0.188</v>
      </c>
      <c r="T89" t="s">
        <v>2065</v>
      </c>
      <c r="U89" s="13">
        <v>3</v>
      </c>
      <c r="V89" s="9">
        <f t="shared" si="4"/>
        <v>1654.8966000000003</v>
      </c>
      <c r="W89" s="9">
        <f t="shared" si="5"/>
        <v>1804.53</v>
      </c>
      <c r="X89" s="9">
        <f t="shared" si="6"/>
        <v>-149.63339999999971</v>
      </c>
      <c r="Y89" s="11">
        <f t="shared" si="7"/>
        <v>-9.0418579626062243E-2</v>
      </c>
    </row>
    <row r="90" spans="1:25" x14ac:dyDescent="0.3">
      <c r="A90" t="s">
        <v>103</v>
      </c>
      <c r="B90">
        <v>45312</v>
      </c>
      <c r="C90">
        <v>45316</v>
      </c>
      <c r="D90" t="s">
        <v>2064</v>
      </c>
      <c r="E90">
        <v>45316</v>
      </c>
      <c r="F90">
        <v>4</v>
      </c>
      <c r="G90" t="s">
        <v>647</v>
      </c>
      <c r="H90" t="s">
        <v>654</v>
      </c>
      <c r="I90" t="s">
        <v>680</v>
      </c>
      <c r="J90" t="s">
        <v>704</v>
      </c>
      <c r="K90" t="s">
        <v>711</v>
      </c>
      <c r="L90" t="s">
        <v>712</v>
      </c>
      <c r="M90" t="s">
        <v>732</v>
      </c>
      <c r="N90" t="s">
        <v>1516</v>
      </c>
      <c r="O90" s="9">
        <v>523.70000000000005</v>
      </c>
      <c r="P90" s="9">
        <v>1109.92</v>
      </c>
      <c r="Q90" s="9">
        <v>1109.92</v>
      </c>
      <c r="R90" t="s">
        <v>2065</v>
      </c>
      <c r="S90" s="11">
        <v>0.03</v>
      </c>
      <c r="T90" t="s">
        <v>2065</v>
      </c>
      <c r="U90" s="13">
        <v>11</v>
      </c>
      <c r="V90" s="9">
        <f t="shared" si="4"/>
        <v>11842.8464</v>
      </c>
      <c r="W90" s="9">
        <f t="shared" si="5"/>
        <v>5760.7000000000007</v>
      </c>
      <c r="X90" s="9">
        <f t="shared" si="6"/>
        <v>6082.1463999999996</v>
      </c>
      <c r="Y90" s="11">
        <f t="shared" si="7"/>
        <v>0.51357133197302973</v>
      </c>
    </row>
    <row r="91" spans="1:25" x14ac:dyDescent="0.3">
      <c r="A91" t="s">
        <v>104</v>
      </c>
      <c r="B91">
        <v>45106</v>
      </c>
      <c r="C91">
        <v>45109</v>
      </c>
      <c r="D91" t="s">
        <v>2064</v>
      </c>
      <c r="E91">
        <v>45109</v>
      </c>
      <c r="F91">
        <v>3</v>
      </c>
      <c r="G91" t="s">
        <v>647</v>
      </c>
      <c r="H91" t="s">
        <v>652</v>
      </c>
      <c r="I91" t="s">
        <v>694</v>
      </c>
      <c r="J91" t="s">
        <v>702</v>
      </c>
      <c r="K91" t="s">
        <v>709</v>
      </c>
      <c r="L91" t="s">
        <v>721</v>
      </c>
      <c r="M91" t="s">
        <v>732</v>
      </c>
      <c r="N91" t="s">
        <v>1517</v>
      </c>
      <c r="O91" s="9">
        <v>55.65</v>
      </c>
      <c r="P91" s="9">
        <v>83.57</v>
      </c>
      <c r="Q91" s="9">
        <v>83.57</v>
      </c>
      <c r="R91" t="s">
        <v>2065</v>
      </c>
      <c r="S91" s="11">
        <v>6.6000000000000003E-2</v>
      </c>
      <c r="T91" t="s">
        <v>2065</v>
      </c>
      <c r="U91" s="13">
        <v>8</v>
      </c>
      <c r="V91" s="9">
        <f t="shared" si="4"/>
        <v>624.43503999999996</v>
      </c>
      <c r="W91" s="9">
        <f t="shared" si="5"/>
        <v>445.2</v>
      </c>
      <c r="X91" s="9">
        <f t="shared" si="6"/>
        <v>179.23503999999997</v>
      </c>
      <c r="Y91" s="11">
        <f t="shared" si="7"/>
        <v>0.2870355257449998</v>
      </c>
    </row>
    <row r="92" spans="1:25" x14ac:dyDescent="0.3">
      <c r="A92" t="s">
        <v>105</v>
      </c>
      <c r="B92">
        <v>45775</v>
      </c>
      <c r="C92">
        <v>45792</v>
      </c>
      <c r="D92" t="s">
        <v>2064</v>
      </c>
      <c r="E92">
        <v>45792</v>
      </c>
      <c r="F92">
        <v>17</v>
      </c>
      <c r="G92" t="s">
        <v>647</v>
      </c>
      <c r="H92" t="s">
        <v>652</v>
      </c>
      <c r="I92" t="s">
        <v>694</v>
      </c>
      <c r="J92" t="s">
        <v>702</v>
      </c>
      <c r="K92" t="s">
        <v>711</v>
      </c>
      <c r="L92" t="s">
        <v>725</v>
      </c>
      <c r="M92" t="s">
        <v>729</v>
      </c>
      <c r="N92" t="s">
        <v>1518</v>
      </c>
      <c r="O92" s="9">
        <v>691.19</v>
      </c>
      <c r="P92" s="9">
        <v>1284.3</v>
      </c>
      <c r="Q92" s="9">
        <v>1284.3</v>
      </c>
      <c r="R92" t="s">
        <v>2065</v>
      </c>
      <c r="S92" s="11">
        <v>7.3999999999999996E-2</v>
      </c>
      <c r="T92" t="s">
        <v>2065</v>
      </c>
      <c r="U92" s="13">
        <v>7</v>
      </c>
      <c r="V92" s="9">
        <f t="shared" si="4"/>
        <v>8324.8326000000015</v>
      </c>
      <c r="W92" s="9">
        <f t="shared" si="5"/>
        <v>4838.33</v>
      </c>
      <c r="X92" s="9">
        <f t="shared" si="6"/>
        <v>3486.5026000000016</v>
      </c>
      <c r="Y92" s="11">
        <f t="shared" si="7"/>
        <v>0.41880753253825198</v>
      </c>
    </row>
    <row r="93" spans="1:25" x14ac:dyDescent="0.3">
      <c r="A93" t="s">
        <v>106</v>
      </c>
      <c r="B93">
        <v>45817</v>
      </c>
      <c r="C93">
        <v>45833</v>
      </c>
      <c r="D93" t="s">
        <v>2064</v>
      </c>
      <c r="E93">
        <v>45833</v>
      </c>
      <c r="F93">
        <v>16</v>
      </c>
      <c r="G93" t="s">
        <v>647</v>
      </c>
      <c r="H93" t="s">
        <v>654</v>
      </c>
      <c r="I93" t="s">
        <v>696</v>
      </c>
      <c r="J93" t="s">
        <v>706</v>
      </c>
      <c r="K93" t="s">
        <v>710</v>
      </c>
      <c r="L93" t="s">
        <v>724</v>
      </c>
      <c r="M93" t="s">
        <v>730</v>
      </c>
      <c r="N93" t="s">
        <v>1519</v>
      </c>
      <c r="O93" s="9">
        <v>527.33000000000004</v>
      </c>
      <c r="P93" s="9">
        <v>911.72</v>
      </c>
      <c r="Q93" s="9">
        <v>911.72</v>
      </c>
      <c r="R93" t="s">
        <v>2065</v>
      </c>
      <c r="S93" s="11">
        <v>0.14399999999999999</v>
      </c>
      <c r="T93" t="s">
        <v>2065</v>
      </c>
      <c r="U93" s="13">
        <v>25</v>
      </c>
      <c r="V93" s="9">
        <f t="shared" si="4"/>
        <v>19510.808000000001</v>
      </c>
      <c r="W93" s="9">
        <f t="shared" si="5"/>
        <v>13183.250000000002</v>
      </c>
      <c r="X93" s="9">
        <f t="shared" si="6"/>
        <v>6327.5579999999991</v>
      </c>
      <c r="Y93" s="11">
        <f t="shared" si="7"/>
        <v>0.32431040272652978</v>
      </c>
    </row>
    <row r="94" spans="1:25" x14ac:dyDescent="0.3">
      <c r="A94" t="s">
        <v>107</v>
      </c>
      <c r="B94">
        <v>45101</v>
      </c>
      <c r="C94">
        <v>45100</v>
      </c>
      <c r="D94" t="s">
        <v>2066</v>
      </c>
      <c r="E94">
        <v>45101</v>
      </c>
      <c r="F94">
        <v>0</v>
      </c>
      <c r="G94" t="s">
        <v>648</v>
      </c>
      <c r="H94" t="s">
        <v>655</v>
      </c>
      <c r="I94" t="s">
        <v>1426</v>
      </c>
      <c r="J94" t="s">
        <v>703</v>
      </c>
      <c r="K94" t="s">
        <v>707</v>
      </c>
      <c r="L94" t="s">
        <v>718</v>
      </c>
      <c r="M94" t="s">
        <v>728</v>
      </c>
      <c r="N94" t="s">
        <v>1520</v>
      </c>
      <c r="O94" s="9">
        <v>804.01</v>
      </c>
      <c r="P94" s="9">
        <v>1405.07</v>
      </c>
      <c r="Q94" s="9">
        <v>1405.07</v>
      </c>
      <c r="R94" t="s">
        <v>2065</v>
      </c>
      <c r="S94" s="11">
        <v>9.6000000000000002E-2</v>
      </c>
      <c r="T94" t="s">
        <v>2065</v>
      </c>
      <c r="U94" s="13">
        <v>8</v>
      </c>
      <c r="V94" s="9">
        <f t="shared" si="4"/>
        <v>10161.46624</v>
      </c>
      <c r="W94" s="9">
        <f t="shared" si="5"/>
        <v>6432.08</v>
      </c>
      <c r="X94" s="9">
        <f t="shared" si="6"/>
        <v>3729.3862399999998</v>
      </c>
      <c r="Y94" s="11">
        <f t="shared" si="7"/>
        <v>0.36701260939287439</v>
      </c>
    </row>
    <row r="95" spans="1:25" x14ac:dyDescent="0.3">
      <c r="A95" t="s">
        <v>108</v>
      </c>
      <c r="B95">
        <v>45569</v>
      </c>
      <c r="C95">
        <v>45598</v>
      </c>
      <c r="D95" t="s">
        <v>2064</v>
      </c>
      <c r="E95">
        <v>45598</v>
      </c>
      <c r="F95">
        <v>29</v>
      </c>
      <c r="G95" t="s">
        <v>646</v>
      </c>
      <c r="H95" t="s">
        <v>651</v>
      </c>
      <c r="I95" t="s">
        <v>669</v>
      </c>
      <c r="J95" t="s">
        <v>701</v>
      </c>
      <c r="K95" t="s">
        <v>710</v>
      </c>
      <c r="L95" t="s">
        <v>721</v>
      </c>
      <c r="M95" t="s">
        <v>733</v>
      </c>
      <c r="N95" t="s">
        <v>1521</v>
      </c>
      <c r="O95" s="9">
        <v>412.09</v>
      </c>
      <c r="P95" s="9">
        <v>968.94</v>
      </c>
      <c r="Q95" s="9">
        <v>968.94</v>
      </c>
      <c r="R95" t="s">
        <v>2065</v>
      </c>
      <c r="S95" s="11">
        <v>9.9000000000000005E-2</v>
      </c>
      <c r="T95" t="s">
        <v>2065</v>
      </c>
      <c r="U95" s="13">
        <v>23</v>
      </c>
      <c r="V95" s="9">
        <f t="shared" si="4"/>
        <v>20079.343620000003</v>
      </c>
      <c r="W95" s="9">
        <f t="shared" si="5"/>
        <v>9478.07</v>
      </c>
      <c r="X95" s="9">
        <f t="shared" si="6"/>
        <v>10601.273620000004</v>
      </c>
      <c r="Y95" s="11">
        <f t="shared" si="7"/>
        <v>0.52796913189137418</v>
      </c>
    </row>
    <row r="96" spans="1:25" x14ac:dyDescent="0.3">
      <c r="A96" t="s">
        <v>109</v>
      </c>
      <c r="B96">
        <v>45910</v>
      </c>
      <c r="C96">
        <v>45930</v>
      </c>
      <c r="D96" t="s">
        <v>2064</v>
      </c>
      <c r="E96">
        <v>45930</v>
      </c>
      <c r="F96">
        <v>20</v>
      </c>
      <c r="G96" t="s">
        <v>646</v>
      </c>
      <c r="H96" t="s">
        <v>650</v>
      </c>
      <c r="I96" t="s">
        <v>675</v>
      </c>
      <c r="J96" t="s">
        <v>701</v>
      </c>
      <c r="K96" t="s">
        <v>711</v>
      </c>
      <c r="L96" t="s">
        <v>716</v>
      </c>
      <c r="M96" t="s">
        <v>730</v>
      </c>
      <c r="N96" t="s">
        <v>1522</v>
      </c>
      <c r="O96" s="9">
        <v>1009.48</v>
      </c>
      <c r="P96" s="9">
        <v>1088.81</v>
      </c>
      <c r="Q96" s="9">
        <v>1088.81</v>
      </c>
      <c r="R96" t="s">
        <v>2065</v>
      </c>
      <c r="S96" s="11">
        <v>0.16</v>
      </c>
      <c r="T96" t="s">
        <v>2065</v>
      </c>
      <c r="U96" s="13">
        <v>6</v>
      </c>
      <c r="V96" s="9">
        <f t="shared" si="4"/>
        <v>5487.6023999999998</v>
      </c>
      <c r="W96" s="9">
        <f t="shared" si="5"/>
        <v>6056.88</v>
      </c>
      <c r="X96" s="9">
        <f t="shared" si="6"/>
        <v>-569.27760000000035</v>
      </c>
      <c r="Y96" s="11">
        <f t="shared" si="7"/>
        <v>-0.10373885688219693</v>
      </c>
    </row>
    <row r="97" spans="1:25" x14ac:dyDescent="0.3">
      <c r="A97" t="s">
        <v>110</v>
      </c>
      <c r="B97">
        <v>45022</v>
      </c>
      <c r="C97">
        <v>45043</v>
      </c>
      <c r="D97" t="s">
        <v>2064</v>
      </c>
      <c r="E97">
        <v>45043</v>
      </c>
      <c r="F97">
        <v>21</v>
      </c>
      <c r="G97" t="s">
        <v>649</v>
      </c>
      <c r="H97" t="s">
        <v>658</v>
      </c>
      <c r="I97" t="s">
        <v>693</v>
      </c>
      <c r="J97" t="s">
        <v>706</v>
      </c>
      <c r="K97" t="s">
        <v>710</v>
      </c>
      <c r="L97" t="s">
        <v>714</v>
      </c>
      <c r="M97" t="s">
        <v>728</v>
      </c>
      <c r="N97" t="s">
        <v>1523</v>
      </c>
      <c r="O97" s="9">
        <v>1084.79</v>
      </c>
      <c r="P97" s="9">
        <v>2484.9899999999998</v>
      </c>
      <c r="Q97" s="9">
        <v>2484.9899999999998</v>
      </c>
      <c r="R97" t="s">
        <v>2065</v>
      </c>
      <c r="S97" s="11">
        <v>3.4000000000000002E-2</v>
      </c>
      <c r="T97" t="s">
        <v>2065</v>
      </c>
      <c r="U97" s="13">
        <v>18</v>
      </c>
      <c r="V97" s="9">
        <f t="shared" si="4"/>
        <v>43209.006119999991</v>
      </c>
      <c r="W97" s="9">
        <f t="shared" si="5"/>
        <v>19526.22</v>
      </c>
      <c r="X97" s="9">
        <f t="shared" si="6"/>
        <v>23682.78611999999</v>
      </c>
      <c r="Y97" s="11">
        <f t="shared" si="7"/>
        <v>0.54809837685755114</v>
      </c>
    </row>
    <row r="98" spans="1:25" x14ac:dyDescent="0.3">
      <c r="A98" t="s">
        <v>111</v>
      </c>
      <c r="B98">
        <v>45870</v>
      </c>
      <c r="C98">
        <v>45885</v>
      </c>
      <c r="D98" t="s">
        <v>2064</v>
      </c>
      <c r="E98">
        <v>45885</v>
      </c>
      <c r="F98">
        <v>15</v>
      </c>
      <c r="G98" t="s">
        <v>647</v>
      </c>
      <c r="H98" t="s">
        <v>654</v>
      </c>
      <c r="I98" t="s">
        <v>2057</v>
      </c>
      <c r="J98" t="s">
        <v>706</v>
      </c>
      <c r="K98" t="s">
        <v>711</v>
      </c>
      <c r="L98" t="s">
        <v>719</v>
      </c>
      <c r="M98" t="s">
        <v>732</v>
      </c>
      <c r="N98" t="s">
        <v>1524</v>
      </c>
      <c r="O98" s="9">
        <v>24.44</v>
      </c>
      <c r="P98" s="9">
        <v>28.69</v>
      </c>
      <c r="Q98" s="9">
        <v>28.69</v>
      </c>
      <c r="R98" t="s">
        <v>2065</v>
      </c>
      <c r="S98" s="11">
        <v>0.14599999999999999</v>
      </c>
      <c r="T98" t="s">
        <v>2065</v>
      </c>
      <c r="U98" s="13">
        <v>6</v>
      </c>
      <c r="V98" s="9">
        <f t="shared" si="4"/>
        <v>147.00756000000001</v>
      </c>
      <c r="W98" s="9">
        <f t="shared" si="5"/>
        <v>146.64000000000001</v>
      </c>
      <c r="X98" s="9">
        <f t="shared" si="6"/>
        <v>0.36755999999999744</v>
      </c>
      <c r="Y98" s="11">
        <f t="shared" si="7"/>
        <v>2.5002795774584476E-3</v>
      </c>
    </row>
    <row r="99" spans="1:25" x14ac:dyDescent="0.3">
      <c r="A99" t="s">
        <v>112</v>
      </c>
      <c r="B99">
        <v>45440</v>
      </c>
      <c r="C99">
        <v>45438</v>
      </c>
      <c r="D99" t="s">
        <v>2066</v>
      </c>
      <c r="E99">
        <v>45440</v>
      </c>
      <c r="F99">
        <v>0</v>
      </c>
      <c r="G99" t="s">
        <v>646</v>
      </c>
      <c r="H99" t="s">
        <v>651</v>
      </c>
      <c r="I99" t="s">
        <v>669</v>
      </c>
      <c r="J99" t="s">
        <v>706</v>
      </c>
      <c r="K99" t="s">
        <v>708</v>
      </c>
      <c r="L99" t="s">
        <v>721</v>
      </c>
      <c r="M99" t="s">
        <v>733</v>
      </c>
      <c r="N99" t="s">
        <v>1525</v>
      </c>
      <c r="O99" s="9">
        <v>1227.08</v>
      </c>
      <c r="P99" s="9">
        <v>1896.62</v>
      </c>
      <c r="Q99" s="9">
        <v>1896.62</v>
      </c>
      <c r="R99" t="s">
        <v>2065</v>
      </c>
      <c r="S99" s="11">
        <v>0</v>
      </c>
      <c r="T99" t="s">
        <v>2065</v>
      </c>
      <c r="U99" s="13">
        <v>18</v>
      </c>
      <c r="V99" s="9">
        <f t="shared" si="4"/>
        <v>34139.159999999996</v>
      </c>
      <c r="W99" s="9">
        <f t="shared" si="5"/>
        <v>22087.439999999999</v>
      </c>
      <c r="X99" s="9">
        <f t="shared" si="6"/>
        <v>12051.719999999998</v>
      </c>
      <c r="Y99" s="11">
        <f t="shared" si="7"/>
        <v>0.353017473189147</v>
      </c>
    </row>
    <row r="100" spans="1:25" x14ac:dyDescent="0.3">
      <c r="A100" t="s">
        <v>113</v>
      </c>
      <c r="B100">
        <v>45860</v>
      </c>
      <c r="C100">
        <v>45887</v>
      </c>
      <c r="D100" t="s">
        <v>2064</v>
      </c>
      <c r="E100">
        <v>45887</v>
      </c>
      <c r="F100">
        <v>27</v>
      </c>
      <c r="G100" t="s">
        <v>647</v>
      </c>
      <c r="H100" t="s">
        <v>659</v>
      </c>
      <c r="I100" t="s">
        <v>676</v>
      </c>
      <c r="J100" t="s">
        <v>703</v>
      </c>
      <c r="K100" t="s">
        <v>709</v>
      </c>
      <c r="L100" t="s">
        <v>724</v>
      </c>
      <c r="M100" t="s">
        <v>729</v>
      </c>
      <c r="N100" t="s">
        <v>1526</v>
      </c>
      <c r="O100" s="9">
        <v>547.32000000000005</v>
      </c>
      <c r="P100" s="9">
        <v>419.17</v>
      </c>
      <c r="Q100" s="9">
        <v>419.17</v>
      </c>
      <c r="R100" t="s">
        <v>2065</v>
      </c>
      <c r="S100" s="11">
        <v>9.1999999999999998E-2</v>
      </c>
      <c r="T100" t="s">
        <v>2065</v>
      </c>
      <c r="U100" s="13">
        <v>14</v>
      </c>
      <c r="V100" s="9">
        <f t="shared" si="4"/>
        <v>5328.4890400000004</v>
      </c>
      <c r="W100" s="9">
        <f t="shared" si="5"/>
        <v>7662.4800000000005</v>
      </c>
      <c r="X100" s="9">
        <f t="shared" si="6"/>
        <v>-2333.9909600000001</v>
      </c>
      <c r="Y100" s="11">
        <f t="shared" si="7"/>
        <v>-0.43802116181137907</v>
      </c>
    </row>
    <row r="101" spans="1:25" x14ac:dyDescent="0.3">
      <c r="A101" t="s">
        <v>114</v>
      </c>
      <c r="B101">
        <v>44985</v>
      </c>
      <c r="C101">
        <v>45005</v>
      </c>
      <c r="D101" t="s">
        <v>2064</v>
      </c>
      <c r="E101">
        <v>45005</v>
      </c>
      <c r="F101">
        <v>20</v>
      </c>
      <c r="G101" t="s">
        <v>649</v>
      </c>
      <c r="H101" t="s">
        <v>656</v>
      </c>
      <c r="I101" t="s">
        <v>671</v>
      </c>
      <c r="J101" t="s">
        <v>705</v>
      </c>
      <c r="K101" t="s">
        <v>711</v>
      </c>
      <c r="L101" t="s">
        <v>722</v>
      </c>
      <c r="M101" t="s">
        <v>731</v>
      </c>
      <c r="N101" t="s">
        <v>1527</v>
      </c>
      <c r="O101" s="9">
        <v>1200.78</v>
      </c>
      <c r="P101" s="9">
        <v>2001.17</v>
      </c>
      <c r="Q101" s="9">
        <v>2001.17</v>
      </c>
      <c r="R101" t="s">
        <v>2065</v>
      </c>
      <c r="S101" s="11">
        <v>0.29199999999999998</v>
      </c>
      <c r="T101" t="s">
        <v>2065</v>
      </c>
      <c r="U101" s="13">
        <v>18</v>
      </c>
      <c r="V101" s="9">
        <f t="shared" si="4"/>
        <v>25502.910479999999</v>
      </c>
      <c r="W101" s="9">
        <f t="shared" si="5"/>
        <v>21614.04</v>
      </c>
      <c r="X101" s="9">
        <f t="shared" si="6"/>
        <v>3888.8704799999978</v>
      </c>
      <c r="Y101" s="11">
        <f t="shared" si="7"/>
        <v>0.15248732034132906</v>
      </c>
    </row>
    <row r="102" spans="1:25" x14ac:dyDescent="0.3">
      <c r="A102" t="s">
        <v>115</v>
      </c>
      <c r="B102">
        <v>45684</v>
      </c>
      <c r="C102">
        <v>45703</v>
      </c>
      <c r="D102" t="s">
        <v>2064</v>
      </c>
      <c r="E102">
        <v>45703</v>
      </c>
      <c r="F102">
        <v>19</v>
      </c>
      <c r="G102" t="s">
        <v>647</v>
      </c>
      <c r="H102" t="s">
        <v>659</v>
      </c>
      <c r="I102" t="s">
        <v>676</v>
      </c>
      <c r="J102" t="s">
        <v>703</v>
      </c>
      <c r="K102" t="s">
        <v>711</v>
      </c>
      <c r="L102" t="s">
        <v>716</v>
      </c>
      <c r="M102" t="s">
        <v>730</v>
      </c>
      <c r="N102" t="s">
        <v>1528</v>
      </c>
      <c r="O102" s="9">
        <v>1253.22</v>
      </c>
      <c r="P102" s="9">
        <v>3104.71</v>
      </c>
      <c r="Q102" s="9">
        <v>3104.71</v>
      </c>
      <c r="R102" t="s">
        <v>2065</v>
      </c>
      <c r="S102" s="11">
        <v>0</v>
      </c>
      <c r="T102" t="s">
        <v>2065</v>
      </c>
      <c r="U102" s="13">
        <v>17</v>
      </c>
      <c r="V102" s="9">
        <f t="shared" si="4"/>
        <v>52780.07</v>
      </c>
      <c r="W102" s="9">
        <f t="shared" si="5"/>
        <v>21304.74</v>
      </c>
      <c r="X102" s="9">
        <f t="shared" si="6"/>
        <v>31475.329999999998</v>
      </c>
      <c r="Y102" s="11">
        <f t="shared" si="7"/>
        <v>0.59634877331538205</v>
      </c>
    </row>
    <row r="103" spans="1:25" x14ac:dyDescent="0.3">
      <c r="A103" t="s">
        <v>116</v>
      </c>
      <c r="B103">
        <v>45304</v>
      </c>
      <c r="C103">
        <v>45313</v>
      </c>
      <c r="D103" t="s">
        <v>2064</v>
      </c>
      <c r="E103">
        <v>45313</v>
      </c>
      <c r="F103">
        <v>9</v>
      </c>
      <c r="G103" t="s">
        <v>647</v>
      </c>
      <c r="H103" t="s">
        <v>654</v>
      </c>
      <c r="I103" t="s">
        <v>691</v>
      </c>
      <c r="J103" t="s">
        <v>706</v>
      </c>
      <c r="K103" t="s">
        <v>709</v>
      </c>
      <c r="L103" t="s">
        <v>713</v>
      </c>
      <c r="M103" t="s">
        <v>727</v>
      </c>
      <c r="N103" t="s">
        <v>1529</v>
      </c>
      <c r="O103" s="9">
        <v>313.60000000000002</v>
      </c>
      <c r="P103" s="9">
        <v>334.28</v>
      </c>
      <c r="Q103" s="9">
        <v>334.28</v>
      </c>
      <c r="R103" t="s">
        <v>2065</v>
      </c>
      <c r="S103" s="11">
        <v>0.14000000000000001</v>
      </c>
      <c r="T103" t="s">
        <v>2065</v>
      </c>
      <c r="U103" s="13">
        <v>22</v>
      </c>
      <c r="V103" s="9">
        <f t="shared" si="4"/>
        <v>6324.5775999999996</v>
      </c>
      <c r="W103" s="9">
        <f t="shared" si="5"/>
        <v>6899.2000000000007</v>
      </c>
      <c r="X103" s="9">
        <f t="shared" si="6"/>
        <v>-574.62240000000111</v>
      </c>
      <c r="Y103" s="11">
        <f t="shared" si="7"/>
        <v>-9.0855458868905517E-2</v>
      </c>
    </row>
    <row r="104" spans="1:25" x14ac:dyDescent="0.3">
      <c r="A104" t="s">
        <v>117</v>
      </c>
      <c r="B104">
        <v>45747</v>
      </c>
      <c r="C104">
        <v>45751</v>
      </c>
      <c r="D104" t="s">
        <v>2064</v>
      </c>
      <c r="E104">
        <v>45751</v>
      </c>
      <c r="F104">
        <v>4</v>
      </c>
      <c r="G104" t="s">
        <v>646</v>
      </c>
      <c r="H104" t="s">
        <v>650</v>
      </c>
      <c r="I104" t="s">
        <v>678</v>
      </c>
      <c r="J104" t="s">
        <v>701</v>
      </c>
      <c r="K104" t="s">
        <v>711</v>
      </c>
      <c r="L104" t="s">
        <v>712</v>
      </c>
      <c r="M104" t="s">
        <v>731</v>
      </c>
      <c r="N104" t="s">
        <v>1530</v>
      </c>
      <c r="O104" s="9">
        <v>862.08</v>
      </c>
      <c r="P104" s="9">
        <v>1952.83</v>
      </c>
      <c r="Q104" s="9">
        <v>1952.83</v>
      </c>
      <c r="R104" t="s">
        <v>2065</v>
      </c>
      <c r="S104" s="11">
        <v>0</v>
      </c>
      <c r="T104" t="s">
        <v>2065</v>
      </c>
      <c r="U104" s="13">
        <v>7</v>
      </c>
      <c r="V104" s="9">
        <f t="shared" si="4"/>
        <v>13669.81</v>
      </c>
      <c r="W104" s="9">
        <f t="shared" si="5"/>
        <v>6034.56</v>
      </c>
      <c r="X104" s="9">
        <f t="shared" si="6"/>
        <v>7635.2499999999991</v>
      </c>
      <c r="Y104" s="11">
        <f t="shared" si="7"/>
        <v>0.5585483631447693</v>
      </c>
    </row>
    <row r="105" spans="1:25" x14ac:dyDescent="0.3">
      <c r="A105" t="s">
        <v>118</v>
      </c>
      <c r="B105">
        <v>45631</v>
      </c>
      <c r="C105">
        <v>45654</v>
      </c>
      <c r="D105" t="s">
        <v>2064</v>
      </c>
      <c r="E105">
        <v>45654</v>
      </c>
      <c r="F105">
        <v>23</v>
      </c>
      <c r="G105" t="s">
        <v>648</v>
      </c>
      <c r="H105" t="s">
        <v>653</v>
      </c>
      <c r="I105" t="s">
        <v>688</v>
      </c>
      <c r="J105" t="s">
        <v>701</v>
      </c>
      <c r="K105" t="s">
        <v>711</v>
      </c>
      <c r="L105" t="s">
        <v>721</v>
      </c>
      <c r="M105" t="s">
        <v>733</v>
      </c>
      <c r="N105" t="s">
        <v>1531</v>
      </c>
      <c r="O105" s="9">
        <v>107.03</v>
      </c>
      <c r="P105" s="9">
        <v>242.29</v>
      </c>
      <c r="Q105" s="9">
        <v>242.29</v>
      </c>
      <c r="R105" t="s">
        <v>2065</v>
      </c>
      <c r="S105" s="11">
        <v>0.18</v>
      </c>
      <c r="T105" t="s">
        <v>2065</v>
      </c>
      <c r="U105" s="13">
        <v>30</v>
      </c>
      <c r="V105" s="9">
        <f t="shared" si="4"/>
        <v>5960.3340000000007</v>
      </c>
      <c r="W105" s="9">
        <f t="shared" si="5"/>
        <v>3210.9</v>
      </c>
      <c r="X105" s="9">
        <f t="shared" si="6"/>
        <v>2749.4340000000007</v>
      </c>
      <c r="Y105" s="11">
        <f t="shared" si="7"/>
        <v>0.46128857879440988</v>
      </c>
    </row>
    <row r="106" spans="1:25" x14ac:dyDescent="0.3">
      <c r="A106" t="s">
        <v>119</v>
      </c>
      <c r="B106">
        <v>45549</v>
      </c>
      <c r="C106">
        <v>45570</v>
      </c>
      <c r="D106" t="s">
        <v>2064</v>
      </c>
      <c r="E106">
        <v>45570</v>
      </c>
      <c r="F106">
        <v>21</v>
      </c>
      <c r="G106" t="s">
        <v>647</v>
      </c>
      <c r="H106" t="s">
        <v>659</v>
      </c>
      <c r="I106" t="s">
        <v>685</v>
      </c>
      <c r="J106" t="s">
        <v>705</v>
      </c>
      <c r="K106" t="s">
        <v>708</v>
      </c>
      <c r="L106" t="s">
        <v>722</v>
      </c>
      <c r="M106" t="s">
        <v>731</v>
      </c>
      <c r="N106" t="s">
        <v>1532</v>
      </c>
      <c r="O106" s="9">
        <v>1405.56</v>
      </c>
      <c r="P106" s="9">
        <v>2968.87</v>
      </c>
      <c r="Q106" s="9">
        <v>2968.87</v>
      </c>
      <c r="R106" t="s">
        <v>2065</v>
      </c>
      <c r="S106" s="11">
        <v>0.16900000000000001</v>
      </c>
      <c r="T106" t="s">
        <v>2065</v>
      </c>
      <c r="U106" s="13">
        <v>5</v>
      </c>
      <c r="V106" s="9">
        <f t="shared" si="4"/>
        <v>12335.654849999999</v>
      </c>
      <c r="W106" s="9">
        <f t="shared" si="5"/>
        <v>7027.7999999999993</v>
      </c>
      <c r="X106" s="9">
        <f t="shared" si="6"/>
        <v>5307.8548499999997</v>
      </c>
      <c r="Y106" s="11">
        <f t="shared" si="7"/>
        <v>0.4302856163327235</v>
      </c>
    </row>
    <row r="107" spans="1:25" x14ac:dyDescent="0.3">
      <c r="A107" t="s">
        <v>120</v>
      </c>
      <c r="B107">
        <v>45433</v>
      </c>
      <c r="C107">
        <v>45439</v>
      </c>
      <c r="D107" t="s">
        <v>2064</v>
      </c>
      <c r="E107">
        <v>45439</v>
      </c>
      <c r="F107">
        <v>6</v>
      </c>
      <c r="G107" t="s">
        <v>646</v>
      </c>
      <c r="H107" t="s">
        <v>661</v>
      </c>
      <c r="I107" t="s">
        <v>682</v>
      </c>
      <c r="J107" t="s">
        <v>703</v>
      </c>
      <c r="K107" t="s">
        <v>708</v>
      </c>
      <c r="L107" t="s">
        <v>724</v>
      </c>
      <c r="M107" t="s">
        <v>727</v>
      </c>
      <c r="N107" t="s">
        <v>1533</v>
      </c>
      <c r="O107" s="9">
        <v>1157.51</v>
      </c>
      <c r="P107" s="9">
        <v>1394.3</v>
      </c>
      <c r="Q107" s="9">
        <v>1394.3</v>
      </c>
      <c r="R107" t="s">
        <v>2065</v>
      </c>
      <c r="S107" s="11">
        <v>0.27800000000000002</v>
      </c>
      <c r="T107" t="s">
        <v>2065</v>
      </c>
      <c r="U107" s="13">
        <v>12</v>
      </c>
      <c r="V107" s="9">
        <f t="shared" si="4"/>
        <v>12080.215199999999</v>
      </c>
      <c r="W107" s="9">
        <f t="shared" si="5"/>
        <v>13890.119999999999</v>
      </c>
      <c r="X107" s="9">
        <f t="shared" si="6"/>
        <v>-1809.9048000000003</v>
      </c>
      <c r="Y107" s="11">
        <f t="shared" si="7"/>
        <v>-0.14982388724333326</v>
      </c>
    </row>
    <row r="108" spans="1:25" x14ac:dyDescent="0.3">
      <c r="A108" t="s">
        <v>121</v>
      </c>
      <c r="B108">
        <v>45057</v>
      </c>
      <c r="C108">
        <v>45084</v>
      </c>
      <c r="D108" t="s">
        <v>2064</v>
      </c>
      <c r="E108">
        <v>45084</v>
      </c>
      <c r="F108">
        <v>27</v>
      </c>
      <c r="G108" t="s">
        <v>646</v>
      </c>
      <c r="H108" t="s">
        <v>650</v>
      </c>
      <c r="I108" t="s">
        <v>675</v>
      </c>
      <c r="J108" t="s">
        <v>701</v>
      </c>
      <c r="K108" t="s">
        <v>708</v>
      </c>
      <c r="L108" t="s">
        <v>713</v>
      </c>
      <c r="M108" t="s">
        <v>730</v>
      </c>
      <c r="N108" t="s">
        <v>1534</v>
      </c>
      <c r="O108" s="9">
        <v>12.85</v>
      </c>
      <c r="P108" s="9">
        <v>15.41</v>
      </c>
      <c r="Q108" s="9">
        <v>15.41</v>
      </c>
      <c r="R108" t="s">
        <v>2065</v>
      </c>
      <c r="S108" s="11">
        <v>0.13700000000000001</v>
      </c>
      <c r="T108" t="s">
        <v>2065</v>
      </c>
      <c r="U108" s="13">
        <v>39</v>
      </c>
      <c r="V108" s="9">
        <f t="shared" si="4"/>
        <v>518.65436999999997</v>
      </c>
      <c r="W108" s="9">
        <f t="shared" si="5"/>
        <v>501.15</v>
      </c>
      <c r="X108" s="9">
        <f t="shared" si="6"/>
        <v>17.504369999999994</v>
      </c>
      <c r="Y108" s="11">
        <f t="shared" si="7"/>
        <v>3.3749585489851353E-2</v>
      </c>
    </row>
    <row r="109" spans="1:25" x14ac:dyDescent="0.3">
      <c r="A109" t="s">
        <v>122</v>
      </c>
      <c r="B109">
        <v>45518</v>
      </c>
      <c r="C109">
        <v>45539</v>
      </c>
      <c r="D109" t="s">
        <v>2064</v>
      </c>
      <c r="E109">
        <v>45539</v>
      </c>
      <c r="F109">
        <v>21</v>
      </c>
      <c r="G109" t="s">
        <v>649</v>
      </c>
      <c r="H109" t="s">
        <v>658</v>
      </c>
      <c r="I109" t="s">
        <v>693</v>
      </c>
      <c r="J109" t="s">
        <v>703</v>
      </c>
      <c r="K109" t="s">
        <v>708</v>
      </c>
      <c r="L109" t="s">
        <v>713</v>
      </c>
      <c r="M109" t="s">
        <v>730</v>
      </c>
      <c r="N109" t="s">
        <v>1535</v>
      </c>
      <c r="O109" s="9">
        <v>1138.8</v>
      </c>
      <c r="P109" s="9">
        <v>2250.81</v>
      </c>
      <c r="Q109" s="9">
        <v>2250.81</v>
      </c>
      <c r="R109" t="s">
        <v>2065</v>
      </c>
      <c r="S109" s="11">
        <v>0.123</v>
      </c>
      <c r="T109" t="s">
        <v>2065</v>
      </c>
      <c r="U109" s="13">
        <v>12</v>
      </c>
      <c r="V109" s="9">
        <f t="shared" si="4"/>
        <v>23687.524440000001</v>
      </c>
      <c r="W109" s="9">
        <f t="shared" si="5"/>
        <v>13665.599999999999</v>
      </c>
      <c r="X109" s="9">
        <f t="shared" si="6"/>
        <v>10021.924440000003</v>
      </c>
      <c r="Y109" s="11">
        <f t="shared" si="7"/>
        <v>0.42308872188756258</v>
      </c>
    </row>
    <row r="110" spans="1:25" x14ac:dyDescent="0.3">
      <c r="A110" t="s">
        <v>123</v>
      </c>
      <c r="B110">
        <v>45581</v>
      </c>
      <c r="C110">
        <v>45604</v>
      </c>
      <c r="D110" t="s">
        <v>2064</v>
      </c>
      <c r="E110">
        <v>45604</v>
      </c>
      <c r="F110">
        <v>23</v>
      </c>
      <c r="G110" t="s">
        <v>647</v>
      </c>
      <c r="H110" t="s">
        <v>652</v>
      </c>
      <c r="I110" t="s">
        <v>666</v>
      </c>
      <c r="J110" t="s">
        <v>705</v>
      </c>
      <c r="K110" t="s">
        <v>707</v>
      </c>
      <c r="L110" t="s">
        <v>713</v>
      </c>
      <c r="M110" t="s">
        <v>729</v>
      </c>
      <c r="N110" t="s">
        <v>1536</v>
      </c>
      <c r="O110" s="9">
        <v>82.14</v>
      </c>
      <c r="P110" s="9">
        <v>166.04</v>
      </c>
      <c r="Q110" s="9">
        <v>166.04</v>
      </c>
      <c r="R110" t="s">
        <v>2065</v>
      </c>
      <c r="S110" s="11">
        <v>0</v>
      </c>
      <c r="T110" t="s">
        <v>2065</v>
      </c>
      <c r="U110" s="13">
        <v>10</v>
      </c>
      <c r="V110" s="9">
        <f t="shared" si="4"/>
        <v>1660.3999999999999</v>
      </c>
      <c r="W110" s="9">
        <f t="shared" si="5"/>
        <v>821.4</v>
      </c>
      <c r="X110" s="9">
        <f t="shared" si="6"/>
        <v>838.99999999999989</v>
      </c>
      <c r="Y110" s="11">
        <f t="shared" si="7"/>
        <v>0.50529992772825827</v>
      </c>
    </row>
    <row r="111" spans="1:25" x14ac:dyDescent="0.3">
      <c r="A111" t="s">
        <v>124</v>
      </c>
      <c r="B111">
        <v>45445</v>
      </c>
      <c r="C111">
        <v>45451</v>
      </c>
      <c r="D111" t="s">
        <v>2064</v>
      </c>
      <c r="E111">
        <v>45451</v>
      </c>
      <c r="F111">
        <v>6</v>
      </c>
      <c r="G111" t="s">
        <v>646</v>
      </c>
      <c r="H111" t="s">
        <v>650</v>
      </c>
      <c r="I111" t="s">
        <v>662</v>
      </c>
      <c r="J111" t="s">
        <v>704</v>
      </c>
      <c r="K111" t="s">
        <v>709</v>
      </c>
      <c r="L111" t="s">
        <v>720</v>
      </c>
      <c r="M111" t="s">
        <v>733</v>
      </c>
      <c r="N111" t="s">
        <v>1537</v>
      </c>
      <c r="O111" s="9">
        <v>292.94</v>
      </c>
      <c r="P111" s="9">
        <v>356.55</v>
      </c>
      <c r="Q111" s="9">
        <v>356.55</v>
      </c>
      <c r="R111" t="s">
        <v>2065</v>
      </c>
      <c r="S111" s="11">
        <v>0.22900000000000001</v>
      </c>
      <c r="T111" t="s">
        <v>2065</v>
      </c>
      <c r="U111" s="13">
        <v>2</v>
      </c>
      <c r="V111" s="9">
        <f t="shared" si="4"/>
        <v>549.80010000000004</v>
      </c>
      <c r="W111" s="9">
        <f t="shared" si="5"/>
        <v>585.88</v>
      </c>
      <c r="X111" s="9">
        <f t="shared" si="6"/>
        <v>-36.079899999999952</v>
      </c>
      <c r="Y111" s="11">
        <f t="shared" si="7"/>
        <v>-6.5623669402751925E-2</v>
      </c>
    </row>
    <row r="112" spans="1:25" x14ac:dyDescent="0.3">
      <c r="A112" t="s">
        <v>125</v>
      </c>
      <c r="B112">
        <v>45452</v>
      </c>
      <c r="C112">
        <v>45480</v>
      </c>
      <c r="D112" t="s">
        <v>2064</v>
      </c>
      <c r="E112">
        <v>45480</v>
      </c>
      <c r="F112">
        <v>28</v>
      </c>
      <c r="G112" t="s">
        <v>647</v>
      </c>
      <c r="H112" t="s">
        <v>659</v>
      </c>
      <c r="I112" t="s">
        <v>676</v>
      </c>
      <c r="J112" t="s">
        <v>701</v>
      </c>
      <c r="K112" t="s">
        <v>708</v>
      </c>
      <c r="L112" t="s">
        <v>713</v>
      </c>
      <c r="M112" t="s">
        <v>727</v>
      </c>
      <c r="N112" t="s">
        <v>1538</v>
      </c>
      <c r="O112" s="9">
        <v>550.22</v>
      </c>
      <c r="P112" s="9">
        <v>1025.05</v>
      </c>
      <c r="Q112" s="9">
        <v>1025.05</v>
      </c>
      <c r="R112" t="s">
        <v>2065</v>
      </c>
      <c r="S112" s="11">
        <v>0</v>
      </c>
      <c r="T112" t="s">
        <v>2065</v>
      </c>
      <c r="U112" s="13">
        <v>27</v>
      </c>
      <c r="V112" s="9">
        <f t="shared" si="4"/>
        <v>27676.35</v>
      </c>
      <c r="W112" s="9">
        <f t="shared" si="5"/>
        <v>14855.94</v>
      </c>
      <c r="X112" s="9">
        <f t="shared" si="6"/>
        <v>12820.409999999998</v>
      </c>
      <c r="Y112" s="11">
        <f t="shared" si="7"/>
        <v>0.46322618408858102</v>
      </c>
    </row>
    <row r="113" spans="1:25" x14ac:dyDescent="0.3">
      <c r="A113" t="s">
        <v>126</v>
      </c>
      <c r="B113">
        <v>45453</v>
      </c>
      <c r="C113">
        <v>45454</v>
      </c>
      <c r="D113" t="s">
        <v>2064</v>
      </c>
      <c r="E113">
        <v>45454</v>
      </c>
      <c r="F113">
        <v>1</v>
      </c>
      <c r="G113" t="s">
        <v>649</v>
      </c>
      <c r="H113" t="s">
        <v>658</v>
      </c>
      <c r="I113" t="s">
        <v>674</v>
      </c>
      <c r="J113" t="s">
        <v>705</v>
      </c>
      <c r="K113" t="s">
        <v>709</v>
      </c>
      <c r="L113" t="s">
        <v>724</v>
      </c>
      <c r="M113" t="s">
        <v>731</v>
      </c>
      <c r="N113" t="s">
        <v>1539</v>
      </c>
      <c r="O113" s="9">
        <v>1187.1300000000001</v>
      </c>
      <c r="P113" s="9">
        <v>1795.17</v>
      </c>
      <c r="Q113" s="9">
        <v>1795.17</v>
      </c>
      <c r="R113" t="s">
        <v>2065</v>
      </c>
      <c r="S113" s="11">
        <v>1.2E-2</v>
      </c>
      <c r="T113" t="s">
        <v>2065</v>
      </c>
      <c r="U113" s="13">
        <v>17</v>
      </c>
      <c r="V113" s="9">
        <f t="shared" si="4"/>
        <v>30151.675319999998</v>
      </c>
      <c r="W113" s="9">
        <f t="shared" si="5"/>
        <v>20181.210000000003</v>
      </c>
      <c r="X113" s="9">
        <f t="shared" si="6"/>
        <v>9970.4653199999957</v>
      </c>
      <c r="Y113" s="11">
        <f t="shared" si="7"/>
        <v>0.33067699271046663</v>
      </c>
    </row>
    <row r="114" spans="1:25" x14ac:dyDescent="0.3">
      <c r="A114" t="s">
        <v>127</v>
      </c>
      <c r="B114">
        <v>45472</v>
      </c>
      <c r="C114">
        <v>45499</v>
      </c>
      <c r="D114" t="s">
        <v>2064</v>
      </c>
      <c r="E114">
        <v>45499</v>
      </c>
      <c r="F114">
        <v>27</v>
      </c>
      <c r="G114" t="s">
        <v>646</v>
      </c>
      <c r="H114" t="s">
        <v>661</v>
      </c>
      <c r="I114" t="s">
        <v>687</v>
      </c>
      <c r="J114" t="s">
        <v>706</v>
      </c>
      <c r="K114" t="s">
        <v>710</v>
      </c>
      <c r="L114" t="s">
        <v>717</v>
      </c>
      <c r="M114" t="s">
        <v>729</v>
      </c>
      <c r="N114" t="s">
        <v>1540</v>
      </c>
      <c r="O114" s="9">
        <v>5.36</v>
      </c>
      <c r="P114" s="9">
        <v>4.37</v>
      </c>
      <c r="Q114" s="9">
        <v>4.37</v>
      </c>
      <c r="R114" t="s">
        <v>2065</v>
      </c>
      <c r="S114" s="11">
        <v>0.11799999999999999</v>
      </c>
      <c r="T114" t="s">
        <v>2065</v>
      </c>
      <c r="U114" s="13">
        <v>9</v>
      </c>
      <c r="V114" s="9">
        <f t="shared" si="4"/>
        <v>34.689059999999998</v>
      </c>
      <c r="W114" s="9">
        <f t="shared" si="5"/>
        <v>48.24</v>
      </c>
      <c r="X114" s="9">
        <f t="shared" si="6"/>
        <v>-13.550940000000004</v>
      </c>
      <c r="Y114" s="11">
        <f t="shared" si="7"/>
        <v>-0.39064016148030545</v>
      </c>
    </row>
    <row r="115" spans="1:25" x14ac:dyDescent="0.3">
      <c r="A115" t="s">
        <v>128</v>
      </c>
      <c r="B115">
        <v>45674</v>
      </c>
      <c r="C115">
        <v>45681</v>
      </c>
      <c r="D115" t="s">
        <v>2064</v>
      </c>
      <c r="E115">
        <v>45681</v>
      </c>
      <c r="F115">
        <v>7</v>
      </c>
      <c r="G115" t="s">
        <v>648</v>
      </c>
      <c r="H115" t="s">
        <v>1425</v>
      </c>
      <c r="I115" t="s">
        <v>697</v>
      </c>
      <c r="J115" t="s">
        <v>706</v>
      </c>
      <c r="K115" t="s">
        <v>708</v>
      </c>
      <c r="L115" t="s">
        <v>715</v>
      </c>
      <c r="M115" t="s">
        <v>733</v>
      </c>
      <c r="N115" t="s">
        <v>1541</v>
      </c>
      <c r="O115" s="9">
        <v>142.09</v>
      </c>
      <c r="P115" s="9">
        <v>218.5</v>
      </c>
      <c r="Q115" s="9">
        <v>218.5</v>
      </c>
      <c r="R115" t="s">
        <v>2065</v>
      </c>
      <c r="S115" s="11">
        <v>0.11899999999999999</v>
      </c>
      <c r="T115" t="s">
        <v>2065</v>
      </c>
      <c r="U115" s="13">
        <v>11</v>
      </c>
      <c r="V115" s="9">
        <f t="shared" si="4"/>
        <v>2117.4834999999998</v>
      </c>
      <c r="W115" s="9">
        <f t="shared" si="5"/>
        <v>1562.99</v>
      </c>
      <c r="X115" s="9">
        <f t="shared" si="6"/>
        <v>554.49349999999981</v>
      </c>
      <c r="Y115" s="11">
        <f t="shared" si="7"/>
        <v>0.26186437816398561</v>
      </c>
    </row>
    <row r="116" spans="1:25" x14ac:dyDescent="0.3">
      <c r="A116" t="s">
        <v>129</v>
      </c>
      <c r="B116">
        <v>45250</v>
      </c>
      <c r="C116">
        <v>45265</v>
      </c>
      <c r="D116" t="s">
        <v>2064</v>
      </c>
      <c r="E116">
        <v>45265</v>
      </c>
      <c r="F116">
        <v>15</v>
      </c>
      <c r="G116" t="s">
        <v>647</v>
      </c>
      <c r="H116" t="s">
        <v>652</v>
      </c>
      <c r="I116" t="s">
        <v>689</v>
      </c>
      <c r="J116" t="s">
        <v>706</v>
      </c>
      <c r="K116" t="s">
        <v>707</v>
      </c>
      <c r="L116" t="s">
        <v>716</v>
      </c>
      <c r="M116" t="s">
        <v>729</v>
      </c>
      <c r="N116" t="s">
        <v>1542</v>
      </c>
      <c r="O116" s="9">
        <v>354.24</v>
      </c>
      <c r="P116" s="9">
        <v>249.87</v>
      </c>
      <c r="Q116" s="9">
        <v>249.87</v>
      </c>
      <c r="R116" t="s">
        <v>2065</v>
      </c>
      <c r="S116" s="11">
        <v>0</v>
      </c>
      <c r="T116" t="s">
        <v>2065</v>
      </c>
      <c r="U116" s="13">
        <v>6</v>
      </c>
      <c r="V116" s="9">
        <f t="shared" si="4"/>
        <v>1499.22</v>
      </c>
      <c r="W116" s="9">
        <f t="shared" si="5"/>
        <v>2125.44</v>
      </c>
      <c r="X116" s="9">
        <f t="shared" si="6"/>
        <v>-626.22</v>
      </c>
      <c r="Y116" s="11">
        <f t="shared" si="7"/>
        <v>-0.41769720254532355</v>
      </c>
    </row>
    <row r="117" spans="1:25" x14ac:dyDescent="0.3">
      <c r="A117" t="s">
        <v>130</v>
      </c>
      <c r="B117">
        <v>44987</v>
      </c>
      <c r="C117">
        <v>44990</v>
      </c>
      <c r="D117" t="s">
        <v>2064</v>
      </c>
      <c r="E117">
        <v>44990</v>
      </c>
      <c r="F117">
        <v>3</v>
      </c>
      <c r="G117" t="s">
        <v>648</v>
      </c>
      <c r="H117" t="s">
        <v>655</v>
      </c>
      <c r="I117" t="s">
        <v>672</v>
      </c>
      <c r="J117" t="s">
        <v>706</v>
      </c>
      <c r="K117" t="s">
        <v>711</v>
      </c>
      <c r="L117" t="s">
        <v>715</v>
      </c>
      <c r="M117" t="s">
        <v>732</v>
      </c>
      <c r="N117" t="s">
        <v>1543</v>
      </c>
      <c r="O117" s="9">
        <v>1473.58</v>
      </c>
      <c r="P117" s="9">
        <v>3436.52</v>
      </c>
      <c r="Q117" s="9">
        <v>3436.52</v>
      </c>
      <c r="R117" t="s">
        <v>2065</v>
      </c>
      <c r="S117" s="11">
        <v>0.108</v>
      </c>
      <c r="T117" t="s">
        <v>2065</v>
      </c>
      <c r="U117" s="13">
        <v>8</v>
      </c>
      <c r="V117" s="9">
        <f t="shared" si="4"/>
        <v>24523.006720000001</v>
      </c>
      <c r="W117" s="9">
        <f t="shared" si="5"/>
        <v>11788.64</v>
      </c>
      <c r="X117" s="9">
        <f t="shared" si="6"/>
        <v>12734.366720000002</v>
      </c>
      <c r="Y117" s="11">
        <f t="shared" si="7"/>
        <v>0.51928243813652564</v>
      </c>
    </row>
    <row r="118" spans="1:25" x14ac:dyDescent="0.3">
      <c r="A118" t="s">
        <v>131</v>
      </c>
      <c r="B118">
        <v>45811</v>
      </c>
      <c r="C118">
        <v>45818</v>
      </c>
      <c r="D118" t="s">
        <v>2064</v>
      </c>
      <c r="E118">
        <v>45818</v>
      </c>
      <c r="F118">
        <v>7</v>
      </c>
      <c r="G118" t="s">
        <v>648</v>
      </c>
      <c r="H118" t="s">
        <v>653</v>
      </c>
      <c r="I118" t="s">
        <v>667</v>
      </c>
      <c r="J118" t="s">
        <v>704</v>
      </c>
      <c r="K118" t="s">
        <v>710</v>
      </c>
      <c r="L118" t="s">
        <v>719</v>
      </c>
      <c r="M118" t="s">
        <v>728</v>
      </c>
      <c r="N118" t="s">
        <v>1544</v>
      </c>
      <c r="O118" s="9">
        <v>75.180000000000007</v>
      </c>
      <c r="P118" s="9">
        <v>53.45</v>
      </c>
      <c r="Q118" s="9">
        <v>53.45</v>
      </c>
      <c r="R118" t="s">
        <v>2065</v>
      </c>
      <c r="S118" s="11">
        <v>0.157</v>
      </c>
      <c r="T118" t="s">
        <v>2065</v>
      </c>
      <c r="U118" s="13">
        <v>17</v>
      </c>
      <c r="V118" s="9">
        <f t="shared" si="4"/>
        <v>765.99195000000009</v>
      </c>
      <c r="W118" s="9">
        <f t="shared" si="5"/>
        <v>1278.0600000000002</v>
      </c>
      <c r="X118" s="9">
        <f t="shared" si="6"/>
        <v>-512.06805000000008</v>
      </c>
      <c r="Y118" s="11">
        <f t="shared" si="7"/>
        <v>-0.66850317421743144</v>
      </c>
    </row>
    <row r="119" spans="1:25" x14ac:dyDescent="0.3">
      <c r="A119" t="s">
        <v>132</v>
      </c>
      <c r="B119">
        <v>45653</v>
      </c>
      <c r="C119">
        <v>45659</v>
      </c>
      <c r="D119" t="s">
        <v>2064</v>
      </c>
      <c r="E119">
        <v>45659</v>
      </c>
      <c r="F119">
        <v>6</v>
      </c>
      <c r="G119" t="s">
        <v>649</v>
      </c>
      <c r="H119" t="s">
        <v>656</v>
      </c>
      <c r="I119" t="s">
        <v>698</v>
      </c>
      <c r="J119" t="s">
        <v>702</v>
      </c>
      <c r="K119" t="s">
        <v>711</v>
      </c>
      <c r="L119" t="s">
        <v>721</v>
      </c>
      <c r="M119" t="s">
        <v>731</v>
      </c>
      <c r="N119" t="s">
        <v>1545</v>
      </c>
      <c r="O119" s="9">
        <v>1391.99</v>
      </c>
      <c r="P119" s="9">
        <v>3469.7</v>
      </c>
      <c r="Q119" s="9">
        <v>3469.7</v>
      </c>
      <c r="R119" t="s">
        <v>2065</v>
      </c>
      <c r="S119" s="11">
        <v>0.184</v>
      </c>
      <c r="T119" t="s">
        <v>2065</v>
      </c>
      <c r="U119" s="13">
        <v>23</v>
      </c>
      <c r="V119" s="9">
        <f t="shared" si="4"/>
        <v>65119.329599999997</v>
      </c>
      <c r="W119" s="9">
        <f t="shared" si="5"/>
        <v>32015.77</v>
      </c>
      <c r="X119" s="9">
        <f t="shared" si="6"/>
        <v>33103.559599999993</v>
      </c>
      <c r="Y119" s="11">
        <f t="shared" si="7"/>
        <v>0.50835227886006973</v>
      </c>
    </row>
    <row r="120" spans="1:25" x14ac:dyDescent="0.3">
      <c r="A120" t="s">
        <v>133</v>
      </c>
      <c r="B120">
        <v>45086</v>
      </c>
      <c r="C120">
        <v>45096</v>
      </c>
      <c r="D120" t="s">
        <v>2064</v>
      </c>
      <c r="E120">
        <v>45096</v>
      </c>
      <c r="F120">
        <v>10</v>
      </c>
      <c r="G120" t="s">
        <v>647</v>
      </c>
      <c r="H120" t="s">
        <v>659</v>
      </c>
      <c r="I120" t="s">
        <v>699</v>
      </c>
      <c r="J120" t="s">
        <v>706</v>
      </c>
      <c r="K120" t="s">
        <v>707</v>
      </c>
      <c r="L120" t="s">
        <v>721</v>
      </c>
      <c r="M120" t="s">
        <v>732</v>
      </c>
      <c r="N120" t="s">
        <v>1546</v>
      </c>
      <c r="O120" s="9">
        <v>339.61</v>
      </c>
      <c r="P120" s="9">
        <v>621.02</v>
      </c>
      <c r="Q120" s="9">
        <v>621.02</v>
      </c>
      <c r="R120" t="s">
        <v>2065</v>
      </c>
      <c r="S120" s="11">
        <v>7.0999999999999994E-2</v>
      </c>
      <c r="T120" t="s">
        <v>2065</v>
      </c>
      <c r="U120" s="13">
        <v>10</v>
      </c>
      <c r="V120" s="9">
        <f t="shared" si="4"/>
        <v>5769.2758000000003</v>
      </c>
      <c r="W120" s="9">
        <f t="shared" si="5"/>
        <v>3396.1000000000004</v>
      </c>
      <c r="X120" s="9">
        <f t="shared" si="6"/>
        <v>2373.1758</v>
      </c>
      <c r="Y120" s="11">
        <f t="shared" si="7"/>
        <v>0.41134726129750981</v>
      </c>
    </row>
    <row r="121" spans="1:25" x14ac:dyDescent="0.3">
      <c r="A121" t="s">
        <v>134</v>
      </c>
      <c r="B121">
        <v>45847</v>
      </c>
      <c r="C121">
        <v>45856</v>
      </c>
      <c r="D121" t="s">
        <v>2064</v>
      </c>
      <c r="E121">
        <v>45856</v>
      </c>
      <c r="F121">
        <v>9</v>
      </c>
      <c r="G121" t="s">
        <v>648</v>
      </c>
      <c r="H121" t="s">
        <v>653</v>
      </c>
      <c r="I121" t="s">
        <v>688</v>
      </c>
      <c r="J121" t="s">
        <v>702</v>
      </c>
      <c r="K121" t="s">
        <v>710</v>
      </c>
      <c r="L121" t="s">
        <v>714</v>
      </c>
      <c r="M121" t="s">
        <v>731</v>
      </c>
      <c r="N121" t="s">
        <v>1547</v>
      </c>
      <c r="O121" s="9">
        <v>57.96</v>
      </c>
      <c r="P121" s="9">
        <v>88.51</v>
      </c>
      <c r="Q121" s="9">
        <v>88.51</v>
      </c>
      <c r="R121" t="s">
        <v>2065</v>
      </c>
      <c r="S121" s="11">
        <v>4.2999999999999997E-2</v>
      </c>
      <c r="T121" t="s">
        <v>2065</v>
      </c>
      <c r="U121" s="13">
        <v>7</v>
      </c>
      <c r="V121" s="9">
        <f t="shared" si="4"/>
        <v>592.92849000000001</v>
      </c>
      <c r="W121" s="9">
        <f t="shared" si="5"/>
        <v>405.72</v>
      </c>
      <c r="X121" s="9">
        <f t="shared" si="6"/>
        <v>187.20848999999998</v>
      </c>
      <c r="Y121" s="11">
        <f t="shared" si="7"/>
        <v>0.3157353595877978</v>
      </c>
    </row>
    <row r="122" spans="1:25" x14ac:dyDescent="0.3">
      <c r="A122" t="s">
        <v>135</v>
      </c>
      <c r="B122">
        <v>45827</v>
      </c>
      <c r="C122">
        <v>45850</v>
      </c>
      <c r="D122" t="s">
        <v>2064</v>
      </c>
      <c r="E122">
        <v>45850</v>
      </c>
      <c r="F122">
        <v>23</v>
      </c>
      <c r="G122" t="s">
        <v>649</v>
      </c>
      <c r="H122" t="s">
        <v>658</v>
      </c>
      <c r="I122" t="s">
        <v>2057</v>
      </c>
      <c r="J122" t="s">
        <v>703</v>
      </c>
      <c r="K122" t="s">
        <v>711</v>
      </c>
      <c r="L122" t="s">
        <v>2057</v>
      </c>
      <c r="M122" t="s">
        <v>729</v>
      </c>
      <c r="N122" t="s">
        <v>1548</v>
      </c>
      <c r="O122" s="9">
        <v>801.24</v>
      </c>
      <c r="P122" s="9">
        <v>1959.09</v>
      </c>
      <c r="Q122" s="9">
        <v>1959.09</v>
      </c>
      <c r="R122" t="s">
        <v>2065</v>
      </c>
      <c r="S122" s="11">
        <v>0.123</v>
      </c>
      <c r="T122" t="s">
        <v>2065</v>
      </c>
      <c r="U122" s="13">
        <v>23</v>
      </c>
      <c r="V122" s="9">
        <f t="shared" si="4"/>
        <v>39516.804389999998</v>
      </c>
      <c r="W122" s="9">
        <f t="shared" si="5"/>
        <v>18428.52</v>
      </c>
      <c r="X122" s="9">
        <f t="shared" si="6"/>
        <v>21088.284389999997</v>
      </c>
      <c r="Y122" s="11">
        <f t="shared" si="7"/>
        <v>0.53365358650651762</v>
      </c>
    </row>
    <row r="123" spans="1:25" x14ac:dyDescent="0.3">
      <c r="A123" t="s">
        <v>136</v>
      </c>
      <c r="B123">
        <v>45249</v>
      </c>
      <c r="C123">
        <v>45273</v>
      </c>
      <c r="D123" t="s">
        <v>2064</v>
      </c>
      <c r="E123">
        <v>45273</v>
      </c>
      <c r="F123">
        <v>24</v>
      </c>
      <c r="G123" t="s">
        <v>649</v>
      </c>
      <c r="H123" t="s">
        <v>657</v>
      </c>
      <c r="I123" t="s">
        <v>679</v>
      </c>
      <c r="J123" t="s">
        <v>703</v>
      </c>
      <c r="K123" t="s">
        <v>711</v>
      </c>
      <c r="L123" t="s">
        <v>722</v>
      </c>
      <c r="M123" t="s">
        <v>732</v>
      </c>
      <c r="N123" t="s">
        <v>1549</v>
      </c>
      <c r="O123" s="9">
        <v>1297.42</v>
      </c>
      <c r="P123" s="9">
        <v>2742.97</v>
      </c>
      <c r="Q123" s="9">
        <v>2742.97</v>
      </c>
      <c r="R123" t="s">
        <v>2065</v>
      </c>
      <c r="S123" s="11">
        <v>6.9000000000000006E-2</v>
      </c>
      <c r="T123" t="s">
        <v>2065</v>
      </c>
      <c r="U123" s="13">
        <v>9</v>
      </c>
      <c r="V123" s="9">
        <f t="shared" si="4"/>
        <v>22983.34563</v>
      </c>
      <c r="W123" s="9">
        <f t="shared" si="5"/>
        <v>11676.78</v>
      </c>
      <c r="X123" s="9">
        <f t="shared" si="6"/>
        <v>11306.565629999999</v>
      </c>
      <c r="Y123" s="11">
        <f t="shared" si="7"/>
        <v>0.49194602961727291</v>
      </c>
    </row>
    <row r="124" spans="1:25" x14ac:dyDescent="0.3">
      <c r="A124" t="s">
        <v>137</v>
      </c>
      <c r="B124">
        <v>45289</v>
      </c>
      <c r="C124">
        <v>45311</v>
      </c>
      <c r="D124" t="s">
        <v>2064</v>
      </c>
      <c r="E124">
        <v>45311</v>
      </c>
      <c r="F124">
        <v>22</v>
      </c>
      <c r="G124" t="s">
        <v>646</v>
      </c>
      <c r="H124" t="s">
        <v>650</v>
      </c>
      <c r="I124" t="s">
        <v>662</v>
      </c>
      <c r="J124" t="s">
        <v>701</v>
      </c>
      <c r="K124" t="s">
        <v>711</v>
      </c>
      <c r="L124" t="s">
        <v>716</v>
      </c>
      <c r="M124" t="s">
        <v>730</v>
      </c>
      <c r="N124" t="s">
        <v>1550</v>
      </c>
      <c r="O124" s="9">
        <v>1395.49</v>
      </c>
      <c r="P124" s="9">
        <v>1679.42</v>
      </c>
      <c r="Q124" s="9">
        <v>1679.42</v>
      </c>
      <c r="R124" t="s">
        <v>2065</v>
      </c>
      <c r="S124" s="11">
        <v>0.20300000000000001</v>
      </c>
      <c r="T124" t="s">
        <v>2065</v>
      </c>
      <c r="U124" s="13">
        <v>12</v>
      </c>
      <c r="V124" s="9">
        <f t="shared" si="4"/>
        <v>16061.972879999999</v>
      </c>
      <c r="W124" s="9">
        <f t="shared" si="5"/>
        <v>16745.88</v>
      </c>
      <c r="X124" s="9">
        <f t="shared" si="6"/>
        <v>-683.90712000000167</v>
      </c>
      <c r="Y124" s="11">
        <f t="shared" si="7"/>
        <v>-4.2579272490964493E-2</v>
      </c>
    </row>
    <row r="125" spans="1:25" x14ac:dyDescent="0.3">
      <c r="A125" t="s">
        <v>138</v>
      </c>
      <c r="B125">
        <v>45598</v>
      </c>
      <c r="C125">
        <v>45625</v>
      </c>
      <c r="D125" t="s">
        <v>2064</v>
      </c>
      <c r="E125">
        <v>45625</v>
      </c>
      <c r="F125">
        <v>27</v>
      </c>
      <c r="G125" t="s">
        <v>648</v>
      </c>
      <c r="H125" t="s">
        <v>655</v>
      </c>
      <c r="I125" t="s">
        <v>672</v>
      </c>
      <c r="J125" t="s">
        <v>705</v>
      </c>
      <c r="K125" t="s">
        <v>711</v>
      </c>
      <c r="L125" t="s">
        <v>714</v>
      </c>
      <c r="M125" t="s">
        <v>729</v>
      </c>
      <c r="N125" t="s">
        <v>1551</v>
      </c>
      <c r="O125" s="9">
        <v>1363.51</v>
      </c>
      <c r="P125" s="9">
        <v>1433.9</v>
      </c>
      <c r="Q125" s="9">
        <v>1433.9</v>
      </c>
      <c r="R125" t="s">
        <v>2065</v>
      </c>
      <c r="S125" s="11">
        <v>5.7000000000000002E-2</v>
      </c>
      <c r="T125" t="s">
        <v>2065</v>
      </c>
      <c r="U125" s="13">
        <v>8</v>
      </c>
      <c r="V125" s="9">
        <f t="shared" si="4"/>
        <v>10817.3416</v>
      </c>
      <c r="W125" s="9">
        <f t="shared" si="5"/>
        <v>10908.08</v>
      </c>
      <c r="X125" s="9">
        <f t="shared" si="6"/>
        <v>-90.738400000000183</v>
      </c>
      <c r="Y125" s="11">
        <f t="shared" si="7"/>
        <v>-8.3882346842037592E-3</v>
      </c>
    </row>
    <row r="126" spans="1:25" x14ac:dyDescent="0.3">
      <c r="A126" t="s">
        <v>139</v>
      </c>
      <c r="B126">
        <v>45159</v>
      </c>
      <c r="C126">
        <v>45173</v>
      </c>
      <c r="D126" t="s">
        <v>2064</v>
      </c>
      <c r="E126">
        <v>45173</v>
      </c>
      <c r="F126">
        <v>14</v>
      </c>
      <c r="G126" t="s">
        <v>648</v>
      </c>
      <c r="H126" t="s">
        <v>653</v>
      </c>
      <c r="I126" t="s">
        <v>681</v>
      </c>
      <c r="J126" t="s">
        <v>702</v>
      </c>
      <c r="K126" t="s">
        <v>710</v>
      </c>
      <c r="L126" t="s">
        <v>721</v>
      </c>
      <c r="M126" t="s">
        <v>727</v>
      </c>
      <c r="N126" t="s">
        <v>1552</v>
      </c>
      <c r="O126" s="9">
        <v>178.19</v>
      </c>
      <c r="P126" s="9">
        <v>284.43</v>
      </c>
      <c r="Q126" s="9">
        <v>284.43</v>
      </c>
      <c r="R126" t="s">
        <v>2065</v>
      </c>
      <c r="S126" s="11">
        <v>8.8999999999999996E-2</v>
      </c>
      <c r="T126" t="s">
        <v>2065</v>
      </c>
      <c r="U126" s="13">
        <v>8</v>
      </c>
      <c r="V126" s="9">
        <f t="shared" si="4"/>
        <v>2072.9258400000003</v>
      </c>
      <c r="W126" s="9">
        <f t="shared" si="5"/>
        <v>1425.52</v>
      </c>
      <c r="X126" s="9">
        <f t="shared" si="6"/>
        <v>647.40584000000035</v>
      </c>
      <c r="Y126" s="11">
        <f t="shared" si="7"/>
        <v>0.31231500302972742</v>
      </c>
    </row>
    <row r="127" spans="1:25" x14ac:dyDescent="0.3">
      <c r="A127" t="s">
        <v>140</v>
      </c>
      <c r="B127">
        <v>45150</v>
      </c>
      <c r="C127">
        <v>45175</v>
      </c>
      <c r="D127" t="s">
        <v>2064</v>
      </c>
      <c r="E127">
        <v>45175</v>
      </c>
      <c r="F127">
        <v>25</v>
      </c>
      <c r="G127" t="s">
        <v>647</v>
      </c>
      <c r="H127" t="s">
        <v>659</v>
      </c>
      <c r="I127" t="s">
        <v>685</v>
      </c>
      <c r="J127" t="s">
        <v>705</v>
      </c>
      <c r="K127" t="s">
        <v>707</v>
      </c>
      <c r="L127" t="s">
        <v>717</v>
      </c>
      <c r="M127" t="s">
        <v>727</v>
      </c>
      <c r="N127" t="s">
        <v>1553</v>
      </c>
      <c r="O127" s="9">
        <v>950.77</v>
      </c>
      <c r="P127" s="9">
        <v>694.78</v>
      </c>
      <c r="Q127" s="9">
        <v>694.78</v>
      </c>
      <c r="R127" t="s">
        <v>2065</v>
      </c>
      <c r="S127" s="11">
        <v>8.4000000000000005E-2</v>
      </c>
      <c r="T127" t="s">
        <v>2065</v>
      </c>
      <c r="U127" s="13">
        <v>14</v>
      </c>
      <c r="V127" s="9">
        <f t="shared" si="4"/>
        <v>8909.8587200000002</v>
      </c>
      <c r="W127" s="9">
        <f t="shared" si="5"/>
        <v>13310.779999999999</v>
      </c>
      <c r="X127" s="9">
        <f t="shared" si="6"/>
        <v>-4400.9212799999987</v>
      </c>
      <c r="Y127" s="11">
        <f t="shared" si="7"/>
        <v>-0.49393839097821279</v>
      </c>
    </row>
    <row r="128" spans="1:25" x14ac:dyDescent="0.3">
      <c r="A128" t="s">
        <v>141</v>
      </c>
      <c r="B128">
        <v>45450</v>
      </c>
      <c r="C128">
        <v>45469</v>
      </c>
      <c r="D128" t="s">
        <v>2064</v>
      </c>
      <c r="E128">
        <v>45469</v>
      </c>
      <c r="F128">
        <v>19</v>
      </c>
      <c r="G128" t="s">
        <v>649</v>
      </c>
      <c r="H128" t="s">
        <v>656</v>
      </c>
      <c r="I128" t="s">
        <v>671</v>
      </c>
      <c r="J128" t="s">
        <v>703</v>
      </c>
      <c r="K128" t="s">
        <v>709</v>
      </c>
      <c r="L128" t="s">
        <v>724</v>
      </c>
      <c r="M128" t="s">
        <v>727</v>
      </c>
      <c r="N128" t="s">
        <v>1554</v>
      </c>
      <c r="O128" s="9">
        <v>1064.32</v>
      </c>
      <c r="P128" s="9">
        <v>1848.39</v>
      </c>
      <c r="Q128" s="9">
        <v>1848.39</v>
      </c>
      <c r="R128" t="s">
        <v>2065</v>
      </c>
      <c r="S128" s="11">
        <v>7.2999999999999995E-2</v>
      </c>
      <c r="T128" t="s">
        <v>2065</v>
      </c>
      <c r="U128" s="13">
        <v>38</v>
      </c>
      <c r="V128" s="9">
        <f t="shared" si="4"/>
        <v>65111.38614000001</v>
      </c>
      <c r="W128" s="9">
        <f t="shared" si="5"/>
        <v>40444.159999999996</v>
      </c>
      <c r="X128" s="9">
        <f t="shared" si="6"/>
        <v>24667.226140000013</v>
      </c>
      <c r="Y128" s="11">
        <f t="shared" si="7"/>
        <v>0.3788465827921631</v>
      </c>
    </row>
    <row r="129" spans="1:25" x14ac:dyDescent="0.3">
      <c r="A129" t="s">
        <v>142</v>
      </c>
      <c r="B129">
        <v>45874</v>
      </c>
      <c r="C129">
        <v>45883</v>
      </c>
      <c r="D129" t="s">
        <v>2064</v>
      </c>
      <c r="E129">
        <v>45883</v>
      </c>
      <c r="F129">
        <v>9</v>
      </c>
      <c r="G129" t="s">
        <v>649</v>
      </c>
      <c r="H129" t="s">
        <v>658</v>
      </c>
      <c r="I129" t="s">
        <v>683</v>
      </c>
      <c r="J129" t="s">
        <v>703</v>
      </c>
      <c r="K129" t="s">
        <v>711</v>
      </c>
      <c r="L129" t="s">
        <v>718</v>
      </c>
      <c r="M129" t="s">
        <v>727</v>
      </c>
      <c r="N129" t="s">
        <v>1555</v>
      </c>
      <c r="O129" s="9">
        <v>41.76</v>
      </c>
      <c r="P129" s="9">
        <v>45.19</v>
      </c>
      <c r="Q129" s="9">
        <v>45.19</v>
      </c>
      <c r="R129" t="s">
        <v>2065</v>
      </c>
      <c r="S129" s="11">
        <v>0.17899999999999999</v>
      </c>
      <c r="T129" t="s">
        <v>2065</v>
      </c>
      <c r="U129" s="13">
        <v>23</v>
      </c>
      <c r="V129" s="9">
        <f t="shared" si="4"/>
        <v>853.32276999999988</v>
      </c>
      <c r="W129" s="9">
        <f t="shared" si="5"/>
        <v>960.4799999999999</v>
      </c>
      <c r="X129" s="9">
        <f t="shared" si="6"/>
        <v>-107.15723000000003</v>
      </c>
      <c r="Y129" s="11">
        <f t="shared" si="7"/>
        <v>-0.12557643340514638</v>
      </c>
    </row>
    <row r="130" spans="1:25" x14ac:dyDescent="0.3">
      <c r="A130" t="s">
        <v>143</v>
      </c>
      <c r="B130">
        <v>45442</v>
      </c>
      <c r="C130">
        <v>45456</v>
      </c>
      <c r="D130" t="s">
        <v>2064</v>
      </c>
      <c r="E130">
        <v>45456</v>
      </c>
      <c r="F130">
        <v>14</v>
      </c>
      <c r="G130" t="s">
        <v>648</v>
      </c>
      <c r="H130" t="s">
        <v>1425</v>
      </c>
      <c r="I130" t="s">
        <v>686</v>
      </c>
      <c r="J130" t="s">
        <v>705</v>
      </c>
      <c r="K130" t="s">
        <v>707</v>
      </c>
      <c r="L130" t="s">
        <v>721</v>
      </c>
      <c r="M130" t="s">
        <v>730</v>
      </c>
      <c r="N130" t="s">
        <v>1556</v>
      </c>
      <c r="O130" s="9">
        <v>157.78</v>
      </c>
      <c r="P130" s="9">
        <v>361.1</v>
      </c>
      <c r="Q130" s="9">
        <v>361.1</v>
      </c>
      <c r="R130" t="s">
        <v>2065</v>
      </c>
      <c r="S130" s="11">
        <v>0.187</v>
      </c>
      <c r="T130" t="s">
        <v>2065</v>
      </c>
      <c r="U130" s="13">
        <v>9</v>
      </c>
      <c r="V130" s="9">
        <f t="shared" si="4"/>
        <v>2642.1686999999997</v>
      </c>
      <c r="W130" s="9">
        <f t="shared" si="5"/>
        <v>1420.02</v>
      </c>
      <c r="X130" s="9">
        <f t="shared" si="6"/>
        <v>1222.1486999999997</v>
      </c>
      <c r="Y130" s="11">
        <f t="shared" si="7"/>
        <v>0.46255513510549112</v>
      </c>
    </row>
    <row r="131" spans="1:25" x14ac:dyDescent="0.3">
      <c r="A131" t="s">
        <v>144</v>
      </c>
      <c r="B131">
        <v>44948</v>
      </c>
      <c r="C131">
        <v>44956</v>
      </c>
      <c r="D131" t="s">
        <v>2064</v>
      </c>
      <c r="E131">
        <v>44956</v>
      </c>
      <c r="F131">
        <v>8</v>
      </c>
      <c r="G131" t="s">
        <v>648</v>
      </c>
      <c r="H131" t="s">
        <v>1425</v>
      </c>
      <c r="I131" t="s">
        <v>686</v>
      </c>
      <c r="J131" t="s">
        <v>705</v>
      </c>
      <c r="K131" t="s">
        <v>708</v>
      </c>
      <c r="L131" t="s">
        <v>720</v>
      </c>
      <c r="M131" t="s">
        <v>729</v>
      </c>
      <c r="N131" t="s">
        <v>1557</v>
      </c>
      <c r="O131" s="9">
        <v>413.52</v>
      </c>
      <c r="P131" s="9">
        <v>1004.34</v>
      </c>
      <c r="Q131" s="9">
        <v>1004.34</v>
      </c>
      <c r="R131" t="s">
        <v>2065</v>
      </c>
      <c r="S131" s="11">
        <v>0.111</v>
      </c>
      <c r="T131" t="s">
        <v>2065</v>
      </c>
      <c r="U131" s="13">
        <v>18</v>
      </c>
      <c r="V131" s="9">
        <f t="shared" ref="V131:V194" si="8">Q131*U131*(1-S131)</f>
        <v>16071.44868</v>
      </c>
      <c r="W131" s="9">
        <f t="shared" ref="W131:W194" si="9">O131*U131</f>
        <v>7443.36</v>
      </c>
      <c r="X131" s="9">
        <f t="shared" ref="X131:X194" si="10">V131-W131</f>
        <v>8628.0886800000007</v>
      </c>
      <c r="Y131" s="11">
        <f t="shared" ref="Y131:Y194" si="11">IF(V131=0,0,X131/V131)</f>
        <v>0.53685817948304593</v>
      </c>
    </row>
    <row r="132" spans="1:25" x14ac:dyDescent="0.3">
      <c r="A132" t="s">
        <v>145</v>
      </c>
      <c r="B132">
        <v>45700</v>
      </c>
      <c r="C132">
        <v>45716</v>
      </c>
      <c r="D132" t="s">
        <v>2064</v>
      </c>
      <c r="E132">
        <v>45716</v>
      </c>
      <c r="F132">
        <v>16</v>
      </c>
      <c r="G132" t="s">
        <v>648</v>
      </c>
      <c r="H132" t="s">
        <v>655</v>
      </c>
      <c r="I132" t="s">
        <v>670</v>
      </c>
      <c r="J132" t="s">
        <v>703</v>
      </c>
      <c r="K132" t="s">
        <v>711</v>
      </c>
      <c r="L132" t="s">
        <v>717</v>
      </c>
      <c r="M132" t="s">
        <v>732</v>
      </c>
      <c r="N132" t="s">
        <v>1558</v>
      </c>
      <c r="O132" s="9">
        <v>414.95</v>
      </c>
      <c r="P132" s="9">
        <v>1027.73</v>
      </c>
      <c r="Q132" s="9">
        <v>1027.73</v>
      </c>
      <c r="R132" t="s">
        <v>2065</v>
      </c>
      <c r="S132" s="11">
        <v>6.3E-2</v>
      </c>
      <c r="T132" t="s">
        <v>2065</v>
      </c>
      <c r="U132" s="13">
        <v>8</v>
      </c>
      <c r="V132" s="9">
        <f t="shared" si="8"/>
        <v>7703.8640800000003</v>
      </c>
      <c r="W132" s="9">
        <f t="shared" si="9"/>
        <v>3319.6</v>
      </c>
      <c r="X132" s="9">
        <f t="shared" si="10"/>
        <v>4384.2640800000008</v>
      </c>
      <c r="Y132" s="11">
        <f t="shared" si="11"/>
        <v>0.56909935513815568</v>
      </c>
    </row>
    <row r="133" spans="1:25" x14ac:dyDescent="0.3">
      <c r="A133" t="s">
        <v>146</v>
      </c>
      <c r="B133">
        <v>45719</v>
      </c>
      <c r="C133">
        <v>45740</v>
      </c>
      <c r="D133" t="s">
        <v>2064</v>
      </c>
      <c r="E133">
        <v>45740</v>
      </c>
      <c r="F133">
        <v>21</v>
      </c>
      <c r="G133" t="s">
        <v>646</v>
      </c>
      <c r="H133" t="s">
        <v>651</v>
      </c>
      <c r="I133" t="s">
        <v>669</v>
      </c>
      <c r="J133" t="s">
        <v>706</v>
      </c>
      <c r="K133" t="s">
        <v>711</v>
      </c>
      <c r="L133" t="s">
        <v>722</v>
      </c>
      <c r="M133" t="s">
        <v>733</v>
      </c>
      <c r="N133" t="s">
        <v>1559</v>
      </c>
      <c r="O133" s="9">
        <v>555.95000000000005</v>
      </c>
      <c r="P133" s="9">
        <v>468.09</v>
      </c>
      <c r="Q133" s="9">
        <v>468.09</v>
      </c>
      <c r="R133" t="s">
        <v>2065</v>
      </c>
      <c r="S133" s="11">
        <v>0.14199999999999999</v>
      </c>
      <c r="T133" t="s">
        <v>2065</v>
      </c>
      <c r="U133" s="13">
        <v>11</v>
      </c>
      <c r="V133" s="9">
        <f t="shared" si="8"/>
        <v>4417.8334199999999</v>
      </c>
      <c r="W133" s="9">
        <f t="shared" si="9"/>
        <v>6115.4500000000007</v>
      </c>
      <c r="X133" s="9">
        <f t="shared" si="10"/>
        <v>-1697.6165800000008</v>
      </c>
      <c r="Y133" s="11">
        <f t="shared" si="11"/>
        <v>-0.38426450674095375</v>
      </c>
    </row>
    <row r="134" spans="1:25" x14ac:dyDescent="0.3">
      <c r="A134" t="s">
        <v>147</v>
      </c>
      <c r="B134">
        <v>44953</v>
      </c>
      <c r="C134">
        <v>44957</v>
      </c>
      <c r="D134" t="s">
        <v>2064</v>
      </c>
      <c r="E134">
        <v>44957</v>
      </c>
      <c r="F134">
        <v>4</v>
      </c>
      <c r="G134" t="s">
        <v>649</v>
      </c>
      <c r="H134" t="s">
        <v>658</v>
      </c>
      <c r="I134" t="s">
        <v>693</v>
      </c>
      <c r="J134" t="s">
        <v>706</v>
      </c>
      <c r="K134" t="s">
        <v>708</v>
      </c>
      <c r="L134" t="s">
        <v>725</v>
      </c>
      <c r="M134" t="s">
        <v>731</v>
      </c>
      <c r="N134" t="s">
        <v>1560</v>
      </c>
      <c r="O134" s="9">
        <v>941.2</v>
      </c>
      <c r="P134" s="9">
        <v>668.02</v>
      </c>
      <c r="Q134" s="9">
        <v>668.02</v>
      </c>
      <c r="R134" t="s">
        <v>2065</v>
      </c>
      <c r="S134" s="11">
        <v>0.22</v>
      </c>
      <c r="T134" t="s">
        <v>2065</v>
      </c>
      <c r="U134" s="13">
        <v>16</v>
      </c>
      <c r="V134" s="9">
        <f t="shared" si="8"/>
        <v>8336.8896000000004</v>
      </c>
      <c r="W134" s="9">
        <f t="shared" si="9"/>
        <v>15059.2</v>
      </c>
      <c r="X134" s="9">
        <f t="shared" si="10"/>
        <v>-6722.3104000000003</v>
      </c>
      <c r="Y134" s="11">
        <f t="shared" si="11"/>
        <v>-0.80633314371825193</v>
      </c>
    </row>
    <row r="135" spans="1:25" x14ac:dyDescent="0.3">
      <c r="A135" t="s">
        <v>148</v>
      </c>
      <c r="B135">
        <v>45666</v>
      </c>
      <c r="C135">
        <v>45672</v>
      </c>
      <c r="D135" t="s">
        <v>2064</v>
      </c>
      <c r="E135">
        <v>45672</v>
      </c>
      <c r="F135">
        <v>6</v>
      </c>
      <c r="G135" t="s">
        <v>647</v>
      </c>
      <c r="H135" t="s">
        <v>659</v>
      </c>
      <c r="I135" t="s">
        <v>699</v>
      </c>
      <c r="J135" t="s">
        <v>702</v>
      </c>
      <c r="K135" t="s">
        <v>708</v>
      </c>
      <c r="L135" t="s">
        <v>712</v>
      </c>
      <c r="M135" t="s">
        <v>730</v>
      </c>
      <c r="N135" t="s">
        <v>1561</v>
      </c>
      <c r="O135" s="9">
        <v>304.77999999999997</v>
      </c>
      <c r="P135" s="9">
        <v>537.27</v>
      </c>
      <c r="Q135" s="9">
        <v>537.27</v>
      </c>
      <c r="R135" t="s">
        <v>2065</v>
      </c>
      <c r="S135" s="11">
        <v>0.187</v>
      </c>
      <c r="T135" t="s">
        <v>2065</v>
      </c>
      <c r="U135" s="13">
        <v>8</v>
      </c>
      <c r="V135" s="9">
        <f t="shared" si="8"/>
        <v>3494.4040799999998</v>
      </c>
      <c r="W135" s="9">
        <f t="shared" si="9"/>
        <v>2438.2399999999998</v>
      </c>
      <c r="X135" s="9">
        <f t="shared" si="10"/>
        <v>1056.16408</v>
      </c>
      <c r="Y135" s="11">
        <f t="shared" si="11"/>
        <v>0.3022444044307549</v>
      </c>
    </row>
    <row r="136" spans="1:25" x14ac:dyDescent="0.3">
      <c r="A136" t="s">
        <v>149</v>
      </c>
      <c r="B136">
        <v>45647</v>
      </c>
      <c r="C136">
        <v>45652</v>
      </c>
      <c r="D136" t="s">
        <v>2064</v>
      </c>
      <c r="E136">
        <v>45652</v>
      </c>
      <c r="F136">
        <v>5</v>
      </c>
      <c r="G136" t="s">
        <v>648</v>
      </c>
      <c r="H136" t="s">
        <v>1425</v>
      </c>
      <c r="I136" t="s">
        <v>686</v>
      </c>
      <c r="J136" t="s">
        <v>704</v>
      </c>
      <c r="K136" t="s">
        <v>709</v>
      </c>
      <c r="L136" t="s">
        <v>724</v>
      </c>
      <c r="M136" t="s">
        <v>728</v>
      </c>
      <c r="N136" t="s">
        <v>1562</v>
      </c>
      <c r="O136" s="9">
        <v>699.57</v>
      </c>
      <c r="P136" s="9">
        <v>572.71</v>
      </c>
      <c r="Q136" s="9">
        <v>572.71</v>
      </c>
      <c r="R136" t="s">
        <v>2065</v>
      </c>
      <c r="S136" s="11">
        <v>0.192</v>
      </c>
      <c r="T136" t="s">
        <v>2065</v>
      </c>
      <c r="U136" s="13">
        <v>26</v>
      </c>
      <c r="V136" s="9">
        <f t="shared" si="8"/>
        <v>12031.491680000001</v>
      </c>
      <c r="W136" s="9">
        <f t="shared" si="9"/>
        <v>18188.82</v>
      </c>
      <c r="X136" s="9">
        <f t="shared" si="10"/>
        <v>-6157.3283199999987</v>
      </c>
      <c r="Y136" s="11">
        <f t="shared" si="11"/>
        <v>-0.51176765805651114</v>
      </c>
    </row>
    <row r="137" spans="1:25" x14ac:dyDescent="0.3">
      <c r="A137" t="s">
        <v>150</v>
      </c>
      <c r="B137">
        <v>45028</v>
      </c>
      <c r="C137">
        <v>45033</v>
      </c>
      <c r="D137" t="s">
        <v>2064</v>
      </c>
      <c r="E137">
        <v>45033</v>
      </c>
      <c r="F137">
        <v>5</v>
      </c>
      <c r="G137" t="s">
        <v>649</v>
      </c>
      <c r="H137" t="s">
        <v>657</v>
      </c>
      <c r="I137" t="s">
        <v>679</v>
      </c>
      <c r="J137" t="s">
        <v>706</v>
      </c>
      <c r="K137" t="s">
        <v>711</v>
      </c>
      <c r="L137" t="s">
        <v>718</v>
      </c>
      <c r="M137" t="s">
        <v>732</v>
      </c>
      <c r="N137" t="s">
        <v>1563</v>
      </c>
      <c r="O137" s="9">
        <v>1087.81</v>
      </c>
      <c r="P137" s="9">
        <v>2323.87</v>
      </c>
      <c r="Q137" s="9">
        <v>2323.87</v>
      </c>
      <c r="R137" t="s">
        <v>2065</v>
      </c>
      <c r="S137" s="11">
        <v>9.4E-2</v>
      </c>
      <c r="T137" t="s">
        <v>2065</v>
      </c>
      <c r="U137" s="13">
        <v>13</v>
      </c>
      <c r="V137" s="9">
        <f t="shared" si="8"/>
        <v>27370.540859999997</v>
      </c>
      <c r="W137" s="9">
        <f t="shared" si="9"/>
        <v>14141.529999999999</v>
      </c>
      <c r="X137" s="9">
        <f t="shared" si="10"/>
        <v>13229.010859999999</v>
      </c>
      <c r="Y137" s="11">
        <f t="shared" si="11"/>
        <v>0.48333026839572651</v>
      </c>
    </row>
    <row r="138" spans="1:25" x14ac:dyDescent="0.3">
      <c r="A138" t="s">
        <v>151</v>
      </c>
      <c r="B138">
        <v>45640</v>
      </c>
      <c r="C138">
        <v>45669</v>
      </c>
      <c r="D138" t="s">
        <v>2064</v>
      </c>
      <c r="E138">
        <v>45669</v>
      </c>
      <c r="F138">
        <v>29</v>
      </c>
      <c r="G138" t="s">
        <v>647</v>
      </c>
      <c r="H138" t="s">
        <v>659</v>
      </c>
      <c r="I138" t="s">
        <v>676</v>
      </c>
      <c r="J138" t="s">
        <v>702</v>
      </c>
      <c r="K138" t="s">
        <v>708</v>
      </c>
      <c r="L138" t="s">
        <v>713</v>
      </c>
      <c r="M138" t="s">
        <v>727</v>
      </c>
      <c r="N138" t="s">
        <v>1564</v>
      </c>
      <c r="O138" s="9">
        <v>1412.15</v>
      </c>
      <c r="P138" s="9">
        <v>1631.04</v>
      </c>
      <c r="Q138" s="9">
        <v>1631.04</v>
      </c>
      <c r="R138" t="s">
        <v>2065</v>
      </c>
      <c r="S138" s="11">
        <v>8.9999999999999993E-3</v>
      </c>
      <c r="T138" t="s">
        <v>2065</v>
      </c>
      <c r="U138" s="13">
        <v>6</v>
      </c>
      <c r="V138" s="9">
        <f t="shared" si="8"/>
        <v>9698.1638399999993</v>
      </c>
      <c r="W138" s="9">
        <f t="shared" si="9"/>
        <v>8472.9000000000015</v>
      </c>
      <c r="X138" s="9">
        <f t="shared" si="10"/>
        <v>1225.2638399999978</v>
      </c>
      <c r="Y138" s="11">
        <f t="shared" si="11"/>
        <v>0.12633977526203535</v>
      </c>
    </row>
    <row r="139" spans="1:25" x14ac:dyDescent="0.3">
      <c r="A139" t="s">
        <v>152</v>
      </c>
      <c r="B139">
        <v>45016</v>
      </c>
      <c r="C139">
        <v>45028</v>
      </c>
      <c r="D139" t="s">
        <v>2064</v>
      </c>
      <c r="E139">
        <v>45028</v>
      </c>
      <c r="F139">
        <v>12</v>
      </c>
      <c r="G139" t="s">
        <v>646</v>
      </c>
      <c r="H139" t="s">
        <v>650</v>
      </c>
      <c r="I139" t="s">
        <v>675</v>
      </c>
      <c r="J139" t="s">
        <v>705</v>
      </c>
      <c r="K139" t="s">
        <v>708</v>
      </c>
      <c r="L139" t="s">
        <v>712</v>
      </c>
      <c r="M139" t="s">
        <v>730</v>
      </c>
      <c r="N139" t="s">
        <v>1565</v>
      </c>
      <c r="O139" s="9">
        <v>304.22000000000003</v>
      </c>
      <c r="P139" s="9">
        <v>393.31</v>
      </c>
      <c r="Q139" s="9">
        <v>393.31</v>
      </c>
      <c r="R139" t="s">
        <v>2065</v>
      </c>
      <c r="S139" s="11">
        <v>0.26500000000000001</v>
      </c>
      <c r="T139" t="s">
        <v>2065</v>
      </c>
      <c r="U139" s="13">
        <v>15</v>
      </c>
      <c r="V139" s="9">
        <f t="shared" si="8"/>
        <v>4336.2427499999994</v>
      </c>
      <c r="W139" s="9">
        <f t="shared" si="9"/>
        <v>4563.3</v>
      </c>
      <c r="X139" s="9">
        <f t="shared" si="10"/>
        <v>-227.05725000000075</v>
      </c>
      <c r="Y139" s="11">
        <f t="shared" si="11"/>
        <v>-5.2362670424759034E-2</v>
      </c>
    </row>
    <row r="140" spans="1:25" x14ac:dyDescent="0.3">
      <c r="A140" t="s">
        <v>153</v>
      </c>
      <c r="B140">
        <v>45616</v>
      </c>
      <c r="C140">
        <v>45641</v>
      </c>
      <c r="D140" t="s">
        <v>2064</v>
      </c>
      <c r="E140">
        <v>45641</v>
      </c>
      <c r="F140">
        <v>25</v>
      </c>
      <c r="G140" t="s">
        <v>649</v>
      </c>
      <c r="H140" t="s">
        <v>657</v>
      </c>
      <c r="I140" t="s">
        <v>690</v>
      </c>
      <c r="J140" t="s">
        <v>701</v>
      </c>
      <c r="K140" t="s">
        <v>708</v>
      </c>
      <c r="L140" t="s">
        <v>715</v>
      </c>
      <c r="M140" t="s">
        <v>728</v>
      </c>
      <c r="N140" t="s">
        <v>1566</v>
      </c>
      <c r="O140" s="9">
        <v>1203.58</v>
      </c>
      <c r="P140" s="9">
        <v>1856.16</v>
      </c>
      <c r="Q140" s="9">
        <v>1856.16</v>
      </c>
      <c r="R140" t="s">
        <v>2065</v>
      </c>
      <c r="S140" s="11">
        <v>0.129</v>
      </c>
      <c r="T140" t="s">
        <v>2065</v>
      </c>
      <c r="U140" s="13">
        <v>22</v>
      </c>
      <c r="V140" s="9">
        <f t="shared" si="8"/>
        <v>35567.737920000007</v>
      </c>
      <c r="W140" s="9">
        <f t="shared" si="9"/>
        <v>26478.76</v>
      </c>
      <c r="X140" s="9">
        <f t="shared" si="10"/>
        <v>9088.9779200000085</v>
      </c>
      <c r="Y140" s="11">
        <f t="shared" si="11"/>
        <v>0.25553994860295032</v>
      </c>
    </row>
    <row r="141" spans="1:25" x14ac:dyDescent="0.3">
      <c r="A141" t="s">
        <v>154</v>
      </c>
      <c r="B141">
        <v>45336</v>
      </c>
      <c r="C141">
        <v>45336</v>
      </c>
      <c r="D141" t="s">
        <v>2064</v>
      </c>
      <c r="E141">
        <v>45336</v>
      </c>
      <c r="F141">
        <v>0</v>
      </c>
      <c r="G141" t="s">
        <v>647</v>
      </c>
      <c r="H141" t="s">
        <v>659</v>
      </c>
      <c r="I141" t="s">
        <v>699</v>
      </c>
      <c r="J141" t="s">
        <v>701</v>
      </c>
      <c r="K141" t="s">
        <v>710</v>
      </c>
      <c r="L141" t="s">
        <v>716</v>
      </c>
      <c r="M141" t="s">
        <v>733</v>
      </c>
      <c r="N141" t="s">
        <v>1567</v>
      </c>
      <c r="O141" s="9">
        <v>65.930000000000007</v>
      </c>
      <c r="P141" s="9">
        <v>84.9</v>
      </c>
      <c r="Q141" s="9">
        <v>84.9</v>
      </c>
      <c r="R141" t="s">
        <v>2065</v>
      </c>
      <c r="S141" s="11">
        <v>0.25900000000000001</v>
      </c>
      <c r="T141" t="s">
        <v>2065</v>
      </c>
      <c r="U141" s="13">
        <v>23</v>
      </c>
      <c r="V141" s="9">
        <f t="shared" si="8"/>
        <v>1446.9507000000001</v>
      </c>
      <c r="W141" s="9">
        <f t="shared" si="9"/>
        <v>1516.39</v>
      </c>
      <c r="X141" s="9">
        <f t="shared" si="10"/>
        <v>-69.439300000000003</v>
      </c>
      <c r="Y141" s="11">
        <f t="shared" si="11"/>
        <v>-4.7990093926489688E-2</v>
      </c>
    </row>
    <row r="142" spans="1:25" x14ac:dyDescent="0.3">
      <c r="A142" t="s">
        <v>155</v>
      </c>
      <c r="B142">
        <v>45048</v>
      </c>
      <c r="C142">
        <v>45064</v>
      </c>
      <c r="D142" t="s">
        <v>2064</v>
      </c>
      <c r="E142">
        <v>45064</v>
      </c>
      <c r="F142">
        <v>16</v>
      </c>
      <c r="G142" t="s">
        <v>647</v>
      </c>
      <c r="H142" t="s">
        <v>654</v>
      </c>
      <c r="I142" t="s">
        <v>680</v>
      </c>
      <c r="J142" t="s">
        <v>705</v>
      </c>
      <c r="K142" t="s">
        <v>709</v>
      </c>
      <c r="L142" t="s">
        <v>723</v>
      </c>
      <c r="M142" t="s">
        <v>732</v>
      </c>
      <c r="N142" t="s">
        <v>1568</v>
      </c>
      <c r="O142" s="9">
        <v>1463.92</v>
      </c>
      <c r="P142" s="9">
        <v>2252.2399999999998</v>
      </c>
      <c r="Q142" s="9">
        <v>2252.2399999999998</v>
      </c>
      <c r="R142" t="s">
        <v>2065</v>
      </c>
      <c r="S142" s="11">
        <v>0.11799999999999999</v>
      </c>
      <c r="T142" t="s">
        <v>2065</v>
      </c>
      <c r="U142" s="13">
        <v>44</v>
      </c>
      <c r="V142" s="9">
        <f t="shared" si="8"/>
        <v>87404.929919999995</v>
      </c>
      <c r="W142" s="9">
        <f t="shared" si="9"/>
        <v>64412.480000000003</v>
      </c>
      <c r="X142" s="9">
        <f t="shared" si="10"/>
        <v>22992.449919999992</v>
      </c>
      <c r="Y142" s="11">
        <f t="shared" si="11"/>
        <v>0.26305667130040061</v>
      </c>
    </row>
    <row r="143" spans="1:25" x14ac:dyDescent="0.3">
      <c r="A143" t="s">
        <v>156</v>
      </c>
      <c r="B143">
        <v>45649</v>
      </c>
      <c r="C143">
        <v>45668</v>
      </c>
      <c r="D143" t="s">
        <v>2064</v>
      </c>
      <c r="E143">
        <v>45668</v>
      </c>
      <c r="F143">
        <v>19</v>
      </c>
      <c r="G143" t="s">
        <v>649</v>
      </c>
      <c r="H143" t="s">
        <v>656</v>
      </c>
      <c r="I143" t="s">
        <v>671</v>
      </c>
      <c r="J143" t="s">
        <v>702</v>
      </c>
      <c r="K143" t="s">
        <v>707</v>
      </c>
      <c r="L143" t="s">
        <v>723</v>
      </c>
      <c r="M143" t="s">
        <v>730</v>
      </c>
      <c r="N143" t="s">
        <v>1569</v>
      </c>
      <c r="O143" s="9">
        <v>501.81</v>
      </c>
      <c r="P143" s="9">
        <v>921.62</v>
      </c>
      <c r="Q143" s="9">
        <v>921.62</v>
      </c>
      <c r="R143" t="s">
        <v>2065</v>
      </c>
      <c r="S143" s="11">
        <v>0.01</v>
      </c>
      <c r="T143" t="s">
        <v>2065</v>
      </c>
      <c r="U143" s="13">
        <v>9</v>
      </c>
      <c r="V143" s="9">
        <f t="shared" si="8"/>
        <v>8211.6342000000004</v>
      </c>
      <c r="W143" s="9">
        <f t="shared" si="9"/>
        <v>4516.29</v>
      </c>
      <c r="X143" s="9">
        <f t="shared" si="10"/>
        <v>3695.3442000000005</v>
      </c>
      <c r="Y143" s="11">
        <f t="shared" si="11"/>
        <v>0.45001325071202031</v>
      </c>
    </row>
    <row r="144" spans="1:25" x14ac:dyDescent="0.3">
      <c r="A144" t="s">
        <v>157</v>
      </c>
      <c r="B144">
        <v>45133</v>
      </c>
      <c r="C144">
        <v>45163</v>
      </c>
      <c r="D144" t="s">
        <v>2064</v>
      </c>
      <c r="E144">
        <v>45163</v>
      </c>
      <c r="F144">
        <v>30</v>
      </c>
      <c r="G144" t="s">
        <v>648</v>
      </c>
      <c r="H144" t="s">
        <v>1425</v>
      </c>
      <c r="I144" t="s">
        <v>700</v>
      </c>
      <c r="J144" t="s">
        <v>704</v>
      </c>
      <c r="K144" t="s">
        <v>707</v>
      </c>
      <c r="L144" t="s">
        <v>724</v>
      </c>
      <c r="M144" t="s">
        <v>733</v>
      </c>
      <c r="N144" t="s">
        <v>1570</v>
      </c>
      <c r="O144" s="9">
        <v>1261.48</v>
      </c>
      <c r="P144" s="9">
        <v>1643.18</v>
      </c>
      <c r="Q144" s="9">
        <v>1643.18</v>
      </c>
      <c r="R144" t="s">
        <v>2065</v>
      </c>
      <c r="S144" s="11">
        <v>0.151</v>
      </c>
      <c r="T144" t="s">
        <v>2065</v>
      </c>
      <c r="U144" s="13">
        <v>23</v>
      </c>
      <c r="V144" s="9">
        <f t="shared" si="8"/>
        <v>32086.37586</v>
      </c>
      <c r="W144" s="9">
        <f t="shared" si="9"/>
        <v>29014.04</v>
      </c>
      <c r="X144" s="9">
        <f t="shared" si="10"/>
        <v>3072.3358599999992</v>
      </c>
      <c r="Y144" s="11">
        <f t="shared" si="11"/>
        <v>9.5752037357079045E-2</v>
      </c>
    </row>
    <row r="145" spans="1:25" x14ac:dyDescent="0.3">
      <c r="A145" t="s">
        <v>158</v>
      </c>
      <c r="B145">
        <v>45458</v>
      </c>
      <c r="C145">
        <v>45479</v>
      </c>
      <c r="D145" t="s">
        <v>2064</v>
      </c>
      <c r="E145">
        <v>45479</v>
      </c>
      <c r="F145">
        <v>21</v>
      </c>
      <c r="G145" t="s">
        <v>648</v>
      </c>
      <c r="H145" t="s">
        <v>653</v>
      </c>
      <c r="I145" t="s">
        <v>667</v>
      </c>
      <c r="J145" t="s">
        <v>706</v>
      </c>
      <c r="K145" t="s">
        <v>710</v>
      </c>
      <c r="L145" t="s">
        <v>716</v>
      </c>
      <c r="M145" t="s">
        <v>728</v>
      </c>
      <c r="N145" t="s">
        <v>1571</v>
      </c>
      <c r="O145" s="9">
        <v>817.23</v>
      </c>
      <c r="P145" s="9">
        <v>1467.17</v>
      </c>
      <c r="Q145" s="9">
        <v>1467.17</v>
      </c>
      <c r="R145" t="s">
        <v>2065</v>
      </c>
      <c r="S145" s="11">
        <v>0.245</v>
      </c>
      <c r="T145" t="s">
        <v>2065</v>
      </c>
      <c r="U145" s="13">
        <v>9</v>
      </c>
      <c r="V145" s="9">
        <f t="shared" si="8"/>
        <v>9969.4201499999999</v>
      </c>
      <c r="W145" s="9">
        <f t="shared" si="9"/>
        <v>7355.07</v>
      </c>
      <c r="X145" s="9">
        <f t="shared" si="10"/>
        <v>2614.3501500000002</v>
      </c>
      <c r="Y145" s="11">
        <f t="shared" si="11"/>
        <v>0.26223693160328893</v>
      </c>
    </row>
    <row r="146" spans="1:25" x14ac:dyDescent="0.3">
      <c r="A146" t="s">
        <v>159</v>
      </c>
      <c r="B146">
        <v>45112</v>
      </c>
      <c r="C146">
        <v>45121</v>
      </c>
      <c r="D146" t="s">
        <v>2064</v>
      </c>
      <c r="E146">
        <v>45121</v>
      </c>
      <c r="F146">
        <v>9</v>
      </c>
      <c r="G146" t="s">
        <v>648</v>
      </c>
      <c r="H146" t="s">
        <v>655</v>
      </c>
      <c r="I146" t="s">
        <v>672</v>
      </c>
      <c r="J146" t="s">
        <v>706</v>
      </c>
      <c r="K146" t="s">
        <v>711</v>
      </c>
      <c r="L146" t="s">
        <v>717</v>
      </c>
      <c r="M146" t="s">
        <v>729</v>
      </c>
      <c r="N146" t="s">
        <v>1572</v>
      </c>
      <c r="O146" s="9">
        <v>578.85</v>
      </c>
      <c r="P146" s="9">
        <v>998.76</v>
      </c>
      <c r="Q146" s="9">
        <v>998.76</v>
      </c>
      <c r="R146" t="s">
        <v>2065</v>
      </c>
      <c r="S146" s="11">
        <v>8.2000000000000003E-2</v>
      </c>
      <c r="T146" t="s">
        <v>2065</v>
      </c>
      <c r="U146" s="13">
        <v>28</v>
      </c>
      <c r="V146" s="9">
        <f t="shared" si="8"/>
        <v>25672.127039999999</v>
      </c>
      <c r="W146" s="9">
        <f t="shared" si="9"/>
        <v>16207.800000000001</v>
      </c>
      <c r="X146" s="9">
        <f t="shared" si="10"/>
        <v>9464.3270399999983</v>
      </c>
      <c r="Y146" s="11">
        <f t="shared" si="11"/>
        <v>0.36866158480960831</v>
      </c>
    </row>
    <row r="147" spans="1:25" x14ac:dyDescent="0.3">
      <c r="A147" t="s">
        <v>160</v>
      </c>
      <c r="B147">
        <v>45260</v>
      </c>
      <c r="C147">
        <v>45259</v>
      </c>
      <c r="D147" t="s">
        <v>2066</v>
      </c>
      <c r="E147">
        <v>45260</v>
      </c>
      <c r="F147">
        <v>0</v>
      </c>
      <c r="G147" t="s">
        <v>646</v>
      </c>
      <c r="H147" t="s">
        <v>661</v>
      </c>
      <c r="I147" t="s">
        <v>687</v>
      </c>
      <c r="J147" t="s">
        <v>705</v>
      </c>
      <c r="K147" t="s">
        <v>709</v>
      </c>
      <c r="L147" t="s">
        <v>718</v>
      </c>
      <c r="M147" t="s">
        <v>731</v>
      </c>
      <c r="N147" t="s">
        <v>1573</v>
      </c>
      <c r="O147" s="9">
        <v>275.56</v>
      </c>
      <c r="P147" s="9">
        <v>630.72</v>
      </c>
      <c r="Q147" s="9">
        <v>630.72</v>
      </c>
      <c r="R147" t="s">
        <v>2065</v>
      </c>
      <c r="S147" s="11">
        <v>0.107</v>
      </c>
      <c r="T147" t="s">
        <v>2065</v>
      </c>
      <c r="U147" s="13">
        <v>23</v>
      </c>
      <c r="V147" s="9">
        <f t="shared" si="8"/>
        <v>12954.358080000002</v>
      </c>
      <c r="W147" s="9">
        <f t="shared" si="9"/>
        <v>6337.88</v>
      </c>
      <c r="X147" s="9">
        <f t="shared" si="10"/>
        <v>6616.4780800000017</v>
      </c>
      <c r="Y147" s="11">
        <f t="shared" si="11"/>
        <v>0.5107530638831933</v>
      </c>
    </row>
    <row r="148" spans="1:25" x14ac:dyDescent="0.3">
      <c r="A148" t="s">
        <v>161</v>
      </c>
      <c r="B148">
        <v>45911</v>
      </c>
      <c r="C148">
        <v>45928</v>
      </c>
      <c r="D148" t="s">
        <v>2064</v>
      </c>
      <c r="E148">
        <v>45928</v>
      </c>
      <c r="F148">
        <v>17</v>
      </c>
      <c r="G148" t="s">
        <v>646</v>
      </c>
      <c r="H148" t="s">
        <v>650</v>
      </c>
      <c r="I148" t="s">
        <v>664</v>
      </c>
      <c r="J148" t="s">
        <v>703</v>
      </c>
      <c r="K148" t="s">
        <v>710</v>
      </c>
      <c r="L148" t="s">
        <v>713</v>
      </c>
      <c r="M148" t="s">
        <v>731</v>
      </c>
      <c r="N148" t="s">
        <v>1574</v>
      </c>
      <c r="O148" s="9">
        <v>891.46</v>
      </c>
      <c r="P148" s="9">
        <v>728.61</v>
      </c>
      <c r="Q148" s="9">
        <v>728.61</v>
      </c>
      <c r="R148" t="s">
        <v>2065</v>
      </c>
      <c r="S148" s="11">
        <v>0.185</v>
      </c>
      <c r="T148" t="s">
        <v>2065</v>
      </c>
      <c r="U148" s="13">
        <v>6</v>
      </c>
      <c r="V148" s="9">
        <f t="shared" si="8"/>
        <v>3562.9028999999996</v>
      </c>
      <c r="W148" s="9">
        <f t="shared" si="9"/>
        <v>5348.76</v>
      </c>
      <c r="X148" s="9">
        <f t="shared" si="10"/>
        <v>-1785.8571000000006</v>
      </c>
      <c r="Y148" s="11">
        <f t="shared" si="11"/>
        <v>-0.50123653383874167</v>
      </c>
    </row>
    <row r="149" spans="1:25" x14ac:dyDescent="0.3">
      <c r="A149" t="s">
        <v>162</v>
      </c>
      <c r="B149">
        <v>45386</v>
      </c>
      <c r="C149">
        <v>45406</v>
      </c>
      <c r="D149" t="s">
        <v>2064</v>
      </c>
      <c r="E149">
        <v>45406</v>
      </c>
      <c r="F149">
        <v>20</v>
      </c>
      <c r="G149" t="s">
        <v>649</v>
      </c>
      <c r="H149" t="s">
        <v>656</v>
      </c>
      <c r="I149" t="s">
        <v>698</v>
      </c>
      <c r="J149" t="s">
        <v>703</v>
      </c>
      <c r="K149" t="s">
        <v>711</v>
      </c>
      <c r="L149" t="s">
        <v>719</v>
      </c>
      <c r="M149" t="s">
        <v>733</v>
      </c>
      <c r="N149" t="s">
        <v>1575</v>
      </c>
      <c r="O149" s="9">
        <v>683.42</v>
      </c>
      <c r="P149" s="9">
        <v>951.51</v>
      </c>
      <c r="Q149" s="9">
        <v>951.51</v>
      </c>
      <c r="R149" t="s">
        <v>2065</v>
      </c>
      <c r="S149" s="11">
        <v>0</v>
      </c>
      <c r="T149" t="s">
        <v>2065</v>
      </c>
      <c r="U149" s="13">
        <v>14</v>
      </c>
      <c r="V149" s="9">
        <f t="shared" si="8"/>
        <v>13321.14</v>
      </c>
      <c r="W149" s="9">
        <f t="shared" si="9"/>
        <v>9567.8799999999992</v>
      </c>
      <c r="X149" s="9">
        <f t="shared" si="10"/>
        <v>3753.26</v>
      </c>
      <c r="Y149" s="11">
        <f t="shared" si="11"/>
        <v>0.28175216235247136</v>
      </c>
    </row>
    <row r="150" spans="1:25" x14ac:dyDescent="0.3">
      <c r="A150" t="s">
        <v>163</v>
      </c>
      <c r="B150">
        <v>45183</v>
      </c>
      <c r="C150">
        <v>45185</v>
      </c>
      <c r="D150" t="s">
        <v>2064</v>
      </c>
      <c r="E150">
        <v>45185</v>
      </c>
      <c r="F150">
        <v>2</v>
      </c>
      <c r="G150" t="s">
        <v>649</v>
      </c>
      <c r="H150" t="s">
        <v>657</v>
      </c>
      <c r="I150" t="s">
        <v>679</v>
      </c>
      <c r="J150" t="s">
        <v>703</v>
      </c>
      <c r="K150" t="s">
        <v>711</v>
      </c>
      <c r="L150" t="s">
        <v>717</v>
      </c>
      <c r="M150" t="s">
        <v>728</v>
      </c>
      <c r="N150" t="s">
        <v>1576</v>
      </c>
      <c r="O150" s="9">
        <v>376.83</v>
      </c>
      <c r="P150" s="9">
        <v>732.88</v>
      </c>
      <c r="Q150" s="9">
        <v>732.88</v>
      </c>
      <c r="R150" t="s">
        <v>2065</v>
      </c>
      <c r="S150" s="11">
        <v>0.188</v>
      </c>
      <c r="T150" t="s">
        <v>2065</v>
      </c>
      <c r="U150" s="13">
        <v>25</v>
      </c>
      <c r="V150" s="9">
        <f t="shared" si="8"/>
        <v>14877.464000000002</v>
      </c>
      <c r="W150" s="9">
        <f t="shared" si="9"/>
        <v>9420.75</v>
      </c>
      <c r="X150" s="9">
        <f t="shared" si="10"/>
        <v>5456.7140000000018</v>
      </c>
      <c r="Y150" s="11">
        <f t="shared" si="11"/>
        <v>0.36677716040852132</v>
      </c>
    </row>
    <row r="151" spans="1:25" x14ac:dyDescent="0.3">
      <c r="A151" t="s">
        <v>164</v>
      </c>
      <c r="B151">
        <v>45558</v>
      </c>
      <c r="C151">
        <v>45583</v>
      </c>
      <c r="D151" t="s">
        <v>2064</v>
      </c>
      <c r="E151">
        <v>45583</v>
      </c>
      <c r="F151">
        <v>25</v>
      </c>
      <c r="G151" t="s">
        <v>648</v>
      </c>
      <c r="H151" t="s">
        <v>653</v>
      </c>
      <c r="I151" t="s">
        <v>688</v>
      </c>
      <c r="J151" t="s">
        <v>705</v>
      </c>
      <c r="K151" t="s">
        <v>708</v>
      </c>
      <c r="L151" t="s">
        <v>725</v>
      </c>
      <c r="M151" t="s">
        <v>730</v>
      </c>
      <c r="N151" t="s">
        <v>1577</v>
      </c>
      <c r="O151" s="9">
        <v>1297</v>
      </c>
      <c r="P151" s="9">
        <v>2411.52</v>
      </c>
      <c r="Q151" s="9">
        <v>2411.52</v>
      </c>
      <c r="R151" t="s">
        <v>2065</v>
      </c>
      <c r="S151" s="11">
        <v>2.1000000000000001E-2</v>
      </c>
      <c r="T151" t="s">
        <v>2065</v>
      </c>
      <c r="U151" s="13">
        <v>18</v>
      </c>
      <c r="V151" s="9">
        <f t="shared" si="8"/>
        <v>42495.805439999996</v>
      </c>
      <c r="W151" s="9">
        <f t="shared" si="9"/>
        <v>23346</v>
      </c>
      <c r="X151" s="9">
        <f t="shared" si="10"/>
        <v>19149.805439999996</v>
      </c>
      <c r="Y151" s="11">
        <f t="shared" si="11"/>
        <v>0.45062813239385913</v>
      </c>
    </row>
    <row r="152" spans="1:25" x14ac:dyDescent="0.3">
      <c r="A152" t="s">
        <v>165</v>
      </c>
      <c r="B152">
        <v>45763</v>
      </c>
      <c r="C152">
        <v>45793</v>
      </c>
      <c r="D152" t="s">
        <v>2064</v>
      </c>
      <c r="E152">
        <v>45793</v>
      </c>
      <c r="F152">
        <v>30</v>
      </c>
      <c r="G152" t="s">
        <v>648</v>
      </c>
      <c r="H152" t="s">
        <v>653</v>
      </c>
      <c r="I152" t="s">
        <v>681</v>
      </c>
      <c r="J152" t="s">
        <v>706</v>
      </c>
      <c r="K152" t="s">
        <v>710</v>
      </c>
      <c r="L152" t="s">
        <v>723</v>
      </c>
      <c r="M152" t="s">
        <v>728</v>
      </c>
      <c r="N152" t="s">
        <v>1578</v>
      </c>
      <c r="O152" s="9">
        <v>763.32</v>
      </c>
      <c r="P152" s="9">
        <v>568.29</v>
      </c>
      <c r="Q152" s="9">
        <v>568.29</v>
      </c>
      <c r="R152" t="s">
        <v>2065</v>
      </c>
      <c r="S152" s="11">
        <v>0.13100000000000001</v>
      </c>
      <c r="T152" t="s">
        <v>2065</v>
      </c>
      <c r="U152" s="13">
        <v>16</v>
      </c>
      <c r="V152" s="9">
        <f t="shared" si="8"/>
        <v>7901.5041599999995</v>
      </c>
      <c r="W152" s="9">
        <f t="shared" si="9"/>
        <v>12213.12</v>
      </c>
      <c r="X152" s="9">
        <f t="shared" si="10"/>
        <v>-4311.6158400000013</v>
      </c>
      <c r="Y152" s="11">
        <f t="shared" si="11"/>
        <v>-0.54567026134426555</v>
      </c>
    </row>
    <row r="153" spans="1:25" x14ac:dyDescent="0.3">
      <c r="A153" t="s">
        <v>166</v>
      </c>
      <c r="B153">
        <v>45110</v>
      </c>
      <c r="C153">
        <v>45130</v>
      </c>
      <c r="D153" t="s">
        <v>2064</v>
      </c>
      <c r="E153">
        <v>45130</v>
      </c>
      <c r="F153">
        <v>20</v>
      </c>
      <c r="G153" t="s">
        <v>646</v>
      </c>
      <c r="H153" t="s">
        <v>661</v>
      </c>
      <c r="I153" t="s">
        <v>682</v>
      </c>
      <c r="J153" t="s">
        <v>705</v>
      </c>
      <c r="K153" t="s">
        <v>710</v>
      </c>
      <c r="L153" t="s">
        <v>721</v>
      </c>
      <c r="M153" t="s">
        <v>731</v>
      </c>
      <c r="N153" t="s">
        <v>1579</v>
      </c>
      <c r="O153" s="9">
        <v>1001.96</v>
      </c>
      <c r="P153" s="9">
        <v>1254.95</v>
      </c>
      <c r="Q153" s="9">
        <v>1254.95</v>
      </c>
      <c r="R153" t="s">
        <v>2065</v>
      </c>
      <c r="S153" s="11">
        <v>4.4999999999999998E-2</v>
      </c>
      <c r="T153" t="s">
        <v>2065</v>
      </c>
      <c r="U153" s="13">
        <v>18</v>
      </c>
      <c r="V153" s="9">
        <f t="shared" si="8"/>
        <v>21572.590500000002</v>
      </c>
      <c r="W153" s="9">
        <f t="shared" si="9"/>
        <v>18035.28</v>
      </c>
      <c r="X153" s="9">
        <f t="shared" si="10"/>
        <v>3537.3105000000032</v>
      </c>
      <c r="Y153" s="11">
        <f t="shared" si="11"/>
        <v>0.16397244920585699</v>
      </c>
    </row>
    <row r="154" spans="1:25" x14ac:dyDescent="0.3">
      <c r="A154" t="s">
        <v>167</v>
      </c>
      <c r="B154">
        <v>45267</v>
      </c>
      <c r="C154">
        <v>45265</v>
      </c>
      <c r="D154" t="s">
        <v>2066</v>
      </c>
      <c r="E154">
        <v>45267</v>
      </c>
      <c r="F154">
        <v>0</v>
      </c>
      <c r="G154" t="s">
        <v>647</v>
      </c>
      <c r="H154" t="s">
        <v>652</v>
      </c>
      <c r="I154" t="s">
        <v>689</v>
      </c>
      <c r="J154" t="s">
        <v>703</v>
      </c>
      <c r="K154" t="s">
        <v>709</v>
      </c>
      <c r="L154" t="s">
        <v>722</v>
      </c>
      <c r="M154" t="s">
        <v>728</v>
      </c>
      <c r="N154" t="s">
        <v>1580</v>
      </c>
      <c r="O154" s="9">
        <v>1097.5899999999999</v>
      </c>
      <c r="P154" s="9">
        <v>845.55</v>
      </c>
      <c r="Q154" s="9">
        <v>845.55</v>
      </c>
      <c r="R154" t="s">
        <v>2065</v>
      </c>
      <c r="S154" s="11">
        <v>0.184</v>
      </c>
      <c r="T154" t="s">
        <v>2065</v>
      </c>
      <c r="U154" s="13">
        <v>6</v>
      </c>
      <c r="V154" s="9">
        <f t="shared" si="8"/>
        <v>4139.8127999999997</v>
      </c>
      <c r="W154" s="9">
        <f t="shared" si="9"/>
        <v>6585.5399999999991</v>
      </c>
      <c r="X154" s="9">
        <f t="shared" si="10"/>
        <v>-2445.7271999999994</v>
      </c>
      <c r="Y154" s="11">
        <f t="shared" si="11"/>
        <v>-0.59078207594314402</v>
      </c>
    </row>
    <row r="155" spans="1:25" x14ac:dyDescent="0.3">
      <c r="A155" t="s">
        <v>168</v>
      </c>
      <c r="B155">
        <v>45340</v>
      </c>
      <c r="C155">
        <v>45355</v>
      </c>
      <c r="D155" t="s">
        <v>2064</v>
      </c>
      <c r="E155">
        <v>45355</v>
      </c>
      <c r="F155">
        <v>15</v>
      </c>
      <c r="G155" t="s">
        <v>646</v>
      </c>
      <c r="H155" t="s">
        <v>650</v>
      </c>
      <c r="I155" t="s">
        <v>662</v>
      </c>
      <c r="J155" t="s">
        <v>702</v>
      </c>
      <c r="K155" t="s">
        <v>711</v>
      </c>
      <c r="L155" t="s">
        <v>723</v>
      </c>
      <c r="M155" t="s">
        <v>728</v>
      </c>
      <c r="N155" t="s">
        <v>1581</v>
      </c>
      <c r="O155" s="9">
        <v>928.68</v>
      </c>
      <c r="P155" s="9">
        <v>2145.17</v>
      </c>
      <c r="Q155" s="9">
        <v>2145.17</v>
      </c>
      <c r="R155" t="s">
        <v>2065</v>
      </c>
      <c r="S155" s="11">
        <v>0.13600000000000001</v>
      </c>
      <c r="T155" t="s">
        <v>2065</v>
      </c>
      <c r="U155" s="13">
        <v>16</v>
      </c>
      <c r="V155" s="9">
        <f t="shared" si="8"/>
        <v>29654.83008</v>
      </c>
      <c r="W155" s="9">
        <f t="shared" si="9"/>
        <v>14858.88</v>
      </c>
      <c r="X155" s="9">
        <f t="shared" si="10"/>
        <v>14795.950080000001</v>
      </c>
      <c r="Y155" s="11">
        <f t="shared" si="11"/>
        <v>0.49893896003062177</v>
      </c>
    </row>
    <row r="156" spans="1:25" x14ac:dyDescent="0.3">
      <c r="A156" t="s">
        <v>169</v>
      </c>
      <c r="B156">
        <v>45230</v>
      </c>
      <c r="C156">
        <v>45232</v>
      </c>
      <c r="D156" t="s">
        <v>2064</v>
      </c>
      <c r="E156">
        <v>45232</v>
      </c>
      <c r="F156">
        <v>2</v>
      </c>
      <c r="G156" t="s">
        <v>646</v>
      </c>
      <c r="H156" t="s">
        <v>650</v>
      </c>
      <c r="I156" t="s">
        <v>662</v>
      </c>
      <c r="J156" t="s">
        <v>702</v>
      </c>
      <c r="K156" t="s">
        <v>707</v>
      </c>
      <c r="L156" t="s">
        <v>719</v>
      </c>
      <c r="M156" t="s">
        <v>733</v>
      </c>
      <c r="N156" t="s">
        <v>1582</v>
      </c>
      <c r="O156" s="9">
        <v>867.89</v>
      </c>
      <c r="P156" s="9">
        <v>1349.94</v>
      </c>
      <c r="Q156" s="9">
        <v>1349.94</v>
      </c>
      <c r="R156" t="s">
        <v>2065</v>
      </c>
      <c r="S156" s="11">
        <v>0.184</v>
      </c>
      <c r="T156" t="s">
        <v>2065</v>
      </c>
      <c r="U156" s="13">
        <v>10</v>
      </c>
      <c r="V156" s="9">
        <f t="shared" si="8"/>
        <v>11015.510400000003</v>
      </c>
      <c r="W156" s="9">
        <f t="shared" si="9"/>
        <v>8678.9</v>
      </c>
      <c r="X156" s="9">
        <f t="shared" si="10"/>
        <v>2336.6104000000032</v>
      </c>
      <c r="Y156" s="11">
        <f t="shared" si="11"/>
        <v>0.21212003031652557</v>
      </c>
    </row>
    <row r="157" spans="1:25" x14ac:dyDescent="0.3">
      <c r="A157" t="s">
        <v>170</v>
      </c>
      <c r="B157">
        <v>45511</v>
      </c>
      <c r="C157">
        <v>45521</v>
      </c>
      <c r="D157" t="s">
        <v>2064</v>
      </c>
      <c r="E157">
        <v>45521</v>
      </c>
      <c r="F157">
        <v>10</v>
      </c>
      <c r="G157" t="s">
        <v>647</v>
      </c>
      <c r="H157" t="s">
        <v>652</v>
      </c>
      <c r="I157" t="s">
        <v>666</v>
      </c>
      <c r="J157" t="s">
        <v>704</v>
      </c>
      <c r="K157" t="s">
        <v>708</v>
      </c>
      <c r="L157" t="s">
        <v>723</v>
      </c>
      <c r="M157" t="s">
        <v>729</v>
      </c>
      <c r="N157" t="s">
        <v>1583</v>
      </c>
      <c r="O157" s="9">
        <v>436.58</v>
      </c>
      <c r="P157" s="9">
        <v>527.48</v>
      </c>
      <c r="Q157" s="9">
        <v>527.48</v>
      </c>
      <c r="R157" t="s">
        <v>2065</v>
      </c>
      <c r="S157" s="11">
        <v>0.111</v>
      </c>
      <c r="T157" t="s">
        <v>2065</v>
      </c>
      <c r="U157" s="13">
        <v>19</v>
      </c>
      <c r="V157" s="9">
        <f t="shared" si="8"/>
        <v>8909.6646800000017</v>
      </c>
      <c r="W157" s="9">
        <f t="shared" si="9"/>
        <v>8295.02</v>
      </c>
      <c r="X157" s="9">
        <f t="shared" si="10"/>
        <v>614.64468000000124</v>
      </c>
      <c r="Y157" s="11">
        <f t="shared" si="11"/>
        <v>6.8986286473802644E-2</v>
      </c>
    </row>
    <row r="158" spans="1:25" x14ac:dyDescent="0.3">
      <c r="A158" t="s">
        <v>171</v>
      </c>
      <c r="B158">
        <v>45323</v>
      </c>
      <c r="C158">
        <v>45343</v>
      </c>
      <c r="D158" t="s">
        <v>2064</v>
      </c>
      <c r="E158">
        <v>45343</v>
      </c>
      <c r="F158">
        <v>20</v>
      </c>
      <c r="G158" t="s">
        <v>649</v>
      </c>
      <c r="H158" t="s">
        <v>657</v>
      </c>
      <c r="I158" t="s">
        <v>690</v>
      </c>
      <c r="J158" t="s">
        <v>705</v>
      </c>
      <c r="K158" t="s">
        <v>709</v>
      </c>
      <c r="L158" t="s">
        <v>720</v>
      </c>
      <c r="M158" t="s">
        <v>729</v>
      </c>
      <c r="N158" t="s">
        <v>1584</v>
      </c>
      <c r="O158" s="9">
        <v>656.2</v>
      </c>
      <c r="P158" s="9">
        <v>1467.17</v>
      </c>
      <c r="Q158" s="9">
        <v>1467.17</v>
      </c>
      <c r="R158" t="s">
        <v>2065</v>
      </c>
      <c r="S158" s="11">
        <v>1.7999999999999999E-2</v>
      </c>
      <c r="T158" t="s">
        <v>2065</v>
      </c>
      <c r="U158" s="13">
        <v>5</v>
      </c>
      <c r="V158" s="9">
        <f t="shared" si="8"/>
        <v>7203.8047000000006</v>
      </c>
      <c r="W158" s="9">
        <f t="shared" si="9"/>
        <v>3281</v>
      </c>
      <c r="X158" s="9">
        <f t="shared" si="10"/>
        <v>3922.8047000000006</v>
      </c>
      <c r="Y158" s="11">
        <f t="shared" si="11"/>
        <v>0.54454623124360946</v>
      </c>
    </row>
    <row r="159" spans="1:25" x14ac:dyDescent="0.3">
      <c r="A159" t="s">
        <v>172</v>
      </c>
      <c r="B159">
        <v>45531</v>
      </c>
      <c r="C159">
        <v>45553</v>
      </c>
      <c r="D159" t="s">
        <v>2064</v>
      </c>
      <c r="E159">
        <v>45553</v>
      </c>
      <c r="F159">
        <v>22</v>
      </c>
      <c r="G159" t="s">
        <v>647</v>
      </c>
      <c r="H159" t="s">
        <v>654</v>
      </c>
      <c r="I159" t="s">
        <v>680</v>
      </c>
      <c r="J159" t="s">
        <v>704</v>
      </c>
      <c r="K159" t="s">
        <v>711</v>
      </c>
      <c r="L159" t="s">
        <v>717</v>
      </c>
      <c r="M159" t="s">
        <v>727</v>
      </c>
      <c r="N159" t="s">
        <v>1585</v>
      </c>
      <c r="O159" s="9">
        <v>896.75</v>
      </c>
      <c r="P159" s="9">
        <v>1651.14</v>
      </c>
      <c r="Q159" s="9">
        <v>1651.14</v>
      </c>
      <c r="R159" t="s">
        <v>2065</v>
      </c>
      <c r="S159" s="11">
        <v>2.5000000000000001E-2</v>
      </c>
      <c r="T159" t="s">
        <v>2065</v>
      </c>
      <c r="U159" s="13">
        <v>15</v>
      </c>
      <c r="V159" s="9">
        <f t="shared" si="8"/>
        <v>24147.922500000001</v>
      </c>
      <c r="W159" s="9">
        <f t="shared" si="9"/>
        <v>13451.25</v>
      </c>
      <c r="X159" s="9">
        <f t="shared" si="10"/>
        <v>10696.672500000001</v>
      </c>
      <c r="Y159" s="11">
        <f t="shared" si="11"/>
        <v>0.44296450346815552</v>
      </c>
    </row>
    <row r="160" spans="1:25" x14ac:dyDescent="0.3">
      <c r="A160" t="s">
        <v>173</v>
      </c>
      <c r="B160">
        <v>45703</v>
      </c>
      <c r="C160">
        <v>45703</v>
      </c>
      <c r="D160" t="s">
        <v>2064</v>
      </c>
      <c r="E160">
        <v>45703</v>
      </c>
      <c r="F160">
        <v>0</v>
      </c>
      <c r="G160" t="s">
        <v>649</v>
      </c>
      <c r="H160" t="s">
        <v>656</v>
      </c>
      <c r="I160" t="s">
        <v>698</v>
      </c>
      <c r="J160" t="s">
        <v>705</v>
      </c>
      <c r="K160" t="s">
        <v>709</v>
      </c>
      <c r="L160" t="s">
        <v>716</v>
      </c>
      <c r="M160" t="s">
        <v>733</v>
      </c>
      <c r="N160" t="s">
        <v>1586</v>
      </c>
      <c r="O160" s="9">
        <v>815.83</v>
      </c>
      <c r="P160" s="9">
        <v>1982.18</v>
      </c>
      <c r="Q160" s="9">
        <v>1982.18</v>
      </c>
      <c r="R160" t="s">
        <v>2065</v>
      </c>
      <c r="S160" s="11">
        <v>0.127</v>
      </c>
      <c r="T160" t="s">
        <v>2065</v>
      </c>
      <c r="U160" s="13">
        <v>6</v>
      </c>
      <c r="V160" s="9">
        <f t="shared" si="8"/>
        <v>10382.65884</v>
      </c>
      <c r="W160" s="9">
        <f t="shared" si="9"/>
        <v>4894.9800000000005</v>
      </c>
      <c r="X160" s="9">
        <f t="shared" si="10"/>
        <v>5487.6788399999996</v>
      </c>
      <c r="Y160" s="11">
        <f t="shared" si="11"/>
        <v>0.52854272923408507</v>
      </c>
    </row>
    <row r="161" spans="1:25" x14ac:dyDescent="0.3">
      <c r="A161" t="s">
        <v>174</v>
      </c>
      <c r="B161">
        <v>45870</v>
      </c>
      <c r="C161">
        <v>45890</v>
      </c>
      <c r="D161" t="s">
        <v>2064</v>
      </c>
      <c r="E161">
        <v>45890</v>
      </c>
      <c r="F161">
        <v>20</v>
      </c>
      <c r="G161" t="s">
        <v>647</v>
      </c>
      <c r="H161" t="s">
        <v>659</v>
      </c>
      <c r="I161" t="s">
        <v>685</v>
      </c>
      <c r="J161" t="s">
        <v>701</v>
      </c>
      <c r="K161" t="s">
        <v>711</v>
      </c>
      <c r="L161" t="s">
        <v>714</v>
      </c>
      <c r="M161" t="s">
        <v>730</v>
      </c>
      <c r="N161" t="s">
        <v>1587</v>
      </c>
      <c r="O161" s="9">
        <v>1220.4100000000001</v>
      </c>
      <c r="P161" s="9">
        <v>2552.2199999999998</v>
      </c>
      <c r="Q161" s="9">
        <v>2552.2199999999998</v>
      </c>
      <c r="R161" t="s">
        <v>2065</v>
      </c>
      <c r="S161" s="11">
        <v>0.18099999999999999</v>
      </c>
      <c r="T161" t="s">
        <v>2065</v>
      </c>
      <c r="U161" s="13">
        <v>14</v>
      </c>
      <c r="V161" s="9">
        <f t="shared" si="8"/>
        <v>29263.754519999995</v>
      </c>
      <c r="W161" s="9">
        <f t="shared" si="9"/>
        <v>17085.740000000002</v>
      </c>
      <c r="X161" s="9">
        <f t="shared" si="10"/>
        <v>12178.014519999993</v>
      </c>
      <c r="Y161" s="11">
        <f t="shared" si="11"/>
        <v>0.41614668793360271</v>
      </c>
    </row>
    <row r="162" spans="1:25" x14ac:dyDescent="0.3">
      <c r="A162" t="s">
        <v>175</v>
      </c>
      <c r="B162">
        <v>44977</v>
      </c>
      <c r="C162">
        <v>44989</v>
      </c>
      <c r="D162" t="s">
        <v>2064</v>
      </c>
      <c r="E162">
        <v>44989</v>
      </c>
      <c r="F162">
        <v>12</v>
      </c>
      <c r="G162" t="s">
        <v>647</v>
      </c>
      <c r="H162" t="s">
        <v>654</v>
      </c>
      <c r="I162" t="s">
        <v>680</v>
      </c>
      <c r="J162" t="s">
        <v>704</v>
      </c>
      <c r="K162" t="s">
        <v>710</v>
      </c>
      <c r="L162" t="s">
        <v>724</v>
      </c>
      <c r="M162" t="s">
        <v>732</v>
      </c>
      <c r="N162" t="s">
        <v>1588</v>
      </c>
      <c r="O162" s="9">
        <v>299.75</v>
      </c>
      <c r="P162" s="9">
        <v>523.01</v>
      </c>
      <c r="Q162" s="9">
        <v>523.01</v>
      </c>
      <c r="R162" t="s">
        <v>2065</v>
      </c>
      <c r="S162" s="11">
        <v>0.157</v>
      </c>
      <c r="T162" t="s">
        <v>2065</v>
      </c>
      <c r="U162" s="13">
        <v>50</v>
      </c>
      <c r="V162" s="9">
        <f t="shared" si="8"/>
        <v>22044.871499999997</v>
      </c>
      <c r="W162" s="9">
        <f t="shared" si="9"/>
        <v>14987.5</v>
      </c>
      <c r="X162" s="9">
        <f t="shared" si="10"/>
        <v>7057.3714999999975</v>
      </c>
      <c r="Y162" s="11">
        <f t="shared" si="11"/>
        <v>0.32013665854210122</v>
      </c>
    </row>
    <row r="163" spans="1:25" x14ac:dyDescent="0.3">
      <c r="A163" t="s">
        <v>176</v>
      </c>
      <c r="B163">
        <v>45595</v>
      </c>
      <c r="C163">
        <v>45620</v>
      </c>
      <c r="D163" t="s">
        <v>2064</v>
      </c>
      <c r="E163">
        <v>45620</v>
      </c>
      <c r="F163">
        <v>25</v>
      </c>
      <c r="G163" t="s">
        <v>647</v>
      </c>
      <c r="H163" t="s">
        <v>659</v>
      </c>
      <c r="I163" t="s">
        <v>676</v>
      </c>
      <c r="J163" t="s">
        <v>705</v>
      </c>
      <c r="K163" t="s">
        <v>708</v>
      </c>
      <c r="L163" t="s">
        <v>718</v>
      </c>
      <c r="M163" t="s">
        <v>727</v>
      </c>
      <c r="N163" t="s">
        <v>1589</v>
      </c>
      <c r="O163" s="9">
        <v>811.05</v>
      </c>
      <c r="P163" s="9">
        <v>1217.71</v>
      </c>
      <c r="Q163" s="9">
        <v>1217.71</v>
      </c>
      <c r="R163" t="s">
        <v>2065</v>
      </c>
      <c r="S163" s="11">
        <v>7.1999999999999995E-2</v>
      </c>
      <c r="T163" t="s">
        <v>2065</v>
      </c>
      <c r="U163" s="13">
        <v>5</v>
      </c>
      <c r="V163" s="9">
        <f t="shared" si="8"/>
        <v>5650.1744000000008</v>
      </c>
      <c r="W163" s="9">
        <f t="shared" si="9"/>
        <v>4055.25</v>
      </c>
      <c r="X163" s="9">
        <f t="shared" si="10"/>
        <v>1594.9244000000008</v>
      </c>
      <c r="Y163" s="11">
        <f t="shared" si="11"/>
        <v>0.28227879125288602</v>
      </c>
    </row>
    <row r="164" spans="1:25" x14ac:dyDescent="0.3">
      <c r="A164" t="s">
        <v>177</v>
      </c>
      <c r="B164">
        <v>45385</v>
      </c>
      <c r="C164">
        <v>45389</v>
      </c>
      <c r="D164" t="s">
        <v>2064</v>
      </c>
      <c r="E164">
        <v>45389</v>
      </c>
      <c r="F164">
        <v>4</v>
      </c>
      <c r="G164" t="s">
        <v>648</v>
      </c>
      <c r="H164" t="s">
        <v>655</v>
      </c>
      <c r="I164" t="s">
        <v>672</v>
      </c>
      <c r="J164" t="s">
        <v>703</v>
      </c>
      <c r="K164" t="s">
        <v>711</v>
      </c>
      <c r="L164" t="s">
        <v>725</v>
      </c>
      <c r="M164" t="s">
        <v>730</v>
      </c>
      <c r="N164" t="s">
        <v>1590</v>
      </c>
      <c r="O164" s="9">
        <v>1023.27</v>
      </c>
      <c r="P164" s="9">
        <v>1343.64</v>
      </c>
      <c r="Q164" s="9">
        <v>1343.64</v>
      </c>
      <c r="R164" t="s">
        <v>2065</v>
      </c>
      <c r="S164" s="11">
        <v>0.13300000000000001</v>
      </c>
      <c r="T164" t="s">
        <v>2065</v>
      </c>
      <c r="U164" s="13">
        <v>7</v>
      </c>
      <c r="V164" s="9">
        <f t="shared" si="8"/>
        <v>8154.5511600000009</v>
      </c>
      <c r="W164" s="9">
        <f t="shared" si="9"/>
        <v>7162.8899999999994</v>
      </c>
      <c r="X164" s="9">
        <f t="shared" si="10"/>
        <v>991.66116000000147</v>
      </c>
      <c r="Y164" s="11">
        <f t="shared" si="11"/>
        <v>0.12160830688810116</v>
      </c>
    </row>
    <row r="165" spans="1:25" x14ac:dyDescent="0.3">
      <c r="A165" t="s">
        <v>178</v>
      </c>
      <c r="B165">
        <v>45010</v>
      </c>
      <c r="C165">
        <v>45011</v>
      </c>
      <c r="D165" t="s">
        <v>2064</v>
      </c>
      <c r="E165">
        <v>45011</v>
      </c>
      <c r="F165">
        <v>1</v>
      </c>
      <c r="G165" t="s">
        <v>647</v>
      </c>
      <c r="H165" t="s">
        <v>652</v>
      </c>
      <c r="I165" t="s">
        <v>666</v>
      </c>
      <c r="J165" t="s">
        <v>705</v>
      </c>
      <c r="K165" t="s">
        <v>710</v>
      </c>
      <c r="L165" t="s">
        <v>714</v>
      </c>
      <c r="M165" t="s">
        <v>732</v>
      </c>
      <c r="N165" t="s">
        <v>1591</v>
      </c>
      <c r="O165" s="9">
        <v>135.12</v>
      </c>
      <c r="P165" s="9">
        <v>301.7</v>
      </c>
      <c r="Q165" s="9">
        <v>301.7</v>
      </c>
      <c r="R165" t="s">
        <v>2065</v>
      </c>
      <c r="S165" s="11">
        <v>0.14000000000000001</v>
      </c>
      <c r="T165" t="s">
        <v>2065</v>
      </c>
      <c r="U165" s="13">
        <v>47</v>
      </c>
      <c r="V165" s="9">
        <f t="shared" si="8"/>
        <v>12194.714</v>
      </c>
      <c r="W165" s="9">
        <f t="shared" si="9"/>
        <v>6350.64</v>
      </c>
      <c r="X165" s="9">
        <f t="shared" si="10"/>
        <v>5844.0739999999996</v>
      </c>
      <c r="Y165" s="11">
        <f t="shared" si="11"/>
        <v>0.47923009920527859</v>
      </c>
    </row>
    <row r="166" spans="1:25" x14ac:dyDescent="0.3">
      <c r="A166" t="s">
        <v>179</v>
      </c>
      <c r="B166">
        <v>45447</v>
      </c>
      <c r="C166">
        <v>45459</v>
      </c>
      <c r="D166" t="s">
        <v>2064</v>
      </c>
      <c r="E166">
        <v>45459</v>
      </c>
      <c r="F166">
        <v>12</v>
      </c>
      <c r="G166" t="s">
        <v>647</v>
      </c>
      <c r="H166" t="s">
        <v>659</v>
      </c>
      <c r="I166" t="s">
        <v>685</v>
      </c>
      <c r="J166" t="s">
        <v>701</v>
      </c>
      <c r="K166" t="s">
        <v>707</v>
      </c>
      <c r="L166" t="s">
        <v>713</v>
      </c>
      <c r="M166" t="s">
        <v>728</v>
      </c>
      <c r="N166" t="s">
        <v>1592</v>
      </c>
      <c r="O166" s="9">
        <v>918.42</v>
      </c>
      <c r="P166" s="9">
        <v>1511.71</v>
      </c>
      <c r="Q166" s="9">
        <v>1511.71</v>
      </c>
      <c r="R166" t="s">
        <v>2065</v>
      </c>
      <c r="S166" s="11">
        <v>0.02</v>
      </c>
      <c r="T166" t="s">
        <v>2065</v>
      </c>
      <c r="U166" s="13">
        <v>8</v>
      </c>
      <c r="V166" s="9">
        <f t="shared" si="8"/>
        <v>11851.806399999999</v>
      </c>
      <c r="W166" s="9">
        <f t="shared" si="9"/>
        <v>7347.36</v>
      </c>
      <c r="X166" s="9">
        <f t="shared" si="10"/>
        <v>4504.4463999999998</v>
      </c>
      <c r="Y166" s="11">
        <f t="shared" si="11"/>
        <v>0.38006412254590999</v>
      </c>
    </row>
    <row r="167" spans="1:25" x14ac:dyDescent="0.3">
      <c r="A167" t="s">
        <v>180</v>
      </c>
      <c r="B167">
        <v>44976</v>
      </c>
      <c r="C167">
        <v>44997</v>
      </c>
      <c r="D167" t="s">
        <v>2064</v>
      </c>
      <c r="E167">
        <v>44997</v>
      </c>
      <c r="F167">
        <v>21</v>
      </c>
      <c r="G167" t="s">
        <v>649</v>
      </c>
      <c r="H167" t="s">
        <v>656</v>
      </c>
      <c r="I167" t="s">
        <v>671</v>
      </c>
      <c r="J167" t="s">
        <v>705</v>
      </c>
      <c r="K167" t="s">
        <v>711</v>
      </c>
      <c r="L167" t="s">
        <v>716</v>
      </c>
      <c r="M167" t="s">
        <v>732</v>
      </c>
      <c r="N167" t="s">
        <v>1593</v>
      </c>
      <c r="O167" s="9">
        <v>1234.81</v>
      </c>
      <c r="P167" s="9">
        <v>2055.2399999999998</v>
      </c>
      <c r="Q167" s="9">
        <v>2055.2399999999998</v>
      </c>
      <c r="R167" t="s">
        <v>2065</v>
      </c>
      <c r="S167" s="11">
        <v>5.2999999999999999E-2</v>
      </c>
      <c r="T167" t="s">
        <v>2065</v>
      </c>
      <c r="U167" s="13">
        <v>44</v>
      </c>
      <c r="V167" s="9">
        <f t="shared" si="8"/>
        <v>85637.740319999997</v>
      </c>
      <c r="W167" s="9">
        <f t="shared" si="9"/>
        <v>54331.64</v>
      </c>
      <c r="X167" s="9">
        <f t="shared" si="10"/>
        <v>31306.100319999998</v>
      </c>
      <c r="Y167" s="11">
        <f t="shared" si="11"/>
        <v>0.36556429680441616</v>
      </c>
    </row>
    <row r="168" spans="1:25" x14ac:dyDescent="0.3">
      <c r="A168" t="s">
        <v>181</v>
      </c>
      <c r="B168">
        <v>45034</v>
      </c>
      <c r="C168">
        <v>45064</v>
      </c>
      <c r="D168" t="s">
        <v>2064</v>
      </c>
      <c r="E168">
        <v>45064</v>
      </c>
      <c r="F168">
        <v>30</v>
      </c>
      <c r="G168" t="s">
        <v>647</v>
      </c>
      <c r="H168" t="s">
        <v>659</v>
      </c>
      <c r="I168" t="s">
        <v>676</v>
      </c>
      <c r="J168" t="s">
        <v>703</v>
      </c>
      <c r="K168" t="s">
        <v>707</v>
      </c>
      <c r="L168" t="s">
        <v>722</v>
      </c>
      <c r="M168" t="s">
        <v>731</v>
      </c>
      <c r="N168" t="s">
        <v>1594</v>
      </c>
      <c r="O168" s="9">
        <v>329.03</v>
      </c>
      <c r="P168" s="9">
        <v>391.15</v>
      </c>
      <c r="Q168" s="9">
        <v>391.15</v>
      </c>
      <c r="R168" t="s">
        <v>2065</v>
      </c>
      <c r="S168" s="11">
        <v>0.19700000000000001</v>
      </c>
      <c r="T168" t="s">
        <v>2065</v>
      </c>
      <c r="U168" s="13">
        <v>46</v>
      </c>
      <c r="V168" s="9">
        <f t="shared" si="8"/>
        <v>14448.298699999998</v>
      </c>
      <c r="W168" s="9">
        <f t="shared" si="9"/>
        <v>15135.38</v>
      </c>
      <c r="X168" s="9">
        <f t="shared" si="10"/>
        <v>-687.08130000000165</v>
      </c>
      <c r="Y168" s="11">
        <f t="shared" si="11"/>
        <v>-4.7554477815440081E-2</v>
      </c>
    </row>
    <row r="169" spans="1:25" x14ac:dyDescent="0.3">
      <c r="A169" t="s">
        <v>182</v>
      </c>
      <c r="B169">
        <v>45435</v>
      </c>
      <c r="C169">
        <v>45457</v>
      </c>
      <c r="D169" t="s">
        <v>2064</v>
      </c>
      <c r="E169">
        <v>45457</v>
      </c>
      <c r="F169">
        <v>22</v>
      </c>
      <c r="G169" t="s">
        <v>649</v>
      </c>
      <c r="H169" t="s">
        <v>657</v>
      </c>
      <c r="I169" t="s">
        <v>673</v>
      </c>
      <c r="J169" t="s">
        <v>705</v>
      </c>
      <c r="K169" t="s">
        <v>708</v>
      </c>
      <c r="L169" t="s">
        <v>725</v>
      </c>
      <c r="M169" t="s">
        <v>732</v>
      </c>
      <c r="N169" t="s">
        <v>1595</v>
      </c>
      <c r="O169" s="9">
        <v>1481.74</v>
      </c>
      <c r="P169" s="9">
        <v>1848.97</v>
      </c>
      <c r="Q169" s="9">
        <v>1848.97</v>
      </c>
      <c r="R169" t="s">
        <v>2065</v>
      </c>
      <c r="S169" s="11">
        <v>0.254</v>
      </c>
      <c r="T169" t="s">
        <v>2065</v>
      </c>
      <c r="U169" s="13">
        <v>9</v>
      </c>
      <c r="V169" s="9">
        <f t="shared" si="8"/>
        <v>12413.98458</v>
      </c>
      <c r="W169" s="9">
        <f t="shared" si="9"/>
        <v>13335.66</v>
      </c>
      <c r="X169" s="9">
        <f t="shared" si="10"/>
        <v>-921.67541999999958</v>
      </c>
      <c r="Y169" s="11">
        <f t="shared" si="11"/>
        <v>-7.4244930309072407E-2</v>
      </c>
    </row>
    <row r="170" spans="1:25" x14ac:dyDescent="0.3">
      <c r="A170" t="s">
        <v>183</v>
      </c>
      <c r="B170">
        <v>45206</v>
      </c>
      <c r="C170">
        <v>45222</v>
      </c>
      <c r="D170" t="s">
        <v>2064</v>
      </c>
      <c r="E170">
        <v>45222</v>
      </c>
      <c r="F170">
        <v>16</v>
      </c>
      <c r="G170" t="s">
        <v>647</v>
      </c>
      <c r="H170" t="s">
        <v>654</v>
      </c>
      <c r="I170" t="s">
        <v>696</v>
      </c>
      <c r="J170" t="s">
        <v>704</v>
      </c>
      <c r="K170" t="s">
        <v>707</v>
      </c>
      <c r="L170" t="s">
        <v>715</v>
      </c>
      <c r="M170" t="s">
        <v>732</v>
      </c>
      <c r="N170" t="s">
        <v>1596</v>
      </c>
      <c r="O170" s="9">
        <v>906.81</v>
      </c>
      <c r="P170" s="9">
        <v>1395.56</v>
      </c>
      <c r="Q170" s="9">
        <v>1395.56</v>
      </c>
      <c r="R170" t="s">
        <v>2065</v>
      </c>
      <c r="S170" s="11">
        <v>0.185</v>
      </c>
      <c r="T170" t="s">
        <v>2065</v>
      </c>
      <c r="U170" s="13">
        <v>6</v>
      </c>
      <c r="V170" s="9">
        <f t="shared" si="8"/>
        <v>6824.2884000000004</v>
      </c>
      <c r="W170" s="9">
        <f t="shared" si="9"/>
        <v>5440.86</v>
      </c>
      <c r="X170" s="9">
        <f t="shared" si="10"/>
        <v>1383.4284000000007</v>
      </c>
      <c r="Y170" s="11">
        <f t="shared" si="11"/>
        <v>0.20272126834498974</v>
      </c>
    </row>
    <row r="171" spans="1:25" x14ac:dyDescent="0.3">
      <c r="A171" t="s">
        <v>184</v>
      </c>
      <c r="B171">
        <v>45574</v>
      </c>
      <c r="C171">
        <v>45604</v>
      </c>
      <c r="D171" t="s">
        <v>2064</v>
      </c>
      <c r="E171">
        <v>45604</v>
      </c>
      <c r="F171">
        <v>30</v>
      </c>
      <c r="G171" t="s">
        <v>649</v>
      </c>
      <c r="H171" t="s">
        <v>658</v>
      </c>
      <c r="I171" t="s">
        <v>693</v>
      </c>
      <c r="J171" t="s">
        <v>705</v>
      </c>
      <c r="K171" t="s">
        <v>710</v>
      </c>
      <c r="L171" t="s">
        <v>713</v>
      </c>
      <c r="M171" t="s">
        <v>727</v>
      </c>
      <c r="N171" t="s">
        <v>1597</v>
      </c>
      <c r="O171" s="9">
        <v>343.85</v>
      </c>
      <c r="P171" s="9">
        <v>538.04</v>
      </c>
      <c r="Q171" s="9">
        <v>538.04</v>
      </c>
      <c r="R171" t="s">
        <v>2065</v>
      </c>
      <c r="S171" s="11">
        <v>0.13900000000000001</v>
      </c>
      <c r="T171" t="s">
        <v>2065</v>
      </c>
      <c r="U171" s="13">
        <v>5</v>
      </c>
      <c r="V171" s="9">
        <f t="shared" si="8"/>
        <v>2316.2621999999997</v>
      </c>
      <c r="W171" s="9">
        <f t="shared" si="9"/>
        <v>1719.25</v>
      </c>
      <c r="X171" s="9">
        <f t="shared" si="10"/>
        <v>597.01219999999967</v>
      </c>
      <c r="Y171" s="11">
        <f t="shared" si="11"/>
        <v>0.25774810813732563</v>
      </c>
    </row>
    <row r="172" spans="1:25" x14ac:dyDescent="0.3">
      <c r="A172" t="s">
        <v>185</v>
      </c>
      <c r="B172">
        <v>45488</v>
      </c>
      <c r="C172">
        <v>45488</v>
      </c>
      <c r="D172" t="s">
        <v>2064</v>
      </c>
      <c r="E172">
        <v>45488</v>
      </c>
      <c r="F172">
        <v>0</v>
      </c>
      <c r="G172" t="s">
        <v>647</v>
      </c>
      <c r="H172" t="s">
        <v>652</v>
      </c>
      <c r="I172" t="s">
        <v>689</v>
      </c>
      <c r="J172" t="s">
        <v>705</v>
      </c>
      <c r="K172" t="s">
        <v>709</v>
      </c>
      <c r="L172" t="s">
        <v>715</v>
      </c>
      <c r="M172" t="s">
        <v>733</v>
      </c>
      <c r="N172" t="s">
        <v>1598</v>
      </c>
      <c r="O172" s="9">
        <v>801.77</v>
      </c>
      <c r="P172" s="9">
        <v>1218.92</v>
      </c>
      <c r="Q172" s="9">
        <v>1218.92</v>
      </c>
      <c r="R172" t="s">
        <v>2065</v>
      </c>
      <c r="S172" s="11">
        <v>0.254</v>
      </c>
      <c r="T172" t="s">
        <v>2065</v>
      </c>
      <c r="U172" s="13">
        <v>16</v>
      </c>
      <c r="V172" s="9">
        <f t="shared" si="8"/>
        <v>14549.029120000001</v>
      </c>
      <c r="W172" s="9">
        <f t="shared" si="9"/>
        <v>12828.32</v>
      </c>
      <c r="X172" s="9">
        <f t="shared" si="10"/>
        <v>1720.7091200000013</v>
      </c>
      <c r="Y172" s="11">
        <f t="shared" si="11"/>
        <v>0.11826968698788344</v>
      </c>
    </row>
    <row r="173" spans="1:25" x14ac:dyDescent="0.3">
      <c r="A173" t="s">
        <v>186</v>
      </c>
      <c r="B173">
        <v>45190</v>
      </c>
      <c r="C173">
        <v>45209</v>
      </c>
      <c r="D173" t="s">
        <v>2064</v>
      </c>
      <c r="E173">
        <v>45209</v>
      </c>
      <c r="F173">
        <v>19</v>
      </c>
      <c r="G173" t="s">
        <v>647</v>
      </c>
      <c r="H173" t="s">
        <v>652</v>
      </c>
      <c r="I173" t="s">
        <v>689</v>
      </c>
      <c r="J173" t="s">
        <v>702</v>
      </c>
      <c r="K173" t="s">
        <v>708</v>
      </c>
      <c r="L173" t="s">
        <v>726</v>
      </c>
      <c r="M173" t="s">
        <v>727</v>
      </c>
      <c r="N173" t="s">
        <v>1599</v>
      </c>
      <c r="O173" s="9">
        <v>845.63</v>
      </c>
      <c r="P173" s="9">
        <v>2062.12</v>
      </c>
      <c r="Q173" s="9">
        <v>2062.12</v>
      </c>
      <c r="R173" t="s">
        <v>2065</v>
      </c>
      <c r="S173" s="11">
        <v>0.13400000000000001</v>
      </c>
      <c r="T173" t="s">
        <v>2065</v>
      </c>
      <c r="U173" s="13">
        <v>5</v>
      </c>
      <c r="V173" s="9">
        <f t="shared" si="8"/>
        <v>8928.9795999999988</v>
      </c>
      <c r="W173" s="9">
        <f t="shared" si="9"/>
        <v>4228.1499999999996</v>
      </c>
      <c r="X173" s="9">
        <f t="shared" si="10"/>
        <v>4700.8295999999991</v>
      </c>
      <c r="Y173" s="11">
        <f t="shared" si="11"/>
        <v>0.52646884757133949</v>
      </c>
    </row>
    <row r="174" spans="1:25" x14ac:dyDescent="0.3">
      <c r="A174" t="s">
        <v>187</v>
      </c>
      <c r="B174">
        <v>44981</v>
      </c>
      <c r="C174">
        <v>44994</v>
      </c>
      <c r="D174" t="s">
        <v>2064</v>
      </c>
      <c r="E174">
        <v>44994</v>
      </c>
      <c r="F174">
        <v>13</v>
      </c>
      <c r="G174" t="s">
        <v>648</v>
      </c>
      <c r="H174" t="s">
        <v>1425</v>
      </c>
      <c r="I174" t="s">
        <v>700</v>
      </c>
      <c r="J174" t="s">
        <v>706</v>
      </c>
      <c r="K174" t="s">
        <v>708</v>
      </c>
      <c r="L174" t="s">
        <v>724</v>
      </c>
      <c r="M174" t="s">
        <v>727</v>
      </c>
      <c r="N174" t="s">
        <v>1600</v>
      </c>
      <c r="O174" s="9">
        <v>6.85</v>
      </c>
      <c r="P174" s="9">
        <v>10.18</v>
      </c>
      <c r="Q174" s="9">
        <v>10.18</v>
      </c>
      <c r="R174" t="s">
        <v>2065</v>
      </c>
      <c r="S174" s="11">
        <v>4.7E-2</v>
      </c>
      <c r="T174" t="s">
        <v>2065</v>
      </c>
      <c r="U174" s="13">
        <v>10</v>
      </c>
      <c r="V174" s="9">
        <f t="shared" si="8"/>
        <v>97.0154</v>
      </c>
      <c r="W174" s="9">
        <f t="shared" si="9"/>
        <v>68.5</v>
      </c>
      <c r="X174" s="9">
        <f t="shared" si="10"/>
        <v>28.5154</v>
      </c>
      <c r="Y174" s="11">
        <f t="shared" si="11"/>
        <v>0.2939265312517394</v>
      </c>
    </row>
    <row r="175" spans="1:25" x14ac:dyDescent="0.3">
      <c r="A175" t="s">
        <v>188</v>
      </c>
      <c r="B175">
        <v>45798</v>
      </c>
      <c r="C175">
        <v>45796</v>
      </c>
      <c r="D175" t="s">
        <v>2066</v>
      </c>
      <c r="E175">
        <v>45798</v>
      </c>
      <c r="F175">
        <v>0</v>
      </c>
      <c r="G175" t="s">
        <v>646</v>
      </c>
      <c r="H175" t="s">
        <v>661</v>
      </c>
      <c r="I175" t="s">
        <v>682</v>
      </c>
      <c r="J175" t="s">
        <v>703</v>
      </c>
      <c r="K175" t="s">
        <v>710</v>
      </c>
      <c r="L175" t="s">
        <v>719</v>
      </c>
      <c r="M175" t="s">
        <v>731</v>
      </c>
      <c r="N175" t="s">
        <v>1601</v>
      </c>
      <c r="O175" s="9">
        <v>1263.8399999999999</v>
      </c>
      <c r="P175" s="9">
        <v>2281.7199999999998</v>
      </c>
      <c r="Q175" s="9">
        <v>2281.7199999999998</v>
      </c>
      <c r="R175" t="s">
        <v>2065</v>
      </c>
      <c r="S175" s="11">
        <v>7.8E-2</v>
      </c>
      <c r="T175" t="s">
        <v>2065</v>
      </c>
      <c r="U175" s="13">
        <v>15</v>
      </c>
      <c r="V175" s="9">
        <f t="shared" si="8"/>
        <v>31556.187599999997</v>
      </c>
      <c r="W175" s="9">
        <f t="shared" si="9"/>
        <v>18957.599999999999</v>
      </c>
      <c r="X175" s="9">
        <f t="shared" si="10"/>
        <v>12598.587599999999</v>
      </c>
      <c r="Y175" s="11">
        <f t="shared" si="11"/>
        <v>0.39924301882398494</v>
      </c>
    </row>
    <row r="176" spans="1:25" x14ac:dyDescent="0.3">
      <c r="A176" t="s">
        <v>189</v>
      </c>
      <c r="B176">
        <v>45435</v>
      </c>
      <c r="C176">
        <v>45446</v>
      </c>
      <c r="D176" t="s">
        <v>2064</v>
      </c>
      <c r="E176">
        <v>45446</v>
      </c>
      <c r="F176">
        <v>11</v>
      </c>
      <c r="G176" t="s">
        <v>646</v>
      </c>
      <c r="H176" t="s">
        <v>661</v>
      </c>
      <c r="I176" t="s">
        <v>682</v>
      </c>
      <c r="J176" t="s">
        <v>705</v>
      </c>
      <c r="K176" t="s">
        <v>710</v>
      </c>
      <c r="L176" t="s">
        <v>721</v>
      </c>
      <c r="M176" t="s">
        <v>728</v>
      </c>
      <c r="N176" t="s">
        <v>1602</v>
      </c>
      <c r="O176" s="9">
        <v>180.89</v>
      </c>
      <c r="P176" s="9">
        <v>249.57</v>
      </c>
      <c r="Q176" s="9">
        <v>249.57</v>
      </c>
      <c r="R176" t="s">
        <v>2065</v>
      </c>
      <c r="S176" s="11">
        <v>2.1999999999999999E-2</v>
      </c>
      <c r="T176" t="s">
        <v>2065</v>
      </c>
      <c r="U176" s="13">
        <v>8</v>
      </c>
      <c r="V176" s="9">
        <f t="shared" si="8"/>
        <v>1952.6356799999999</v>
      </c>
      <c r="W176" s="9">
        <f t="shared" si="9"/>
        <v>1447.12</v>
      </c>
      <c r="X176" s="9">
        <f t="shared" si="10"/>
        <v>505.51567999999997</v>
      </c>
      <c r="Y176" s="11">
        <f t="shared" si="11"/>
        <v>0.25888888806948362</v>
      </c>
    </row>
    <row r="177" spans="1:25" x14ac:dyDescent="0.3">
      <c r="A177" t="s">
        <v>190</v>
      </c>
      <c r="B177">
        <v>45761</v>
      </c>
      <c r="C177">
        <v>45781</v>
      </c>
      <c r="D177" t="s">
        <v>2064</v>
      </c>
      <c r="E177">
        <v>45781</v>
      </c>
      <c r="F177">
        <v>20</v>
      </c>
      <c r="G177" t="s">
        <v>649</v>
      </c>
      <c r="H177" t="s">
        <v>658</v>
      </c>
      <c r="I177" t="s">
        <v>674</v>
      </c>
      <c r="J177" t="s">
        <v>706</v>
      </c>
      <c r="K177" t="s">
        <v>709</v>
      </c>
      <c r="L177" t="s">
        <v>723</v>
      </c>
      <c r="M177" t="s">
        <v>732</v>
      </c>
      <c r="N177" t="s">
        <v>1603</v>
      </c>
      <c r="O177" s="9">
        <v>1413.87</v>
      </c>
      <c r="P177" s="9">
        <v>3275</v>
      </c>
      <c r="Q177" s="9">
        <v>3275</v>
      </c>
      <c r="R177" t="s">
        <v>2065</v>
      </c>
      <c r="S177" s="11">
        <v>0.255</v>
      </c>
      <c r="T177" t="s">
        <v>2065</v>
      </c>
      <c r="U177" s="13">
        <v>38</v>
      </c>
      <c r="V177" s="9">
        <f t="shared" si="8"/>
        <v>92715.25</v>
      </c>
      <c r="W177" s="9">
        <f t="shared" si="9"/>
        <v>53727.06</v>
      </c>
      <c r="X177" s="9">
        <f t="shared" si="10"/>
        <v>38988.19</v>
      </c>
      <c r="Y177" s="11">
        <f t="shared" si="11"/>
        <v>0.42051539525590453</v>
      </c>
    </row>
    <row r="178" spans="1:25" x14ac:dyDescent="0.3">
      <c r="A178" t="s">
        <v>191</v>
      </c>
      <c r="B178">
        <v>45165</v>
      </c>
      <c r="C178">
        <v>45180</v>
      </c>
      <c r="D178" t="s">
        <v>2064</v>
      </c>
      <c r="E178">
        <v>45180</v>
      </c>
      <c r="F178">
        <v>15</v>
      </c>
      <c r="G178" t="s">
        <v>649</v>
      </c>
      <c r="H178" t="s">
        <v>658</v>
      </c>
      <c r="I178" t="s">
        <v>683</v>
      </c>
      <c r="J178" t="s">
        <v>704</v>
      </c>
      <c r="K178" t="s">
        <v>709</v>
      </c>
      <c r="L178" t="s">
        <v>725</v>
      </c>
      <c r="M178" t="s">
        <v>728</v>
      </c>
      <c r="N178" t="s">
        <v>1604</v>
      </c>
      <c r="O178" s="9">
        <v>943.79</v>
      </c>
      <c r="P178" s="9">
        <v>1913.76</v>
      </c>
      <c r="Q178" s="9">
        <v>1913.76</v>
      </c>
      <c r="R178" t="s">
        <v>2065</v>
      </c>
      <c r="S178" s="11">
        <v>9.0999999999999998E-2</v>
      </c>
      <c r="T178" t="s">
        <v>2065</v>
      </c>
      <c r="U178" s="13">
        <v>9</v>
      </c>
      <c r="V178" s="9">
        <f t="shared" si="8"/>
        <v>15656.47056</v>
      </c>
      <c r="W178" s="9">
        <f t="shared" si="9"/>
        <v>8494.11</v>
      </c>
      <c r="X178" s="9">
        <f t="shared" si="10"/>
        <v>7162.3605599999992</v>
      </c>
      <c r="Y178" s="11">
        <f t="shared" si="11"/>
        <v>0.45746967891338081</v>
      </c>
    </row>
    <row r="179" spans="1:25" x14ac:dyDescent="0.3">
      <c r="A179" t="s">
        <v>192</v>
      </c>
      <c r="B179">
        <v>45325</v>
      </c>
      <c r="C179">
        <v>45343</v>
      </c>
      <c r="D179" t="s">
        <v>2064</v>
      </c>
      <c r="E179">
        <v>45343</v>
      </c>
      <c r="F179">
        <v>18</v>
      </c>
      <c r="G179" t="s">
        <v>649</v>
      </c>
      <c r="H179" t="s">
        <v>656</v>
      </c>
      <c r="I179" t="s">
        <v>698</v>
      </c>
      <c r="J179" t="s">
        <v>701</v>
      </c>
      <c r="K179" t="s">
        <v>707</v>
      </c>
      <c r="L179" t="s">
        <v>722</v>
      </c>
      <c r="M179" t="s">
        <v>727</v>
      </c>
      <c r="N179" t="s">
        <v>1605</v>
      </c>
      <c r="O179" s="9">
        <v>39.229999999999997</v>
      </c>
      <c r="P179" s="9">
        <v>30.09</v>
      </c>
      <c r="Q179" s="9">
        <v>30.09</v>
      </c>
      <c r="R179" t="s">
        <v>2065</v>
      </c>
      <c r="S179" s="11">
        <v>0.17699999999999999</v>
      </c>
      <c r="T179" t="s">
        <v>2065</v>
      </c>
      <c r="U179" s="13">
        <v>13</v>
      </c>
      <c r="V179" s="9">
        <f t="shared" si="8"/>
        <v>321.93290999999999</v>
      </c>
      <c r="W179" s="9">
        <f t="shared" si="9"/>
        <v>509.98999999999995</v>
      </c>
      <c r="X179" s="9">
        <f t="shared" si="10"/>
        <v>-188.05708999999996</v>
      </c>
      <c r="Y179" s="11">
        <f t="shared" si="11"/>
        <v>-0.58414993981199359</v>
      </c>
    </row>
    <row r="180" spans="1:25" x14ac:dyDescent="0.3">
      <c r="A180" t="s">
        <v>193</v>
      </c>
      <c r="B180">
        <v>45021</v>
      </c>
      <c r="C180">
        <v>45032</v>
      </c>
      <c r="D180" t="s">
        <v>2064</v>
      </c>
      <c r="E180">
        <v>45032</v>
      </c>
      <c r="F180">
        <v>11</v>
      </c>
      <c r="G180" t="s">
        <v>648</v>
      </c>
      <c r="H180" t="s">
        <v>653</v>
      </c>
      <c r="I180" t="s">
        <v>688</v>
      </c>
      <c r="J180" t="s">
        <v>703</v>
      </c>
      <c r="K180" t="s">
        <v>708</v>
      </c>
      <c r="L180" t="s">
        <v>719</v>
      </c>
      <c r="M180" t="s">
        <v>732</v>
      </c>
      <c r="N180" t="s">
        <v>1606</v>
      </c>
      <c r="O180" s="9">
        <v>213.1</v>
      </c>
      <c r="P180" s="9">
        <v>501.31</v>
      </c>
      <c r="Q180" s="9">
        <v>501.31</v>
      </c>
      <c r="R180" t="s">
        <v>2065</v>
      </c>
      <c r="S180" s="11">
        <v>5.6000000000000001E-2</v>
      </c>
      <c r="T180" t="s">
        <v>2065</v>
      </c>
      <c r="U180" s="13">
        <v>15</v>
      </c>
      <c r="V180" s="9">
        <f t="shared" si="8"/>
        <v>7098.5495999999994</v>
      </c>
      <c r="W180" s="9">
        <f t="shared" si="9"/>
        <v>3196.5</v>
      </c>
      <c r="X180" s="9">
        <f t="shared" si="10"/>
        <v>3902.0495999999994</v>
      </c>
      <c r="Y180" s="11">
        <f t="shared" si="11"/>
        <v>0.54969674368409005</v>
      </c>
    </row>
    <row r="181" spans="1:25" x14ac:dyDescent="0.3">
      <c r="A181" t="s">
        <v>194</v>
      </c>
      <c r="B181">
        <v>45890</v>
      </c>
      <c r="C181">
        <v>45912</v>
      </c>
      <c r="D181" t="s">
        <v>2064</v>
      </c>
      <c r="E181">
        <v>45912</v>
      </c>
      <c r="F181">
        <v>22</v>
      </c>
      <c r="G181" t="s">
        <v>647</v>
      </c>
      <c r="H181" t="s">
        <v>659</v>
      </c>
      <c r="I181" t="s">
        <v>676</v>
      </c>
      <c r="J181" t="s">
        <v>702</v>
      </c>
      <c r="K181" t="s">
        <v>707</v>
      </c>
      <c r="L181" t="s">
        <v>717</v>
      </c>
      <c r="M181" t="s">
        <v>728</v>
      </c>
      <c r="N181" t="s">
        <v>1607</v>
      </c>
      <c r="O181" s="9">
        <v>352.66</v>
      </c>
      <c r="P181" s="9">
        <v>411.18</v>
      </c>
      <c r="Q181" s="9">
        <v>411.18</v>
      </c>
      <c r="R181" t="s">
        <v>2065</v>
      </c>
      <c r="S181" s="11">
        <v>0.17299999999999999</v>
      </c>
      <c r="T181" t="s">
        <v>2065</v>
      </c>
      <c r="U181" s="13">
        <v>13</v>
      </c>
      <c r="V181" s="9">
        <f t="shared" si="8"/>
        <v>4420.5961799999995</v>
      </c>
      <c r="W181" s="9">
        <f t="shared" si="9"/>
        <v>4584.58</v>
      </c>
      <c r="X181" s="9">
        <f t="shared" si="10"/>
        <v>-163.98382000000038</v>
      </c>
      <c r="Y181" s="11">
        <f t="shared" si="11"/>
        <v>-3.7095408248758066E-2</v>
      </c>
    </row>
    <row r="182" spans="1:25" x14ac:dyDescent="0.3">
      <c r="A182" t="s">
        <v>195</v>
      </c>
      <c r="B182">
        <v>45915</v>
      </c>
      <c r="C182">
        <v>45918</v>
      </c>
      <c r="D182" t="s">
        <v>2064</v>
      </c>
      <c r="E182">
        <v>45918</v>
      </c>
      <c r="F182">
        <v>3</v>
      </c>
      <c r="G182" t="s">
        <v>648</v>
      </c>
      <c r="H182" t="s">
        <v>655</v>
      </c>
      <c r="I182" t="s">
        <v>1426</v>
      </c>
      <c r="J182" t="s">
        <v>703</v>
      </c>
      <c r="K182" t="s">
        <v>711</v>
      </c>
      <c r="L182" t="s">
        <v>716</v>
      </c>
      <c r="M182" t="s">
        <v>733</v>
      </c>
      <c r="N182" t="s">
        <v>1608</v>
      </c>
      <c r="O182" s="9">
        <v>5.5</v>
      </c>
      <c r="P182" s="9">
        <v>5.92</v>
      </c>
      <c r="Q182" s="9">
        <v>5.92</v>
      </c>
      <c r="R182" t="s">
        <v>2065</v>
      </c>
      <c r="S182" s="11">
        <v>0.21199999999999999</v>
      </c>
      <c r="T182" t="s">
        <v>2065</v>
      </c>
      <c r="U182" s="13">
        <v>4</v>
      </c>
      <c r="V182" s="9">
        <f t="shared" si="8"/>
        <v>18.659839999999999</v>
      </c>
      <c r="W182" s="9">
        <f t="shared" si="9"/>
        <v>22</v>
      </c>
      <c r="X182" s="9">
        <f t="shared" si="10"/>
        <v>-3.3401600000000009</v>
      </c>
      <c r="Y182" s="11">
        <f t="shared" si="11"/>
        <v>-0.17900260666758133</v>
      </c>
    </row>
    <row r="183" spans="1:25" x14ac:dyDescent="0.3">
      <c r="A183" t="s">
        <v>196</v>
      </c>
      <c r="B183">
        <v>45568</v>
      </c>
      <c r="C183">
        <v>45576</v>
      </c>
      <c r="D183" t="s">
        <v>2064</v>
      </c>
      <c r="E183">
        <v>45576</v>
      </c>
      <c r="F183">
        <v>8</v>
      </c>
      <c r="G183" t="s">
        <v>647</v>
      </c>
      <c r="H183" t="s">
        <v>659</v>
      </c>
      <c r="I183" t="s">
        <v>699</v>
      </c>
      <c r="J183" t="s">
        <v>706</v>
      </c>
      <c r="K183" t="s">
        <v>711</v>
      </c>
      <c r="L183" t="s">
        <v>717</v>
      </c>
      <c r="M183" t="s">
        <v>730</v>
      </c>
      <c r="N183" t="s">
        <v>1609</v>
      </c>
      <c r="O183" s="9">
        <v>1132.6099999999999</v>
      </c>
      <c r="P183" s="9">
        <v>2206.63</v>
      </c>
      <c r="Q183" s="9">
        <v>2206.63</v>
      </c>
      <c r="R183" t="s">
        <v>2065</v>
      </c>
      <c r="S183" s="11">
        <v>6.3E-2</v>
      </c>
      <c r="T183" t="s">
        <v>2065</v>
      </c>
      <c r="U183" s="13">
        <v>20</v>
      </c>
      <c r="V183" s="9">
        <f t="shared" si="8"/>
        <v>41352.246200000009</v>
      </c>
      <c r="W183" s="9">
        <f t="shared" si="9"/>
        <v>22652.199999999997</v>
      </c>
      <c r="X183" s="9">
        <f t="shared" si="10"/>
        <v>18700.046200000012</v>
      </c>
      <c r="Y183" s="11">
        <f t="shared" si="11"/>
        <v>0.45221355351671338</v>
      </c>
    </row>
    <row r="184" spans="1:25" x14ac:dyDescent="0.3">
      <c r="A184" t="s">
        <v>197</v>
      </c>
      <c r="B184">
        <v>45690</v>
      </c>
      <c r="C184">
        <v>45720</v>
      </c>
      <c r="D184" t="s">
        <v>2064</v>
      </c>
      <c r="E184">
        <v>45720</v>
      </c>
      <c r="F184">
        <v>30</v>
      </c>
      <c r="G184" t="s">
        <v>647</v>
      </c>
      <c r="H184" t="s">
        <v>652</v>
      </c>
      <c r="I184" t="s">
        <v>666</v>
      </c>
      <c r="J184" t="s">
        <v>702</v>
      </c>
      <c r="K184" t="s">
        <v>710</v>
      </c>
      <c r="L184" t="s">
        <v>716</v>
      </c>
      <c r="M184" t="s">
        <v>733</v>
      </c>
      <c r="N184" t="s">
        <v>1610</v>
      </c>
      <c r="O184" s="9">
        <v>766.59</v>
      </c>
      <c r="P184" s="9">
        <v>1912.8</v>
      </c>
      <c r="Q184" s="9">
        <v>1912.8</v>
      </c>
      <c r="R184" t="s">
        <v>2065</v>
      </c>
      <c r="S184" s="11">
        <v>0.19600000000000001</v>
      </c>
      <c r="T184" t="s">
        <v>2065</v>
      </c>
      <c r="U184" s="13">
        <v>5</v>
      </c>
      <c r="V184" s="9">
        <f t="shared" si="8"/>
        <v>7689.4560000000001</v>
      </c>
      <c r="W184" s="9">
        <f t="shared" si="9"/>
        <v>3832.9500000000003</v>
      </c>
      <c r="X184" s="9">
        <f t="shared" si="10"/>
        <v>3856.5059999999999</v>
      </c>
      <c r="Y184" s="11">
        <f t="shared" si="11"/>
        <v>0.50153170783472845</v>
      </c>
    </row>
    <row r="185" spans="1:25" x14ac:dyDescent="0.3">
      <c r="A185" t="s">
        <v>198</v>
      </c>
      <c r="B185">
        <v>45157</v>
      </c>
      <c r="C185">
        <v>45161</v>
      </c>
      <c r="D185" t="s">
        <v>2064</v>
      </c>
      <c r="E185">
        <v>45161</v>
      </c>
      <c r="F185">
        <v>4</v>
      </c>
      <c r="G185" t="s">
        <v>646</v>
      </c>
      <c r="H185" t="s">
        <v>651</v>
      </c>
      <c r="I185" t="s">
        <v>669</v>
      </c>
      <c r="J185" t="s">
        <v>705</v>
      </c>
      <c r="K185" t="s">
        <v>708</v>
      </c>
      <c r="L185" t="s">
        <v>713</v>
      </c>
      <c r="M185" t="s">
        <v>732</v>
      </c>
      <c r="N185" t="s">
        <v>1611</v>
      </c>
      <c r="O185" s="9">
        <v>790.63</v>
      </c>
      <c r="P185" s="9">
        <v>1382.31</v>
      </c>
      <c r="Q185" s="9">
        <v>1382.31</v>
      </c>
      <c r="R185" t="s">
        <v>2065</v>
      </c>
      <c r="S185" s="11">
        <v>0.10100000000000001</v>
      </c>
      <c r="T185" t="s">
        <v>2065</v>
      </c>
      <c r="U185" s="13">
        <v>7</v>
      </c>
      <c r="V185" s="9">
        <f t="shared" si="8"/>
        <v>8698.8768300000011</v>
      </c>
      <c r="W185" s="9">
        <f t="shared" si="9"/>
        <v>5534.41</v>
      </c>
      <c r="X185" s="9">
        <f t="shared" si="10"/>
        <v>3164.4668300000012</v>
      </c>
      <c r="Y185" s="11">
        <f t="shared" si="11"/>
        <v>0.36377878338116448</v>
      </c>
    </row>
    <row r="186" spans="1:25" x14ac:dyDescent="0.3">
      <c r="A186" t="s">
        <v>199</v>
      </c>
      <c r="B186">
        <v>45587</v>
      </c>
      <c r="C186">
        <v>45594</v>
      </c>
      <c r="D186" t="s">
        <v>2064</v>
      </c>
      <c r="E186">
        <v>45594</v>
      </c>
      <c r="F186">
        <v>7</v>
      </c>
      <c r="G186" t="s">
        <v>646</v>
      </c>
      <c r="H186" t="s">
        <v>651</v>
      </c>
      <c r="I186" t="s">
        <v>663</v>
      </c>
      <c r="J186" t="s">
        <v>706</v>
      </c>
      <c r="K186" t="s">
        <v>710</v>
      </c>
      <c r="L186" t="s">
        <v>724</v>
      </c>
      <c r="M186" t="s">
        <v>732</v>
      </c>
      <c r="N186" t="s">
        <v>1612</v>
      </c>
      <c r="O186" s="9">
        <v>1023.06</v>
      </c>
      <c r="P186" s="9">
        <v>1355.61</v>
      </c>
      <c r="Q186" s="9">
        <v>1355.61</v>
      </c>
      <c r="R186" t="s">
        <v>2065</v>
      </c>
      <c r="S186" s="11">
        <v>0.153</v>
      </c>
      <c r="T186" t="s">
        <v>2065</v>
      </c>
      <c r="U186" s="13">
        <v>23</v>
      </c>
      <c r="V186" s="9">
        <f t="shared" si="8"/>
        <v>26408.63841</v>
      </c>
      <c r="W186" s="9">
        <f t="shared" si="9"/>
        <v>23530.379999999997</v>
      </c>
      <c r="X186" s="9">
        <f t="shared" si="10"/>
        <v>2878.2584100000022</v>
      </c>
      <c r="Y186" s="11">
        <f t="shared" si="11"/>
        <v>0.10898927711888809</v>
      </c>
    </row>
    <row r="187" spans="1:25" x14ac:dyDescent="0.3">
      <c r="A187" t="s">
        <v>200</v>
      </c>
      <c r="B187">
        <v>45099</v>
      </c>
      <c r="C187">
        <v>45128</v>
      </c>
      <c r="D187" t="s">
        <v>2064</v>
      </c>
      <c r="E187">
        <v>45128</v>
      </c>
      <c r="F187">
        <v>29</v>
      </c>
      <c r="G187" t="s">
        <v>649</v>
      </c>
      <c r="H187" t="s">
        <v>657</v>
      </c>
      <c r="I187" t="s">
        <v>679</v>
      </c>
      <c r="J187" t="s">
        <v>701</v>
      </c>
      <c r="K187" t="s">
        <v>707</v>
      </c>
      <c r="L187" t="s">
        <v>713</v>
      </c>
      <c r="M187" t="s">
        <v>733</v>
      </c>
      <c r="N187" t="s">
        <v>1613</v>
      </c>
      <c r="O187" s="9">
        <v>734.34</v>
      </c>
      <c r="P187" s="9">
        <v>887.9</v>
      </c>
      <c r="Q187" s="9">
        <v>887.9</v>
      </c>
      <c r="R187" t="s">
        <v>2065</v>
      </c>
      <c r="S187" s="11">
        <v>2.5000000000000001E-2</v>
      </c>
      <c r="T187" t="s">
        <v>2065</v>
      </c>
      <c r="U187" s="13">
        <v>12</v>
      </c>
      <c r="V187" s="9">
        <f t="shared" si="8"/>
        <v>10388.429999999998</v>
      </c>
      <c r="W187" s="9">
        <f t="shared" si="9"/>
        <v>8812.08</v>
      </c>
      <c r="X187" s="9">
        <f t="shared" si="10"/>
        <v>1576.3499999999985</v>
      </c>
      <c r="Y187" s="11">
        <f t="shared" si="11"/>
        <v>0.15174092716608753</v>
      </c>
    </row>
    <row r="188" spans="1:25" x14ac:dyDescent="0.3">
      <c r="A188" t="s">
        <v>201</v>
      </c>
      <c r="B188">
        <v>45670</v>
      </c>
      <c r="C188">
        <v>45696</v>
      </c>
      <c r="D188" t="s">
        <v>2064</v>
      </c>
      <c r="E188">
        <v>45696</v>
      </c>
      <c r="F188">
        <v>26</v>
      </c>
      <c r="G188" t="s">
        <v>649</v>
      </c>
      <c r="H188" t="s">
        <v>657</v>
      </c>
      <c r="I188" t="s">
        <v>690</v>
      </c>
      <c r="J188" t="s">
        <v>703</v>
      </c>
      <c r="K188" t="s">
        <v>2057</v>
      </c>
      <c r="L188" t="s">
        <v>718</v>
      </c>
      <c r="M188" t="s">
        <v>732</v>
      </c>
      <c r="N188" t="s">
        <v>1614</v>
      </c>
      <c r="O188" s="9">
        <v>594.74</v>
      </c>
      <c r="P188" s="9">
        <v>1020.69</v>
      </c>
      <c r="Q188" s="9">
        <v>1020.69</v>
      </c>
      <c r="R188" t="s">
        <v>2065</v>
      </c>
      <c r="S188" s="11">
        <v>0.21099999999999999</v>
      </c>
      <c r="T188" t="s">
        <v>2065</v>
      </c>
      <c r="U188" s="13">
        <v>6</v>
      </c>
      <c r="V188" s="9">
        <f t="shared" si="8"/>
        <v>4831.9464600000001</v>
      </c>
      <c r="W188" s="9">
        <f t="shared" si="9"/>
        <v>3568.44</v>
      </c>
      <c r="X188" s="9">
        <f t="shared" si="10"/>
        <v>1263.5064600000001</v>
      </c>
      <c r="Y188" s="11">
        <f t="shared" si="11"/>
        <v>0.26149016146176424</v>
      </c>
    </row>
    <row r="189" spans="1:25" x14ac:dyDescent="0.3">
      <c r="A189" t="s">
        <v>202</v>
      </c>
      <c r="B189">
        <v>45126</v>
      </c>
      <c r="C189">
        <v>45138</v>
      </c>
      <c r="D189" t="s">
        <v>2064</v>
      </c>
      <c r="E189">
        <v>45138</v>
      </c>
      <c r="F189">
        <v>12</v>
      </c>
      <c r="G189" t="s">
        <v>648</v>
      </c>
      <c r="H189" t="s">
        <v>655</v>
      </c>
      <c r="I189" t="s">
        <v>1426</v>
      </c>
      <c r="J189" t="s">
        <v>701</v>
      </c>
      <c r="K189" t="s">
        <v>707</v>
      </c>
      <c r="L189" t="s">
        <v>712</v>
      </c>
      <c r="M189" t="s">
        <v>732</v>
      </c>
      <c r="N189" t="s">
        <v>1615</v>
      </c>
      <c r="O189" s="9">
        <v>1334.64</v>
      </c>
      <c r="P189" s="9">
        <v>2273.42</v>
      </c>
      <c r="Q189" s="9">
        <v>2273.42</v>
      </c>
      <c r="R189" t="s">
        <v>2065</v>
      </c>
      <c r="S189" s="11">
        <v>0.11799999999999999</v>
      </c>
      <c r="T189" t="s">
        <v>2065</v>
      </c>
      <c r="U189" s="13">
        <v>14</v>
      </c>
      <c r="V189" s="9">
        <f t="shared" si="8"/>
        <v>28072.190160000002</v>
      </c>
      <c r="W189" s="9">
        <f t="shared" si="9"/>
        <v>18684.960000000003</v>
      </c>
      <c r="X189" s="9">
        <f t="shared" si="10"/>
        <v>9387.2301599999992</v>
      </c>
      <c r="Y189" s="11">
        <f t="shared" si="11"/>
        <v>0.33439607335575267</v>
      </c>
    </row>
    <row r="190" spans="1:25" x14ac:dyDescent="0.3">
      <c r="A190" t="s">
        <v>203</v>
      </c>
      <c r="B190">
        <v>45431</v>
      </c>
      <c r="C190">
        <v>45451</v>
      </c>
      <c r="D190" t="s">
        <v>2064</v>
      </c>
      <c r="E190">
        <v>45451</v>
      </c>
      <c r="F190">
        <v>20</v>
      </c>
      <c r="G190" t="s">
        <v>648</v>
      </c>
      <c r="H190" t="s">
        <v>655</v>
      </c>
      <c r="I190" t="s">
        <v>672</v>
      </c>
      <c r="J190" t="s">
        <v>705</v>
      </c>
      <c r="K190" t="s">
        <v>707</v>
      </c>
      <c r="L190" t="s">
        <v>718</v>
      </c>
      <c r="M190" t="s">
        <v>732</v>
      </c>
      <c r="N190" t="s">
        <v>1616</v>
      </c>
      <c r="O190" s="9">
        <v>1075.9000000000001</v>
      </c>
      <c r="P190" s="9">
        <v>1242.1500000000001</v>
      </c>
      <c r="Q190" s="9">
        <v>1242.1500000000001</v>
      </c>
      <c r="R190" t="s">
        <v>2065</v>
      </c>
      <c r="S190" s="11">
        <v>1.2E-2</v>
      </c>
      <c r="T190" t="s">
        <v>2065</v>
      </c>
      <c r="U190" s="13">
        <v>7</v>
      </c>
      <c r="V190" s="9">
        <f t="shared" si="8"/>
        <v>8590.7094000000016</v>
      </c>
      <c r="W190" s="9">
        <f t="shared" si="9"/>
        <v>7531.3000000000011</v>
      </c>
      <c r="X190" s="9">
        <f t="shared" si="10"/>
        <v>1059.4094000000005</v>
      </c>
      <c r="Y190" s="11">
        <f t="shared" si="11"/>
        <v>0.12332036280961853</v>
      </c>
    </row>
    <row r="191" spans="1:25" x14ac:dyDescent="0.3">
      <c r="A191" t="s">
        <v>204</v>
      </c>
      <c r="B191">
        <v>45325</v>
      </c>
      <c r="C191">
        <v>45341</v>
      </c>
      <c r="D191" t="s">
        <v>2064</v>
      </c>
      <c r="E191">
        <v>45341</v>
      </c>
      <c r="F191">
        <v>16</v>
      </c>
      <c r="G191" t="s">
        <v>647</v>
      </c>
      <c r="H191" t="s">
        <v>659</v>
      </c>
      <c r="I191" t="s">
        <v>676</v>
      </c>
      <c r="J191" t="s">
        <v>705</v>
      </c>
      <c r="K191" t="s">
        <v>708</v>
      </c>
      <c r="L191" t="s">
        <v>722</v>
      </c>
      <c r="M191" t="s">
        <v>731</v>
      </c>
      <c r="N191" t="s">
        <v>1617</v>
      </c>
      <c r="O191" s="9">
        <v>993.75</v>
      </c>
      <c r="P191" s="9">
        <v>1310.29</v>
      </c>
      <c r="Q191" s="9">
        <v>1310.29</v>
      </c>
      <c r="R191" t="s">
        <v>2065</v>
      </c>
      <c r="S191" s="11">
        <v>0.215</v>
      </c>
      <c r="T191" t="s">
        <v>2065</v>
      </c>
      <c r="U191" s="13">
        <v>19</v>
      </c>
      <c r="V191" s="9">
        <f t="shared" si="8"/>
        <v>19542.975350000001</v>
      </c>
      <c r="W191" s="9">
        <f t="shared" si="9"/>
        <v>18881.25</v>
      </c>
      <c r="X191" s="9">
        <f t="shared" si="10"/>
        <v>661.72535000000062</v>
      </c>
      <c r="Y191" s="11">
        <f t="shared" si="11"/>
        <v>3.3860010471742245E-2</v>
      </c>
    </row>
    <row r="192" spans="1:25" x14ac:dyDescent="0.3">
      <c r="A192" t="s">
        <v>205</v>
      </c>
      <c r="B192">
        <v>45146</v>
      </c>
      <c r="C192">
        <v>45160</v>
      </c>
      <c r="D192" t="s">
        <v>2064</v>
      </c>
      <c r="E192">
        <v>45160</v>
      </c>
      <c r="F192">
        <v>14</v>
      </c>
      <c r="G192" t="s">
        <v>649</v>
      </c>
      <c r="H192" t="s">
        <v>658</v>
      </c>
      <c r="I192" t="s">
        <v>674</v>
      </c>
      <c r="J192" t="s">
        <v>703</v>
      </c>
      <c r="K192" t="s">
        <v>711</v>
      </c>
      <c r="L192" t="s">
        <v>725</v>
      </c>
      <c r="M192" t="s">
        <v>732</v>
      </c>
      <c r="N192" t="s">
        <v>1618</v>
      </c>
      <c r="O192" s="9">
        <v>446.69</v>
      </c>
      <c r="P192" s="9">
        <v>967.25</v>
      </c>
      <c r="Q192" s="9">
        <v>967.25</v>
      </c>
      <c r="R192" t="s">
        <v>2065</v>
      </c>
      <c r="S192" s="11">
        <v>9.4E-2</v>
      </c>
      <c r="T192" t="s">
        <v>2065</v>
      </c>
      <c r="U192" s="13">
        <v>10</v>
      </c>
      <c r="V192" s="9">
        <f t="shared" si="8"/>
        <v>8763.2849999999999</v>
      </c>
      <c r="W192" s="9">
        <f t="shared" si="9"/>
        <v>4466.8999999999996</v>
      </c>
      <c r="X192" s="9">
        <f t="shared" si="10"/>
        <v>4296.3850000000002</v>
      </c>
      <c r="Y192" s="11">
        <f t="shared" si="11"/>
        <v>0.49027105702941309</v>
      </c>
    </row>
    <row r="193" spans="1:25" x14ac:dyDescent="0.3">
      <c r="A193" t="s">
        <v>206</v>
      </c>
      <c r="B193">
        <v>45516</v>
      </c>
      <c r="C193">
        <v>45538</v>
      </c>
      <c r="D193" t="s">
        <v>2064</v>
      </c>
      <c r="E193">
        <v>45538</v>
      </c>
      <c r="F193">
        <v>22</v>
      </c>
      <c r="G193" t="s">
        <v>648</v>
      </c>
      <c r="H193" t="s">
        <v>1425</v>
      </c>
      <c r="I193" t="s">
        <v>697</v>
      </c>
      <c r="J193" t="s">
        <v>704</v>
      </c>
      <c r="K193" t="s">
        <v>710</v>
      </c>
      <c r="L193" t="s">
        <v>714</v>
      </c>
      <c r="M193" t="s">
        <v>731</v>
      </c>
      <c r="N193" t="s">
        <v>1619</v>
      </c>
      <c r="O193" s="9">
        <v>797.8</v>
      </c>
      <c r="P193" s="9">
        <v>886.22</v>
      </c>
      <c r="Q193" s="9">
        <v>886.22</v>
      </c>
      <c r="R193" t="s">
        <v>2065</v>
      </c>
      <c r="S193" s="11">
        <v>0.23599999999999999</v>
      </c>
      <c r="T193" t="s">
        <v>2065</v>
      </c>
      <c r="U193" s="13">
        <v>36</v>
      </c>
      <c r="V193" s="9">
        <f t="shared" si="8"/>
        <v>24374.594880000001</v>
      </c>
      <c r="W193" s="9">
        <f t="shared" si="9"/>
        <v>28720.799999999999</v>
      </c>
      <c r="X193" s="9">
        <f t="shared" si="10"/>
        <v>-4346.2051199999987</v>
      </c>
      <c r="Y193" s="11">
        <f t="shared" si="11"/>
        <v>-0.17830881462428633</v>
      </c>
    </row>
    <row r="194" spans="1:25" x14ac:dyDescent="0.3">
      <c r="A194" t="s">
        <v>207</v>
      </c>
      <c r="B194">
        <v>45214</v>
      </c>
      <c r="C194">
        <v>45243</v>
      </c>
      <c r="D194" t="s">
        <v>2064</v>
      </c>
      <c r="E194">
        <v>45243</v>
      </c>
      <c r="F194">
        <v>29</v>
      </c>
      <c r="G194" t="s">
        <v>647</v>
      </c>
      <c r="H194" t="s">
        <v>659</v>
      </c>
      <c r="I194" t="s">
        <v>676</v>
      </c>
      <c r="J194" t="s">
        <v>703</v>
      </c>
      <c r="K194" t="s">
        <v>710</v>
      </c>
      <c r="L194" t="s">
        <v>713</v>
      </c>
      <c r="M194" t="s">
        <v>728</v>
      </c>
      <c r="N194" t="s">
        <v>1620</v>
      </c>
      <c r="O194" s="9">
        <v>986.44</v>
      </c>
      <c r="P194" s="9">
        <v>790.61</v>
      </c>
      <c r="Q194" s="9">
        <v>790.61</v>
      </c>
      <c r="R194" t="s">
        <v>2065</v>
      </c>
      <c r="S194" s="11">
        <v>7.1999999999999995E-2</v>
      </c>
      <c r="T194" t="s">
        <v>2065</v>
      </c>
      <c r="U194" s="13">
        <v>6</v>
      </c>
      <c r="V194" s="9">
        <f t="shared" si="8"/>
        <v>4402.1164799999997</v>
      </c>
      <c r="W194" s="9">
        <f t="shared" si="9"/>
        <v>5918.64</v>
      </c>
      <c r="X194" s="9">
        <f t="shared" si="10"/>
        <v>-1516.5235200000006</v>
      </c>
      <c r="Y194" s="11">
        <f t="shared" si="11"/>
        <v>-0.34449872621271499</v>
      </c>
    </row>
    <row r="195" spans="1:25" x14ac:dyDescent="0.3">
      <c r="A195" t="s">
        <v>208</v>
      </c>
      <c r="B195">
        <v>45050</v>
      </c>
      <c r="C195">
        <v>45072</v>
      </c>
      <c r="D195" t="s">
        <v>2064</v>
      </c>
      <c r="E195">
        <v>45072</v>
      </c>
      <c r="F195">
        <v>22</v>
      </c>
      <c r="G195" t="s">
        <v>648</v>
      </c>
      <c r="H195" t="s">
        <v>1425</v>
      </c>
      <c r="I195" t="s">
        <v>686</v>
      </c>
      <c r="J195" t="s">
        <v>706</v>
      </c>
      <c r="K195" t="s">
        <v>708</v>
      </c>
      <c r="L195" t="s">
        <v>713</v>
      </c>
      <c r="M195" t="s">
        <v>729</v>
      </c>
      <c r="N195" t="s">
        <v>1621</v>
      </c>
      <c r="O195" s="9">
        <v>249.71</v>
      </c>
      <c r="P195" s="9">
        <v>361.33</v>
      </c>
      <c r="Q195" s="9">
        <v>361.33</v>
      </c>
      <c r="R195" t="s">
        <v>2065</v>
      </c>
      <c r="S195" s="11">
        <v>9.4E-2</v>
      </c>
      <c r="T195" t="s">
        <v>2065</v>
      </c>
      <c r="U195" s="13">
        <v>12</v>
      </c>
      <c r="V195" s="9">
        <f t="shared" ref="V195:V258" si="12">Q195*U195*(1-S195)</f>
        <v>3928.3797600000003</v>
      </c>
      <c r="W195" s="9">
        <f t="shared" ref="W195:W258" si="13">O195*U195</f>
        <v>2996.52</v>
      </c>
      <c r="X195" s="9">
        <f t="shared" ref="X195:X258" si="14">V195-W195</f>
        <v>931.85976000000028</v>
      </c>
      <c r="Y195" s="11">
        <f t="shared" ref="Y195:Y258" si="15">IF(V195=0,0,X195/V195)</f>
        <v>0.23721223937881206</v>
      </c>
    </row>
    <row r="196" spans="1:25" x14ac:dyDescent="0.3">
      <c r="A196" t="s">
        <v>209</v>
      </c>
      <c r="B196">
        <v>45557</v>
      </c>
      <c r="C196">
        <v>45566</v>
      </c>
      <c r="D196" t="s">
        <v>2064</v>
      </c>
      <c r="E196">
        <v>45566</v>
      </c>
      <c r="F196">
        <v>9</v>
      </c>
      <c r="G196" t="s">
        <v>648</v>
      </c>
      <c r="H196" t="s">
        <v>655</v>
      </c>
      <c r="I196" t="s">
        <v>670</v>
      </c>
      <c r="J196" t="s">
        <v>703</v>
      </c>
      <c r="K196" t="s">
        <v>708</v>
      </c>
      <c r="L196" t="s">
        <v>723</v>
      </c>
      <c r="M196" t="s">
        <v>732</v>
      </c>
      <c r="N196" t="s">
        <v>1622</v>
      </c>
      <c r="O196" s="9">
        <v>1378.8</v>
      </c>
      <c r="P196" s="9">
        <v>1952.04</v>
      </c>
      <c r="Q196" s="9">
        <v>1952.04</v>
      </c>
      <c r="R196" t="s">
        <v>2065</v>
      </c>
      <c r="S196" s="11">
        <v>0.159</v>
      </c>
      <c r="T196" t="s">
        <v>2065</v>
      </c>
      <c r="U196" s="13">
        <v>19</v>
      </c>
      <c r="V196" s="9">
        <f t="shared" si="12"/>
        <v>31191.64716</v>
      </c>
      <c r="W196" s="9">
        <f t="shared" si="13"/>
        <v>26197.200000000001</v>
      </c>
      <c r="X196" s="9">
        <f t="shared" si="14"/>
        <v>4994.4471599999997</v>
      </c>
      <c r="Y196" s="11">
        <f t="shared" si="15"/>
        <v>0.16012130216723058</v>
      </c>
    </row>
    <row r="197" spans="1:25" x14ac:dyDescent="0.3">
      <c r="A197" t="s">
        <v>210</v>
      </c>
      <c r="B197">
        <v>45588</v>
      </c>
      <c r="C197">
        <v>45610</v>
      </c>
      <c r="D197" t="s">
        <v>2064</v>
      </c>
      <c r="E197">
        <v>45610</v>
      </c>
      <c r="F197">
        <v>22</v>
      </c>
      <c r="G197" t="s">
        <v>647</v>
      </c>
      <c r="H197" t="s">
        <v>652</v>
      </c>
      <c r="I197" t="s">
        <v>666</v>
      </c>
      <c r="J197" t="s">
        <v>703</v>
      </c>
      <c r="K197" t="s">
        <v>711</v>
      </c>
      <c r="L197" t="s">
        <v>717</v>
      </c>
      <c r="M197" t="s">
        <v>730</v>
      </c>
      <c r="N197" t="s">
        <v>1623</v>
      </c>
      <c r="O197" s="9">
        <v>1406.4</v>
      </c>
      <c r="P197" s="9">
        <v>1564.76</v>
      </c>
      <c r="Q197" s="9">
        <v>1564.76</v>
      </c>
      <c r="R197" t="s">
        <v>2065</v>
      </c>
      <c r="S197" s="11">
        <v>0.185</v>
      </c>
      <c r="T197" t="s">
        <v>2065</v>
      </c>
      <c r="U197" s="13">
        <v>17</v>
      </c>
      <c r="V197" s="9">
        <f t="shared" si="12"/>
        <v>21679.749799999998</v>
      </c>
      <c r="W197" s="9">
        <f t="shared" si="13"/>
        <v>23908.800000000003</v>
      </c>
      <c r="X197" s="9">
        <f t="shared" si="14"/>
        <v>-2229.0502000000051</v>
      </c>
      <c r="Y197" s="11">
        <f t="shared" si="15"/>
        <v>-0.10281715520536151</v>
      </c>
    </row>
    <row r="198" spans="1:25" x14ac:dyDescent="0.3">
      <c r="A198" t="s">
        <v>211</v>
      </c>
      <c r="B198">
        <v>45333</v>
      </c>
      <c r="C198">
        <v>45354</v>
      </c>
      <c r="D198" t="s">
        <v>2064</v>
      </c>
      <c r="E198">
        <v>45354</v>
      </c>
      <c r="F198">
        <v>21</v>
      </c>
      <c r="G198" t="s">
        <v>646</v>
      </c>
      <c r="H198" t="s">
        <v>650</v>
      </c>
      <c r="I198" t="s">
        <v>662</v>
      </c>
      <c r="J198" t="s">
        <v>706</v>
      </c>
      <c r="K198" t="s">
        <v>708</v>
      </c>
      <c r="L198" t="s">
        <v>717</v>
      </c>
      <c r="M198" t="s">
        <v>730</v>
      </c>
      <c r="N198" t="s">
        <v>1624</v>
      </c>
      <c r="O198" s="9">
        <v>516.86</v>
      </c>
      <c r="P198" s="9">
        <v>852.54</v>
      </c>
      <c r="Q198" s="9">
        <v>852.54</v>
      </c>
      <c r="R198" t="s">
        <v>2065</v>
      </c>
      <c r="S198" s="11">
        <v>5.0999999999999997E-2</v>
      </c>
      <c r="T198" t="s">
        <v>2065</v>
      </c>
      <c r="U198" s="13">
        <v>14</v>
      </c>
      <c r="V198" s="9">
        <f t="shared" si="12"/>
        <v>11326.846439999999</v>
      </c>
      <c r="W198" s="9">
        <f t="shared" si="13"/>
        <v>7236.04</v>
      </c>
      <c r="X198" s="9">
        <f t="shared" si="14"/>
        <v>4090.8064399999994</v>
      </c>
      <c r="Y198" s="11">
        <f t="shared" si="15"/>
        <v>0.36116022775355994</v>
      </c>
    </row>
    <row r="199" spans="1:25" x14ac:dyDescent="0.3">
      <c r="A199" t="s">
        <v>212</v>
      </c>
      <c r="B199">
        <v>44956</v>
      </c>
      <c r="C199">
        <v>44978</v>
      </c>
      <c r="D199" t="s">
        <v>2064</v>
      </c>
      <c r="E199">
        <v>44978</v>
      </c>
      <c r="F199">
        <v>22</v>
      </c>
      <c r="G199" t="s">
        <v>649</v>
      </c>
      <c r="H199" t="s">
        <v>656</v>
      </c>
      <c r="I199" t="s">
        <v>684</v>
      </c>
      <c r="J199" t="s">
        <v>705</v>
      </c>
      <c r="K199" t="s">
        <v>709</v>
      </c>
      <c r="L199" t="s">
        <v>715</v>
      </c>
      <c r="M199" t="s">
        <v>729</v>
      </c>
      <c r="N199" t="s">
        <v>1625</v>
      </c>
      <c r="O199" s="9">
        <v>1142.8800000000001</v>
      </c>
      <c r="P199" s="9">
        <v>1465.29</v>
      </c>
      <c r="Q199" s="9">
        <v>1465.29</v>
      </c>
      <c r="R199" t="s">
        <v>2065</v>
      </c>
      <c r="S199" s="11">
        <v>0.186</v>
      </c>
      <c r="T199" t="s">
        <v>2065</v>
      </c>
      <c r="U199" s="13">
        <v>7</v>
      </c>
      <c r="V199" s="9">
        <f t="shared" si="12"/>
        <v>8349.2224200000001</v>
      </c>
      <c r="W199" s="9">
        <f t="shared" si="13"/>
        <v>8000.1600000000008</v>
      </c>
      <c r="X199" s="9">
        <f t="shared" si="14"/>
        <v>349.06241999999929</v>
      </c>
      <c r="Y199" s="11">
        <f t="shared" si="15"/>
        <v>4.1807775915017401E-2</v>
      </c>
    </row>
    <row r="200" spans="1:25" x14ac:dyDescent="0.3">
      <c r="A200" t="s">
        <v>213</v>
      </c>
      <c r="B200">
        <v>45030</v>
      </c>
      <c r="C200">
        <v>45059</v>
      </c>
      <c r="D200" t="s">
        <v>2064</v>
      </c>
      <c r="E200">
        <v>45059</v>
      </c>
      <c r="F200">
        <v>29</v>
      </c>
      <c r="G200" t="s">
        <v>649</v>
      </c>
      <c r="H200" t="s">
        <v>656</v>
      </c>
      <c r="I200" t="s">
        <v>698</v>
      </c>
      <c r="J200" t="s">
        <v>704</v>
      </c>
      <c r="K200" t="s">
        <v>711</v>
      </c>
      <c r="L200" t="s">
        <v>713</v>
      </c>
      <c r="M200" t="s">
        <v>728</v>
      </c>
      <c r="N200" t="s">
        <v>1626</v>
      </c>
      <c r="O200" s="9">
        <v>1320.33</v>
      </c>
      <c r="P200" s="9">
        <v>2645.23</v>
      </c>
      <c r="Q200" s="9">
        <v>2645.23</v>
      </c>
      <c r="R200" t="s">
        <v>2065</v>
      </c>
      <c r="S200" s="11">
        <v>0.155</v>
      </c>
      <c r="T200" t="s">
        <v>2065</v>
      </c>
      <c r="U200" s="13">
        <v>25</v>
      </c>
      <c r="V200" s="9">
        <f t="shared" si="12"/>
        <v>55880.483749999999</v>
      </c>
      <c r="W200" s="9">
        <f t="shared" si="13"/>
        <v>33008.25</v>
      </c>
      <c r="X200" s="9">
        <f t="shared" si="14"/>
        <v>22872.233749999999</v>
      </c>
      <c r="Y200" s="11">
        <f t="shared" si="15"/>
        <v>0.40930629470436536</v>
      </c>
    </row>
    <row r="201" spans="1:25" x14ac:dyDescent="0.3">
      <c r="A201" t="s">
        <v>214</v>
      </c>
      <c r="B201">
        <v>44939</v>
      </c>
      <c r="C201">
        <v>44945</v>
      </c>
      <c r="D201" t="s">
        <v>2064</v>
      </c>
      <c r="E201">
        <v>44945</v>
      </c>
      <c r="F201">
        <v>6</v>
      </c>
      <c r="G201" t="s">
        <v>648</v>
      </c>
      <c r="H201" t="s">
        <v>1425</v>
      </c>
      <c r="I201" t="s">
        <v>677</v>
      </c>
      <c r="J201" t="s">
        <v>701</v>
      </c>
      <c r="K201" t="s">
        <v>711</v>
      </c>
      <c r="L201" t="s">
        <v>722</v>
      </c>
      <c r="M201" t="s">
        <v>730</v>
      </c>
      <c r="N201" t="s">
        <v>1627</v>
      </c>
      <c r="O201" s="9">
        <v>833.57</v>
      </c>
      <c r="P201" s="9">
        <v>881.57</v>
      </c>
      <c r="Q201" s="9">
        <v>881.57</v>
      </c>
      <c r="R201" t="s">
        <v>2065</v>
      </c>
      <c r="S201" s="11">
        <v>5.7000000000000002E-2</v>
      </c>
      <c r="T201" t="s">
        <v>2065</v>
      </c>
      <c r="U201" s="13">
        <v>18</v>
      </c>
      <c r="V201" s="9">
        <f t="shared" si="12"/>
        <v>14963.769179999999</v>
      </c>
      <c r="W201" s="9">
        <f t="shared" si="13"/>
        <v>15004.26</v>
      </c>
      <c r="X201" s="9">
        <f t="shared" si="14"/>
        <v>-40.490820000000895</v>
      </c>
      <c r="Y201" s="11">
        <f t="shared" si="15"/>
        <v>-2.7059238560107821E-3</v>
      </c>
    </row>
    <row r="202" spans="1:25" x14ac:dyDescent="0.3">
      <c r="A202" t="s">
        <v>215</v>
      </c>
      <c r="B202">
        <v>45303</v>
      </c>
      <c r="C202">
        <v>45320</v>
      </c>
      <c r="D202" t="s">
        <v>2064</v>
      </c>
      <c r="E202">
        <v>45320</v>
      </c>
      <c r="F202">
        <v>17</v>
      </c>
      <c r="G202" t="s">
        <v>648</v>
      </c>
      <c r="H202" t="s">
        <v>1425</v>
      </c>
      <c r="I202" t="s">
        <v>677</v>
      </c>
      <c r="J202" t="s">
        <v>702</v>
      </c>
      <c r="K202" t="s">
        <v>710</v>
      </c>
      <c r="L202" t="s">
        <v>720</v>
      </c>
      <c r="M202" t="s">
        <v>728</v>
      </c>
      <c r="N202" t="s">
        <v>1628</v>
      </c>
      <c r="O202" s="9">
        <v>493.76</v>
      </c>
      <c r="P202" s="9">
        <v>625.04</v>
      </c>
      <c r="Q202" s="9">
        <v>625.04</v>
      </c>
      <c r="R202" t="s">
        <v>2065</v>
      </c>
      <c r="S202" s="11">
        <v>0.25800000000000001</v>
      </c>
      <c r="T202" t="s">
        <v>2065</v>
      </c>
      <c r="U202" s="13">
        <v>10</v>
      </c>
      <c r="V202" s="9">
        <f t="shared" si="12"/>
        <v>4637.7968000000001</v>
      </c>
      <c r="W202" s="9">
        <f t="shared" si="13"/>
        <v>4937.6000000000004</v>
      </c>
      <c r="X202" s="9">
        <f t="shared" si="14"/>
        <v>-299.80320000000029</v>
      </c>
      <c r="Y202" s="11">
        <f t="shared" si="15"/>
        <v>-6.464345311549663E-2</v>
      </c>
    </row>
    <row r="203" spans="1:25" x14ac:dyDescent="0.3">
      <c r="A203" t="s">
        <v>216</v>
      </c>
      <c r="B203">
        <v>45153</v>
      </c>
      <c r="C203">
        <v>45176</v>
      </c>
      <c r="D203" t="s">
        <v>2064</v>
      </c>
      <c r="E203">
        <v>45176</v>
      </c>
      <c r="F203">
        <v>23</v>
      </c>
      <c r="G203" t="s">
        <v>648</v>
      </c>
      <c r="H203" t="s">
        <v>1425</v>
      </c>
      <c r="I203" t="s">
        <v>700</v>
      </c>
      <c r="J203" t="s">
        <v>706</v>
      </c>
      <c r="K203" t="s">
        <v>708</v>
      </c>
      <c r="L203" t="s">
        <v>723</v>
      </c>
      <c r="M203" t="s">
        <v>730</v>
      </c>
      <c r="N203" t="s">
        <v>1629</v>
      </c>
      <c r="O203" s="9">
        <v>590.33000000000004</v>
      </c>
      <c r="P203" s="9">
        <v>973.04</v>
      </c>
      <c r="Q203" s="9">
        <v>973.04</v>
      </c>
      <c r="R203" t="s">
        <v>2065</v>
      </c>
      <c r="S203" s="11">
        <v>0</v>
      </c>
      <c r="T203" t="s">
        <v>2065</v>
      </c>
      <c r="U203" s="13">
        <v>26</v>
      </c>
      <c r="V203" s="9">
        <f t="shared" si="12"/>
        <v>25299.040000000001</v>
      </c>
      <c r="W203" s="9">
        <f t="shared" si="13"/>
        <v>15348.580000000002</v>
      </c>
      <c r="X203" s="9">
        <f t="shared" si="14"/>
        <v>9950.4599999999991</v>
      </c>
      <c r="Y203" s="11">
        <f t="shared" si="15"/>
        <v>0.39331373838691108</v>
      </c>
    </row>
    <row r="204" spans="1:25" x14ac:dyDescent="0.3">
      <c r="A204" t="s">
        <v>217</v>
      </c>
      <c r="B204">
        <v>44946</v>
      </c>
      <c r="C204">
        <v>44960</v>
      </c>
      <c r="D204" t="s">
        <v>2064</v>
      </c>
      <c r="E204">
        <v>44960</v>
      </c>
      <c r="F204">
        <v>14</v>
      </c>
      <c r="G204" t="s">
        <v>646</v>
      </c>
      <c r="H204" t="s">
        <v>650</v>
      </c>
      <c r="I204" t="s">
        <v>662</v>
      </c>
      <c r="J204" t="s">
        <v>701</v>
      </c>
      <c r="K204" t="s">
        <v>707</v>
      </c>
      <c r="L204" t="s">
        <v>724</v>
      </c>
      <c r="M204" t="s">
        <v>729</v>
      </c>
      <c r="N204" t="s">
        <v>1630</v>
      </c>
      <c r="O204" s="9">
        <v>884.36</v>
      </c>
      <c r="P204" s="9">
        <v>1545.34</v>
      </c>
      <c r="Q204" s="9">
        <v>1545.34</v>
      </c>
      <c r="R204" t="s">
        <v>2065</v>
      </c>
      <c r="S204" s="11">
        <v>0.24299999999999999</v>
      </c>
      <c r="T204" t="s">
        <v>2065</v>
      </c>
      <c r="U204" s="13">
        <v>41</v>
      </c>
      <c r="V204" s="9">
        <f t="shared" si="12"/>
        <v>47962.717579999997</v>
      </c>
      <c r="W204" s="9">
        <f t="shared" si="13"/>
        <v>36258.76</v>
      </c>
      <c r="X204" s="9">
        <f t="shared" si="14"/>
        <v>11703.957579999995</v>
      </c>
      <c r="Y204" s="11">
        <f t="shared" si="15"/>
        <v>0.24402198562827965</v>
      </c>
    </row>
    <row r="205" spans="1:25" x14ac:dyDescent="0.3">
      <c r="A205" t="s">
        <v>218</v>
      </c>
      <c r="B205">
        <v>45692</v>
      </c>
      <c r="C205">
        <v>45713</v>
      </c>
      <c r="D205" t="s">
        <v>2064</v>
      </c>
      <c r="E205">
        <v>45713</v>
      </c>
      <c r="F205">
        <v>21</v>
      </c>
      <c r="G205" t="s">
        <v>649</v>
      </c>
      <c r="H205" t="s">
        <v>658</v>
      </c>
      <c r="I205" t="s">
        <v>674</v>
      </c>
      <c r="J205" t="s">
        <v>701</v>
      </c>
      <c r="K205" t="s">
        <v>709</v>
      </c>
      <c r="L205" t="s">
        <v>726</v>
      </c>
      <c r="M205" t="s">
        <v>732</v>
      </c>
      <c r="N205" t="s">
        <v>1631</v>
      </c>
      <c r="O205" s="9">
        <v>1016.32</v>
      </c>
      <c r="P205" s="9">
        <v>2253.42</v>
      </c>
      <c r="Q205" s="9">
        <v>2253.42</v>
      </c>
      <c r="R205" t="s">
        <v>2065</v>
      </c>
      <c r="S205" s="11">
        <v>5.5E-2</v>
      </c>
      <c r="T205" t="s">
        <v>2065</v>
      </c>
      <c r="U205" s="13">
        <v>12</v>
      </c>
      <c r="V205" s="9">
        <f t="shared" si="12"/>
        <v>25553.782800000001</v>
      </c>
      <c r="W205" s="9">
        <f t="shared" si="13"/>
        <v>12195.84</v>
      </c>
      <c r="X205" s="9">
        <f t="shared" si="14"/>
        <v>13357.942800000001</v>
      </c>
      <c r="Y205" s="11">
        <f t="shared" si="15"/>
        <v>0.52273837124419797</v>
      </c>
    </row>
    <row r="206" spans="1:25" x14ac:dyDescent="0.3">
      <c r="A206" t="s">
        <v>219</v>
      </c>
      <c r="B206">
        <v>45035</v>
      </c>
      <c r="C206">
        <v>45044</v>
      </c>
      <c r="D206" t="s">
        <v>2064</v>
      </c>
      <c r="E206">
        <v>45044</v>
      </c>
      <c r="F206">
        <v>9</v>
      </c>
      <c r="G206" t="s">
        <v>649</v>
      </c>
      <c r="H206" t="s">
        <v>656</v>
      </c>
      <c r="I206" t="s">
        <v>671</v>
      </c>
      <c r="J206" t="s">
        <v>702</v>
      </c>
      <c r="K206" t="s">
        <v>708</v>
      </c>
      <c r="L206" t="s">
        <v>718</v>
      </c>
      <c r="M206" t="s">
        <v>732</v>
      </c>
      <c r="N206" t="s">
        <v>1632</v>
      </c>
      <c r="O206" s="9">
        <v>1178.42</v>
      </c>
      <c r="P206" s="9">
        <v>2446.56</v>
      </c>
      <c r="Q206" s="9">
        <v>2446.56</v>
      </c>
      <c r="R206" t="s">
        <v>2065</v>
      </c>
      <c r="S206" s="11">
        <v>2.9000000000000001E-2</v>
      </c>
      <c r="T206" t="s">
        <v>2065</v>
      </c>
      <c r="U206" s="13">
        <v>11</v>
      </c>
      <c r="V206" s="9">
        <f t="shared" si="12"/>
        <v>26131.70736</v>
      </c>
      <c r="W206" s="9">
        <f t="shared" si="13"/>
        <v>12962.62</v>
      </c>
      <c r="X206" s="9">
        <f t="shared" si="14"/>
        <v>13169.08736</v>
      </c>
      <c r="Y206" s="11">
        <f t="shared" si="15"/>
        <v>0.5039505141618883</v>
      </c>
    </row>
    <row r="207" spans="1:25" x14ac:dyDescent="0.3">
      <c r="A207" t="s">
        <v>220</v>
      </c>
      <c r="B207">
        <v>45109</v>
      </c>
      <c r="C207">
        <v>45139</v>
      </c>
      <c r="D207" t="s">
        <v>2064</v>
      </c>
      <c r="E207">
        <v>45139</v>
      </c>
      <c r="F207">
        <v>30</v>
      </c>
      <c r="G207" t="s">
        <v>649</v>
      </c>
      <c r="H207" t="s">
        <v>658</v>
      </c>
      <c r="I207" t="s">
        <v>674</v>
      </c>
      <c r="J207" t="s">
        <v>705</v>
      </c>
      <c r="K207" t="s">
        <v>707</v>
      </c>
      <c r="L207" t="s">
        <v>717</v>
      </c>
      <c r="M207" t="s">
        <v>727</v>
      </c>
      <c r="N207" t="s">
        <v>1633</v>
      </c>
      <c r="O207" s="9">
        <v>137.46</v>
      </c>
      <c r="P207" s="9">
        <v>188.3</v>
      </c>
      <c r="Q207" s="9">
        <v>188.3</v>
      </c>
      <c r="R207" t="s">
        <v>2065</v>
      </c>
      <c r="S207" s="11">
        <v>3.7999999999999999E-2</v>
      </c>
      <c r="T207" t="s">
        <v>2065</v>
      </c>
      <c r="U207" s="13">
        <v>37</v>
      </c>
      <c r="V207" s="9">
        <f t="shared" si="12"/>
        <v>6702.3501999999999</v>
      </c>
      <c r="W207" s="9">
        <f t="shared" si="13"/>
        <v>5086.0200000000004</v>
      </c>
      <c r="X207" s="9">
        <f t="shared" si="14"/>
        <v>1616.3301999999994</v>
      </c>
      <c r="Y207" s="11">
        <f t="shared" si="15"/>
        <v>0.24115872071262398</v>
      </c>
    </row>
    <row r="208" spans="1:25" x14ac:dyDescent="0.3">
      <c r="A208" t="s">
        <v>221</v>
      </c>
      <c r="B208">
        <v>45678</v>
      </c>
      <c r="C208">
        <v>45702</v>
      </c>
      <c r="D208" t="s">
        <v>2064</v>
      </c>
      <c r="E208">
        <v>45702</v>
      </c>
      <c r="F208">
        <v>24</v>
      </c>
      <c r="G208" t="s">
        <v>646</v>
      </c>
      <c r="H208" t="s">
        <v>650</v>
      </c>
      <c r="I208" t="s">
        <v>664</v>
      </c>
      <c r="J208" t="s">
        <v>705</v>
      </c>
      <c r="K208" t="s">
        <v>707</v>
      </c>
      <c r="L208" t="s">
        <v>713</v>
      </c>
      <c r="M208" t="s">
        <v>733</v>
      </c>
      <c r="N208" t="s">
        <v>1634</v>
      </c>
      <c r="O208" s="9">
        <v>1030.44</v>
      </c>
      <c r="P208" s="9">
        <v>2562.84</v>
      </c>
      <c r="Q208" s="9">
        <v>2562.84</v>
      </c>
      <c r="R208" t="s">
        <v>2065</v>
      </c>
      <c r="S208" s="11">
        <v>0.14799999999999999</v>
      </c>
      <c r="T208" t="s">
        <v>2065</v>
      </c>
      <c r="U208" s="13">
        <v>13</v>
      </c>
      <c r="V208" s="9">
        <f t="shared" si="12"/>
        <v>28386.015839999996</v>
      </c>
      <c r="W208" s="9">
        <f t="shared" si="13"/>
        <v>13395.720000000001</v>
      </c>
      <c r="X208" s="9">
        <f t="shared" si="14"/>
        <v>14990.295839999995</v>
      </c>
      <c r="Y208" s="11">
        <f t="shared" si="15"/>
        <v>0.52808734852027039</v>
      </c>
    </row>
    <row r="209" spans="1:25" x14ac:dyDescent="0.3">
      <c r="A209" t="s">
        <v>222</v>
      </c>
      <c r="B209">
        <v>45545</v>
      </c>
      <c r="C209">
        <v>45572</v>
      </c>
      <c r="D209" t="s">
        <v>2064</v>
      </c>
      <c r="E209">
        <v>45572</v>
      </c>
      <c r="F209">
        <v>27</v>
      </c>
      <c r="G209" t="s">
        <v>646</v>
      </c>
      <c r="H209" t="s">
        <v>650</v>
      </c>
      <c r="I209" t="s">
        <v>662</v>
      </c>
      <c r="J209" t="s">
        <v>704</v>
      </c>
      <c r="K209" t="s">
        <v>707</v>
      </c>
      <c r="L209" t="s">
        <v>716</v>
      </c>
      <c r="M209" t="s">
        <v>728</v>
      </c>
      <c r="N209" t="s">
        <v>1635</v>
      </c>
      <c r="O209" s="9">
        <v>1248.3900000000001</v>
      </c>
      <c r="P209" s="9">
        <v>1805.11</v>
      </c>
      <c r="Q209" s="9">
        <v>1805.11</v>
      </c>
      <c r="R209" t="s">
        <v>2065</v>
      </c>
      <c r="S209" s="11">
        <v>0.20300000000000001</v>
      </c>
      <c r="T209" t="s">
        <v>2065</v>
      </c>
      <c r="U209" s="13">
        <v>11</v>
      </c>
      <c r="V209" s="9">
        <f t="shared" si="12"/>
        <v>15825.399369999997</v>
      </c>
      <c r="W209" s="9">
        <f t="shared" si="13"/>
        <v>13732.29</v>
      </c>
      <c r="X209" s="9">
        <f t="shared" si="14"/>
        <v>2093.1093699999965</v>
      </c>
      <c r="Y209" s="11">
        <f t="shared" si="15"/>
        <v>0.13226265707820786</v>
      </c>
    </row>
    <row r="210" spans="1:25" x14ac:dyDescent="0.3">
      <c r="A210" t="s">
        <v>223</v>
      </c>
      <c r="B210">
        <v>45859</v>
      </c>
      <c r="C210">
        <v>45876</v>
      </c>
      <c r="D210" t="s">
        <v>2064</v>
      </c>
      <c r="E210">
        <v>45876</v>
      </c>
      <c r="F210">
        <v>17</v>
      </c>
      <c r="G210" t="s">
        <v>646</v>
      </c>
      <c r="H210" t="s">
        <v>651</v>
      </c>
      <c r="I210" t="s">
        <v>665</v>
      </c>
      <c r="J210" t="s">
        <v>706</v>
      </c>
      <c r="K210" t="s">
        <v>711</v>
      </c>
      <c r="L210" t="s">
        <v>724</v>
      </c>
      <c r="M210" t="s">
        <v>733</v>
      </c>
      <c r="N210" t="s">
        <v>1636</v>
      </c>
      <c r="O210" s="9">
        <v>1204.95</v>
      </c>
      <c r="P210" s="9">
        <v>2065.73</v>
      </c>
      <c r="Q210" s="9">
        <v>2065.73</v>
      </c>
      <c r="R210" t="s">
        <v>2065</v>
      </c>
      <c r="S210" s="11">
        <v>0.13600000000000001</v>
      </c>
      <c r="T210" t="s">
        <v>2065</v>
      </c>
      <c r="U210" s="13">
        <v>10</v>
      </c>
      <c r="V210" s="9">
        <f t="shared" si="12"/>
        <v>17847.907199999998</v>
      </c>
      <c r="W210" s="9">
        <f t="shared" si="13"/>
        <v>12049.5</v>
      </c>
      <c r="X210" s="9">
        <f t="shared" si="14"/>
        <v>5798.4071999999978</v>
      </c>
      <c r="Y210" s="11">
        <f t="shared" si="15"/>
        <v>0.32487882949100039</v>
      </c>
    </row>
    <row r="211" spans="1:25" x14ac:dyDescent="0.3">
      <c r="A211" t="s">
        <v>224</v>
      </c>
      <c r="B211">
        <v>45567</v>
      </c>
      <c r="C211">
        <v>45588</v>
      </c>
      <c r="D211" t="s">
        <v>2064</v>
      </c>
      <c r="E211">
        <v>45588</v>
      </c>
      <c r="F211">
        <v>21</v>
      </c>
      <c r="G211" t="s">
        <v>646</v>
      </c>
      <c r="H211" t="s">
        <v>661</v>
      </c>
      <c r="I211" t="s">
        <v>687</v>
      </c>
      <c r="J211" t="s">
        <v>701</v>
      </c>
      <c r="K211" t="s">
        <v>709</v>
      </c>
      <c r="L211" t="s">
        <v>720</v>
      </c>
      <c r="M211" t="s">
        <v>727</v>
      </c>
      <c r="N211" t="s">
        <v>1637</v>
      </c>
      <c r="O211" s="9">
        <v>1095.6099999999999</v>
      </c>
      <c r="P211" s="9">
        <v>2366.5100000000002</v>
      </c>
      <c r="Q211" s="9">
        <v>2366.5100000000002</v>
      </c>
      <c r="R211" t="s">
        <v>2065</v>
      </c>
      <c r="S211" s="11">
        <v>0.152</v>
      </c>
      <c r="T211" t="s">
        <v>2065</v>
      </c>
      <c r="U211" s="13">
        <v>9</v>
      </c>
      <c r="V211" s="9">
        <f t="shared" si="12"/>
        <v>18061.204320000004</v>
      </c>
      <c r="W211" s="9">
        <f t="shared" si="13"/>
        <v>9860.49</v>
      </c>
      <c r="X211" s="9">
        <f t="shared" si="14"/>
        <v>8200.7143200000046</v>
      </c>
      <c r="Y211" s="11">
        <f t="shared" si="15"/>
        <v>0.4540513564158607</v>
      </c>
    </row>
    <row r="212" spans="1:25" x14ac:dyDescent="0.3">
      <c r="A212" t="s">
        <v>225</v>
      </c>
      <c r="B212">
        <v>45852</v>
      </c>
      <c r="C212">
        <v>45873</v>
      </c>
      <c r="D212" t="s">
        <v>2064</v>
      </c>
      <c r="E212">
        <v>45873</v>
      </c>
      <c r="F212">
        <v>21</v>
      </c>
      <c r="G212" t="s">
        <v>648</v>
      </c>
      <c r="H212" t="s">
        <v>653</v>
      </c>
      <c r="I212" t="s">
        <v>681</v>
      </c>
      <c r="J212" t="s">
        <v>704</v>
      </c>
      <c r="K212" t="s">
        <v>708</v>
      </c>
      <c r="L212" t="s">
        <v>722</v>
      </c>
      <c r="M212" t="s">
        <v>732</v>
      </c>
      <c r="N212" t="s">
        <v>1638</v>
      </c>
      <c r="O212" s="9">
        <v>90.3</v>
      </c>
      <c r="P212" s="9">
        <v>131.76</v>
      </c>
      <c r="Q212" s="9">
        <v>131.76</v>
      </c>
      <c r="R212" t="s">
        <v>2065</v>
      </c>
      <c r="S212" s="11">
        <v>0.10199999999999999</v>
      </c>
      <c r="T212" t="s">
        <v>2065</v>
      </c>
      <c r="U212" s="13">
        <v>15</v>
      </c>
      <c r="V212" s="9">
        <f t="shared" si="12"/>
        <v>1774.8072</v>
      </c>
      <c r="W212" s="9">
        <f t="shared" si="13"/>
        <v>1354.5</v>
      </c>
      <c r="X212" s="9">
        <f t="shared" si="14"/>
        <v>420.30719999999997</v>
      </c>
      <c r="Y212" s="11">
        <f t="shared" si="15"/>
        <v>0.23681851189244668</v>
      </c>
    </row>
    <row r="213" spans="1:25" x14ac:dyDescent="0.3">
      <c r="A213" t="s">
        <v>226</v>
      </c>
      <c r="B213">
        <v>45544</v>
      </c>
      <c r="C213">
        <v>45566</v>
      </c>
      <c r="D213" t="s">
        <v>2064</v>
      </c>
      <c r="E213">
        <v>45566</v>
      </c>
      <c r="F213">
        <v>22</v>
      </c>
      <c r="G213" t="s">
        <v>647</v>
      </c>
      <c r="H213" t="s">
        <v>659</v>
      </c>
      <c r="I213" t="s">
        <v>676</v>
      </c>
      <c r="J213" t="s">
        <v>704</v>
      </c>
      <c r="K213" t="s">
        <v>711</v>
      </c>
      <c r="L213" t="s">
        <v>716</v>
      </c>
      <c r="M213" t="s">
        <v>728</v>
      </c>
      <c r="N213" t="s">
        <v>1639</v>
      </c>
      <c r="O213" s="9">
        <v>1166.18</v>
      </c>
      <c r="P213" s="9">
        <v>1335.02</v>
      </c>
      <c r="Q213" s="9">
        <v>1335.02</v>
      </c>
      <c r="R213" t="s">
        <v>2065</v>
      </c>
      <c r="S213" s="11">
        <v>0.128</v>
      </c>
      <c r="T213" t="s">
        <v>2065</v>
      </c>
      <c r="U213" s="13">
        <v>6</v>
      </c>
      <c r="V213" s="9">
        <f t="shared" si="12"/>
        <v>6984.8246399999998</v>
      </c>
      <c r="W213" s="9">
        <f t="shared" si="13"/>
        <v>6997.08</v>
      </c>
      <c r="X213" s="9">
        <f t="shared" si="14"/>
        <v>-12.25536000000011</v>
      </c>
      <c r="Y213" s="11">
        <f t="shared" si="15"/>
        <v>-1.7545694604582242E-3</v>
      </c>
    </row>
    <row r="214" spans="1:25" x14ac:dyDescent="0.3">
      <c r="A214" t="s">
        <v>227</v>
      </c>
      <c r="B214">
        <v>45686</v>
      </c>
      <c r="C214">
        <v>45694</v>
      </c>
      <c r="D214" t="s">
        <v>2064</v>
      </c>
      <c r="E214">
        <v>45694</v>
      </c>
      <c r="F214">
        <v>8</v>
      </c>
      <c r="G214" t="s">
        <v>646</v>
      </c>
      <c r="H214" t="s">
        <v>650</v>
      </c>
      <c r="I214" t="s">
        <v>662</v>
      </c>
      <c r="J214" t="s">
        <v>702</v>
      </c>
      <c r="K214" t="s">
        <v>707</v>
      </c>
      <c r="L214" t="s">
        <v>717</v>
      </c>
      <c r="M214" t="s">
        <v>730</v>
      </c>
      <c r="N214" t="s">
        <v>1640</v>
      </c>
      <c r="O214" s="9">
        <v>1445.27</v>
      </c>
      <c r="P214" s="9">
        <v>2691.45</v>
      </c>
      <c r="Q214" s="9">
        <v>2691.45</v>
      </c>
      <c r="R214" t="s">
        <v>2065</v>
      </c>
      <c r="S214" s="11">
        <v>0</v>
      </c>
      <c r="T214" t="s">
        <v>2065</v>
      </c>
      <c r="U214" s="13">
        <v>9</v>
      </c>
      <c r="V214" s="9">
        <f t="shared" si="12"/>
        <v>24223.05</v>
      </c>
      <c r="W214" s="9">
        <f t="shared" si="13"/>
        <v>13007.43</v>
      </c>
      <c r="X214" s="9">
        <f t="shared" si="14"/>
        <v>11215.619999999999</v>
      </c>
      <c r="Y214" s="11">
        <f t="shared" si="15"/>
        <v>0.46301436028906351</v>
      </c>
    </row>
    <row r="215" spans="1:25" x14ac:dyDescent="0.3">
      <c r="A215" t="s">
        <v>228</v>
      </c>
      <c r="B215">
        <v>45240</v>
      </c>
      <c r="C215">
        <v>45258</v>
      </c>
      <c r="D215" t="s">
        <v>2064</v>
      </c>
      <c r="E215">
        <v>45258</v>
      </c>
      <c r="F215">
        <v>18</v>
      </c>
      <c r="G215" t="s">
        <v>648</v>
      </c>
      <c r="H215" t="s">
        <v>655</v>
      </c>
      <c r="I215" t="s">
        <v>672</v>
      </c>
      <c r="J215" t="s">
        <v>702</v>
      </c>
      <c r="K215" t="s">
        <v>709</v>
      </c>
      <c r="L215" t="s">
        <v>716</v>
      </c>
      <c r="M215" t="s">
        <v>733</v>
      </c>
      <c r="N215" t="s">
        <v>1641</v>
      </c>
      <c r="O215" s="9">
        <v>388.51</v>
      </c>
      <c r="P215" s="9">
        <v>776.46</v>
      </c>
      <c r="Q215" s="9">
        <v>776.46</v>
      </c>
      <c r="R215" t="s">
        <v>2065</v>
      </c>
      <c r="S215" s="11">
        <v>0.157</v>
      </c>
      <c r="T215" t="s">
        <v>2065</v>
      </c>
      <c r="U215" s="13">
        <v>12</v>
      </c>
      <c r="V215" s="9">
        <f t="shared" si="12"/>
        <v>7854.6693599999999</v>
      </c>
      <c r="W215" s="9">
        <f t="shared" si="13"/>
        <v>4662.12</v>
      </c>
      <c r="X215" s="9">
        <f t="shared" si="14"/>
        <v>3192.54936</v>
      </c>
      <c r="Y215" s="11">
        <f t="shared" si="15"/>
        <v>0.40645241876864946</v>
      </c>
    </row>
    <row r="216" spans="1:25" x14ac:dyDescent="0.3">
      <c r="A216" t="s">
        <v>229</v>
      </c>
      <c r="B216">
        <v>45351</v>
      </c>
      <c r="C216">
        <v>45381</v>
      </c>
      <c r="D216" t="s">
        <v>2064</v>
      </c>
      <c r="E216">
        <v>45381</v>
      </c>
      <c r="F216">
        <v>30</v>
      </c>
      <c r="G216" t="s">
        <v>647</v>
      </c>
      <c r="H216" t="s">
        <v>652</v>
      </c>
      <c r="I216" t="s">
        <v>694</v>
      </c>
      <c r="J216" t="s">
        <v>705</v>
      </c>
      <c r="K216" t="s">
        <v>711</v>
      </c>
      <c r="L216" t="s">
        <v>714</v>
      </c>
      <c r="M216" t="s">
        <v>729</v>
      </c>
      <c r="N216" t="s">
        <v>1642</v>
      </c>
      <c r="O216" s="9">
        <v>231.11</v>
      </c>
      <c r="P216" s="9">
        <v>318.17</v>
      </c>
      <c r="Q216" s="9">
        <v>318.17</v>
      </c>
      <c r="R216" t="s">
        <v>2065</v>
      </c>
      <c r="S216" s="11">
        <v>0.20100000000000001</v>
      </c>
      <c r="T216" t="s">
        <v>2065</v>
      </c>
      <c r="U216" s="13">
        <v>60</v>
      </c>
      <c r="V216" s="9">
        <f t="shared" si="12"/>
        <v>15253.069799999999</v>
      </c>
      <c r="W216" s="9">
        <f t="shared" si="13"/>
        <v>13866.6</v>
      </c>
      <c r="X216" s="9">
        <f t="shared" si="14"/>
        <v>1386.4697999999989</v>
      </c>
      <c r="Y216" s="11">
        <f t="shared" si="15"/>
        <v>9.0897754889969692E-2</v>
      </c>
    </row>
    <row r="217" spans="1:25" x14ac:dyDescent="0.3">
      <c r="A217" t="s">
        <v>230</v>
      </c>
      <c r="B217">
        <v>45280</v>
      </c>
      <c r="C217">
        <v>45305</v>
      </c>
      <c r="D217" t="s">
        <v>2064</v>
      </c>
      <c r="E217">
        <v>45305</v>
      </c>
      <c r="F217">
        <v>25</v>
      </c>
      <c r="G217" t="s">
        <v>647</v>
      </c>
      <c r="H217" t="s">
        <v>654</v>
      </c>
      <c r="I217" t="s">
        <v>691</v>
      </c>
      <c r="J217" t="s">
        <v>703</v>
      </c>
      <c r="K217" t="s">
        <v>709</v>
      </c>
      <c r="L217" t="s">
        <v>716</v>
      </c>
      <c r="M217" t="s">
        <v>732</v>
      </c>
      <c r="N217" t="s">
        <v>1643</v>
      </c>
      <c r="O217" s="9">
        <v>1085.6099999999999</v>
      </c>
      <c r="P217" s="9">
        <v>1246.4100000000001</v>
      </c>
      <c r="Q217" s="9">
        <v>1246.4100000000001</v>
      </c>
      <c r="R217" t="s">
        <v>2065</v>
      </c>
      <c r="S217" s="11">
        <v>0.113</v>
      </c>
      <c r="T217" t="s">
        <v>2065</v>
      </c>
      <c r="U217" s="13">
        <v>7</v>
      </c>
      <c r="V217" s="9">
        <f t="shared" si="12"/>
        <v>7738.9596900000006</v>
      </c>
      <c r="W217" s="9">
        <f t="shared" si="13"/>
        <v>7599.2699999999995</v>
      </c>
      <c r="X217" s="9">
        <f t="shared" si="14"/>
        <v>139.68969000000106</v>
      </c>
      <c r="Y217" s="11">
        <f t="shared" si="15"/>
        <v>1.8050189637310417E-2</v>
      </c>
    </row>
    <row r="218" spans="1:25" x14ac:dyDescent="0.3">
      <c r="A218" t="s">
        <v>231</v>
      </c>
      <c r="B218">
        <v>44948</v>
      </c>
      <c r="C218">
        <v>44947</v>
      </c>
      <c r="D218" t="s">
        <v>2066</v>
      </c>
      <c r="E218">
        <v>44948</v>
      </c>
      <c r="F218">
        <v>0</v>
      </c>
      <c r="G218" t="s">
        <v>649</v>
      </c>
      <c r="H218" t="s">
        <v>656</v>
      </c>
      <c r="I218" t="s">
        <v>684</v>
      </c>
      <c r="J218" t="s">
        <v>701</v>
      </c>
      <c r="K218" t="s">
        <v>711</v>
      </c>
      <c r="L218" t="s">
        <v>721</v>
      </c>
      <c r="M218" t="s">
        <v>732</v>
      </c>
      <c r="N218" t="s">
        <v>1644</v>
      </c>
      <c r="O218" s="9">
        <v>150.86000000000001</v>
      </c>
      <c r="P218" s="9">
        <v>346.96</v>
      </c>
      <c r="Q218" s="9">
        <v>346.96</v>
      </c>
      <c r="R218" t="s">
        <v>2065</v>
      </c>
      <c r="S218" s="11">
        <v>0.19600000000000001</v>
      </c>
      <c r="T218" t="s">
        <v>2065</v>
      </c>
      <c r="U218" s="13">
        <v>8</v>
      </c>
      <c r="V218" s="9">
        <f t="shared" si="12"/>
        <v>2231.6467200000002</v>
      </c>
      <c r="W218" s="9">
        <f t="shared" si="13"/>
        <v>1206.8800000000001</v>
      </c>
      <c r="X218" s="9">
        <f t="shared" si="14"/>
        <v>1024.7667200000001</v>
      </c>
      <c r="Y218" s="11">
        <f t="shared" si="15"/>
        <v>0.45919755614365343</v>
      </c>
    </row>
    <row r="219" spans="1:25" x14ac:dyDescent="0.3">
      <c r="A219" t="s">
        <v>232</v>
      </c>
      <c r="B219">
        <v>45576</v>
      </c>
      <c r="C219">
        <v>45605</v>
      </c>
      <c r="D219" t="s">
        <v>2064</v>
      </c>
      <c r="E219">
        <v>45605</v>
      </c>
      <c r="F219">
        <v>29</v>
      </c>
      <c r="G219" t="s">
        <v>647</v>
      </c>
      <c r="H219" t="s">
        <v>659</v>
      </c>
      <c r="I219" t="s">
        <v>685</v>
      </c>
      <c r="J219" t="s">
        <v>703</v>
      </c>
      <c r="K219" t="s">
        <v>708</v>
      </c>
      <c r="L219" t="s">
        <v>721</v>
      </c>
      <c r="M219" t="s">
        <v>728</v>
      </c>
      <c r="N219" t="s">
        <v>1645</v>
      </c>
      <c r="O219" s="9">
        <v>391.64</v>
      </c>
      <c r="P219" s="9">
        <v>504.76</v>
      </c>
      <c r="Q219" s="9">
        <v>504.76</v>
      </c>
      <c r="R219" t="s">
        <v>2065</v>
      </c>
      <c r="S219" s="11">
        <v>4.0000000000000001E-3</v>
      </c>
      <c r="T219" t="s">
        <v>2065</v>
      </c>
      <c r="U219" s="13">
        <v>13</v>
      </c>
      <c r="V219" s="9">
        <f t="shared" si="12"/>
        <v>6535.6324800000002</v>
      </c>
      <c r="W219" s="9">
        <f t="shared" si="13"/>
        <v>5091.32</v>
      </c>
      <c r="X219" s="9">
        <f t="shared" si="14"/>
        <v>1444.3124800000005</v>
      </c>
      <c r="Y219" s="11">
        <f t="shared" si="15"/>
        <v>0.22099046793402319</v>
      </c>
    </row>
    <row r="220" spans="1:25" x14ac:dyDescent="0.3">
      <c r="A220" t="s">
        <v>233</v>
      </c>
      <c r="B220">
        <v>45554</v>
      </c>
      <c r="C220">
        <v>45579</v>
      </c>
      <c r="D220" t="s">
        <v>2064</v>
      </c>
      <c r="E220">
        <v>45579</v>
      </c>
      <c r="F220">
        <v>25</v>
      </c>
      <c r="G220" t="s">
        <v>648</v>
      </c>
      <c r="H220" t="s">
        <v>655</v>
      </c>
      <c r="I220" t="s">
        <v>1426</v>
      </c>
      <c r="J220" t="s">
        <v>705</v>
      </c>
      <c r="K220" t="s">
        <v>707</v>
      </c>
      <c r="L220" t="s">
        <v>723</v>
      </c>
      <c r="M220" t="s">
        <v>728</v>
      </c>
      <c r="N220" t="s">
        <v>1646</v>
      </c>
      <c r="O220" s="9">
        <v>386.96</v>
      </c>
      <c r="P220" s="9">
        <v>937.46</v>
      </c>
      <c r="Q220" s="9">
        <v>937.46</v>
      </c>
      <c r="R220" t="s">
        <v>2065</v>
      </c>
      <c r="S220" s="11">
        <v>0.26600000000000001</v>
      </c>
      <c r="T220" t="s">
        <v>2065</v>
      </c>
      <c r="U220" s="13">
        <v>41</v>
      </c>
      <c r="V220" s="9">
        <f t="shared" si="12"/>
        <v>28211.92124</v>
      </c>
      <c r="W220" s="9">
        <f t="shared" si="13"/>
        <v>15865.359999999999</v>
      </c>
      <c r="X220" s="9">
        <f t="shared" si="14"/>
        <v>12346.561240000001</v>
      </c>
      <c r="Y220" s="11">
        <f t="shared" si="15"/>
        <v>0.43763631462626335</v>
      </c>
    </row>
    <row r="221" spans="1:25" x14ac:dyDescent="0.3">
      <c r="A221" t="s">
        <v>234</v>
      </c>
      <c r="B221">
        <v>45894</v>
      </c>
      <c r="C221">
        <v>45924</v>
      </c>
      <c r="D221" t="s">
        <v>2064</v>
      </c>
      <c r="E221">
        <v>45924</v>
      </c>
      <c r="F221">
        <v>30</v>
      </c>
      <c r="G221" t="s">
        <v>646</v>
      </c>
      <c r="H221" t="s">
        <v>650</v>
      </c>
      <c r="I221" t="s">
        <v>664</v>
      </c>
      <c r="J221" t="s">
        <v>704</v>
      </c>
      <c r="K221" t="s">
        <v>711</v>
      </c>
      <c r="L221" t="s">
        <v>717</v>
      </c>
      <c r="M221" t="s">
        <v>727</v>
      </c>
      <c r="N221" t="s">
        <v>1647</v>
      </c>
      <c r="O221" s="9">
        <v>589.14</v>
      </c>
      <c r="P221" s="9">
        <v>1300.58</v>
      </c>
      <c r="Q221" s="9">
        <v>1300.58</v>
      </c>
      <c r="R221" t="s">
        <v>2065</v>
      </c>
      <c r="S221" s="11">
        <v>5.5E-2</v>
      </c>
      <c r="T221" t="s">
        <v>2065</v>
      </c>
      <c r="U221" s="13">
        <v>11</v>
      </c>
      <c r="V221" s="9">
        <f t="shared" si="12"/>
        <v>13519.529099999998</v>
      </c>
      <c r="W221" s="9">
        <f t="shared" si="13"/>
        <v>6480.54</v>
      </c>
      <c r="X221" s="9">
        <f t="shared" si="14"/>
        <v>7038.989099999998</v>
      </c>
      <c r="Y221" s="11">
        <f t="shared" si="15"/>
        <v>0.52065342275863724</v>
      </c>
    </row>
    <row r="222" spans="1:25" x14ac:dyDescent="0.3">
      <c r="A222" t="s">
        <v>235</v>
      </c>
      <c r="B222">
        <v>45194</v>
      </c>
      <c r="C222">
        <v>45201</v>
      </c>
      <c r="D222" t="s">
        <v>2064</v>
      </c>
      <c r="E222">
        <v>45201</v>
      </c>
      <c r="F222">
        <v>7</v>
      </c>
      <c r="G222" t="s">
        <v>648</v>
      </c>
      <c r="H222" t="s">
        <v>1425</v>
      </c>
      <c r="I222" t="s">
        <v>700</v>
      </c>
      <c r="J222" t="s">
        <v>702</v>
      </c>
      <c r="K222" t="s">
        <v>709</v>
      </c>
      <c r="L222" t="s">
        <v>714</v>
      </c>
      <c r="M222" t="s">
        <v>733</v>
      </c>
      <c r="N222" t="s">
        <v>1648</v>
      </c>
      <c r="O222" s="9">
        <v>145.58000000000001</v>
      </c>
      <c r="P222" s="9">
        <v>228.15</v>
      </c>
      <c r="Q222" s="9">
        <v>228.15</v>
      </c>
      <c r="R222" t="s">
        <v>2065</v>
      </c>
      <c r="S222" s="11">
        <v>0.20399999999999999</v>
      </c>
      <c r="T222" t="s">
        <v>2065</v>
      </c>
      <c r="U222" s="13">
        <v>5</v>
      </c>
      <c r="V222" s="9">
        <f t="shared" si="12"/>
        <v>908.03700000000003</v>
      </c>
      <c r="W222" s="9">
        <f t="shared" si="13"/>
        <v>727.90000000000009</v>
      </c>
      <c r="X222" s="9">
        <f t="shared" si="14"/>
        <v>180.13699999999994</v>
      </c>
      <c r="Y222" s="11">
        <f t="shared" si="15"/>
        <v>0.19838068272548359</v>
      </c>
    </row>
    <row r="223" spans="1:25" x14ac:dyDescent="0.3">
      <c r="A223" t="s">
        <v>236</v>
      </c>
      <c r="B223">
        <v>45164</v>
      </c>
      <c r="C223">
        <v>45179</v>
      </c>
      <c r="D223" t="s">
        <v>2064</v>
      </c>
      <c r="E223">
        <v>45179</v>
      </c>
      <c r="F223">
        <v>15</v>
      </c>
      <c r="G223" t="s">
        <v>646</v>
      </c>
      <c r="H223" t="s">
        <v>661</v>
      </c>
      <c r="I223" t="s">
        <v>695</v>
      </c>
      <c r="J223" t="s">
        <v>703</v>
      </c>
      <c r="K223" t="s">
        <v>711</v>
      </c>
      <c r="L223" t="s">
        <v>725</v>
      </c>
      <c r="M223" t="s">
        <v>727</v>
      </c>
      <c r="N223" t="s">
        <v>1649</v>
      </c>
      <c r="O223" s="9">
        <v>241.14</v>
      </c>
      <c r="P223" s="9">
        <v>496.52</v>
      </c>
      <c r="Q223" s="9">
        <v>496.52</v>
      </c>
      <c r="R223" t="s">
        <v>2065</v>
      </c>
      <c r="S223" s="11">
        <v>9.2999999999999999E-2</v>
      </c>
      <c r="T223" t="s">
        <v>2065</v>
      </c>
      <c r="U223" s="13">
        <v>10</v>
      </c>
      <c r="V223" s="9">
        <f t="shared" si="12"/>
        <v>4503.4363999999996</v>
      </c>
      <c r="W223" s="9">
        <f t="shared" si="13"/>
        <v>2411.3999999999996</v>
      </c>
      <c r="X223" s="9">
        <f t="shared" si="14"/>
        <v>2092.0364</v>
      </c>
      <c r="Y223" s="11">
        <f t="shared" si="15"/>
        <v>0.46454223268257994</v>
      </c>
    </row>
    <row r="224" spans="1:25" x14ac:dyDescent="0.3">
      <c r="A224" t="s">
        <v>237</v>
      </c>
      <c r="B224">
        <v>45854</v>
      </c>
      <c r="C224">
        <v>45855</v>
      </c>
      <c r="D224" t="s">
        <v>2064</v>
      </c>
      <c r="E224">
        <v>45855</v>
      </c>
      <c r="F224">
        <v>1</v>
      </c>
      <c r="G224" t="s">
        <v>646</v>
      </c>
      <c r="H224" t="s">
        <v>661</v>
      </c>
      <c r="I224" t="s">
        <v>687</v>
      </c>
      <c r="J224" t="s">
        <v>705</v>
      </c>
      <c r="K224" t="s">
        <v>710</v>
      </c>
      <c r="L224" t="s">
        <v>717</v>
      </c>
      <c r="M224" t="s">
        <v>729</v>
      </c>
      <c r="N224" t="s">
        <v>1650</v>
      </c>
      <c r="O224" s="9">
        <v>1198.9000000000001</v>
      </c>
      <c r="P224" s="9">
        <v>2941.2</v>
      </c>
      <c r="Q224" s="9">
        <v>2941.2</v>
      </c>
      <c r="R224" t="s">
        <v>2065</v>
      </c>
      <c r="S224" s="11">
        <v>5.0999999999999997E-2</v>
      </c>
      <c r="T224" t="s">
        <v>2065</v>
      </c>
      <c r="U224" s="13">
        <v>24</v>
      </c>
      <c r="V224" s="9">
        <f t="shared" si="12"/>
        <v>66988.771199999988</v>
      </c>
      <c r="W224" s="9">
        <f t="shared" si="13"/>
        <v>28773.600000000002</v>
      </c>
      <c r="X224" s="9">
        <f t="shared" si="14"/>
        <v>38215.171199999982</v>
      </c>
      <c r="Y224" s="11">
        <f t="shared" si="15"/>
        <v>0.57047129713583977</v>
      </c>
    </row>
    <row r="225" spans="1:25" x14ac:dyDescent="0.3">
      <c r="A225" t="s">
        <v>238</v>
      </c>
      <c r="B225">
        <v>45035</v>
      </c>
      <c r="C225">
        <v>45053</v>
      </c>
      <c r="D225" t="s">
        <v>2064</v>
      </c>
      <c r="E225">
        <v>45053</v>
      </c>
      <c r="F225">
        <v>18</v>
      </c>
      <c r="G225" t="s">
        <v>649</v>
      </c>
      <c r="H225" t="s">
        <v>658</v>
      </c>
      <c r="I225" t="s">
        <v>674</v>
      </c>
      <c r="J225" t="s">
        <v>706</v>
      </c>
      <c r="K225" t="s">
        <v>707</v>
      </c>
      <c r="L225" t="s">
        <v>725</v>
      </c>
      <c r="M225" t="s">
        <v>731</v>
      </c>
      <c r="N225" t="s">
        <v>1651</v>
      </c>
      <c r="O225" s="9">
        <v>1089.1500000000001</v>
      </c>
      <c r="P225" s="9">
        <v>1088.2</v>
      </c>
      <c r="Q225" s="9">
        <v>1088.2</v>
      </c>
      <c r="R225" t="s">
        <v>2065</v>
      </c>
      <c r="S225" s="11">
        <v>5.0999999999999997E-2</v>
      </c>
      <c r="T225" t="s">
        <v>2065</v>
      </c>
      <c r="U225" s="13">
        <v>15</v>
      </c>
      <c r="V225" s="9">
        <f t="shared" si="12"/>
        <v>15490.527</v>
      </c>
      <c r="W225" s="9">
        <f t="shared" si="13"/>
        <v>16337.250000000002</v>
      </c>
      <c r="X225" s="9">
        <f t="shared" si="14"/>
        <v>-846.72300000000178</v>
      </c>
      <c r="Y225" s="11">
        <f t="shared" si="15"/>
        <v>-5.4660696824582002E-2</v>
      </c>
    </row>
    <row r="226" spans="1:25" x14ac:dyDescent="0.3">
      <c r="A226" t="s">
        <v>239</v>
      </c>
      <c r="B226">
        <v>45279</v>
      </c>
      <c r="C226">
        <v>45280</v>
      </c>
      <c r="D226" t="s">
        <v>2064</v>
      </c>
      <c r="E226">
        <v>45280</v>
      </c>
      <c r="F226">
        <v>1</v>
      </c>
      <c r="G226" t="s">
        <v>648</v>
      </c>
      <c r="H226" t="s">
        <v>655</v>
      </c>
      <c r="I226" t="s">
        <v>1426</v>
      </c>
      <c r="J226" t="s">
        <v>704</v>
      </c>
      <c r="K226" t="s">
        <v>710</v>
      </c>
      <c r="L226" t="s">
        <v>713</v>
      </c>
      <c r="M226" t="s">
        <v>730</v>
      </c>
      <c r="N226" t="s">
        <v>1652</v>
      </c>
      <c r="O226" s="9">
        <v>1080.43</v>
      </c>
      <c r="P226" s="9">
        <v>2529.15</v>
      </c>
      <c r="Q226" s="9">
        <v>2529.15</v>
      </c>
      <c r="R226" t="s">
        <v>2065</v>
      </c>
      <c r="S226" s="11">
        <v>0.14699999999999999</v>
      </c>
      <c r="T226" t="s">
        <v>2065</v>
      </c>
      <c r="U226" s="13">
        <v>10</v>
      </c>
      <c r="V226" s="9">
        <f t="shared" si="12"/>
        <v>21573.6495</v>
      </c>
      <c r="W226" s="9">
        <f t="shared" si="13"/>
        <v>10804.300000000001</v>
      </c>
      <c r="X226" s="9">
        <f t="shared" si="14"/>
        <v>10769.349499999998</v>
      </c>
      <c r="Y226" s="11">
        <f t="shared" si="15"/>
        <v>0.49918997247081437</v>
      </c>
    </row>
    <row r="227" spans="1:25" x14ac:dyDescent="0.3">
      <c r="A227" t="s">
        <v>240</v>
      </c>
      <c r="B227">
        <v>45137</v>
      </c>
      <c r="C227">
        <v>45145</v>
      </c>
      <c r="D227" t="s">
        <v>2064</v>
      </c>
      <c r="E227">
        <v>45145</v>
      </c>
      <c r="F227">
        <v>8</v>
      </c>
      <c r="G227" t="s">
        <v>647</v>
      </c>
      <c r="H227" t="s">
        <v>652</v>
      </c>
      <c r="I227" t="s">
        <v>694</v>
      </c>
      <c r="J227" t="s">
        <v>702</v>
      </c>
      <c r="K227" t="s">
        <v>709</v>
      </c>
      <c r="L227" t="s">
        <v>720</v>
      </c>
      <c r="M227" t="s">
        <v>729</v>
      </c>
      <c r="N227" t="s">
        <v>1653</v>
      </c>
      <c r="O227" s="9">
        <v>1352.44</v>
      </c>
      <c r="P227" s="9">
        <v>2698.01</v>
      </c>
      <c r="Q227" s="9">
        <v>2698.01</v>
      </c>
      <c r="R227" t="s">
        <v>2065</v>
      </c>
      <c r="S227" s="11">
        <v>0.13100000000000001</v>
      </c>
      <c r="T227" t="s">
        <v>2065</v>
      </c>
      <c r="U227" s="13">
        <v>13</v>
      </c>
      <c r="V227" s="9">
        <f t="shared" si="12"/>
        <v>30479.418970000002</v>
      </c>
      <c r="W227" s="9">
        <f t="shared" si="13"/>
        <v>17581.72</v>
      </c>
      <c r="X227" s="9">
        <f t="shared" si="14"/>
        <v>12897.698970000001</v>
      </c>
      <c r="Y227" s="11">
        <f t="shared" si="15"/>
        <v>0.42316091992090887</v>
      </c>
    </row>
    <row r="228" spans="1:25" x14ac:dyDescent="0.3">
      <c r="A228" t="s">
        <v>241</v>
      </c>
      <c r="B228">
        <v>45203</v>
      </c>
      <c r="C228">
        <v>45228</v>
      </c>
      <c r="D228" t="s">
        <v>2064</v>
      </c>
      <c r="E228">
        <v>45228</v>
      </c>
      <c r="F228">
        <v>25</v>
      </c>
      <c r="G228" t="s">
        <v>648</v>
      </c>
      <c r="H228" t="s">
        <v>1425</v>
      </c>
      <c r="I228" t="s">
        <v>686</v>
      </c>
      <c r="J228" t="s">
        <v>705</v>
      </c>
      <c r="K228" t="s">
        <v>710</v>
      </c>
      <c r="L228" t="s">
        <v>719</v>
      </c>
      <c r="M228" t="s">
        <v>733</v>
      </c>
      <c r="N228" t="s">
        <v>1654</v>
      </c>
      <c r="O228" s="9">
        <v>1239.8399999999999</v>
      </c>
      <c r="P228" s="9">
        <v>1482.75</v>
      </c>
      <c r="Q228" s="9">
        <v>1482.75</v>
      </c>
      <c r="R228" t="s">
        <v>2065</v>
      </c>
      <c r="S228" s="11">
        <v>6.7000000000000004E-2</v>
      </c>
      <c r="T228" t="s">
        <v>2065</v>
      </c>
      <c r="U228" s="13">
        <v>4</v>
      </c>
      <c r="V228" s="9">
        <f t="shared" si="12"/>
        <v>5533.6230000000005</v>
      </c>
      <c r="W228" s="9">
        <f t="shared" si="13"/>
        <v>4959.3599999999997</v>
      </c>
      <c r="X228" s="9">
        <f t="shared" si="14"/>
        <v>574.26300000000083</v>
      </c>
      <c r="Y228" s="11">
        <f t="shared" si="15"/>
        <v>0.10377703721413634</v>
      </c>
    </row>
    <row r="229" spans="1:25" x14ac:dyDescent="0.3">
      <c r="A229" t="s">
        <v>242</v>
      </c>
      <c r="B229">
        <v>45879</v>
      </c>
      <c r="C229">
        <v>45899</v>
      </c>
      <c r="D229" t="s">
        <v>2064</v>
      </c>
      <c r="E229">
        <v>45899</v>
      </c>
      <c r="F229">
        <v>20</v>
      </c>
      <c r="G229" t="s">
        <v>648</v>
      </c>
      <c r="H229" t="s">
        <v>1425</v>
      </c>
      <c r="I229" t="s">
        <v>686</v>
      </c>
      <c r="J229" t="s">
        <v>701</v>
      </c>
      <c r="K229" t="s">
        <v>709</v>
      </c>
      <c r="L229" t="s">
        <v>723</v>
      </c>
      <c r="M229" t="s">
        <v>728</v>
      </c>
      <c r="N229" t="s">
        <v>1655</v>
      </c>
      <c r="O229" s="9">
        <v>933.29</v>
      </c>
      <c r="P229" s="9">
        <v>1456.81</v>
      </c>
      <c r="Q229" s="9">
        <v>1456.81</v>
      </c>
      <c r="R229" t="s">
        <v>2065</v>
      </c>
      <c r="S229" s="11">
        <v>0.123</v>
      </c>
      <c r="T229" t="s">
        <v>2065</v>
      </c>
      <c r="U229" s="13">
        <v>13</v>
      </c>
      <c r="V229" s="9">
        <f t="shared" si="12"/>
        <v>16609.090809999998</v>
      </c>
      <c r="W229" s="9">
        <f t="shared" si="13"/>
        <v>12132.77</v>
      </c>
      <c r="X229" s="9">
        <f t="shared" si="14"/>
        <v>4476.3208099999974</v>
      </c>
      <c r="Y229" s="11">
        <f t="shared" si="15"/>
        <v>0.26951028573489977</v>
      </c>
    </row>
    <row r="230" spans="1:25" x14ac:dyDescent="0.3">
      <c r="A230" t="s">
        <v>243</v>
      </c>
      <c r="B230">
        <v>44992</v>
      </c>
      <c r="C230">
        <v>45017</v>
      </c>
      <c r="D230" t="s">
        <v>2064</v>
      </c>
      <c r="E230">
        <v>45017</v>
      </c>
      <c r="F230">
        <v>25</v>
      </c>
      <c r="G230" t="s">
        <v>646</v>
      </c>
      <c r="H230" t="s">
        <v>650</v>
      </c>
      <c r="I230" t="s">
        <v>664</v>
      </c>
      <c r="J230" t="s">
        <v>704</v>
      </c>
      <c r="K230" t="s">
        <v>709</v>
      </c>
      <c r="L230" t="s">
        <v>726</v>
      </c>
      <c r="M230" t="s">
        <v>728</v>
      </c>
      <c r="N230" t="s">
        <v>1656</v>
      </c>
      <c r="O230" s="9">
        <v>1024.0999999999999</v>
      </c>
      <c r="P230" s="9">
        <v>918.19</v>
      </c>
      <c r="Q230" s="9">
        <v>918.19</v>
      </c>
      <c r="R230" t="s">
        <v>2065</v>
      </c>
      <c r="S230" s="11">
        <v>0.189</v>
      </c>
      <c r="T230" t="s">
        <v>2065</v>
      </c>
      <c r="U230" s="13">
        <v>10</v>
      </c>
      <c r="V230" s="9">
        <f t="shared" si="12"/>
        <v>7446.5209000000004</v>
      </c>
      <c r="W230" s="9">
        <f t="shared" si="13"/>
        <v>10241</v>
      </c>
      <c r="X230" s="9">
        <f t="shared" si="14"/>
        <v>-2794.4790999999996</v>
      </c>
      <c r="Y230" s="11">
        <f t="shared" si="15"/>
        <v>-0.37527311579827827</v>
      </c>
    </row>
    <row r="231" spans="1:25" x14ac:dyDescent="0.3">
      <c r="A231" t="s">
        <v>244</v>
      </c>
      <c r="B231">
        <v>45069</v>
      </c>
      <c r="C231">
        <v>45087</v>
      </c>
      <c r="D231" t="s">
        <v>2064</v>
      </c>
      <c r="E231">
        <v>45087</v>
      </c>
      <c r="F231">
        <v>18</v>
      </c>
      <c r="G231" t="s">
        <v>647</v>
      </c>
      <c r="H231" t="s">
        <v>659</v>
      </c>
      <c r="I231" t="s">
        <v>685</v>
      </c>
      <c r="J231" t="s">
        <v>701</v>
      </c>
      <c r="K231" t="s">
        <v>710</v>
      </c>
      <c r="L231" t="s">
        <v>718</v>
      </c>
      <c r="M231" t="s">
        <v>727</v>
      </c>
      <c r="N231" t="s">
        <v>1657</v>
      </c>
      <c r="O231" s="9">
        <v>54.62</v>
      </c>
      <c r="P231" s="9">
        <v>48.94</v>
      </c>
      <c r="Q231" s="9">
        <v>48.94</v>
      </c>
      <c r="R231" t="s">
        <v>2065</v>
      </c>
      <c r="S231" s="11">
        <v>0.14799999999999999</v>
      </c>
      <c r="T231" t="s">
        <v>2065</v>
      </c>
      <c r="U231" s="13">
        <v>16</v>
      </c>
      <c r="V231" s="9">
        <f t="shared" si="12"/>
        <v>667.15008</v>
      </c>
      <c r="W231" s="9">
        <f t="shared" si="13"/>
        <v>873.92</v>
      </c>
      <c r="X231" s="9">
        <f t="shared" si="14"/>
        <v>-206.76991999999996</v>
      </c>
      <c r="Y231" s="11">
        <f t="shared" si="15"/>
        <v>-0.3099301434543783</v>
      </c>
    </row>
    <row r="232" spans="1:25" x14ac:dyDescent="0.3">
      <c r="A232" t="s">
        <v>245</v>
      </c>
      <c r="B232">
        <v>45771</v>
      </c>
      <c r="C232">
        <v>45783</v>
      </c>
      <c r="D232" t="s">
        <v>2064</v>
      </c>
      <c r="E232">
        <v>45783</v>
      </c>
      <c r="F232">
        <v>12</v>
      </c>
      <c r="G232" t="s">
        <v>648</v>
      </c>
      <c r="H232" t="s">
        <v>655</v>
      </c>
      <c r="I232" t="s">
        <v>672</v>
      </c>
      <c r="J232" t="s">
        <v>704</v>
      </c>
      <c r="K232" t="s">
        <v>708</v>
      </c>
      <c r="L232" t="s">
        <v>712</v>
      </c>
      <c r="M232" t="s">
        <v>730</v>
      </c>
      <c r="N232" t="s">
        <v>1658</v>
      </c>
      <c r="O232" s="9">
        <v>394.13</v>
      </c>
      <c r="P232" s="9">
        <v>932.29</v>
      </c>
      <c r="Q232" s="9">
        <v>932.29</v>
      </c>
      <c r="R232" t="s">
        <v>2065</v>
      </c>
      <c r="S232" s="11">
        <v>0.109</v>
      </c>
      <c r="T232" t="s">
        <v>2065</v>
      </c>
      <c r="U232" s="13">
        <v>7</v>
      </c>
      <c r="V232" s="9">
        <f t="shared" si="12"/>
        <v>5814.6927299999998</v>
      </c>
      <c r="W232" s="9">
        <f t="shared" si="13"/>
        <v>2758.91</v>
      </c>
      <c r="X232" s="9">
        <f t="shared" si="14"/>
        <v>3055.7827299999999</v>
      </c>
      <c r="Y232" s="11">
        <f t="shared" si="15"/>
        <v>0.5255278089303268</v>
      </c>
    </row>
    <row r="233" spans="1:25" x14ac:dyDescent="0.3">
      <c r="A233" t="s">
        <v>246</v>
      </c>
      <c r="B233">
        <v>45538</v>
      </c>
      <c r="C233">
        <v>45543</v>
      </c>
      <c r="D233" t="s">
        <v>2064</v>
      </c>
      <c r="E233">
        <v>45543</v>
      </c>
      <c r="F233">
        <v>5</v>
      </c>
      <c r="G233" t="s">
        <v>646</v>
      </c>
      <c r="H233" t="s">
        <v>651</v>
      </c>
      <c r="I233" t="s">
        <v>665</v>
      </c>
      <c r="J233" t="s">
        <v>705</v>
      </c>
      <c r="K233" t="s">
        <v>711</v>
      </c>
      <c r="L233" t="s">
        <v>723</v>
      </c>
      <c r="M233" t="s">
        <v>728</v>
      </c>
      <c r="N233" t="s">
        <v>1659</v>
      </c>
      <c r="O233" s="9">
        <v>197.63</v>
      </c>
      <c r="P233" s="9">
        <v>325.79000000000002</v>
      </c>
      <c r="Q233" s="9">
        <v>325.79000000000002</v>
      </c>
      <c r="R233" t="s">
        <v>2065</v>
      </c>
      <c r="S233" s="11">
        <v>0.11600000000000001</v>
      </c>
      <c r="T233" t="s">
        <v>2065</v>
      </c>
      <c r="U233" s="13">
        <v>10</v>
      </c>
      <c r="V233" s="9">
        <f t="shared" si="12"/>
        <v>2879.9836</v>
      </c>
      <c r="W233" s="9">
        <f t="shared" si="13"/>
        <v>1976.3</v>
      </c>
      <c r="X233" s="9">
        <f t="shared" si="14"/>
        <v>903.68360000000007</v>
      </c>
      <c r="Y233" s="11">
        <f t="shared" si="15"/>
        <v>0.31378081458519419</v>
      </c>
    </row>
    <row r="234" spans="1:25" x14ac:dyDescent="0.3">
      <c r="A234" t="s">
        <v>247</v>
      </c>
      <c r="B234">
        <v>45540</v>
      </c>
      <c r="C234">
        <v>45560</v>
      </c>
      <c r="D234" t="s">
        <v>2064</v>
      </c>
      <c r="E234">
        <v>45560</v>
      </c>
      <c r="F234">
        <v>20</v>
      </c>
      <c r="G234" t="s">
        <v>647</v>
      </c>
      <c r="H234" t="s">
        <v>652</v>
      </c>
      <c r="I234" t="s">
        <v>666</v>
      </c>
      <c r="J234" t="s">
        <v>706</v>
      </c>
      <c r="K234" t="s">
        <v>710</v>
      </c>
      <c r="L234" t="s">
        <v>726</v>
      </c>
      <c r="M234" t="s">
        <v>732</v>
      </c>
      <c r="N234" t="s">
        <v>1660</v>
      </c>
      <c r="O234" s="9">
        <v>195.54</v>
      </c>
      <c r="P234" s="9">
        <v>405.97</v>
      </c>
      <c r="Q234" s="9">
        <v>405.97</v>
      </c>
      <c r="R234" t="s">
        <v>2065</v>
      </c>
      <c r="S234" s="11">
        <v>0.187</v>
      </c>
      <c r="T234" t="s">
        <v>2065</v>
      </c>
      <c r="U234" s="13">
        <v>16</v>
      </c>
      <c r="V234" s="9">
        <f t="shared" si="12"/>
        <v>5280.8577599999999</v>
      </c>
      <c r="W234" s="9">
        <f t="shared" si="13"/>
        <v>3128.64</v>
      </c>
      <c r="X234" s="9">
        <f t="shared" si="14"/>
        <v>2152.21776</v>
      </c>
      <c r="Y234" s="11">
        <f t="shared" si="15"/>
        <v>0.40755079152141377</v>
      </c>
    </row>
    <row r="235" spans="1:25" x14ac:dyDescent="0.3">
      <c r="A235" t="s">
        <v>248</v>
      </c>
      <c r="B235">
        <v>44999</v>
      </c>
      <c r="C235">
        <v>45015</v>
      </c>
      <c r="D235" t="s">
        <v>2064</v>
      </c>
      <c r="E235">
        <v>45015</v>
      </c>
      <c r="F235">
        <v>16</v>
      </c>
      <c r="G235" t="s">
        <v>646</v>
      </c>
      <c r="H235" t="s">
        <v>661</v>
      </c>
      <c r="I235" t="s">
        <v>695</v>
      </c>
      <c r="J235" t="s">
        <v>704</v>
      </c>
      <c r="K235" t="s">
        <v>710</v>
      </c>
      <c r="L235" t="s">
        <v>723</v>
      </c>
      <c r="M235" t="s">
        <v>727</v>
      </c>
      <c r="N235" t="s">
        <v>1661</v>
      </c>
      <c r="O235" s="9">
        <v>1309.77</v>
      </c>
      <c r="P235" s="9">
        <v>1589.07</v>
      </c>
      <c r="Q235" s="9">
        <v>1589.07</v>
      </c>
      <c r="R235" t="s">
        <v>2065</v>
      </c>
      <c r="S235" s="11">
        <v>0.10199999999999999</v>
      </c>
      <c r="T235" t="s">
        <v>2065</v>
      </c>
      <c r="U235" s="13">
        <v>10</v>
      </c>
      <c r="V235" s="9">
        <f t="shared" si="12"/>
        <v>14269.848599999999</v>
      </c>
      <c r="W235" s="9">
        <f t="shared" si="13"/>
        <v>13097.7</v>
      </c>
      <c r="X235" s="9">
        <f t="shared" si="14"/>
        <v>1172.1485999999986</v>
      </c>
      <c r="Y235" s="11">
        <f t="shared" si="15"/>
        <v>8.2141628328137886E-2</v>
      </c>
    </row>
    <row r="236" spans="1:25" x14ac:dyDescent="0.3">
      <c r="A236" t="s">
        <v>249</v>
      </c>
      <c r="B236">
        <v>45302</v>
      </c>
      <c r="C236">
        <v>45324</v>
      </c>
      <c r="D236" t="s">
        <v>2064</v>
      </c>
      <c r="E236">
        <v>45324</v>
      </c>
      <c r="F236">
        <v>22</v>
      </c>
      <c r="G236" t="s">
        <v>647</v>
      </c>
      <c r="H236" t="s">
        <v>652</v>
      </c>
      <c r="I236" t="s">
        <v>694</v>
      </c>
      <c r="J236" t="s">
        <v>705</v>
      </c>
      <c r="K236" t="s">
        <v>708</v>
      </c>
      <c r="L236" t="s">
        <v>2057</v>
      </c>
      <c r="M236" t="s">
        <v>728</v>
      </c>
      <c r="N236" t="s">
        <v>1662</v>
      </c>
      <c r="O236" s="9">
        <v>1237.68</v>
      </c>
      <c r="P236" s="9">
        <v>1432.8</v>
      </c>
      <c r="Q236" s="9">
        <v>1432.8</v>
      </c>
      <c r="R236" t="s">
        <v>2065</v>
      </c>
      <c r="S236" s="11">
        <v>6.8000000000000005E-2</v>
      </c>
      <c r="T236" t="s">
        <v>2065</v>
      </c>
      <c r="U236" s="13">
        <v>13</v>
      </c>
      <c r="V236" s="9">
        <f t="shared" si="12"/>
        <v>17359.804799999998</v>
      </c>
      <c r="W236" s="9">
        <f t="shared" si="13"/>
        <v>16089.84</v>
      </c>
      <c r="X236" s="9">
        <f t="shared" si="14"/>
        <v>1269.9647999999979</v>
      </c>
      <c r="Y236" s="11">
        <f t="shared" si="15"/>
        <v>7.315547695559331E-2</v>
      </c>
    </row>
    <row r="237" spans="1:25" x14ac:dyDescent="0.3">
      <c r="A237" t="s">
        <v>250</v>
      </c>
      <c r="B237">
        <v>45548</v>
      </c>
      <c r="C237">
        <v>45567</v>
      </c>
      <c r="D237" t="s">
        <v>2064</v>
      </c>
      <c r="E237">
        <v>45567</v>
      </c>
      <c r="F237">
        <v>19</v>
      </c>
      <c r="G237" t="s">
        <v>646</v>
      </c>
      <c r="H237" t="s">
        <v>650</v>
      </c>
      <c r="I237" t="s">
        <v>675</v>
      </c>
      <c r="J237" t="s">
        <v>705</v>
      </c>
      <c r="K237" t="s">
        <v>707</v>
      </c>
      <c r="L237" t="s">
        <v>724</v>
      </c>
      <c r="M237" t="s">
        <v>730</v>
      </c>
      <c r="N237" t="s">
        <v>1663</v>
      </c>
      <c r="O237" s="9">
        <v>1338.99</v>
      </c>
      <c r="P237" s="9">
        <v>1765.76</v>
      </c>
      <c r="Q237" s="9">
        <v>1765.76</v>
      </c>
      <c r="R237" t="s">
        <v>2065</v>
      </c>
      <c r="S237" s="11">
        <v>0.126</v>
      </c>
      <c r="T237" t="s">
        <v>2065</v>
      </c>
      <c r="U237" s="13">
        <v>24</v>
      </c>
      <c r="V237" s="9">
        <f t="shared" si="12"/>
        <v>37038.581760000001</v>
      </c>
      <c r="W237" s="9">
        <f t="shared" si="13"/>
        <v>32135.760000000002</v>
      </c>
      <c r="X237" s="9">
        <f t="shared" si="14"/>
        <v>4902.8217599999989</v>
      </c>
      <c r="Y237" s="11">
        <f t="shared" si="15"/>
        <v>0.1323706666677725</v>
      </c>
    </row>
    <row r="238" spans="1:25" x14ac:dyDescent="0.3">
      <c r="A238" t="s">
        <v>251</v>
      </c>
      <c r="B238">
        <v>45855</v>
      </c>
      <c r="C238">
        <v>45861</v>
      </c>
      <c r="D238" t="s">
        <v>2064</v>
      </c>
      <c r="E238">
        <v>45861</v>
      </c>
      <c r="F238">
        <v>6</v>
      </c>
      <c r="G238" t="s">
        <v>648</v>
      </c>
      <c r="H238" t="s">
        <v>653</v>
      </c>
      <c r="I238" t="s">
        <v>688</v>
      </c>
      <c r="J238" t="s">
        <v>704</v>
      </c>
      <c r="K238" t="s">
        <v>708</v>
      </c>
      <c r="L238" t="s">
        <v>722</v>
      </c>
      <c r="M238" t="s">
        <v>727</v>
      </c>
      <c r="N238" t="s">
        <v>1664</v>
      </c>
      <c r="O238" s="9">
        <v>1364.89</v>
      </c>
      <c r="P238" s="9">
        <v>2757.54</v>
      </c>
      <c r="Q238" s="9">
        <v>2757.54</v>
      </c>
      <c r="R238" t="s">
        <v>2065</v>
      </c>
      <c r="S238" s="11">
        <v>0.17199999999999999</v>
      </c>
      <c r="T238" t="s">
        <v>2065</v>
      </c>
      <c r="U238" s="13">
        <v>61</v>
      </c>
      <c r="V238" s="9">
        <f t="shared" si="12"/>
        <v>139277.83032000001</v>
      </c>
      <c r="W238" s="9">
        <f t="shared" si="13"/>
        <v>83258.290000000008</v>
      </c>
      <c r="X238" s="9">
        <f t="shared" si="14"/>
        <v>56019.54032</v>
      </c>
      <c r="Y238" s="11">
        <f t="shared" si="15"/>
        <v>0.4022143379983118</v>
      </c>
    </row>
    <row r="239" spans="1:25" x14ac:dyDescent="0.3">
      <c r="A239" t="s">
        <v>252</v>
      </c>
      <c r="B239">
        <v>45258</v>
      </c>
      <c r="C239">
        <v>45267</v>
      </c>
      <c r="D239" t="s">
        <v>2064</v>
      </c>
      <c r="E239">
        <v>45267</v>
      </c>
      <c r="F239">
        <v>9</v>
      </c>
      <c r="G239" t="s">
        <v>647</v>
      </c>
      <c r="H239" t="s">
        <v>654</v>
      </c>
      <c r="I239" t="s">
        <v>680</v>
      </c>
      <c r="J239" t="s">
        <v>706</v>
      </c>
      <c r="K239" t="s">
        <v>709</v>
      </c>
      <c r="L239" t="s">
        <v>716</v>
      </c>
      <c r="M239" t="s">
        <v>730</v>
      </c>
      <c r="N239" t="s">
        <v>1665</v>
      </c>
      <c r="O239" s="9">
        <v>699.33</v>
      </c>
      <c r="P239" s="9">
        <v>873.75</v>
      </c>
      <c r="Q239" s="9">
        <v>873.75</v>
      </c>
      <c r="R239" t="s">
        <v>2065</v>
      </c>
      <c r="S239" s="11">
        <v>0.23499999999999999</v>
      </c>
      <c r="T239" t="s">
        <v>2065</v>
      </c>
      <c r="U239" s="13">
        <v>10</v>
      </c>
      <c r="V239" s="9">
        <f t="shared" si="12"/>
        <v>6684.1875</v>
      </c>
      <c r="W239" s="9">
        <f t="shared" si="13"/>
        <v>6993.3</v>
      </c>
      <c r="X239" s="9">
        <f t="shared" si="14"/>
        <v>-309.11250000000018</v>
      </c>
      <c r="Y239" s="11">
        <f t="shared" si="15"/>
        <v>-4.6245336475076469E-2</v>
      </c>
    </row>
    <row r="240" spans="1:25" x14ac:dyDescent="0.3">
      <c r="A240" t="s">
        <v>253</v>
      </c>
      <c r="B240">
        <v>45381</v>
      </c>
      <c r="C240">
        <v>45406</v>
      </c>
      <c r="D240" t="s">
        <v>2064</v>
      </c>
      <c r="E240">
        <v>45406</v>
      </c>
      <c r="F240">
        <v>25</v>
      </c>
      <c r="G240" t="s">
        <v>648</v>
      </c>
      <c r="H240" t="s">
        <v>1425</v>
      </c>
      <c r="I240" t="s">
        <v>697</v>
      </c>
      <c r="J240" t="s">
        <v>703</v>
      </c>
      <c r="K240" t="s">
        <v>708</v>
      </c>
      <c r="L240" t="s">
        <v>715</v>
      </c>
      <c r="M240" t="s">
        <v>731</v>
      </c>
      <c r="N240" t="s">
        <v>1666</v>
      </c>
      <c r="O240" s="9">
        <v>160.82</v>
      </c>
      <c r="P240" s="9">
        <v>258.52</v>
      </c>
      <c r="Q240" s="9">
        <v>258.52</v>
      </c>
      <c r="R240" t="s">
        <v>2065</v>
      </c>
      <c r="S240" s="11">
        <v>0.13</v>
      </c>
      <c r="T240" t="s">
        <v>2065</v>
      </c>
      <c r="U240" s="13">
        <v>17</v>
      </c>
      <c r="V240" s="9">
        <f t="shared" si="12"/>
        <v>3823.5108</v>
      </c>
      <c r="W240" s="9">
        <f t="shared" si="13"/>
        <v>2733.94</v>
      </c>
      <c r="X240" s="9">
        <f t="shared" si="14"/>
        <v>1089.5708</v>
      </c>
      <c r="Y240" s="11">
        <f t="shared" si="15"/>
        <v>0.28496605789631874</v>
      </c>
    </row>
    <row r="241" spans="1:25" x14ac:dyDescent="0.3">
      <c r="A241" t="s">
        <v>254</v>
      </c>
      <c r="B241">
        <v>45188</v>
      </c>
      <c r="C241">
        <v>45207</v>
      </c>
      <c r="D241" t="s">
        <v>2064</v>
      </c>
      <c r="E241">
        <v>45207</v>
      </c>
      <c r="F241">
        <v>19</v>
      </c>
      <c r="G241" t="s">
        <v>647</v>
      </c>
      <c r="H241" t="s">
        <v>654</v>
      </c>
      <c r="I241" t="s">
        <v>668</v>
      </c>
      <c r="J241" t="s">
        <v>702</v>
      </c>
      <c r="K241" t="s">
        <v>711</v>
      </c>
      <c r="L241" t="s">
        <v>713</v>
      </c>
      <c r="M241" t="s">
        <v>728</v>
      </c>
      <c r="N241" t="s">
        <v>1667</v>
      </c>
      <c r="O241" s="9">
        <v>385.32</v>
      </c>
      <c r="P241" s="9">
        <v>606.76</v>
      </c>
      <c r="Q241" s="9">
        <v>606.76</v>
      </c>
      <c r="R241" t="s">
        <v>2065</v>
      </c>
      <c r="S241" s="11">
        <v>8.5999999999999993E-2</v>
      </c>
      <c r="T241" t="s">
        <v>2065</v>
      </c>
      <c r="U241" s="13">
        <v>8</v>
      </c>
      <c r="V241" s="9">
        <f t="shared" si="12"/>
        <v>4436.6291200000005</v>
      </c>
      <c r="W241" s="9">
        <f t="shared" si="13"/>
        <v>3082.56</v>
      </c>
      <c r="X241" s="9">
        <f t="shared" si="14"/>
        <v>1354.0691200000006</v>
      </c>
      <c r="Y241" s="11">
        <f t="shared" si="15"/>
        <v>0.30520223425842735</v>
      </c>
    </row>
    <row r="242" spans="1:25" x14ac:dyDescent="0.3">
      <c r="A242" t="s">
        <v>255</v>
      </c>
      <c r="B242">
        <v>45793</v>
      </c>
      <c r="C242">
        <v>45804</v>
      </c>
      <c r="D242" t="s">
        <v>2064</v>
      </c>
      <c r="E242">
        <v>45804</v>
      </c>
      <c r="F242">
        <v>11</v>
      </c>
      <c r="G242" t="s">
        <v>647</v>
      </c>
      <c r="H242" t="s">
        <v>659</v>
      </c>
      <c r="I242" t="s">
        <v>699</v>
      </c>
      <c r="J242" t="s">
        <v>706</v>
      </c>
      <c r="K242" t="s">
        <v>708</v>
      </c>
      <c r="L242" t="s">
        <v>721</v>
      </c>
      <c r="M242" t="s">
        <v>730</v>
      </c>
      <c r="N242" t="s">
        <v>1668</v>
      </c>
      <c r="O242" s="9">
        <v>918.12</v>
      </c>
      <c r="P242" s="9">
        <v>1337.69</v>
      </c>
      <c r="Q242" s="9">
        <v>1337.69</v>
      </c>
      <c r="R242" t="s">
        <v>2065</v>
      </c>
      <c r="S242" s="11">
        <v>9.5000000000000001E-2</v>
      </c>
      <c r="T242" t="s">
        <v>2065</v>
      </c>
      <c r="U242" s="13">
        <v>8</v>
      </c>
      <c r="V242" s="9">
        <f t="shared" si="12"/>
        <v>9684.8756000000012</v>
      </c>
      <c r="W242" s="9">
        <f t="shared" si="13"/>
        <v>7344.96</v>
      </c>
      <c r="X242" s="9">
        <f t="shared" si="14"/>
        <v>2339.9156000000012</v>
      </c>
      <c r="Y242" s="11">
        <f t="shared" si="15"/>
        <v>0.24160512707050164</v>
      </c>
    </row>
    <row r="243" spans="1:25" x14ac:dyDescent="0.3">
      <c r="A243" t="s">
        <v>256</v>
      </c>
      <c r="B243">
        <v>45871</v>
      </c>
      <c r="C243">
        <v>45877</v>
      </c>
      <c r="D243" t="s">
        <v>2064</v>
      </c>
      <c r="E243">
        <v>45877</v>
      </c>
      <c r="F243">
        <v>6</v>
      </c>
      <c r="G243" t="s">
        <v>647</v>
      </c>
      <c r="H243" t="s">
        <v>652</v>
      </c>
      <c r="I243" t="s">
        <v>666</v>
      </c>
      <c r="J243" t="s">
        <v>704</v>
      </c>
      <c r="K243" t="s">
        <v>711</v>
      </c>
      <c r="L243" t="s">
        <v>725</v>
      </c>
      <c r="M243" t="s">
        <v>731</v>
      </c>
      <c r="N243" t="s">
        <v>1669</v>
      </c>
      <c r="O243" s="9">
        <v>1225.94</v>
      </c>
      <c r="P243" s="9">
        <v>1793.08</v>
      </c>
      <c r="Q243" s="9">
        <v>1793.08</v>
      </c>
      <c r="R243" t="s">
        <v>2065</v>
      </c>
      <c r="S243" s="11">
        <v>0.13600000000000001</v>
      </c>
      <c r="T243" t="s">
        <v>2065</v>
      </c>
      <c r="U243" s="13">
        <v>22</v>
      </c>
      <c r="V243" s="9">
        <f t="shared" si="12"/>
        <v>34082.864639999993</v>
      </c>
      <c r="W243" s="9">
        <f t="shared" si="13"/>
        <v>26970.68</v>
      </c>
      <c r="X243" s="9">
        <f t="shared" si="14"/>
        <v>7112.1846399999922</v>
      </c>
      <c r="Y243" s="11">
        <f t="shared" si="15"/>
        <v>0.20867332353434462</v>
      </c>
    </row>
    <row r="244" spans="1:25" x14ac:dyDescent="0.3">
      <c r="A244" t="s">
        <v>257</v>
      </c>
      <c r="B244">
        <v>45630</v>
      </c>
      <c r="C244">
        <v>45638</v>
      </c>
      <c r="D244" t="s">
        <v>2064</v>
      </c>
      <c r="E244">
        <v>45638</v>
      </c>
      <c r="F244">
        <v>8</v>
      </c>
      <c r="G244" t="s">
        <v>649</v>
      </c>
      <c r="H244" t="s">
        <v>656</v>
      </c>
      <c r="I244" t="s">
        <v>698</v>
      </c>
      <c r="J244" t="s">
        <v>706</v>
      </c>
      <c r="K244" t="s">
        <v>709</v>
      </c>
      <c r="L244" t="s">
        <v>717</v>
      </c>
      <c r="M244" t="s">
        <v>728</v>
      </c>
      <c r="N244" t="s">
        <v>1670</v>
      </c>
      <c r="O244" s="9">
        <v>72.06</v>
      </c>
      <c r="P244" s="9">
        <v>122.74</v>
      </c>
      <c r="Q244" s="9">
        <v>122.74</v>
      </c>
      <c r="R244" t="s">
        <v>2065</v>
      </c>
      <c r="S244" s="11">
        <v>0.23799999999999999</v>
      </c>
      <c r="T244" t="s">
        <v>2065</v>
      </c>
      <c r="U244" s="13">
        <v>8</v>
      </c>
      <c r="V244" s="9">
        <f t="shared" si="12"/>
        <v>748.22303999999997</v>
      </c>
      <c r="W244" s="9">
        <f t="shared" si="13"/>
        <v>576.48</v>
      </c>
      <c r="X244" s="9">
        <f t="shared" si="14"/>
        <v>171.74303999999995</v>
      </c>
      <c r="Y244" s="11">
        <f t="shared" si="15"/>
        <v>0.22953455162246802</v>
      </c>
    </row>
    <row r="245" spans="1:25" x14ac:dyDescent="0.3">
      <c r="A245" t="s">
        <v>258</v>
      </c>
      <c r="B245">
        <v>45035</v>
      </c>
      <c r="C245">
        <v>45044</v>
      </c>
      <c r="D245" t="s">
        <v>2064</v>
      </c>
      <c r="E245">
        <v>45044</v>
      </c>
      <c r="F245">
        <v>9</v>
      </c>
      <c r="G245" t="s">
        <v>648</v>
      </c>
      <c r="H245" t="s">
        <v>655</v>
      </c>
      <c r="I245" t="s">
        <v>1426</v>
      </c>
      <c r="J245" t="s">
        <v>701</v>
      </c>
      <c r="K245" t="s">
        <v>710</v>
      </c>
      <c r="L245" t="s">
        <v>724</v>
      </c>
      <c r="M245" t="s">
        <v>730</v>
      </c>
      <c r="N245" t="s">
        <v>1671</v>
      </c>
      <c r="O245" s="9">
        <v>1013.54</v>
      </c>
      <c r="P245" s="9">
        <v>927.93</v>
      </c>
      <c r="Q245" s="9">
        <v>927.93</v>
      </c>
      <c r="R245" t="s">
        <v>2065</v>
      </c>
      <c r="S245" s="11">
        <v>0.17499999999999999</v>
      </c>
      <c r="T245" t="s">
        <v>2065</v>
      </c>
      <c r="U245" s="13">
        <v>16</v>
      </c>
      <c r="V245" s="9">
        <f t="shared" si="12"/>
        <v>12248.675999999999</v>
      </c>
      <c r="W245" s="9">
        <f t="shared" si="13"/>
        <v>16216.64</v>
      </c>
      <c r="X245" s="9">
        <f t="shared" si="14"/>
        <v>-3967.9639999999999</v>
      </c>
      <c r="Y245" s="11">
        <f t="shared" si="15"/>
        <v>-0.32395044166406234</v>
      </c>
    </row>
    <row r="246" spans="1:25" x14ac:dyDescent="0.3">
      <c r="A246" t="s">
        <v>259</v>
      </c>
      <c r="B246">
        <v>45357</v>
      </c>
      <c r="C246">
        <v>45377</v>
      </c>
      <c r="D246" t="s">
        <v>2064</v>
      </c>
      <c r="E246">
        <v>45377</v>
      </c>
      <c r="F246">
        <v>20</v>
      </c>
      <c r="G246" t="s">
        <v>646</v>
      </c>
      <c r="H246" t="s">
        <v>651</v>
      </c>
      <c r="I246" t="s">
        <v>663</v>
      </c>
      <c r="J246" t="s">
        <v>704</v>
      </c>
      <c r="K246" t="s">
        <v>709</v>
      </c>
      <c r="L246" t="s">
        <v>714</v>
      </c>
      <c r="M246" t="s">
        <v>730</v>
      </c>
      <c r="N246" t="s">
        <v>1672</v>
      </c>
      <c r="O246" s="9">
        <v>65.64</v>
      </c>
      <c r="P246" s="9">
        <v>151.88</v>
      </c>
      <c r="Q246" s="9">
        <v>151.88</v>
      </c>
      <c r="R246" t="s">
        <v>2065</v>
      </c>
      <c r="S246" s="11">
        <v>0.16700000000000001</v>
      </c>
      <c r="T246" t="s">
        <v>2065</v>
      </c>
      <c r="U246" s="13">
        <v>23</v>
      </c>
      <c r="V246" s="9">
        <f t="shared" si="12"/>
        <v>2909.8689199999999</v>
      </c>
      <c r="W246" s="9">
        <f t="shared" si="13"/>
        <v>1509.72</v>
      </c>
      <c r="X246" s="9">
        <f t="shared" si="14"/>
        <v>1400.1489199999999</v>
      </c>
      <c r="Y246" s="11">
        <f t="shared" si="15"/>
        <v>0.48117250587356353</v>
      </c>
    </row>
    <row r="247" spans="1:25" x14ac:dyDescent="0.3">
      <c r="A247" t="s">
        <v>260</v>
      </c>
      <c r="B247">
        <v>45338</v>
      </c>
      <c r="C247">
        <v>45355</v>
      </c>
      <c r="D247" t="s">
        <v>2064</v>
      </c>
      <c r="E247">
        <v>45355</v>
      </c>
      <c r="F247">
        <v>17</v>
      </c>
      <c r="G247" t="s">
        <v>648</v>
      </c>
      <c r="H247" t="s">
        <v>653</v>
      </c>
      <c r="I247" t="s">
        <v>681</v>
      </c>
      <c r="J247" t="s">
        <v>703</v>
      </c>
      <c r="K247" t="s">
        <v>707</v>
      </c>
      <c r="L247" t="s">
        <v>726</v>
      </c>
      <c r="M247" t="s">
        <v>731</v>
      </c>
      <c r="N247" t="s">
        <v>1673</v>
      </c>
      <c r="O247" s="9">
        <v>1350.98</v>
      </c>
      <c r="P247" s="9">
        <v>2210.4</v>
      </c>
      <c r="Q247" s="9">
        <v>2210.4</v>
      </c>
      <c r="R247" t="s">
        <v>2065</v>
      </c>
      <c r="S247" s="11">
        <v>0.26300000000000001</v>
      </c>
      <c r="T247" t="s">
        <v>2065</v>
      </c>
      <c r="U247" s="13">
        <v>6</v>
      </c>
      <c r="V247" s="9">
        <f t="shared" si="12"/>
        <v>9774.3888000000006</v>
      </c>
      <c r="W247" s="9">
        <f t="shared" si="13"/>
        <v>8105.88</v>
      </c>
      <c r="X247" s="9">
        <f t="shared" si="14"/>
        <v>1668.5088000000005</v>
      </c>
      <c r="Y247" s="11">
        <f t="shared" si="15"/>
        <v>0.17070211080615091</v>
      </c>
    </row>
    <row r="248" spans="1:25" x14ac:dyDescent="0.3">
      <c r="A248" t="s">
        <v>261</v>
      </c>
      <c r="B248">
        <v>45769</v>
      </c>
      <c r="C248">
        <v>45779</v>
      </c>
      <c r="D248" t="s">
        <v>2064</v>
      </c>
      <c r="E248">
        <v>45779</v>
      </c>
      <c r="F248">
        <v>10</v>
      </c>
      <c r="G248" t="s">
        <v>649</v>
      </c>
      <c r="H248" t="s">
        <v>656</v>
      </c>
      <c r="I248" t="s">
        <v>671</v>
      </c>
      <c r="J248" t="s">
        <v>701</v>
      </c>
      <c r="K248" t="s">
        <v>709</v>
      </c>
      <c r="L248" t="s">
        <v>712</v>
      </c>
      <c r="M248" t="s">
        <v>732</v>
      </c>
      <c r="N248" t="s">
        <v>1674</v>
      </c>
      <c r="O248" s="9">
        <v>20.149999999999999</v>
      </c>
      <c r="P248" s="9">
        <v>39.74</v>
      </c>
      <c r="Q248" s="9">
        <v>39.74</v>
      </c>
      <c r="R248" t="s">
        <v>2065</v>
      </c>
      <c r="S248" s="11">
        <v>0.151</v>
      </c>
      <c r="T248" t="s">
        <v>2065</v>
      </c>
      <c r="U248" s="13">
        <v>18</v>
      </c>
      <c r="V248" s="9">
        <f t="shared" si="12"/>
        <v>607.30668000000003</v>
      </c>
      <c r="W248" s="9">
        <f t="shared" si="13"/>
        <v>362.7</v>
      </c>
      <c r="X248" s="9">
        <f t="shared" si="14"/>
        <v>244.60668000000004</v>
      </c>
      <c r="Y248" s="11">
        <f t="shared" si="15"/>
        <v>0.4027729120318585</v>
      </c>
    </row>
    <row r="249" spans="1:25" x14ac:dyDescent="0.3">
      <c r="A249" t="s">
        <v>262</v>
      </c>
      <c r="B249">
        <v>45604</v>
      </c>
      <c r="C249">
        <v>45604</v>
      </c>
      <c r="D249" t="s">
        <v>2064</v>
      </c>
      <c r="E249">
        <v>45604</v>
      </c>
      <c r="F249">
        <v>0</v>
      </c>
      <c r="G249" t="s">
        <v>646</v>
      </c>
      <c r="H249" t="s">
        <v>650</v>
      </c>
      <c r="I249" t="s">
        <v>678</v>
      </c>
      <c r="J249" t="s">
        <v>706</v>
      </c>
      <c r="K249" t="s">
        <v>709</v>
      </c>
      <c r="L249" t="s">
        <v>724</v>
      </c>
      <c r="M249" t="s">
        <v>729</v>
      </c>
      <c r="N249" t="s">
        <v>1675</v>
      </c>
      <c r="O249" s="9">
        <v>803.28</v>
      </c>
      <c r="P249" s="9">
        <v>1009</v>
      </c>
      <c r="Q249" s="9">
        <v>1009</v>
      </c>
      <c r="R249" t="s">
        <v>2065</v>
      </c>
      <c r="S249" s="11">
        <v>0.11</v>
      </c>
      <c r="T249" t="s">
        <v>2065</v>
      </c>
      <c r="U249" s="13">
        <v>4</v>
      </c>
      <c r="V249" s="9">
        <f t="shared" si="12"/>
        <v>3592.04</v>
      </c>
      <c r="W249" s="9">
        <f t="shared" si="13"/>
        <v>3213.12</v>
      </c>
      <c r="X249" s="9">
        <f t="shared" si="14"/>
        <v>378.92000000000007</v>
      </c>
      <c r="Y249" s="11">
        <f t="shared" si="15"/>
        <v>0.10548880302001093</v>
      </c>
    </row>
    <row r="250" spans="1:25" x14ac:dyDescent="0.3">
      <c r="A250" t="s">
        <v>263</v>
      </c>
      <c r="B250">
        <v>45912</v>
      </c>
      <c r="C250">
        <v>45930</v>
      </c>
      <c r="D250" t="s">
        <v>2064</v>
      </c>
      <c r="E250">
        <v>45930</v>
      </c>
      <c r="F250">
        <v>18</v>
      </c>
      <c r="G250" t="s">
        <v>647</v>
      </c>
      <c r="H250" t="s">
        <v>652</v>
      </c>
      <c r="I250" t="s">
        <v>694</v>
      </c>
      <c r="J250" t="s">
        <v>703</v>
      </c>
      <c r="K250" t="s">
        <v>709</v>
      </c>
      <c r="L250" t="s">
        <v>721</v>
      </c>
      <c r="M250" t="s">
        <v>732</v>
      </c>
      <c r="N250" t="s">
        <v>1676</v>
      </c>
      <c r="O250" s="9">
        <v>1212.99</v>
      </c>
      <c r="P250" s="9">
        <v>1653.64</v>
      </c>
      <c r="Q250" s="9">
        <v>1653.64</v>
      </c>
      <c r="R250" t="s">
        <v>2065</v>
      </c>
      <c r="S250" s="11">
        <v>0.107</v>
      </c>
      <c r="T250" t="s">
        <v>2065</v>
      </c>
      <c r="U250" s="13">
        <v>8</v>
      </c>
      <c r="V250" s="9">
        <f t="shared" si="12"/>
        <v>11813.604160000001</v>
      </c>
      <c r="W250" s="9">
        <f t="shared" si="13"/>
        <v>9703.92</v>
      </c>
      <c r="X250" s="9">
        <f t="shared" si="14"/>
        <v>2109.6841600000007</v>
      </c>
      <c r="Y250" s="11">
        <f t="shared" si="15"/>
        <v>0.17858090819931455</v>
      </c>
    </row>
    <row r="251" spans="1:25" x14ac:dyDescent="0.3">
      <c r="A251" t="s">
        <v>264</v>
      </c>
      <c r="B251">
        <v>45537</v>
      </c>
      <c r="C251">
        <v>45543</v>
      </c>
      <c r="D251" t="s">
        <v>2064</v>
      </c>
      <c r="E251">
        <v>45543</v>
      </c>
      <c r="F251">
        <v>6</v>
      </c>
      <c r="G251" t="s">
        <v>648</v>
      </c>
      <c r="H251" t="s">
        <v>1425</v>
      </c>
      <c r="I251" t="s">
        <v>697</v>
      </c>
      <c r="J251" t="s">
        <v>704</v>
      </c>
      <c r="K251" t="s">
        <v>711</v>
      </c>
      <c r="L251" t="s">
        <v>722</v>
      </c>
      <c r="M251" t="s">
        <v>727</v>
      </c>
      <c r="N251" t="s">
        <v>1677</v>
      </c>
      <c r="O251" s="9">
        <v>462.94</v>
      </c>
      <c r="P251" s="9">
        <v>1015.7</v>
      </c>
      <c r="Q251" s="9">
        <v>1015.7</v>
      </c>
      <c r="R251" t="s">
        <v>2065</v>
      </c>
      <c r="S251" s="11">
        <v>0.14299999999999999</v>
      </c>
      <c r="T251" t="s">
        <v>2065</v>
      </c>
      <c r="U251" s="13">
        <v>14</v>
      </c>
      <c r="V251" s="9">
        <f t="shared" si="12"/>
        <v>12186.368600000002</v>
      </c>
      <c r="W251" s="9">
        <f t="shared" si="13"/>
        <v>6481.16</v>
      </c>
      <c r="X251" s="9">
        <f t="shared" si="14"/>
        <v>5705.2086000000018</v>
      </c>
      <c r="Y251" s="11">
        <f t="shared" si="15"/>
        <v>0.46816314090483041</v>
      </c>
    </row>
    <row r="252" spans="1:25" x14ac:dyDescent="0.3">
      <c r="A252" t="s">
        <v>265</v>
      </c>
      <c r="B252">
        <v>44989</v>
      </c>
      <c r="C252">
        <v>45009</v>
      </c>
      <c r="D252" t="s">
        <v>2064</v>
      </c>
      <c r="E252">
        <v>45009</v>
      </c>
      <c r="F252">
        <v>20</v>
      </c>
      <c r="G252" t="s">
        <v>648</v>
      </c>
      <c r="H252" t="s">
        <v>653</v>
      </c>
      <c r="I252" t="s">
        <v>681</v>
      </c>
      <c r="J252" t="s">
        <v>704</v>
      </c>
      <c r="K252" t="s">
        <v>710</v>
      </c>
      <c r="L252" t="s">
        <v>714</v>
      </c>
      <c r="M252" t="s">
        <v>731</v>
      </c>
      <c r="N252" t="s">
        <v>1678</v>
      </c>
      <c r="O252" s="9">
        <v>481.71</v>
      </c>
      <c r="P252" s="9">
        <v>912.45</v>
      </c>
      <c r="Q252" s="9">
        <v>912.45</v>
      </c>
      <c r="R252" t="s">
        <v>2065</v>
      </c>
      <c r="S252" s="11">
        <v>0.20300000000000001</v>
      </c>
      <c r="T252" t="s">
        <v>2065</v>
      </c>
      <c r="U252" s="13">
        <v>24</v>
      </c>
      <c r="V252" s="9">
        <f t="shared" si="12"/>
        <v>17453.3436</v>
      </c>
      <c r="W252" s="9">
        <f t="shared" si="13"/>
        <v>11561.039999999999</v>
      </c>
      <c r="X252" s="9">
        <f t="shared" si="14"/>
        <v>5892.3036000000011</v>
      </c>
      <c r="Y252" s="11">
        <f t="shared" si="15"/>
        <v>0.33760313983619739</v>
      </c>
    </row>
    <row r="253" spans="1:25" x14ac:dyDescent="0.3">
      <c r="A253" t="s">
        <v>266</v>
      </c>
      <c r="B253">
        <v>45366</v>
      </c>
      <c r="C253">
        <v>45391</v>
      </c>
      <c r="D253" t="s">
        <v>2064</v>
      </c>
      <c r="E253">
        <v>45391</v>
      </c>
      <c r="F253">
        <v>25</v>
      </c>
      <c r="G253" t="s">
        <v>648</v>
      </c>
      <c r="H253" t="s">
        <v>653</v>
      </c>
      <c r="I253" t="s">
        <v>688</v>
      </c>
      <c r="J253" t="s">
        <v>704</v>
      </c>
      <c r="K253" t="s">
        <v>708</v>
      </c>
      <c r="L253" t="s">
        <v>721</v>
      </c>
      <c r="M253" t="s">
        <v>732</v>
      </c>
      <c r="N253" t="s">
        <v>1679</v>
      </c>
      <c r="O253" s="9">
        <v>648.64</v>
      </c>
      <c r="P253" s="9">
        <v>815.19</v>
      </c>
      <c r="Q253" s="9">
        <v>815.19</v>
      </c>
      <c r="R253" t="s">
        <v>2065</v>
      </c>
      <c r="S253" s="11">
        <v>0.22500000000000001</v>
      </c>
      <c r="T253" t="s">
        <v>2065</v>
      </c>
      <c r="U253" s="13">
        <v>28</v>
      </c>
      <c r="V253" s="9">
        <f t="shared" si="12"/>
        <v>17689.623</v>
      </c>
      <c r="W253" s="9">
        <f t="shared" si="13"/>
        <v>18161.919999999998</v>
      </c>
      <c r="X253" s="9">
        <f t="shared" si="14"/>
        <v>-472.29699999999866</v>
      </c>
      <c r="Y253" s="11">
        <f t="shared" si="15"/>
        <v>-2.6699099240272032E-2</v>
      </c>
    </row>
    <row r="254" spans="1:25" x14ac:dyDescent="0.3">
      <c r="A254" t="s">
        <v>267</v>
      </c>
      <c r="B254">
        <v>45502</v>
      </c>
      <c r="C254">
        <v>45504</v>
      </c>
      <c r="D254" t="s">
        <v>2064</v>
      </c>
      <c r="E254">
        <v>45504</v>
      </c>
      <c r="F254">
        <v>2</v>
      </c>
      <c r="G254" t="s">
        <v>648</v>
      </c>
      <c r="H254" t="s">
        <v>1425</v>
      </c>
      <c r="I254" t="s">
        <v>700</v>
      </c>
      <c r="J254" t="s">
        <v>702</v>
      </c>
      <c r="K254" t="s">
        <v>709</v>
      </c>
      <c r="L254" t="s">
        <v>714</v>
      </c>
      <c r="M254" t="s">
        <v>728</v>
      </c>
      <c r="N254" t="s">
        <v>1680</v>
      </c>
      <c r="O254" s="9">
        <v>798.97</v>
      </c>
      <c r="P254" s="9">
        <v>1814.06</v>
      </c>
      <c r="Q254" s="9">
        <v>1814.06</v>
      </c>
      <c r="R254" t="s">
        <v>2065</v>
      </c>
      <c r="S254" s="11">
        <v>0.122</v>
      </c>
      <c r="T254" t="s">
        <v>2065</v>
      </c>
      <c r="U254" s="13">
        <v>16</v>
      </c>
      <c r="V254" s="9">
        <f t="shared" si="12"/>
        <v>25483.91488</v>
      </c>
      <c r="W254" s="9">
        <f t="shared" si="13"/>
        <v>12783.52</v>
      </c>
      <c r="X254" s="9">
        <f t="shared" si="14"/>
        <v>12700.39488</v>
      </c>
      <c r="Y254" s="11">
        <f t="shared" si="15"/>
        <v>0.49836906691159061</v>
      </c>
    </row>
    <row r="255" spans="1:25" x14ac:dyDescent="0.3">
      <c r="A255" t="s">
        <v>268</v>
      </c>
      <c r="B255">
        <v>45592</v>
      </c>
      <c r="C255">
        <v>45616</v>
      </c>
      <c r="D255" t="s">
        <v>2064</v>
      </c>
      <c r="E255">
        <v>45616</v>
      </c>
      <c r="F255">
        <v>24</v>
      </c>
      <c r="G255" t="s">
        <v>647</v>
      </c>
      <c r="H255" t="s">
        <v>652</v>
      </c>
      <c r="I255" t="s">
        <v>694</v>
      </c>
      <c r="J255" t="s">
        <v>703</v>
      </c>
      <c r="K255" t="s">
        <v>708</v>
      </c>
      <c r="L255" t="s">
        <v>722</v>
      </c>
      <c r="M255" t="s">
        <v>732</v>
      </c>
      <c r="N255" t="s">
        <v>1681</v>
      </c>
      <c r="O255" s="9">
        <v>317.25</v>
      </c>
      <c r="P255" s="9">
        <v>758.92</v>
      </c>
      <c r="Q255" s="9">
        <v>758.92</v>
      </c>
      <c r="R255" t="s">
        <v>2065</v>
      </c>
      <c r="S255" s="11">
        <v>5.2999999999999999E-2</v>
      </c>
      <c r="T255" t="s">
        <v>2065</v>
      </c>
      <c r="U255" s="13">
        <v>9</v>
      </c>
      <c r="V255" s="9">
        <f t="shared" si="12"/>
        <v>6468.2751599999992</v>
      </c>
      <c r="W255" s="9">
        <f t="shared" si="13"/>
        <v>2855.25</v>
      </c>
      <c r="X255" s="9">
        <f t="shared" si="14"/>
        <v>3613.0251599999992</v>
      </c>
      <c r="Y255" s="11">
        <f t="shared" si="15"/>
        <v>0.5585762928489888</v>
      </c>
    </row>
    <row r="256" spans="1:25" x14ac:dyDescent="0.3">
      <c r="A256" t="s">
        <v>269</v>
      </c>
      <c r="B256">
        <v>45411</v>
      </c>
      <c r="C256">
        <v>45431</v>
      </c>
      <c r="D256" t="s">
        <v>2064</v>
      </c>
      <c r="E256">
        <v>45431</v>
      </c>
      <c r="F256">
        <v>20</v>
      </c>
      <c r="G256" t="s">
        <v>649</v>
      </c>
      <c r="H256" t="s">
        <v>656</v>
      </c>
      <c r="I256" t="s">
        <v>698</v>
      </c>
      <c r="J256" t="s">
        <v>706</v>
      </c>
      <c r="K256" t="s">
        <v>709</v>
      </c>
      <c r="L256" t="s">
        <v>712</v>
      </c>
      <c r="M256" t="s">
        <v>731</v>
      </c>
      <c r="N256" t="s">
        <v>1682</v>
      </c>
      <c r="O256" s="9">
        <v>668.97</v>
      </c>
      <c r="P256" s="9">
        <v>1667.44</v>
      </c>
      <c r="Q256" s="9">
        <v>1667.44</v>
      </c>
      <c r="R256" t="s">
        <v>2065</v>
      </c>
      <c r="S256" s="11">
        <v>3.4000000000000002E-2</v>
      </c>
      <c r="T256" t="s">
        <v>2065</v>
      </c>
      <c r="U256" s="13">
        <v>15</v>
      </c>
      <c r="V256" s="9">
        <f t="shared" si="12"/>
        <v>24161.205600000001</v>
      </c>
      <c r="W256" s="9">
        <f t="shared" si="13"/>
        <v>10034.550000000001</v>
      </c>
      <c r="X256" s="9">
        <f t="shared" si="14"/>
        <v>14126.6556</v>
      </c>
      <c r="Y256" s="11">
        <f t="shared" si="15"/>
        <v>0.58468339013679016</v>
      </c>
    </row>
    <row r="257" spans="1:25" x14ac:dyDescent="0.3">
      <c r="A257" t="s">
        <v>270</v>
      </c>
      <c r="B257">
        <v>45204</v>
      </c>
      <c r="C257">
        <v>45205</v>
      </c>
      <c r="D257" t="s">
        <v>2064</v>
      </c>
      <c r="E257">
        <v>45205</v>
      </c>
      <c r="F257">
        <v>1</v>
      </c>
      <c r="G257" t="s">
        <v>647</v>
      </c>
      <c r="H257" t="s">
        <v>654</v>
      </c>
      <c r="I257" t="s">
        <v>668</v>
      </c>
      <c r="J257" t="s">
        <v>703</v>
      </c>
      <c r="K257" t="s">
        <v>708</v>
      </c>
      <c r="L257" t="s">
        <v>714</v>
      </c>
      <c r="M257" t="s">
        <v>727</v>
      </c>
      <c r="N257" t="s">
        <v>1683</v>
      </c>
      <c r="O257" s="9">
        <v>1470.26</v>
      </c>
      <c r="P257" s="9">
        <v>2562.5500000000002</v>
      </c>
      <c r="Q257" s="9">
        <v>2562.5500000000002</v>
      </c>
      <c r="R257" t="s">
        <v>2065</v>
      </c>
      <c r="S257" s="11">
        <v>0.17299999999999999</v>
      </c>
      <c r="T257" t="s">
        <v>2065</v>
      </c>
      <c r="U257" s="13">
        <v>9</v>
      </c>
      <c r="V257" s="9">
        <f t="shared" si="12"/>
        <v>19073.059649999999</v>
      </c>
      <c r="W257" s="9">
        <f t="shared" si="13"/>
        <v>13232.34</v>
      </c>
      <c r="X257" s="9">
        <f t="shared" si="14"/>
        <v>5840.7196499999991</v>
      </c>
      <c r="Y257" s="11">
        <f t="shared" si="15"/>
        <v>0.30622877279157462</v>
      </c>
    </row>
    <row r="258" spans="1:25" x14ac:dyDescent="0.3">
      <c r="A258" t="s">
        <v>271</v>
      </c>
      <c r="B258">
        <v>45035</v>
      </c>
      <c r="C258">
        <v>45053</v>
      </c>
      <c r="D258" t="s">
        <v>2064</v>
      </c>
      <c r="E258">
        <v>45053</v>
      </c>
      <c r="F258">
        <v>18</v>
      </c>
      <c r="G258" t="s">
        <v>649</v>
      </c>
      <c r="H258" t="s">
        <v>658</v>
      </c>
      <c r="I258" t="s">
        <v>683</v>
      </c>
      <c r="J258" t="s">
        <v>703</v>
      </c>
      <c r="K258" t="s">
        <v>711</v>
      </c>
      <c r="L258" t="s">
        <v>722</v>
      </c>
      <c r="M258" t="s">
        <v>729</v>
      </c>
      <c r="N258" t="s">
        <v>1684</v>
      </c>
      <c r="O258" s="9">
        <v>516.96</v>
      </c>
      <c r="P258" s="9">
        <v>745.38</v>
      </c>
      <c r="Q258" s="9">
        <v>745.38</v>
      </c>
      <c r="R258" t="s">
        <v>2065</v>
      </c>
      <c r="S258" s="11">
        <v>0.19700000000000001</v>
      </c>
      <c r="T258" t="s">
        <v>2065</v>
      </c>
      <c r="U258" s="13">
        <v>4</v>
      </c>
      <c r="V258" s="9">
        <f t="shared" si="12"/>
        <v>2394.1605599999998</v>
      </c>
      <c r="W258" s="9">
        <f t="shared" si="13"/>
        <v>2067.84</v>
      </c>
      <c r="X258" s="9">
        <f t="shared" si="14"/>
        <v>326.32055999999966</v>
      </c>
      <c r="Y258" s="11">
        <f t="shared" si="15"/>
        <v>0.13629852794835101</v>
      </c>
    </row>
    <row r="259" spans="1:25" x14ac:dyDescent="0.3">
      <c r="A259" t="s">
        <v>272</v>
      </c>
      <c r="B259">
        <v>45835</v>
      </c>
      <c r="C259">
        <v>45843</v>
      </c>
      <c r="D259" t="s">
        <v>2064</v>
      </c>
      <c r="E259">
        <v>45843</v>
      </c>
      <c r="F259">
        <v>8</v>
      </c>
      <c r="G259" t="s">
        <v>649</v>
      </c>
      <c r="H259" t="s">
        <v>656</v>
      </c>
      <c r="I259" t="s">
        <v>684</v>
      </c>
      <c r="J259" t="s">
        <v>705</v>
      </c>
      <c r="K259" t="s">
        <v>711</v>
      </c>
      <c r="L259" t="s">
        <v>715</v>
      </c>
      <c r="M259" t="s">
        <v>732</v>
      </c>
      <c r="N259" t="s">
        <v>1685</v>
      </c>
      <c r="O259" s="9">
        <v>314.93</v>
      </c>
      <c r="P259" s="9">
        <v>687.95</v>
      </c>
      <c r="Q259" s="9">
        <v>687.95</v>
      </c>
      <c r="R259" t="s">
        <v>2065</v>
      </c>
      <c r="S259" s="11">
        <v>0.20499999999999999</v>
      </c>
      <c r="T259" t="s">
        <v>2065</v>
      </c>
      <c r="U259" s="13">
        <v>8</v>
      </c>
      <c r="V259" s="9">
        <f t="shared" ref="V259:V322" si="16">Q259*U259*(1-S259)</f>
        <v>4375.3620000000001</v>
      </c>
      <c r="W259" s="9">
        <f t="shared" ref="W259:W322" si="17">O259*U259</f>
        <v>2519.44</v>
      </c>
      <c r="X259" s="9">
        <f t="shared" ref="X259:X322" si="18">V259-W259</f>
        <v>1855.922</v>
      </c>
      <c r="Y259" s="11">
        <f t="shared" ref="Y259:Y322" si="19">IF(V259=0,0,X259/V259)</f>
        <v>0.424175645352316</v>
      </c>
    </row>
    <row r="260" spans="1:25" x14ac:dyDescent="0.3">
      <c r="A260" t="s">
        <v>273</v>
      </c>
      <c r="B260">
        <v>45210</v>
      </c>
      <c r="C260">
        <v>45212</v>
      </c>
      <c r="D260" t="s">
        <v>2064</v>
      </c>
      <c r="E260">
        <v>45212</v>
      </c>
      <c r="F260">
        <v>2</v>
      </c>
      <c r="G260" t="s">
        <v>648</v>
      </c>
      <c r="H260" t="s">
        <v>655</v>
      </c>
      <c r="I260" t="s">
        <v>672</v>
      </c>
      <c r="J260" t="s">
        <v>704</v>
      </c>
      <c r="K260" t="s">
        <v>710</v>
      </c>
      <c r="L260" t="s">
        <v>2057</v>
      </c>
      <c r="M260" t="s">
        <v>733</v>
      </c>
      <c r="N260" t="s">
        <v>1686</v>
      </c>
      <c r="O260" s="9">
        <v>715.94</v>
      </c>
      <c r="P260" s="9">
        <v>550.07000000000005</v>
      </c>
      <c r="Q260" s="9">
        <v>550.07000000000005</v>
      </c>
      <c r="R260" t="s">
        <v>2065</v>
      </c>
      <c r="S260" s="11">
        <v>0.14000000000000001</v>
      </c>
      <c r="T260" t="s">
        <v>2065</v>
      </c>
      <c r="U260" s="13">
        <v>16</v>
      </c>
      <c r="V260" s="9">
        <f t="shared" si="16"/>
        <v>7568.9632000000001</v>
      </c>
      <c r="W260" s="9">
        <f t="shared" si="17"/>
        <v>11455.04</v>
      </c>
      <c r="X260" s="9">
        <f t="shared" si="18"/>
        <v>-3886.0768000000007</v>
      </c>
      <c r="Y260" s="11">
        <f t="shared" si="19"/>
        <v>-0.51342260456491595</v>
      </c>
    </row>
    <row r="261" spans="1:25" x14ac:dyDescent="0.3">
      <c r="A261" t="s">
        <v>274</v>
      </c>
      <c r="B261">
        <v>45066</v>
      </c>
      <c r="C261">
        <v>45084</v>
      </c>
      <c r="D261" t="s">
        <v>2064</v>
      </c>
      <c r="E261">
        <v>45084</v>
      </c>
      <c r="F261">
        <v>18</v>
      </c>
      <c r="G261" t="s">
        <v>646</v>
      </c>
      <c r="H261" t="s">
        <v>651</v>
      </c>
      <c r="I261" t="s">
        <v>663</v>
      </c>
      <c r="J261" t="s">
        <v>706</v>
      </c>
      <c r="K261" t="s">
        <v>710</v>
      </c>
      <c r="L261" t="s">
        <v>718</v>
      </c>
      <c r="M261" t="s">
        <v>727</v>
      </c>
      <c r="N261" t="s">
        <v>1687</v>
      </c>
      <c r="O261" s="9">
        <v>1120.06</v>
      </c>
      <c r="P261" s="9">
        <v>2068.21</v>
      </c>
      <c r="Q261" s="9">
        <v>2068.21</v>
      </c>
      <c r="R261" t="s">
        <v>2065</v>
      </c>
      <c r="S261" s="11">
        <v>7.8E-2</v>
      </c>
      <c r="T261" t="s">
        <v>2065</v>
      </c>
      <c r="U261" s="13">
        <v>12</v>
      </c>
      <c r="V261" s="9">
        <f t="shared" si="16"/>
        <v>22882.675440000003</v>
      </c>
      <c r="W261" s="9">
        <f t="shared" si="17"/>
        <v>13440.72</v>
      </c>
      <c r="X261" s="9">
        <f t="shared" si="18"/>
        <v>9441.9554400000034</v>
      </c>
      <c r="Y261" s="11">
        <f t="shared" si="19"/>
        <v>0.41262462795303284</v>
      </c>
    </row>
    <row r="262" spans="1:25" x14ac:dyDescent="0.3">
      <c r="A262" t="s">
        <v>275</v>
      </c>
      <c r="B262">
        <v>45073</v>
      </c>
      <c r="C262">
        <v>45096</v>
      </c>
      <c r="D262" t="s">
        <v>2064</v>
      </c>
      <c r="E262">
        <v>45096</v>
      </c>
      <c r="F262">
        <v>23</v>
      </c>
      <c r="G262" t="s">
        <v>649</v>
      </c>
      <c r="H262" t="s">
        <v>656</v>
      </c>
      <c r="I262" t="s">
        <v>671</v>
      </c>
      <c r="J262" t="s">
        <v>702</v>
      </c>
      <c r="K262" t="s">
        <v>707</v>
      </c>
      <c r="L262" t="s">
        <v>719</v>
      </c>
      <c r="M262" t="s">
        <v>733</v>
      </c>
      <c r="N262" t="s">
        <v>1688</v>
      </c>
      <c r="O262" s="9">
        <v>1471.58</v>
      </c>
      <c r="P262" s="9">
        <v>2576.65</v>
      </c>
      <c r="Q262" s="9">
        <v>2576.65</v>
      </c>
      <c r="R262" t="s">
        <v>2065</v>
      </c>
      <c r="S262" s="11">
        <v>4.0000000000000001E-3</v>
      </c>
      <c r="T262" t="s">
        <v>2065</v>
      </c>
      <c r="U262" s="13">
        <v>7</v>
      </c>
      <c r="V262" s="9">
        <f t="shared" si="16"/>
        <v>17964.4038</v>
      </c>
      <c r="W262" s="9">
        <f t="shared" si="17"/>
        <v>10301.06</v>
      </c>
      <c r="X262" s="9">
        <f t="shared" si="18"/>
        <v>7663.3438000000006</v>
      </c>
      <c r="Y262" s="11">
        <f t="shared" si="19"/>
        <v>0.4265849223451546</v>
      </c>
    </row>
    <row r="263" spans="1:25" x14ac:dyDescent="0.3">
      <c r="A263" t="s">
        <v>276</v>
      </c>
      <c r="B263">
        <v>45142</v>
      </c>
      <c r="C263">
        <v>45162</v>
      </c>
      <c r="D263" t="s">
        <v>2064</v>
      </c>
      <c r="E263">
        <v>45162</v>
      </c>
      <c r="F263">
        <v>20</v>
      </c>
      <c r="G263" t="s">
        <v>648</v>
      </c>
      <c r="H263" t="s">
        <v>655</v>
      </c>
      <c r="I263" t="s">
        <v>672</v>
      </c>
      <c r="J263" t="s">
        <v>703</v>
      </c>
      <c r="K263" t="s">
        <v>711</v>
      </c>
      <c r="L263" t="s">
        <v>2057</v>
      </c>
      <c r="M263" t="s">
        <v>729</v>
      </c>
      <c r="N263" t="s">
        <v>1689</v>
      </c>
      <c r="O263" s="9">
        <v>582.88</v>
      </c>
      <c r="P263" s="9">
        <v>1044.1400000000001</v>
      </c>
      <c r="Q263" s="9">
        <v>1044.1400000000001</v>
      </c>
      <c r="R263" t="s">
        <v>2065</v>
      </c>
      <c r="S263" s="11">
        <v>0.216</v>
      </c>
      <c r="T263" t="s">
        <v>2065</v>
      </c>
      <c r="U263" s="13">
        <v>10</v>
      </c>
      <c r="V263" s="9">
        <f t="shared" si="16"/>
        <v>8186.057600000001</v>
      </c>
      <c r="W263" s="9">
        <f t="shared" si="17"/>
        <v>5828.8</v>
      </c>
      <c r="X263" s="9">
        <f t="shared" si="18"/>
        <v>2357.2576000000008</v>
      </c>
      <c r="Y263" s="11">
        <f t="shared" si="19"/>
        <v>0.28796005539956138</v>
      </c>
    </row>
    <row r="264" spans="1:25" x14ac:dyDescent="0.3">
      <c r="A264" t="s">
        <v>277</v>
      </c>
      <c r="B264">
        <v>45829</v>
      </c>
      <c r="C264">
        <v>45835</v>
      </c>
      <c r="D264" t="s">
        <v>2064</v>
      </c>
      <c r="E264">
        <v>45835</v>
      </c>
      <c r="F264">
        <v>6</v>
      </c>
      <c r="G264" t="s">
        <v>646</v>
      </c>
      <c r="H264" t="s">
        <v>661</v>
      </c>
      <c r="I264" t="s">
        <v>687</v>
      </c>
      <c r="J264" t="s">
        <v>706</v>
      </c>
      <c r="K264" t="s">
        <v>710</v>
      </c>
      <c r="L264" t="s">
        <v>725</v>
      </c>
      <c r="M264" t="s">
        <v>730</v>
      </c>
      <c r="N264" t="s">
        <v>1690</v>
      </c>
      <c r="O264" s="9">
        <v>93.91</v>
      </c>
      <c r="P264" s="9">
        <v>99.04</v>
      </c>
      <c r="Q264" s="9">
        <v>99.04</v>
      </c>
      <c r="R264" t="s">
        <v>2065</v>
      </c>
      <c r="S264" s="11">
        <v>5.7000000000000002E-2</v>
      </c>
      <c r="T264" t="s">
        <v>2065</v>
      </c>
      <c r="U264" s="13">
        <v>6</v>
      </c>
      <c r="V264" s="9">
        <f t="shared" si="16"/>
        <v>560.36831999999993</v>
      </c>
      <c r="W264" s="9">
        <f t="shared" si="17"/>
        <v>563.46</v>
      </c>
      <c r="X264" s="9">
        <f t="shared" si="18"/>
        <v>-3.0916800000001103</v>
      </c>
      <c r="Y264" s="11">
        <f t="shared" si="19"/>
        <v>-5.5172283829323376E-3</v>
      </c>
    </row>
    <row r="265" spans="1:25" x14ac:dyDescent="0.3">
      <c r="A265" t="s">
        <v>278</v>
      </c>
      <c r="B265">
        <v>45763</v>
      </c>
      <c r="C265">
        <v>45773</v>
      </c>
      <c r="D265" t="s">
        <v>2064</v>
      </c>
      <c r="E265">
        <v>45773</v>
      </c>
      <c r="F265">
        <v>10</v>
      </c>
      <c r="G265" t="s">
        <v>646</v>
      </c>
      <c r="H265" t="s">
        <v>651</v>
      </c>
      <c r="I265" t="s">
        <v>663</v>
      </c>
      <c r="J265" t="s">
        <v>706</v>
      </c>
      <c r="K265" t="s">
        <v>709</v>
      </c>
      <c r="L265" t="s">
        <v>721</v>
      </c>
      <c r="M265" t="s">
        <v>731</v>
      </c>
      <c r="N265" t="s">
        <v>1691</v>
      </c>
      <c r="O265" s="9">
        <v>1457.44</v>
      </c>
      <c r="P265" s="9">
        <v>1996.81</v>
      </c>
      <c r="Q265" s="9">
        <v>1996.81</v>
      </c>
      <c r="R265" t="s">
        <v>2065</v>
      </c>
      <c r="S265" s="11">
        <v>0.126</v>
      </c>
      <c r="T265" t="s">
        <v>2065</v>
      </c>
      <c r="U265" s="13">
        <v>23</v>
      </c>
      <c r="V265" s="9">
        <f t="shared" si="16"/>
        <v>40139.874619999995</v>
      </c>
      <c r="W265" s="9">
        <f t="shared" si="17"/>
        <v>33521.120000000003</v>
      </c>
      <c r="X265" s="9">
        <f t="shared" si="18"/>
        <v>6618.7546199999924</v>
      </c>
      <c r="Y265" s="11">
        <f t="shared" si="19"/>
        <v>0.16489225944672353</v>
      </c>
    </row>
    <row r="266" spans="1:25" x14ac:dyDescent="0.3">
      <c r="A266" t="s">
        <v>279</v>
      </c>
      <c r="B266">
        <v>45902</v>
      </c>
      <c r="C266">
        <v>45911</v>
      </c>
      <c r="D266" t="s">
        <v>2064</v>
      </c>
      <c r="E266">
        <v>45911</v>
      </c>
      <c r="F266">
        <v>9</v>
      </c>
      <c r="G266" t="s">
        <v>648</v>
      </c>
      <c r="H266" t="s">
        <v>653</v>
      </c>
      <c r="I266" t="s">
        <v>667</v>
      </c>
      <c r="J266" t="s">
        <v>701</v>
      </c>
      <c r="K266" t="s">
        <v>710</v>
      </c>
      <c r="L266" t="s">
        <v>724</v>
      </c>
      <c r="M266" t="s">
        <v>728</v>
      </c>
      <c r="N266" t="s">
        <v>1692</v>
      </c>
      <c r="O266" s="9">
        <v>1207.6300000000001</v>
      </c>
      <c r="P266" s="9">
        <v>921.68</v>
      </c>
      <c r="Q266" s="9">
        <v>921.68</v>
      </c>
      <c r="R266" t="s">
        <v>2065</v>
      </c>
      <c r="S266" s="11">
        <v>0.19600000000000001</v>
      </c>
      <c r="T266" t="s">
        <v>2065</v>
      </c>
      <c r="U266" s="13">
        <v>17</v>
      </c>
      <c r="V266" s="9">
        <f t="shared" si="16"/>
        <v>12597.52224</v>
      </c>
      <c r="W266" s="9">
        <f t="shared" si="17"/>
        <v>20529.710000000003</v>
      </c>
      <c r="X266" s="9">
        <f t="shared" si="18"/>
        <v>-7932.1877600000025</v>
      </c>
      <c r="Y266" s="11">
        <f t="shared" si="19"/>
        <v>-0.62966253274897988</v>
      </c>
    </row>
    <row r="267" spans="1:25" x14ac:dyDescent="0.3">
      <c r="A267" t="s">
        <v>280</v>
      </c>
      <c r="B267">
        <v>45573</v>
      </c>
      <c r="C267">
        <v>45573</v>
      </c>
      <c r="D267" t="s">
        <v>2064</v>
      </c>
      <c r="E267">
        <v>45573</v>
      </c>
      <c r="F267">
        <v>0</v>
      </c>
      <c r="G267" t="s">
        <v>649</v>
      </c>
      <c r="H267" t="s">
        <v>658</v>
      </c>
      <c r="I267" t="s">
        <v>683</v>
      </c>
      <c r="J267" t="s">
        <v>701</v>
      </c>
      <c r="K267" t="s">
        <v>708</v>
      </c>
      <c r="L267" t="s">
        <v>718</v>
      </c>
      <c r="M267" t="s">
        <v>732</v>
      </c>
      <c r="N267" t="s">
        <v>1693</v>
      </c>
      <c r="O267" s="9">
        <v>1108.1099999999999</v>
      </c>
      <c r="P267" s="9">
        <v>2503.79</v>
      </c>
      <c r="Q267" s="9">
        <v>2503.79</v>
      </c>
      <c r="R267" t="s">
        <v>2065</v>
      </c>
      <c r="S267" s="11">
        <v>0.184</v>
      </c>
      <c r="T267" t="s">
        <v>2065</v>
      </c>
      <c r="U267" s="13">
        <v>19</v>
      </c>
      <c r="V267" s="9">
        <f t="shared" si="16"/>
        <v>38818.760160000005</v>
      </c>
      <c r="W267" s="9">
        <f t="shared" si="17"/>
        <v>21054.089999999997</v>
      </c>
      <c r="X267" s="9">
        <f t="shared" si="18"/>
        <v>17764.670160000009</v>
      </c>
      <c r="Y267" s="11">
        <f t="shared" si="19"/>
        <v>0.45763105485025896</v>
      </c>
    </row>
    <row r="268" spans="1:25" x14ac:dyDescent="0.3">
      <c r="A268" t="s">
        <v>281</v>
      </c>
      <c r="B268">
        <v>45053</v>
      </c>
      <c r="C268">
        <v>45051</v>
      </c>
      <c r="D268" t="s">
        <v>2066</v>
      </c>
      <c r="E268">
        <v>45053</v>
      </c>
      <c r="F268">
        <v>0</v>
      </c>
      <c r="G268" t="s">
        <v>646</v>
      </c>
      <c r="H268" t="s">
        <v>651</v>
      </c>
      <c r="I268" t="s">
        <v>663</v>
      </c>
      <c r="J268" t="s">
        <v>703</v>
      </c>
      <c r="K268" t="s">
        <v>709</v>
      </c>
      <c r="L268" t="s">
        <v>720</v>
      </c>
      <c r="M268" t="s">
        <v>727</v>
      </c>
      <c r="N268" t="s">
        <v>1694</v>
      </c>
      <c r="O268" s="9">
        <v>1269.6500000000001</v>
      </c>
      <c r="P268" s="9">
        <v>2462.77</v>
      </c>
      <c r="Q268" s="9">
        <v>2462.77</v>
      </c>
      <c r="R268" t="s">
        <v>2065</v>
      </c>
      <c r="S268" s="11">
        <v>0.107</v>
      </c>
      <c r="T268" t="s">
        <v>2065</v>
      </c>
      <c r="U268" s="13">
        <v>8</v>
      </c>
      <c r="V268" s="9">
        <f t="shared" si="16"/>
        <v>17594.028880000002</v>
      </c>
      <c r="W268" s="9">
        <f t="shared" si="17"/>
        <v>10157.200000000001</v>
      </c>
      <c r="X268" s="9">
        <f t="shared" si="18"/>
        <v>7436.8288800000009</v>
      </c>
      <c r="Y268" s="11">
        <f t="shared" si="19"/>
        <v>0.42269050089225502</v>
      </c>
    </row>
    <row r="269" spans="1:25" x14ac:dyDescent="0.3">
      <c r="A269" t="s">
        <v>282</v>
      </c>
      <c r="B269">
        <v>45284</v>
      </c>
      <c r="C269">
        <v>45292</v>
      </c>
      <c r="D269" t="s">
        <v>2064</v>
      </c>
      <c r="E269">
        <v>45292</v>
      </c>
      <c r="F269">
        <v>8</v>
      </c>
      <c r="G269" t="s">
        <v>648</v>
      </c>
      <c r="H269" t="s">
        <v>655</v>
      </c>
      <c r="I269" t="s">
        <v>670</v>
      </c>
      <c r="J269" t="s">
        <v>702</v>
      </c>
      <c r="K269" t="s">
        <v>711</v>
      </c>
      <c r="L269" t="s">
        <v>712</v>
      </c>
      <c r="M269" t="s">
        <v>730</v>
      </c>
      <c r="N269" t="s">
        <v>1695</v>
      </c>
      <c r="O269" s="9">
        <v>526.49</v>
      </c>
      <c r="P269" s="9">
        <v>496.2</v>
      </c>
      <c r="Q269" s="9">
        <v>496.2</v>
      </c>
      <c r="R269" t="s">
        <v>2065</v>
      </c>
      <c r="S269" s="11">
        <v>0</v>
      </c>
      <c r="T269" t="s">
        <v>2065</v>
      </c>
      <c r="U269" s="13">
        <v>14</v>
      </c>
      <c r="V269" s="9">
        <f t="shared" si="16"/>
        <v>6946.8</v>
      </c>
      <c r="W269" s="9">
        <f t="shared" si="17"/>
        <v>7370.8600000000006</v>
      </c>
      <c r="X269" s="9">
        <f t="shared" si="18"/>
        <v>-424.0600000000004</v>
      </c>
      <c r="Y269" s="11">
        <f t="shared" si="19"/>
        <v>-6.1043933897621985E-2</v>
      </c>
    </row>
    <row r="270" spans="1:25" x14ac:dyDescent="0.3">
      <c r="A270" t="s">
        <v>283</v>
      </c>
      <c r="B270">
        <v>45301</v>
      </c>
      <c r="C270">
        <v>45314</v>
      </c>
      <c r="D270" t="s">
        <v>2064</v>
      </c>
      <c r="E270">
        <v>45314</v>
      </c>
      <c r="F270">
        <v>13</v>
      </c>
      <c r="G270" t="s">
        <v>649</v>
      </c>
      <c r="H270" t="s">
        <v>657</v>
      </c>
      <c r="I270" t="s">
        <v>673</v>
      </c>
      <c r="J270" t="s">
        <v>701</v>
      </c>
      <c r="K270" t="s">
        <v>711</v>
      </c>
      <c r="L270" t="s">
        <v>720</v>
      </c>
      <c r="M270" t="s">
        <v>728</v>
      </c>
      <c r="N270" t="s">
        <v>1696</v>
      </c>
      <c r="O270" s="9">
        <v>720</v>
      </c>
      <c r="P270" s="9">
        <v>907.59</v>
      </c>
      <c r="Q270" s="9">
        <v>907.59</v>
      </c>
      <c r="R270" t="s">
        <v>2065</v>
      </c>
      <c r="S270" s="11">
        <v>0.154</v>
      </c>
      <c r="T270" t="s">
        <v>2065</v>
      </c>
      <c r="U270" s="13">
        <v>10</v>
      </c>
      <c r="V270" s="9">
        <f t="shared" si="16"/>
        <v>7678.2113999999992</v>
      </c>
      <c r="W270" s="9">
        <f t="shared" si="17"/>
        <v>7200</v>
      </c>
      <c r="X270" s="9">
        <f t="shared" si="18"/>
        <v>478.21139999999923</v>
      </c>
      <c r="Y270" s="11">
        <f t="shared" si="19"/>
        <v>6.2281614179052078E-2</v>
      </c>
    </row>
    <row r="271" spans="1:25" x14ac:dyDescent="0.3">
      <c r="A271" t="s">
        <v>284</v>
      </c>
      <c r="B271">
        <v>45141</v>
      </c>
      <c r="C271">
        <v>45152</v>
      </c>
      <c r="D271" t="s">
        <v>2064</v>
      </c>
      <c r="E271">
        <v>45152</v>
      </c>
      <c r="F271">
        <v>11</v>
      </c>
      <c r="G271" t="s">
        <v>648</v>
      </c>
      <c r="H271" t="s">
        <v>655</v>
      </c>
      <c r="I271" t="s">
        <v>672</v>
      </c>
      <c r="J271" t="s">
        <v>701</v>
      </c>
      <c r="K271" t="s">
        <v>711</v>
      </c>
      <c r="L271" t="s">
        <v>713</v>
      </c>
      <c r="M271" t="s">
        <v>733</v>
      </c>
      <c r="N271" t="s">
        <v>1697</v>
      </c>
      <c r="O271" s="9">
        <v>232.73</v>
      </c>
      <c r="P271" s="9">
        <v>334.19</v>
      </c>
      <c r="Q271" s="9">
        <v>334.19</v>
      </c>
      <c r="R271" t="s">
        <v>2065</v>
      </c>
      <c r="S271" s="11">
        <v>0.13400000000000001</v>
      </c>
      <c r="T271" t="s">
        <v>2065</v>
      </c>
      <c r="U271" s="13">
        <v>25</v>
      </c>
      <c r="V271" s="9">
        <f t="shared" si="16"/>
        <v>7235.2134999999998</v>
      </c>
      <c r="W271" s="9">
        <f t="shared" si="17"/>
        <v>5818.25</v>
      </c>
      <c r="X271" s="9">
        <f t="shared" si="18"/>
        <v>1416.9634999999998</v>
      </c>
      <c r="Y271" s="11">
        <f t="shared" si="19"/>
        <v>0.1958426658729559</v>
      </c>
    </row>
    <row r="272" spans="1:25" x14ac:dyDescent="0.3">
      <c r="A272" t="s">
        <v>285</v>
      </c>
      <c r="B272">
        <v>45707</v>
      </c>
      <c r="C272">
        <v>45725</v>
      </c>
      <c r="D272" t="s">
        <v>2064</v>
      </c>
      <c r="E272">
        <v>45725</v>
      </c>
      <c r="F272">
        <v>18</v>
      </c>
      <c r="G272" t="s">
        <v>647</v>
      </c>
      <c r="H272" t="s">
        <v>654</v>
      </c>
      <c r="I272" t="s">
        <v>680</v>
      </c>
      <c r="J272" t="s">
        <v>705</v>
      </c>
      <c r="K272" t="s">
        <v>711</v>
      </c>
      <c r="L272" t="s">
        <v>719</v>
      </c>
      <c r="M272" t="s">
        <v>732</v>
      </c>
      <c r="N272" t="s">
        <v>1698</v>
      </c>
      <c r="O272" s="9">
        <v>325.87</v>
      </c>
      <c r="P272" s="9">
        <v>538.79</v>
      </c>
      <c r="Q272" s="9">
        <v>538.79</v>
      </c>
      <c r="R272" t="s">
        <v>2065</v>
      </c>
      <c r="S272" s="11">
        <v>0.17399999999999999</v>
      </c>
      <c r="T272" t="s">
        <v>2065</v>
      </c>
      <c r="U272" s="13">
        <v>16</v>
      </c>
      <c r="V272" s="9">
        <f t="shared" si="16"/>
        <v>7120.6486400000003</v>
      </c>
      <c r="W272" s="9">
        <f t="shared" si="17"/>
        <v>5213.92</v>
      </c>
      <c r="X272" s="9">
        <f t="shared" si="18"/>
        <v>1906.7286400000003</v>
      </c>
      <c r="Y272" s="11">
        <f t="shared" si="19"/>
        <v>0.26777457172778013</v>
      </c>
    </row>
    <row r="273" spans="1:25" x14ac:dyDescent="0.3">
      <c r="A273" t="s">
        <v>286</v>
      </c>
      <c r="B273">
        <v>45382</v>
      </c>
      <c r="C273">
        <v>45399</v>
      </c>
      <c r="D273" t="s">
        <v>2064</v>
      </c>
      <c r="E273">
        <v>45399</v>
      </c>
      <c r="F273">
        <v>17</v>
      </c>
      <c r="G273" t="s">
        <v>649</v>
      </c>
      <c r="H273" t="s">
        <v>656</v>
      </c>
      <c r="I273" t="s">
        <v>698</v>
      </c>
      <c r="J273" t="s">
        <v>702</v>
      </c>
      <c r="K273" t="s">
        <v>711</v>
      </c>
      <c r="L273" t="s">
        <v>722</v>
      </c>
      <c r="M273" t="s">
        <v>732</v>
      </c>
      <c r="N273" t="s">
        <v>1699</v>
      </c>
      <c r="O273" s="9">
        <v>1025.51</v>
      </c>
      <c r="P273" s="9">
        <v>1436.54</v>
      </c>
      <c r="Q273" s="9">
        <v>1436.54</v>
      </c>
      <c r="R273" t="s">
        <v>2065</v>
      </c>
      <c r="S273" s="11">
        <v>0.13900000000000001</v>
      </c>
      <c r="T273" t="s">
        <v>2065</v>
      </c>
      <c r="U273" s="13">
        <v>28</v>
      </c>
      <c r="V273" s="9">
        <f t="shared" si="16"/>
        <v>34632.106319999999</v>
      </c>
      <c r="W273" s="9">
        <f t="shared" si="17"/>
        <v>28714.28</v>
      </c>
      <c r="X273" s="9">
        <f t="shared" si="18"/>
        <v>5917.8263200000001</v>
      </c>
      <c r="Y273" s="11">
        <f t="shared" si="19"/>
        <v>0.17087688127656453</v>
      </c>
    </row>
    <row r="274" spans="1:25" x14ac:dyDescent="0.3">
      <c r="A274" t="s">
        <v>287</v>
      </c>
      <c r="B274">
        <v>45131</v>
      </c>
      <c r="C274">
        <v>45151</v>
      </c>
      <c r="D274" t="s">
        <v>2064</v>
      </c>
      <c r="E274">
        <v>45151</v>
      </c>
      <c r="F274">
        <v>20</v>
      </c>
      <c r="G274" t="s">
        <v>648</v>
      </c>
      <c r="H274" t="s">
        <v>653</v>
      </c>
      <c r="I274" t="s">
        <v>681</v>
      </c>
      <c r="J274" t="s">
        <v>702</v>
      </c>
      <c r="K274" t="s">
        <v>711</v>
      </c>
      <c r="L274" t="s">
        <v>712</v>
      </c>
      <c r="M274" t="s">
        <v>732</v>
      </c>
      <c r="N274" t="s">
        <v>1700</v>
      </c>
      <c r="O274" s="9">
        <v>1082.3800000000001</v>
      </c>
      <c r="P274" s="9">
        <v>1766.55</v>
      </c>
      <c r="Q274" s="9">
        <v>1766.55</v>
      </c>
      <c r="R274" t="s">
        <v>2065</v>
      </c>
      <c r="S274" s="11">
        <v>0.16400000000000001</v>
      </c>
      <c r="T274" t="s">
        <v>2065</v>
      </c>
      <c r="U274" s="13">
        <v>20</v>
      </c>
      <c r="V274" s="9">
        <f t="shared" si="16"/>
        <v>29536.716</v>
      </c>
      <c r="W274" s="9">
        <f t="shared" si="17"/>
        <v>21647.600000000002</v>
      </c>
      <c r="X274" s="9">
        <f t="shared" si="18"/>
        <v>7889.1159999999982</v>
      </c>
      <c r="Y274" s="11">
        <f t="shared" si="19"/>
        <v>0.26709523157550752</v>
      </c>
    </row>
    <row r="275" spans="1:25" x14ac:dyDescent="0.3">
      <c r="A275" t="s">
        <v>288</v>
      </c>
      <c r="B275">
        <v>45367</v>
      </c>
      <c r="C275">
        <v>45395</v>
      </c>
      <c r="D275" t="s">
        <v>2064</v>
      </c>
      <c r="E275">
        <v>45395</v>
      </c>
      <c r="F275">
        <v>28</v>
      </c>
      <c r="G275" t="s">
        <v>649</v>
      </c>
      <c r="H275" t="s">
        <v>657</v>
      </c>
      <c r="I275" t="s">
        <v>690</v>
      </c>
      <c r="J275" t="s">
        <v>705</v>
      </c>
      <c r="K275" t="s">
        <v>708</v>
      </c>
      <c r="L275" t="s">
        <v>723</v>
      </c>
      <c r="M275" t="s">
        <v>728</v>
      </c>
      <c r="N275" t="s">
        <v>1701</v>
      </c>
      <c r="O275" s="9">
        <v>287.61</v>
      </c>
      <c r="P275" s="9">
        <v>628.54</v>
      </c>
      <c r="Q275" s="9">
        <v>628.54</v>
      </c>
      <c r="R275" t="s">
        <v>2065</v>
      </c>
      <c r="S275" s="11">
        <v>0.13500000000000001</v>
      </c>
      <c r="T275" t="s">
        <v>2065</v>
      </c>
      <c r="U275" s="13">
        <v>21</v>
      </c>
      <c r="V275" s="9">
        <f t="shared" si="16"/>
        <v>11417.429099999999</v>
      </c>
      <c r="W275" s="9">
        <f t="shared" si="17"/>
        <v>6039.81</v>
      </c>
      <c r="X275" s="9">
        <f t="shared" si="18"/>
        <v>5377.619099999999</v>
      </c>
      <c r="Y275" s="11">
        <f t="shared" si="19"/>
        <v>0.47100087531964613</v>
      </c>
    </row>
    <row r="276" spans="1:25" x14ac:dyDescent="0.3">
      <c r="A276" t="s">
        <v>289</v>
      </c>
      <c r="B276">
        <v>45316</v>
      </c>
      <c r="C276">
        <v>45318</v>
      </c>
      <c r="D276" t="s">
        <v>2064</v>
      </c>
      <c r="E276">
        <v>45318</v>
      </c>
      <c r="F276">
        <v>2</v>
      </c>
      <c r="G276" t="s">
        <v>648</v>
      </c>
      <c r="H276" t="s">
        <v>655</v>
      </c>
      <c r="I276" t="s">
        <v>670</v>
      </c>
      <c r="J276" t="s">
        <v>703</v>
      </c>
      <c r="K276" t="s">
        <v>709</v>
      </c>
      <c r="L276" t="s">
        <v>725</v>
      </c>
      <c r="M276" t="s">
        <v>731</v>
      </c>
      <c r="N276" t="s">
        <v>1702</v>
      </c>
      <c r="O276" s="9">
        <v>1410.97</v>
      </c>
      <c r="P276" s="9">
        <v>1650.75</v>
      </c>
      <c r="Q276" s="9">
        <v>1650.75</v>
      </c>
      <c r="R276" t="s">
        <v>2065</v>
      </c>
      <c r="S276" s="11">
        <v>0.13500000000000001</v>
      </c>
      <c r="T276" t="s">
        <v>2065</v>
      </c>
      <c r="U276" s="13">
        <v>6</v>
      </c>
      <c r="V276" s="9">
        <f t="shared" si="16"/>
        <v>8567.3924999999999</v>
      </c>
      <c r="W276" s="9">
        <f t="shared" si="17"/>
        <v>8465.82</v>
      </c>
      <c r="X276" s="9">
        <f t="shared" si="18"/>
        <v>101.57250000000022</v>
      </c>
      <c r="Y276" s="11">
        <f t="shared" si="19"/>
        <v>1.1855707556295596E-2</v>
      </c>
    </row>
    <row r="277" spans="1:25" x14ac:dyDescent="0.3">
      <c r="A277" t="s">
        <v>290</v>
      </c>
      <c r="B277">
        <v>45378</v>
      </c>
      <c r="C277">
        <v>45393</v>
      </c>
      <c r="D277" t="s">
        <v>2064</v>
      </c>
      <c r="E277">
        <v>45393</v>
      </c>
      <c r="F277">
        <v>15</v>
      </c>
      <c r="G277" t="s">
        <v>648</v>
      </c>
      <c r="H277" t="s">
        <v>1425</v>
      </c>
      <c r="I277" t="s">
        <v>686</v>
      </c>
      <c r="J277" t="s">
        <v>705</v>
      </c>
      <c r="K277" t="s">
        <v>711</v>
      </c>
      <c r="L277" t="s">
        <v>719</v>
      </c>
      <c r="M277" t="s">
        <v>729</v>
      </c>
      <c r="N277" t="s">
        <v>1703</v>
      </c>
      <c r="O277" s="9">
        <v>1338.35</v>
      </c>
      <c r="P277" s="9">
        <v>2247.14</v>
      </c>
      <c r="Q277" s="9">
        <v>2247.14</v>
      </c>
      <c r="R277" t="s">
        <v>2065</v>
      </c>
      <c r="S277" s="11">
        <v>0.115</v>
      </c>
      <c r="T277" t="s">
        <v>2065</v>
      </c>
      <c r="U277" s="13">
        <v>40</v>
      </c>
      <c r="V277" s="9">
        <f t="shared" si="16"/>
        <v>79548.755999999994</v>
      </c>
      <c r="W277" s="9">
        <f t="shared" si="17"/>
        <v>53534</v>
      </c>
      <c r="X277" s="9">
        <f t="shared" si="18"/>
        <v>26014.755999999994</v>
      </c>
      <c r="Y277" s="11">
        <f t="shared" si="19"/>
        <v>0.32702907384246205</v>
      </c>
    </row>
    <row r="278" spans="1:25" x14ac:dyDescent="0.3">
      <c r="A278" t="s">
        <v>291</v>
      </c>
      <c r="B278">
        <v>45832</v>
      </c>
      <c r="C278">
        <v>45852</v>
      </c>
      <c r="D278" t="s">
        <v>2064</v>
      </c>
      <c r="E278">
        <v>45852</v>
      </c>
      <c r="F278">
        <v>20</v>
      </c>
      <c r="G278" t="s">
        <v>649</v>
      </c>
      <c r="H278" t="s">
        <v>656</v>
      </c>
      <c r="I278" t="s">
        <v>671</v>
      </c>
      <c r="J278" t="s">
        <v>701</v>
      </c>
      <c r="K278" t="s">
        <v>711</v>
      </c>
      <c r="L278" t="s">
        <v>719</v>
      </c>
      <c r="M278" t="s">
        <v>733</v>
      </c>
      <c r="N278" t="s">
        <v>1704</v>
      </c>
      <c r="O278" s="9">
        <v>385.08</v>
      </c>
      <c r="P278" s="9">
        <v>893.19</v>
      </c>
      <c r="Q278" s="9">
        <v>893.19</v>
      </c>
      <c r="R278" t="s">
        <v>2065</v>
      </c>
      <c r="S278" s="11">
        <v>0.151</v>
      </c>
      <c r="T278" t="s">
        <v>2065</v>
      </c>
      <c r="U278" s="13">
        <v>8</v>
      </c>
      <c r="V278" s="9">
        <f t="shared" si="16"/>
        <v>6066.54648</v>
      </c>
      <c r="W278" s="9">
        <f t="shared" si="17"/>
        <v>3080.64</v>
      </c>
      <c r="X278" s="9">
        <f t="shared" si="18"/>
        <v>2985.9064800000001</v>
      </c>
      <c r="Y278" s="11">
        <f t="shared" si="19"/>
        <v>0.49219213762621666</v>
      </c>
    </row>
    <row r="279" spans="1:25" x14ac:dyDescent="0.3">
      <c r="A279" t="s">
        <v>292</v>
      </c>
      <c r="B279">
        <v>45459</v>
      </c>
      <c r="C279">
        <v>45476</v>
      </c>
      <c r="D279" t="s">
        <v>2064</v>
      </c>
      <c r="E279">
        <v>45476</v>
      </c>
      <c r="F279">
        <v>17</v>
      </c>
      <c r="G279" t="s">
        <v>646</v>
      </c>
      <c r="H279" t="s">
        <v>661</v>
      </c>
      <c r="I279" t="s">
        <v>682</v>
      </c>
      <c r="J279" t="s">
        <v>706</v>
      </c>
      <c r="K279" t="s">
        <v>709</v>
      </c>
      <c r="L279" t="s">
        <v>721</v>
      </c>
      <c r="M279" t="s">
        <v>730</v>
      </c>
      <c r="N279" t="s">
        <v>1705</v>
      </c>
      <c r="O279" s="9">
        <v>1173.83</v>
      </c>
      <c r="P279" s="9">
        <v>2328.9</v>
      </c>
      <c r="Q279" s="9">
        <v>2328.9</v>
      </c>
      <c r="R279" t="s">
        <v>2065</v>
      </c>
      <c r="S279" s="11">
        <v>0.12</v>
      </c>
      <c r="T279" t="s">
        <v>2065</v>
      </c>
      <c r="U279" s="13">
        <v>17</v>
      </c>
      <c r="V279" s="9">
        <f t="shared" si="16"/>
        <v>34840.344000000005</v>
      </c>
      <c r="W279" s="9">
        <f t="shared" si="17"/>
        <v>19955.11</v>
      </c>
      <c r="X279" s="9">
        <f t="shared" si="18"/>
        <v>14885.234000000004</v>
      </c>
      <c r="Y279" s="11">
        <f t="shared" si="19"/>
        <v>0.42724130393201637</v>
      </c>
    </row>
    <row r="280" spans="1:25" x14ac:dyDescent="0.3">
      <c r="A280" t="s">
        <v>293</v>
      </c>
      <c r="B280">
        <v>45229</v>
      </c>
      <c r="C280">
        <v>45244</v>
      </c>
      <c r="D280" t="s">
        <v>2064</v>
      </c>
      <c r="E280">
        <v>45244</v>
      </c>
      <c r="F280">
        <v>15</v>
      </c>
      <c r="G280" t="s">
        <v>647</v>
      </c>
      <c r="H280" t="s">
        <v>654</v>
      </c>
      <c r="I280" t="s">
        <v>668</v>
      </c>
      <c r="J280" t="s">
        <v>701</v>
      </c>
      <c r="K280" t="s">
        <v>708</v>
      </c>
      <c r="L280" t="s">
        <v>721</v>
      </c>
      <c r="M280" t="s">
        <v>731</v>
      </c>
      <c r="N280" t="s">
        <v>1706</v>
      </c>
      <c r="O280" s="9">
        <v>953.46</v>
      </c>
      <c r="P280" s="9">
        <v>2066.75</v>
      </c>
      <c r="Q280" s="9">
        <v>2066.75</v>
      </c>
      <c r="R280" t="s">
        <v>2065</v>
      </c>
      <c r="S280" s="11">
        <v>0.13800000000000001</v>
      </c>
      <c r="T280" t="s">
        <v>2065</v>
      </c>
      <c r="U280" s="13">
        <v>5</v>
      </c>
      <c r="V280" s="9">
        <f t="shared" si="16"/>
        <v>8907.6924999999992</v>
      </c>
      <c r="W280" s="9">
        <f t="shared" si="17"/>
        <v>4767.3</v>
      </c>
      <c r="X280" s="9">
        <f t="shared" si="18"/>
        <v>4140.392499999999</v>
      </c>
      <c r="Y280" s="11">
        <f t="shared" si="19"/>
        <v>0.46481089238318446</v>
      </c>
    </row>
    <row r="281" spans="1:25" x14ac:dyDescent="0.3">
      <c r="A281" t="s">
        <v>294</v>
      </c>
      <c r="B281">
        <v>45092</v>
      </c>
      <c r="C281">
        <v>45100</v>
      </c>
      <c r="D281" t="s">
        <v>2064</v>
      </c>
      <c r="E281">
        <v>45100</v>
      </c>
      <c r="F281">
        <v>8</v>
      </c>
      <c r="G281" t="s">
        <v>648</v>
      </c>
      <c r="H281" t="s">
        <v>1425</v>
      </c>
      <c r="I281" t="s">
        <v>686</v>
      </c>
      <c r="J281" t="s">
        <v>704</v>
      </c>
      <c r="K281" t="s">
        <v>710</v>
      </c>
      <c r="L281" t="s">
        <v>719</v>
      </c>
      <c r="M281" t="s">
        <v>732</v>
      </c>
      <c r="N281" t="s">
        <v>1707</v>
      </c>
      <c r="O281" s="9">
        <v>1097.0899999999999</v>
      </c>
      <c r="P281" s="9">
        <v>2182.31</v>
      </c>
      <c r="Q281" s="9">
        <v>2182.31</v>
      </c>
      <c r="R281" t="s">
        <v>2065</v>
      </c>
      <c r="S281" s="11">
        <v>0.112</v>
      </c>
      <c r="T281" t="s">
        <v>2065</v>
      </c>
      <c r="U281" s="13">
        <v>9</v>
      </c>
      <c r="V281" s="9">
        <f t="shared" si="16"/>
        <v>17441.021520000002</v>
      </c>
      <c r="W281" s="9">
        <f t="shared" si="17"/>
        <v>9873.81</v>
      </c>
      <c r="X281" s="9">
        <f t="shared" si="18"/>
        <v>7567.2115200000026</v>
      </c>
      <c r="Y281" s="11">
        <f t="shared" si="19"/>
        <v>0.43387432962699546</v>
      </c>
    </row>
    <row r="282" spans="1:25" x14ac:dyDescent="0.3">
      <c r="A282" t="s">
        <v>295</v>
      </c>
      <c r="B282">
        <v>45730</v>
      </c>
      <c r="C282">
        <v>45745</v>
      </c>
      <c r="D282" t="s">
        <v>2064</v>
      </c>
      <c r="E282">
        <v>45745</v>
      </c>
      <c r="F282">
        <v>15</v>
      </c>
      <c r="G282" t="s">
        <v>647</v>
      </c>
      <c r="H282" t="s">
        <v>652</v>
      </c>
      <c r="I282" t="s">
        <v>689</v>
      </c>
      <c r="J282" t="s">
        <v>703</v>
      </c>
      <c r="K282" t="s">
        <v>711</v>
      </c>
      <c r="L282" t="s">
        <v>722</v>
      </c>
      <c r="M282" t="s">
        <v>729</v>
      </c>
      <c r="N282" t="s">
        <v>1708</v>
      </c>
      <c r="O282" s="9">
        <v>1106.96</v>
      </c>
      <c r="P282" s="9">
        <v>2726.62</v>
      </c>
      <c r="Q282" s="9">
        <v>2726.62</v>
      </c>
      <c r="R282" t="s">
        <v>2065</v>
      </c>
      <c r="S282" s="11">
        <v>0.317</v>
      </c>
      <c r="T282" t="s">
        <v>2067</v>
      </c>
      <c r="U282" s="13">
        <v>7</v>
      </c>
      <c r="V282" s="9">
        <f t="shared" si="16"/>
        <v>13035.970220000001</v>
      </c>
      <c r="W282" s="9">
        <f t="shared" si="17"/>
        <v>7748.72</v>
      </c>
      <c r="X282" s="9">
        <f t="shared" si="18"/>
        <v>5287.2502200000008</v>
      </c>
      <c r="Y282" s="11">
        <f t="shared" si="19"/>
        <v>0.40558931408789306</v>
      </c>
    </row>
    <row r="283" spans="1:25" x14ac:dyDescent="0.3">
      <c r="A283" t="s">
        <v>296</v>
      </c>
      <c r="B283">
        <v>45153</v>
      </c>
      <c r="C283">
        <v>45163</v>
      </c>
      <c r="D283" t="s">
        <v>2064</v>
      </c>
      <c r="E283">
        <v>45163</v>
      </c>
      <c r="F283">
        <v>10</v>
      </c>
      <c r="G283" t="s">
        <v>646</v>
      </c>
      <c r="H283" t="s">
        <v>650</v>
      </c>
      <c r="I283" t="s">
        <v>664</v>
      </c>
      <c r="J283" t="s">
        <v>705</v>
      </c>
      <c r="K283" t="s">
        <v>707</v>
      </c>
      <c r="L283" t="s">
        <v>725</v>
      </c>
      <c r="M283" t="s">
        <v>730</v>
      </c>
      <c r="N283" t="s">
        <v>1709</v>
      </c>
      <c r="O283" s="9">
        <v>91.85</v>
      </c>
      <c r="P283" s="9">
        <v>111.29</v>
      </c>
      <c r="Q283" s="9">
        <v>111.29</v>
      </c>
      <c r="R283" t="s">
        <v>2065</v>
      </c>
      <c r="S283" s="11">
        <v>0</v>
      </c>
      <c r="T283" t="s">
        <v>2065</v>
      </c>
      <c r="U283" s="13">
        <v>6</v>
      </c>
      <c r="V283" s="9">
        <f t="shared" si="16"/>
        <v>667.74</v>
      </c>
      <c r="W283" s="9">
        <f t="shared" si="17"/>
        <v>551.09999999999991</v>
      </c>
      <c r="X283" s="9">
        <f t="shared" si="18"/>
        <v>116.6400000000001</v>
      </c>
      <c r="Y283" s="11">
        <f t="shared" si="19"/>
        <v>0.17467876718483258</v>
      </c>
    </row>
    <row r="284" spans="1:25" x14ac:dyDescent="0.3">
      <c r="A284" t="s">
        <v>297</v>
      </c>
      <c r="B284">
        <v>45794</v>
      </c>
      <c r="C284">
        <v>45805</v>
      </c>
      <c r="D284" t="s">
        <v>2064</v>
      </c>
      <c r="E284">
        <v>45805</v>
      </c>
      <c r="F284">
        <v>11</v>
      </c>
      <c r="G284" t="s">
        <v>647</v>
      </c>
      <c r="H284" t="s">
        <v>654</v>
      </c>
      <c r="I284" t="s">
        <v>668</v>
      </c>
      <c r="J284" t="s">
        <v>701</v>
      </c>
      <c r="K284" t="s">
        <v>710</v>
      </c>
      <c r="L284" t="s">
        <v>717</v>
      </c>
      <c r="M284" t="s">
        <v>731</v>
      </c>
      <c r="N284" t="s">
        <v>1710</v>
      </c>
      <c r="O284" s="9">
        <v>623.4</v>
      </c>
      <c r="P284" s="9">
        <v>1100.0899999999999</v>
      </c>
      <c r="Q284" s="9">
        <v>1100.0899999999999</v>
      </c>
      <c r="R284" t="s">
        <v>2065</v>
      </c>
      <c r="S284" s="11">
        <v>0.114</v>
      </c>
      <c r="T284" t="s">
        <v>2065</v>
      </c>
      <c r="U284" s="13">
        <v>12</v>
      </c>
      <c r="V284" s="9">
        <f t="shared" si="16"/>
        <v>11696.156879999999</v>
      </c>
      <c r="W284" s="9">
        <f t="shared" si="17"/>
        <v>7480.7999999999993</v>
      </c>
      <c r="X284" s="9">
        <f t="shared" si="18"/>
        <v>4215.3568799999994</v>
      </c>
      <c r="Y284" s="11">
        <f t="shared" si="19"/>
        <v>0.36040529579490388</v>
      </c>
    </row>
    <row r="285" spans="1:25" x14ac:dyDescent="0.3">
      <c r="A285" t="s">
        <v>298</v>
      </c>
      <c r="B285">
        <v>45304</v>
      </c>
      <c r="C285">
        <v>45327</v>
      </c>
      <c r="D285" t="s">
        <v>2064</v>
      </c>
      <c r="E285">
        <v>45327</v>
      </c>
      <c r="F285">
        <v>23</v>
      </c>
      <c r="G285" t="s">
        <v>649</v>
      </c>
      <c r="H285" t="s">
        <v>656</v>
      </c>
      <c r="I285" t="s">
        <v>698</v>
      </c>
      <c r="J285" t="s">
        <v>702</v>
      </c>
      <c r="K285" t="s">
        <v>711</v>
      </c>
      <c r="L285" t="s">
        <v>717</v>
      </c>
      <c r="M285" t="s">
        <v>731</v>
      </c>
      <c r="N285" t="s">
        <v>1711</v>
      </c>
      <c r="O285" s="9">
        <v>1017.93</v>
      </c>
      <c r="P285" s="9">
        <v>1529.14</v>
      </c>
      <c r="Q285" s="9">
        <v>1529.14</v>
      </c>
      <c r="R285" t="s">
        <v>2065</v>
      </c>
      <c r="S285" s="11">
        <v>0.155</v>
      </c>
      <c r="T285" t="s">
        <v>2065</v>
      </c>
      <c r="U285" s="13">
        <v>12</v>
      </c>
      <c r="V285" s="9">
        <f t="shared" si="16"/>
        <v>15505.479600000001</v>
      </c>
      <c r="W285" s="9">
        <f t="shared" si="17"/>
        <v>12215.16</v>
      </c>
      <c r="X285" s="9">
        <f t="shared" si="18"/>
        <v>3290.3196000000007</v>
      </c>
      <c r="Y285" s="11">
        <f t="shared" si="19"/>
        <v>0.21220366508366503</v>
      </c>
    </row>
    <row r="286" spans="1:25" x14ac:dyDescent="0.3">
      <c r="A286" t="s">
        <v>299</v>
      </c>
      <c r="B286">
        <v>45101</v>
      </c>
      <c r="C286">
        <v>45128</v>
      </c>
      <c r="D286" t="s">
        <v>2064</v>
      </c>
      <c r="E286">
        <v>45128</v>
      </c>
      <c r="F286">
        <v>27</v>
      </c>
      <c r="G286" t="s">
        <v>647</v>
      </c>
      <c r="H286" t="s">
        <v>652</v>
      </c>
      <c r="I286" t="s">
        <v>694</v>
      </c>
      <c r="J286" t="s">
        <v>704</v>
      </c>
      <c r="K286" t="s">
        <v>709</v>
      </c>
      <c r="L286" t="s">
        <v>713</v>
      </c>
      <c r="M286" t="s">
        <v>730</v>
      </c>
      <c r="N286" t="s">
        <v>1712</v>
      </c>
      <c r="O286" s="9">
        <v>554.76</v>
      </c>
      <c r="P286" s="9">
        <v>728.69</v>
      </c>
      <c r="Q286" s="9">
        <v>728.69</v>
      </c>
      <c r="R286" t="s">
        <v>2065</v>
      </c>
      <c r="S286" s="11">
        <v>0.22</v>
      </c>
      <c r="T286" t="s">
        <v>2065</v>
      </c>
      <c r="U286" s="13">
        <v>7</v>
      </c>
      <c r="V286" s="9">
        <f t="shared" si="16"/>
        <v>3978.6474000000003</v>
      </c>
      <c r="W286" s="9">
        <f t="shared" si="17"/>
        <v>3883.3199999999997</v>
      </c>
      <c r="X286" s="9">
        <f t="shared" si="18"/>
        <v>95.32740000000058</v>
      </c>
      <c r="Y286" s="11">
        <f t="shared" si="19"/>
        <v>2.395975074343119E-2</v>
      </c>
    </row>
    <row r="287" spans="1:25" x14ac:dyDescent="0.3">
      <c r="A287" t="s">
        <v>300</v>
      </c>
      <c r="B287">
        <v>45751</v>
      </c>
      <c r="C287">
        <v>45760</v>
      </c>
      <c r="D287" t="s">
        <v>2064</v>
      </c>
      <c r="E287">
        <v>45760</v>
      </c>
      <c r="F287">
        <v>9</v>
      </c>
      <c r="G287" t="s">
        <v>649</v>
      </c>
      <c r="H287" t="s">
        <v>656</v>
      </c>
      <c r="I287" t="s">
        <v>684</v>
      </c>
      <c r="J287" t="s">
        <v>704</v>
      </c>
      <c r="K287" t="s">
        <v>709</v>
      </c>
      <c r="L287" t="s">
        <v>721</v>
      </c>
      <c r="M287" t="s">
        <v>730</v>
      </c>
      <c r="N287" t="s">
        <v>1713</v>
      </c>
      <c r="O287" s="9">
        <v>7.02</v>
      </c>
      <c r="P287" s="9">
        <v>6.28</v>
      </c>
      <c r="Q287" s="9">
        <v>6.28</v>
      </c>
      <c r="R287" t="s">
        <v>2065</v>
      </c>
      <c r="S287" s="11">
        <v>0.13400000000000001</v>
      </c>
      <c r="T287" t="s">
        <v>2065</v>
      </c>
      <c r="U287" s="13">
        <v>14</v>
      </c>
      <c r="V287" s="9">
        <f t="shared" si="16"/>
        <v>76.138720000000006</v>
      </c>
      <c r="W287" s="9">
        <f t="shared" si="17"/>
        <v>98.28</v>
      </c>
      <c r="X287" s="9">
        <f t="shared" si="18"/>
        <v>-22.141279999999995</v>
      </c>
      <c r="Y287" s="11">
        <f t="shared" si="19"/>
        <v>-0.29080184169106066</v>
      </c>
    </row>
    <row r="288" spans="1:25" x14ac:dyDescent="0.3">
      <c r="A288" t="s">
        <v>301</v>
      </c>
      <c r="B288">
        <v>45542</v>
      </c>
      <c r="C288">
        <v>45542</v>
      </c>
      <c r="D288" t="s">
        <v>2064</v>
      </c>
      <c r="E288">
        <v>45542</v>
      </c>
      <c r="F288">
        <v>0</v>
      </c>
      <c r="G288" t="s">
        <v>647</v>
      </c>
      <c r="H288" t="s">
        <v>654</v>
      </c>
      <c r="I288" t="s">
        <v>691</v>
      </c>
      <c r="J288" t="s">
        <v>702</v>
      </c>
      <c r="K288" t="s">
        <v>710</v>
      </c>
      <c r="L288" t="s">
        <v>717</v>
      </c>
      <c r="M288" t="s">
        <v>729</v>
      </c>
      <c r="N288" t="s">
        <v>1714</v>
      </c>
      <c r="O288" s="9">
        <v>1066.6500000000001</v>
      </c>
      <c r="P288" s="9">
        <v>2569.77</v>
      </c>
      <c r="Q288" s="9">
        <v>2569.77</v>
      </c>
      <c r="R288" t="s">
        <v>2065</v>
      </c>
      <c r="S288" s="11">
        <v>0.13400000000000001</v>
      </c>
      <c r="T288" t="s">
        <v>2065</v>
      </c>
      <c r="U288" s="13">
        <v>9</v>
      </c>
      <c r="V288" s="9">
        <f t="shared" si="16"/>
        <v>20028.787380000002</v>
      </c>
      <c r="W288" s="9">
        <f t="shared" si="17"/>
        <v>9599.85</v>
      </c>
      <c r="X288" s="9">
        <f t="shared" si="18"/>
        <v>10428.937380000001</v>
      </c>
      <c r="Y288" s="11">
        <f t="shared" si="19"/>
        <v>0.52069739331368348</v>
      </c>
    </row>
    <row r="289" spans="1:25" x14ac:dyDescent="0.3">
      <c r="A289" t="s">
        <v>302</v>
      </c>
      <c r="B289">
        <v>45319</v>
      </c>
      <c r="C289">
        <v>45321</v>
      </c>
      <c r="D289" t="s">
        <v>2064</v>
      </c>
      <c r="E289">
        <v>45321</v>
      </c>
      <c r="F289">
        <v>2</v>
      </c>
      <c r="G289" t="s">
        <v>646</v>
      </c>
      <c r="H289" t="s">
        <v>661</v>
      </c>
      <c r="I289" t="s">
        <v>695</v>
      </c>
      <c r="J289" t="s">
        <v>704</v>
      </c>
      <c r="K289" t="s">
        <v>711</v>
      </c>
      <c r="L289" t="s">
        <v>721</v>
      </c>
      <c r="M289" t="s">
        <v>733</v>
      </c>
      <c r="N289" t="s">
        <v>1715</v>
      </c>
      <c r="O289" s="9">
        <v>798.45</v>
      </c>
      <c r="P289" s="9">
        <v>1592.02</v>
      </c>
      <c r="Q289" s="9">
        <v>1592.02</v>
      </c>
      <c r="R289" t="s">
        <v>2065</v>
      </c>
      <c r="S289" s="11">
        <v>6.6000000000000003E-2</v>
      </c>
      <c r="T289" t="s">
        <v>2065</v>
      </c>
      <c r="U289" s="13">
        <v>18</v>
      </c>
      <c r="V289" s="9">
        <f t="shared" si="16"/>
        <v>26765.040239999998</v>
      </c>
      <c r="W289" s="9">
        <f t="shared" si="17"/>
        <v>14372.1</v>
      </c>
      <c r="X289" s="9">
        <f t="shared" si="18"/>
        <v>12392.940239999998</v>
      </c>
      <c r="Y289" s="11">
        <f t="shared" si="19"/>
        <v>0.46302714768494585</v>
      </c>
    </row>
    <row r="290" spans="1:25" x14ac:dyDescent="0.3">
      <c r="A290" t="s">
        <v>303</v>
      </c>
      <c r="B290">
        <v>45125</v>
      </c>
      <c r="C290">
        <v>45148</v>
      </c>
      <c r="D290" t="s">
        <v>2064</v>
      </c>
      <c r="E290">
        <v>45148</v>
      </c>
      <c r="F290">
        <v>23</v>
      </c>
      <c r="G290" t="s">
        <v>646</v>
      </c>
      <c r="H290" t="s">
        <v>661</v>
      </c>
      <c r="I290" t="s">
        <v>682</v>
      </c>
      <c r="J290" t="s">
        <v>705</v>
      </c>
      <c r="K290" t="s">
        <v>707</v>
      </c>
      <c r="L290" t="s">
        <v>716</v>
      </c>
      <c r="M290" t="s">
        <v>727</v>
      </c>
      <c r="N290" t="s">
        <v>1716</v>
      </c>
      <c r="O290" s="9">
        <v>1271.56</v>
      </c>
      <c r="P290" s="9">
        <v>995.47</v>
      </c>
      <c r="Q290" s="9">
        <v>995.47</v>
      </c>
      <c r="R290" t="s">
        <v>2065</v>
      </c>
      <c r="S290" s="11">
        <v>0.192</v>
      </c>
      <c r="T290" t="s">
        <v>2065</v>
      </c>
      <c r="U290" s="13">
        <v>13</v>
      </c>
      <c r="V290" s="9">
        <f t="shared" si="16"/>
        <v>10456.416880000001</v>
      </c>
      <c r="W290" s="9">
        <f t="shared" si="17"/>
        <v>16530.28</v>
      </c>
      <c r="X290" s="9">
        <f t="shared" si="18"/>
        <v>-6073.8631199999982</v>
      </c>
      <c r="Y290" s="11">
        <f t="shared" si="19"/>
        <v>-0.58087423155607754</v>
      </c>
    </row>
    <row r="291" spans="1:25" x14ac:dyDescent="0.3">
      <c r="A291" t="s">
        <v>304</v>
      </c>
      <c r="B291">
        <v>45897</v>
      </c>
      <c r="C291">
        <v>45895</v>
      </c>
      <c r="D291" t="s">
        <v>2066</v>
      </c>
      <c r="E291">
        <v>45897</v>
      </c>
      <c r="F291">
        <v>0</v>
      </c>
      <c r="G291" t="s">
        <v>646</v>
      </c>
      <c r="H291" t="s">
        <v>651</v>
      </c>
      <c r="I291" t="s">
        <v>663</v>
      </c>
      <c r="J291" t="s">
        <v>705</v>
      </c>
      <c r="K291" t="s">
        <v>707</v>
      </c>
      <c r="L291" t="s">
        <v>720</v>
      </c>
      <c r="M291" t="s">
        <v>733</v>
      </c>
      <c r="N291" t="s">
        <v>1717</v>
      </c>
      <c r="O291" s="9">
        <v>521.05999999999995</v>
      </c>
      <c r="P291" s="9">
        <v>1240.31</v>
      </c>
      <c r="Q291" s="9">
        <v>1240.31</v>
      </c>
      <c r="R291" t="s">
        <v>2065</v>
      </c>
      <c r="S291" s="11">
        <v>0.14599999999999999</v>
      </c>
      <c r="T291" t="s">
        <v>2065</v>
      </c>
      <c r="U291" s="13">
        <v>18</v>
      </c>
      <c r="V291" s="9">
        <f t="shared" si="16"/>
        <v>19066.045319999997</v>
      </c>
      <c r="W291" s="9">
        <f t="shared" si="17"/>
        <v>9379.0799999999981</v>
      </c>
      <c r="X291" s="9">
        <f t="shared" si="18"/>
        <v>9686.9653199999993</v>
      </c>
      <c r="Y291" s="11">
        <f t="shared" si="19"/>
        <v>0.50807417885650974</v>
      </c>
    </row>
    <row r="292" spans="1:25" x14ac:dyDescent="0.3">
      <c r="A292" t="s">
        <v>305</v>
      </c>
      <c r="B292">
        <v>45746</v>
      </c>
      <c r="C292">
        <v>45754</v>
      </c>
      <c r="D292" t="s">
        <v>2064</v>
      </c>
      <c r="E292">
        <v>45754</v>
      </c>
      <c r="F292">
        <v>8</v>
      </c>
      <c r="G292" t="s">
        <v>648</v>
      </c>
      <c r="H292" t="s">
        <v>655</v>
      </c>
      <c r="I292" t="s">
        <v>670</v>
      </c>
      <c r="J292" t="s">
        <v>703</v>
      </c>
      <c r="K292" t="s">
        <v>711</v>
      </c>
      <c r="L292" t="s">
        <v>716</v>
      </c>
      <c r="M292" t="s">
        <v>728</v>
      </c>
      <c r="N292" t="s">
        <v>1718</v>
      </c>
      <c r="O292" s="9">
        <v>71.62</v>
      </c>
      <c r="P292" s="9">
        <v>118.37</v>
      </c>
      <c r="Q292" s="9">
        <v>118.37</v>
      </c>
      <c r="R292" t="s">
        <v>2065</v>
      </c>
      <c r="S292" s="11">
        <v>0.156</v>
      </c>
      <c r="T292" t="s">
        <v>2065</v>
      </c>
      <c r="U292" s="13">
        <v>11</v>
      </c>
      <c r="V292" s="9">
        <f t="shared" si="16"/>
        <v>1098.9470800000001</v>
      </c>
      <c r="W292" s="9">
        <f t="shared" si="17"/>
        <v>787.82</v>
      </c>
      <c r="X292" s="9">
        <f t="shared" si="18"/>
        <v>311.12708000000009</v>
      </c>
      <c r="Y292" s="11">
        <f t="shared" si="19"/>
        <v>0.28311379652603474</v>
      </c>
    </row>
    <row r="293" spans="1:25" x14ac:dyDescent="0.3">
      <c r="A293" t="s">
        <v>306</v>
      </c>
      <c r="B293">
        <v>45220</v>
      </c>
      <c r="C293">
        <v>45239</v>
      </c>
      <c r="D293" t="s">
        <v>2064</v>
      </c>
      <c r="E293">
        <v>45239</v>
      </c>
      <c r="F293">
        <v>19</v>
      </c>
      <c r="G293" t="s">
        <v>649</v>
      </c>
      <c r="H293" t="s">
        <v>658</v>
      </c>
      <c r="I293" t="s">
        <v>683</v>
      </c>
      <c r="J293" t="s">
        <v>703</v>
      </c>
      <c r="K293" t="s">
        <v>711</v>
      </c>
      <c r="L293" t="s">
        <v>720</v>
      </c>
      <c r="M293" t="s">
        <v>733</v>
      </c>
      <c r="N293" t="s">
        <v>1719</v>
      </c>
      <c r="O293" s="9">
        <v>1142.48</v>
      </c>
      <c r="P293" s="9">
        <v>2105.5300000000002</v>
      </c>
      <c r="Q293" s="9">
        <v>2105.5300000000002</v>
      </c>
      <c r="R293" t="s">
        <v>2065</v>
      </c>
      <c r="S293" s="11">
        <v>0.20699999999999999</v>
      </c>
      <c r="T293" t="s">
        <v>2065</v>
      </c>
      <c r="U293" s="13">
        <v>14</v>
      </c>
      <c r="V293" s="9">
        <f t="shared" si="16"/>
        <v>23375.594060000003</v>
      </c>
      <c r="W293" s="9">
        <f t="shared" si="17"/>
        <v>15994.720000000001</v>
      </c>
      <c r="X293" s="9">
        <f t="shared" si="18"/>
        <v>7380.8740600000019</v>
      </c>
      <c r="Y293" s="11">
        <f t="shared" si="19"/>
        <v>0.31575129346680658</v>
      </c>
    </row>
    <row r="294" spans="1:25" x14ac:dyDescent="0.3">
      <c r="A294" t="s">
        <v>307</v>
      </c>
      <c r="B294">
        <v>45161</v>
      </c>
      <c r="C294">
        <v>45191</v>
      </c>
      <c r="D294" t="s">
        <v>2064</v>
      </c>
      <c r="E294">
        <v>45191</v>
      </c>
      <c r="F294">
        <v>30</v>
      </c>
      <c r="G294" t="s">
        <v>649</v>
      </c>
      <c r="H294" t="s">
        <v>658</v>
      </c>
      <c r="I294" t="s">
        <v>683</v>
      </c>
      <c r="J294" t="s">
        <v>704</v>
      </c>
      <c r="K294" t="s">
        <v>710</v>
      </c>
      <c r="L294" t="s">
        <v>719</v>
      </c>
      <c r="M294" t="s">
        <v>733</v>
      </c>
      <c r="N294" t="s">
        <v>1720</v>
      </c>
      <c r="O294" s="9">
        <v>209.81</v>
      </c>
      <c r="P294" s="9">
        <v>523</v>
      </c>
      <c r="Q294" s="9">
        <v>523</v>
      </c>
      <c r="R294" t="s">
        <v>2065</v>
      </c>
      <c r="S294" s="11">
        <v>5.8999999999999997E-2</v>
      </c>
      <c r="T294" t="s">
        <v>2065</v>
      </c>
      <c r="U294" s="13">
        <v>15</v>
      </c>
      <c r="V294" s="9">
        <f t="shared" si="16"/>
        <v>7382.1450000000004</v>
      </c>
      <c r="W294" s="9">
        <f t="shared" si="17"/>
        <v>3147.15</v>
      </c>
      <c r="X294" s="9">
        <f t="shared" si="18"/>
        <v>4234.9950000000008</v>
      </c>
      <c r="Y294" s="11">
        <f t="shared" si="19"/>
        <v>0.57368082041195356</v>
      </c>
    </row>
    <row r="295" spans="1:25" x14ac:dyDescent="0.3">
      <c r="A295" t="s">
        <v>308</v>
      </c>
      <c r="B295">
        <v>45758</v>
      </c>
      <c r="C295">
        <v>45781</v>
      </c>
      <c r="D295" t="s">
        <v>2064</v>
      </c>
      <c r="E295">
        <v>45781</v>
      </c>
      <c r="F295">
        <v>23</v>
      </c>
      <c r="G295" t="s">
        <v>647</v>
      </c>
      <c r="H295" t="s">
        <v>652</v>
      </c>
      <c r="I295" t="s">
        <v>666</v>
      </c>
      <c r="J295" t="s">
        <v>705</v>
      </c>
      <c r="K295" t="s">
        <v>708</v>
      </c>
      <c r="L295" t="s">
        <v>724</v>
      </c>
      <c r="M295" t="s">
        <v>727</v>
      </c>
      <c r="N295" t="s">
        <v>1721</v>
      </c>
      <c r="O295" s="9">
        <v>786.2</v>
      </c>
      <c r="P295" s="9">
        <v>1075.3</v>
      </c>
      <c r="Q295" s="9">
        <v>1075.3</v>
      </c>
      <c r="R295" t="s">
        <v>2065</v>
      </c>
      <c r="S295" s="11">
        <v>0.08</v>
      </c>
      <c r="T295" t="s">
        <v>2065</v>
      </c>
      <c r="U295" s="13">
        <v>9</v>
      </c>
      <c r="V295" s="9">
        <f t="shared" si="16"/>
        <v>8903.4839999999986</v>
      </c>
      <c r="W295" s="9">
        <f t="shared" si="17"/>
        <v>7075.8</v>
      </c>
      <c r="X295" s="9">
        <f t="shared" si="18"/>
        <v>1827.6839999999984</v>
      </c>
      <c r="Y295" s="11">
        <f t="shared" si="19"/>
        <v>0.20527739478163815</v>
      </c>
    </row>
    <row r="296" spans="1:25" x14ac:dyDescent="0.3">
      <c r="A296" t="s">
        <v>309</v>
      </c>
      <c r="B296">
        <v>45809</v>
      </c>
      <c r="C296">
        <v>45835</v>
      </c>
      <c r="D296" t="s">
        <v>2064</v>
      </c>
      <c r="E296">
        <v>45835</v>
      </c>
      <c r="F296">
        <v>26</v>
      </c>
      <c r="G296" t="s">
        <v>649</v>
      </c>
      <c r="H296" t="s">
        <v>656</v>
      </c>
      <c r="I296" t="s">
        <v>684</v>
      </c>
      <c r="J296" t="s">
        <v>704</v>
      </c>
      <c r="K296" t="s">
        <v>710</v>
      </c>
      <c r="L296" t="s">
        <v>718</v>
      </c>
      <c r="M296" t="s">
        <v>731</v>
      </c>
      <c r="N296" t="s">
        <v>1722</v>
      </c>
      <c r="O296" s="9">
        <v>1362.31</v>
      </c>
      <c r="P296" s="9">
        <v>3294.57</v>
      </c>
      <c r="Q296" s="9">
        <v>3294.57</v>
      </c>
      <c r="R296" t="s">
        <v>2065</v>
      </c>
      <c r="S296" s="11">
        <v>0.113</v>
      </c>
      <c r="T296" t="s">
        <v>2065</v>
      </c>
      <c r="U296" s="13">
        <v>7</v>
      </c>
      <c r="V296" s="9">
        <f t="shared" si="16"/>
        <v>20455.985130000001</v>
      </c>
      <c r="W296" s="9">
        <f t="shared" si="17"/>
        <v>9536.17</v>
      </c>
      <c r="X296" s="9">
        <f t="shared" si="18"/>
        <v>10919.815130000001</v>
      </c>
      <c r="Y296" s="11">
        <f t="shared" si="19"/>
        <v>0.5338200561157721</v>
      </c>
    </row>
    <row r="297" spans="1:25" x14ac:dyDescent="0.3">
      <c r="A297" t="s">
        <v>310</v>
      </c>
      <c r="B297">
        <v>45353</v>
      </c>
      <c r="C297">
        <v>45367</v>
      </c>
      <c r="D297" t="s">
        <v>2064</v>
      </c>
      <c r="E297">
        <v>45367</v>
      </c>
      <c r="F297">
        <v>14</v>
      </c>
      <c r="G297" t="s">
        <v>648</v>
      </c>
      <c r="H297" t="s">
        <v>653</v>
      </c>
      <c r="I297" t="s">
        <v>688</v>
      </c>
      <c r="J297" t="s">
        <v>703</v>
      </c>
      <c r="K297" t="s">
        <v>711</v>
      </c>
      <c r="L297" t="s">
        <v>719</v>
      </c>
      <c r="M297" t="s">
        <v>728</v>
      </c>
      <c r="N297" t="s">
        <v>1723</v>
      </c>
      <c r="O297" s="9">
        <v>248.24</v>
      </c>
      <c r="P297" s="9">
        <v>464.05</v>
      </c>
      <c r="Q297" s="9">
        <v>464.05</v>
      </c>
      <c r="R297" t="s">
        <v>2065</v>
      </c>
      <c r="S297" s="11">
        <v>0.16900000000000001</v>
      </c>
      <c r="T297" t="s">
        <v>2065</v>
      </c>
      <c r="U297" s="13">
        <v>11</v>
      </c>
      <c r="V297" s="9">
        <f t="shared" si="16"/>
        <v>4241.88105</v>
      </c>
      <c r="W297" s="9">
        <f t="shared" si="17"/>
        <v>2730.6400000000003</v>
      </c>
      <c r="X297" s="9">
        <f t="shared" si="18"/>
        <v>1511.2410499999996</v>
      </c>
      <c r="Y297" s="11">
        <f t="shared" si="19"/>
        <v>0.3562667203975462</v>
      </c>
    </row>
    <row r="298" spans="1:25" x14ac:dyDescent="0.3">
      <c r="A298" t="s">
        <v>311</v>
      </c>
      <c r="B298">
        <v>45097</v>
      </c>
      <c r="C298">
        <v>45115</v>
      </c>
      <c r="D298" t="s">
        <v>2064</v>
      </c>
      <c r="E298">
        <v>45115</v>
      </c>
      <c r="F298">
        <v>18</v>
      </c>
      <c r="G298" t="s">
        <v>648</v>
      </c>
      <c r="H298" t="s">
        <v>1425</v>
      </c>
      <c r="I298" t="s">
        <v>697</v>
      </c>
      <c r="J298" t="s">
        <v>703</v>
      </c>
      <c r="K298" t="s">
        <v>711</v>
      </c>
      <c r="L298" t="s">
        <v>721</v>
      </c>
      <c r="M298" t="s">
        <v>732</v>
      </c>
      <c r="N298" t="s">
        <v>1724</v>
      </c>
      <c r="O298" s="9">
        <v>337</v>
      </c>
      <c r="P298" s="9">
        <v>511.03</v>
      </c>
      <c r="Q298" s="9">
        <v>511.03</v>
      </c>
      <c r="R298" t="s">
        <v>2065</v>
      </c>
      <c r="S298" s="11">
        <v>0.108</v>
      </c>
      <c r="T298" t="s">
        <v>2065</v>
      </c>
      <c r="U298" s="13">
        <v>7</v>
      </c>
      <c r="V298" s="9">
        <f t="shared" si="16"/>
        <v>3190.8713200000002</v>
      </c>
      <c r="W298" s="9">
        <f t="shared" si="17"/>
        <v>2359</v>
      </c>
      <c r="X298" s="9">
        <f t="shared" si="18"/>
        <v>831.8713200000002</v>
      </c>
      <c r="Y298" s="11">
        <f t="shared" si="19"/>
        <v>0.26070349963219458</v>
      </c>
    </row>
    <row r="299" spans="1:25" x14ac:dyDescent="0.3">
      <c r="A299" t="s">
        <v>312</v>
      </c>
      <c r="B299">
        <v>45377</v>
      </c>
      <c r="C299">
        <v>45387</v>
      </c>
      <c r="D299" t="s">
        <v>2064</v>
      </c>
      <c r="E299">
        <v>45387</v>
      </c>
      <c r="F299">
        <v>10</v>
      </c>
      <c r="G299" t="s">
        <v>648</v>
      </c>
      <c r="H299" t="s">
        <v>1425</v>
      </c>
      <c r="I299" t="s">
        <v>697</v>
      </c>
      <c r="J299" t="s">
        <v>704</v>
      </c>
      <c r="K299" t="s">
        <v>711</v>
      </c>
      <c r="L299" t="s">
        <v>713</v>
      </c>
      <c r="M299" t="s">
        <v>732</v>
      </c>
      <c r="N299" t="s">
        <v>1725</v>
      </c>
      <c r="O299" s="9">
        <v>5.66</v>
      </c>
      <c r="P299" s="9">
        <v>4.22</v>
      </c>
      <c r="Q299" s="9">
        <v>4.22</v>
      </c>
      <c r="R299" t="s">
        <v>2065</v>
      </c>
      <c r="S299" s="11">
        <v>0.11899999999999999</v>
      </c>
      <c r="T299" t="s">
        <v>2065</v>
      </c>
      <c r="U299" s="13">
        <v>18</v>
      </c>
      <c r="V299" s="9">
        <f t="shared" si="16"/>
        <v>66.920760000000001</v>
      </c>
      <c r="W299" s="9">
        <f t="shared" si="17"/>
        <v>101.88</v>
      </c>
      <c r="X299" s="9">
        <f t="shared" si="18"/>
        <v>-34.959239999999994</v>
      </c>
      <c r="Y299" s="11">
        <f t="shared" si="19"/>
        <v>-0.52239753403876454</v>
      </c>
    </row>
    <row r="300" spans="1:25" x14ac:dyDescent="0.3">
      <c r="A300" t="s">
        <v>313</v>
      </c>
      <c r="B300">
        <v>45679</v>
      </c>
      <c r="C300">
        <v>45679</v>
      </c>
      <c r="D300" t="s">
        <v>2064</v>
      </c>
      <c r="E300">
        <v>45679</v>
      </c>
      <c r="F300">
        <v>0</v>
      </c>
      <c r="G300" t="s">
        <v>649</v>
      </c>
      <c r="H300" t="s">
        <v>657</v>
      </c>
      <c r="I300" t="s">
        <v>679</v>
      </c>
      <c r="J300" t="s">
        <v>705</v>
      </c>
      <c r="K300" t="s">
        <v>708</v>
      </c>
      <c r="L300" t="s">
        <v>717</v>
      </c>
      <c r="M300" t="s">
        <v>733</v>
      </c>
      <c r="N300" t="s">
        <v>1726</v>
      </c>
      <c r="O300" s="9">
        <v>591.72</v>
      </c>
      <c r="P300" s="9">
        <v>577.24</v>
      </c>
      <c r="Q300" s="9">
        <v>577.24</v>
      </c>
      <c r="R300" t="s">
        <v>2065</v>
      </c>
      <c r="S300" s="11">
        <v>0</v>
      </c>
      <c r="T300" t="s">
        <v>2065</v>
      </c>
      <c r="U300" s="13">
        <v>22</v>
      </c>
      <c r="V300" s="9">
        <f t="shared" si="16"/>
        <v>12699.28</v>
      </c>
      <c r="W300" s="9">
        <f t="shared" si="17"/>
        <v>13017.84</v>
      </c>
      <c r="X300" s="9">
        <f t="shared" si="18"/>
        <v>-318.55999999999949</v>
      </c>
      <c r="Y300" s="11">
        <f t="shared" si="19"/>
        <v>-2.5084886702238195E-2</v>
      </c>
    </row>
    <row r="301" spans="1:25" x14ac:dyDescent="0.3">
      <c r="A301" t="s">
        <v>314</v>
      </c>
      <c r="B301">
        <v>45787</v>
      </c>
      <c r="C301">
        <v>45804</v>
      </c>
      <c r="D301" t="s">
        <v>2064</v>
      </c>
      <c r="E301">
        <v>45804</v>
      </c>
      <c r="F301">
        <v>17</v>
      </c>
      <c r="G301" t="s">
        <v>648</v>
      </c>
      <c r="H301" t="s">
        <v>653</v>
      </c>
      <c r="I301" t="s">
        <v>688</v>
      </c>
      <c r="J301" t="s">
        <v>702</v>
      </c>
      <c r="K301" t="s">
        <v>711</v>
      </c>
      <c r="L301" t="s">
        <v>712</v>
      </c>
      <c r="M301" t="s">
        <v>727</v>
      </c>
      <c r="N301" t="s">
        <v>1727</v>
      </c>
      <c r="O301" s="9">
        <v>862.89</v>
      </c>
      <c r="P301" s="9">
        <v>1426.03</v>
      </c>
      <c r="Q301" s="9">
        <v>1426.03</v>
      </c>
      <c r="R301" t="s">
        <v>2065</v>
      </c>
      <c r="S301" s="11">
        <v>5.6000000000000001E-2</v>
      </c>
      <c r="T301" t="s">
        <v>2065</v>
      </c>
      <c r="U301" s="13">
        <v>19</v>
      </c>
      <c r="V301" s="9">
        <f t="shared" si="16"/>
        <v>25577.274079999999</v>
      </c>
      <c r="W301" s="9">
        <f t="shared" si="17"/>
        <v>16394.91</v>
      </c>
      <c r="X301" s="9">
        <f t="shared" si="18"/>
        <v>9182.3640799999994</v>
      </c>
      <c r="Y301" s="11">
        <f t="shared" si="19"/>
        <v>0.35900479665188778</v>
      </c>
    </row>
    <row r="302" spans="1:25" x14ac:dyDescent="0.3">
      <c r="A302" t="s">
        <v>315</v>
      </c>
      <c r="B302">
        <v>45204</v>
      </c>
      <c r="C302">
        <v>45230</v>
      </c>
      <c r="D302" t="s">
        <v>2064</v>
      </c>
      <c r="E302">
        <v>45230</v>
      </c>
      <c r="F302">
        <v>26</v>
      </c>
      <c r="G302" t="s">
        <v>647</v>
      </c>
      <c r="H302" t="s">
        <v>659</v>
      </c>
      <c r="I302" t="s">
        <v>685</v>
      </c>
      <c r="J302" t="s">
        <v>704</v>
      </c>
      <c r="K302" t="s">
        <v>2057</v>
      </c>
      <c r="L302" t="s">
        <v>713</v>
      </c>
      <c r="M302" t="s">
        <v>728</v>
      </c>
      <c r="N302" t="s">
        <v>1728</v>
      </c>
      <c r="O302" s="9">
        <v>649.91</v>
      </c>
      <c r="P302" s="9">
        <v>1360.12</v>
      </c>
      <c r="Q302" s="9">
        <v>1360.12</v>
      </c>
      <c r="R302" t="s">
        <v>2065</v>
      </c>
      <c r="S302" s="11">
        <v>0.19400000000000001</v>
      </c>
      <c r="T302" t="s">
        <v>2065</v>
      </c>
      <c r="U302" s="13">
        <v>9</v>
      </c>
      <c r="V302" s="9">
        <f t="shared" si="16"/>
        <v>9866.3104799999983</v>
      </c>
      <c r="W302" s="9">
        <f t="shared" si="17"/>
        <v>5849.19</v>
      </c>
      <c r="X302" s="9">
        <f t="shared" si="18"/>
        <v>4017.1204799999987</v>
      </c>
      <c r="Y302" s="11">
        <f t="shared" si="19"/>
        <v>0.40715528749506769</v>
      </c>
    </row>
    <row r="303" spans="1:25" x14ac:dyDescent="0.3">
      <c r="A303" t="s">
        <v>316</v>
      </c>
      <c r="B303">
        <v>45125</v>
      </c>
      <c r="C303">
        <v>45129</v>
      </c>
      <c r="D303" t="s">
        <v>2064</v>
      </c>
      <c r="E303">
        <v>45129</v>
      </c>
      <c r="F303">
        <v>4</v>
      </c>
      <c r="G303" t="s">
        <v>648</v>
      </c>
      <c r="H303" t="s">
        <v>655</v>
      </c>
      <c r="I303" t="s">
        <v>670</v>
      </c>
      <c r="J303" t="s">
        <v>704</v>
      </c>
      <c r="K303" t="s">
        <v>711</v>
      </c>
      <c r="L303" t="s">
        <v>721</v>
      </c>
      <c r="M303" t="s">
        <v>729</v>
      </c>
      <c r="N303" t="s">
        <v>1729</v>
      </c>
      <c r="O303" s="9">
        <v>1269.55</v>
      </c>
      <c r="P303" s="9">
        <v>2071.1</v>
      </c>
      <c r="Q303" s="9">
        <v>2071.1</v>
      </c>
      <c r="R303" t="s">
        <v>2065</v>
      </c>
      <c r="S303" s="11">
        <v>0.129</v>
      </c>
      <c r="T303" t="s">
        <v>2065</v>
      </c>
      <c r="U303" s="13">
        <v>22</v>
      </c>
      <c r="V303" s="9">
        <f t="shared" si="16"/>
        <v>39686.4182</v>
      </c>
      <c r="W303" s="9">
        <f t="shared" si="17"/>
        <v>27930.1</v>
      </c>
      <c r="X303" s="9">
        <f t="shared" si="18"/>
        <v>11756.318200000002</v>
      </c>
      <c r="Y303" s="11">
        <f t="shared" si="19"/>
        <v>0.29623026549672354</v>
      </c>
    </row>
    <row r="304" spans="1:25" x14ac:dyDescent="0.3">
      <c r="A304" t="s">
        <v>317</v>
      </c>
      <c r="B304">
        <v>45830</v>
      </c>
      <c r="C304">
        <v>45846</v>
      </c>
      <c r="D304" t="s">
        <v>2064</v>
      </c>
      <c r="E304">
        <v>45846</v>
      </c>
      <c r="F304">
        <v>16</v>
      </c>
      <c r="G304" t="s">
        <v>649</v>
      </c>
      <c r="H304" t="s">
        <v>658</v>
      </c>
      <c r="I304" t="s">
        <v>683</v>
      </c>
      <c r="J304" t="s">
        <v>702</v>
      </c>
      <c r="K304" t="s">
        <v>711</v>
      </c>
      <c r="L304" t="s">
        <v>720</v>
      </c>
      <c r="M304" t="s">
        <v>730</v>
      </c>
      <c r="N304" t="s">
        <v>1730</v>
      </c>
      <c r="O304" s="9">
        <v>892.73</v>
      </c>
      <c r="P304" s="9">
        <v>979.84</v>
      </c>
      <c r="Q304" s="9">
        <v>979.84</v>
      </c>
      <c r="R304" t="s">
        <v>2065</v>
      </c>
      <c r="S304" s="11">
        <v>0.17399999999999999</v>
      </c>
      <c r="T304" t="s">
        <v>2065</v>
      </c>
      <c r="U304" s="13">
        <v>10</v>
      </c>
      <c r="V304" s="9">
        <f t="shared" si="16"/>
        <v>8093.4784</v>
      </c>
      <c r="W304" s="9">
        <f t="shared" si="17"/>
        <v>8927.2999999999993</v>
      </c>
      <c r="X304" s="9">
        <f t="shared" si="18"/>
        <v>-833.82159999999931</v>
      </c>
      <c r="Y304" s="11">
        <f t="shared" si="19"/>
        <v>-0.10302388649112838</v>
      </c>
    </row>
    <row r="305" spans="1:25" x14ac:dyDescent="0.3">
      <c r="A305" t="s">
        <v>318</v>
      </c>
      <c r="B305">
        <v>45462</v>
      </c>
      <c r="C305">
        <v>45463</v>
      </c>
      <c r="D305" t="s">
        <v>2064</v>
      </c>
      <c r="E305">
        <v>45463</v>
      </c>
      <c r="F305">
        <v>1</v>
      </c>
      <c r="G305" t="s">
        <v>646</v>
      </c>
      <c r="H305" t="s">
        <v>650</v>
      </c>
      <c r="I305" t="s">
        <v>662</v>
      </c>
      <c r="J305" t="s">
        <v>705</v>
      </c>
      <c r="K305" t="s">
        <v>711</v>
      </c>
      <c r="L305" t="s">
        <v>713</v>
      </c>
      <c r="M305" t="s">
        <v>731</v>
      </c>
      <c r="N305" t="s">
        <v>1731</v>
      </c>
      <c r="O305" s="9">
        <v>231.63</v>
      </c>
      <c r="P305" s="9">
        <v>537.39</v>
      </c>
      <c r="Q305" s="9">
        <v>537.39</v>
      </c>
      <c r="R305" t="s">
        <v>2065</v>
      </c>
      <c r="S305" s="11">
        <v>0.08</v>
      </c>
      <c r="T305" t="s">
        <v>2065</v>
      </c>
      <c r="U305" s="13">
        <v>12</v>
      </c>
      <c r="V305" s="9">
        <f t="shared" si="16"/>
        <v>5932.7856000000002</v>
      </c>
      <c r="W305" s="9">
        <f t="shared" si="17"/>
        <v>2779.56</v>
      </c>
      <c r="X305" s="9">
        <f t="shared" si="18"/>
        <v>3153.2256000000002</v>
      </c>
      <c r="Y305" s="11">
        <f t="shared" si="19"/>
        <v>0.53149158129024587</v>
      </c>
    </row>
    <row r="306" spans="1:25" x14ac:dyDescent="0.3">
      <c r="A306" t="s">
        <v>319</v>
      </c>
      <c r="B306">
        <v>45756</v>
      </c>
      <c r="C306">
        <v>45759</v>
      </c>
      <c r="D306" t="s">
        <v>2064</v>
      </c>
      <c r="E306">
        <v>45759</v>
      </c>
      <c r="F306">
        <v>3</v>
      </c>
      <c r="G306" t="s">
        <v>649</v>
      </c>
      <c r="H306" t="s">
        <v>657</v>
      </c>
      <c r="I306" t="s">
        <v>679</v>
      </c>
      <c r="J306" t="s">
        <v>705</v>
      </c>
      <c r="K306" t="s">
        <v>710</v>
      </c>
      <c r="L306" t="s">
        <v>722</v>
      </c>
      <c r="M306" t="s">
        <v>732</v>
      </c>
      <c r="N306" t="s">
        <v>1732</v>
      </c>
      <c r="O306" s="9">
        <v>86.68</v>
      </c>
      <c r="P306" s="9">
        <v>213.32</v>
      </c>
      <c r="Q306" s="9">
        <v>213.32</v>
      </c>
      <c r="R306" t="s">
        <v>2065</v>
      </c>
      <c r="S306" s="11">
        <v>3.7999999999999999E-2</v>
      </c>
      <c r="T306" t="s">
        <v>2065</v>
      </c>
      <c r="U306" s="13">
        <v>8</v>
      </c>
      <c r="V306" s="9">
        <f t="shared" si="16"/>
        <v>1641.7107199999998</v>
      </c>
      <c r="W306" s="9">
        <f t="shared" si="17"/>
        <v>693.44</v>
      </c>
      <c r="X306" s="9">
        <f t="shared" si="18"/>
        <v>948.27071999999976</v>
      </c>
      <c r="Y306" s="11">
        <f t="shared" si="19"/>
        <v>0.57761133459614611</v>
      </c>
    </row>
    <row r="307" spans="1:25" x14ac:dyDescent="0.3">
      <c r="A307" t="s">
        <v>320</v>
      </c>
      <c r="B307">
        <v>45741</v>
      </c>
      <c r="C307">
        <v>45742</v>
      </c>
      <c r="D307" t="s">
        <v>2064</v>
      </c>
      <c r="E307">
        <v>45742</v>
      </c>
      <c r="F307">
        <v>1</v>
      </c>
      <c r="G307" t="s">
        <v>646</v>
      </c>
      <c r="H307" t="s">
        <v>651</v>
      </c>
      <c r="I307" t="s">
        <v>665</v>
      </c>
      <c r="J307" t="s">
        <v>702</v>
      </c>
      <c r="K307" t="s">
        <v>710</v>
      </c>
      <c r="L307" t="s">
        <v>715</v>
      </c>
      <c r="M307" t="s">
        <v>733</v>
      </c>
      <c r="N307" t="s">
        <v>1733</v>
      </c>
      <c r="O307" s="9">
        <v>1450.43</v>
      </c>
      <c r="P307" s="9">
        <v>1994.67</v>
      </c>
      <c r="Q307" s="9">
        <v>1994.67</v>
      </c>
      <c r="R307" t="s">
        <v>2065</v>
      </c>
      <c r="S307" s="11">
        <v>0.1</v>
      </c>
      <c r="T307" t="s">
        <v>2065</v>
      </c>
      <c r="U307" s="13">
        <v>24</v>
      </c>
      <c r="V307" s="9">
        <f t="shared" si="16"/>
        <v>43084.872000000003</v>
      </c>
      <c r="W307" s="9">
        <f t="shared" si="17"/>
        <v>34810.32</v>
      </c>
      <c r="X307" s="9">
        <f t="shared" si="18"/>
        <v>8274.5520000000033</v>
      </c>
      <c r="Y307" s="11">
        <f t="shared" si="19"/>
        <v>0.19205237513529116</v>
      </c>
    </row>
    <row r="308" spans="1:25" x14ac:dyDescent="0.3">
      <c r="A308" t="s">
        <v>321</v>
      </c>
      <c r="B308">
        <v>45795</v>
      </c>
      <c r="C308">
        <v>45817</v>
      </c>
      <c r="D308" t="s">
        <v>2064</v>
      </c>
      <c r="E308">
        <v>45817</v>
      </c>
      <c r="F308">
        <v>22</v>
      </c>
      <c r="G308" t="s">
        <v>648</v>
      </c>
      <c r="H308" t="s">
        <v>1425</v>
      </c>
      <c r="I308" t="s">
        <v>700</v>
      </c>
      <c r="J308" t="s">
        <v>704</v>
      </c>
      <c r="K308" t="s">
        <v>707</v>
      </c>
      <c r="L308" t="s">
        <v>722</v>
      </c>
      <c r="M308" t="s">
        <v>729</v>
      </c>
      <c r="N308" t="s">
        <v>1734</v>
      </c>
      <c r="O308" s="9">
        <v>382.96</v>
      </c>
      <c r="P308" s="9">
        <v>552.84</v>
      </c>
      <c r="Q308" s="9">
        <v>552.84</v>
      </c>
      <c r="R308" t="s">
        <v>2065</v>
      </c>
      <c r="S308" s="11">
        <v>0.17599999999999999</v>
      </c>
      <c r="T308" t="s">
        <v>2065</v>
      </c>
      <c r="U308" s="13">
        <v>8</v>
      </c>
      <c r="V308" s="9">
        <f t="shared" si="16"/>
        <v>3644.3212800000006</v>
      </c>
      <c r="W308" s="9">
        <f t="shared" si="17"/>
        <v>3063.68</v>
      </c>
      <c r="X308" s="9">
        <f t="shared" si="18"/>
        <v>580.64128000000073</v>
      </c>
      <c r="Y308" s="11">
        <f t="shared" si="19"/>
        <v>0.15932768693763483</v>
      </c>
    </row>
    <row r="309" spans="1:25" x14ac:dyDescent="0.3">
      <c r="A309" t="s">
        <v>322</v>
      </c>
      <c r="B309">
        <v>45679</v>
      </c>
      <c r="C309">
        <v>45692</v>
      </c>
      <c r="D309" t="s">
        <v>2064</v>
      </c>
      <c r="E309">
        <v>45692</v>
      </c>
      <c r="F309">
        <v>13</v>
      </c>
      <c r="G309" t="s">
        <v>647</v>
      </c>
      <c r="H309" t="s">
        <v>652</v>
      </c>
      <c r="I309" t="s">
        <v>689</v>
      </c>
      <c r="J309" t="s">
        <v>705</v>
      </c>
      <c r="K309" t="s">
        <v>710</v>
      </c>
      <c r="L309" t="s">
        <v>716</v>
      </c>
      <c r="M309" t="s">
        <v>728</v>
      </c>
      <c r="N309" t="s">
        <v>1735</v>
      </c>
      <c r="O309" s="9">
        <v>122.29</v>
      </c>
      <c r="P309" s="9">
        <v>224.95</v>
      </c>
      <c r="Q309" s="9">
        <v>224.95</v>
      </c>
      <c r="R309" t="s">
        <v>2065</v>
      </c>
      <c r="S309" s="11">
        <v>0.153</v>
      </c>
      <c r="T309" t="s">
        <v>2065</v>
      </c>
      <c r="U309" s="13">
        <v>28</v>
      </c>
      <c r="V309" s="9">
        <f t="shared" si="16"/>
        <v>5334.9141999999993</v>
      </c>
      <c r="W309" s="9">
        <f t="shared" si="17"/>
        <v>3424.1200000000003</v>
      </c>
      <c r="X309" s="9">
        <f t="shared" si="18"/>
        <v>1910.7941999999989</v>
      </c>
      <c r="Y309" s="11">
        <f t="shared" si="19"/>
        <v>0.3581677471026618</v>
      </c>
    </row>
    <row r="310" spans="1:25" x14ac:dyDescent="0.3">
      <c r="A310" t="s">
        <v>323</v>
      </c>
      <c r="B310">
        <v>44936</v>
      </c>
      <c r="C310">
        <v>44955</v>
      </c>
      <c r="D310" t="s">
        <v>2064</v>
      </c>
      <c r="E310">
        <v>44955</v>
      </c>
      <c r="F310">
        <v>19</v>
      </c>
      <c r="G310" t="s">
        <v>649</v>
      </c>
      <c r="H310" t="s">
        <v>657</v>
      </c>
      <c r="I310" t="s">
        <v>679</v>
      </c>
      <c r="J310" t="s">
        <v>703</v>
      </c>
      <c r="K310" t="s">
        <v>711</v>
      </c>
      <c r="L310" t="s">
        <v>726</v>
      </c>
      <c r="M310" t="s">
        <v>731</v>
      </c>
      <c r="N310" t="s">
        <v>1736</v>
      </c>
      <c r="O310" s="9">
        <v>401.66</v>
      </c>
      <c r="P310" s="9">
        <v>772.09</v>
      </c>
      <c r="Q310" s="9">
        <v>772.09</v>
      </c>
      <c r="R310" t="s">
        <v>2065</v>
      </c>
      <c r="S310" s="11">
        <v>8.8999999999999996E-2</v>
      </c>
      <c r="T310" t="s">
        <v>2065</v>
      </c>
      <c r="U310" s="13">
        <v>14</v>
      </c>
      <c r="V310" s="9">
        <f t="shared" si="16"/>
        <v>9847.2358600000007</v>
      </c>
      <c r="W310" s="9">
        <f t="shared" si="17"/>
        <v>5623.2400000000007</v>
      </c>
      <c r="X310" s="9">
        <f t="shared" si="18"/>
        <v>4223.99586</v>
      </c>
      <c r="Y310" s="11">
        <f t="shared" si="19"/>
        <v>0.42895244107619046</v>
      </c>
    </row>
    <row r="311" spans="1:25" x14ac:dyDescent="0.3">
      <c r="A311" t="s">
        <v>324</v>
      </c>
      <c r="B311">
        <v>45655</v>
      </c>
      <c r="C311">
        <v>45669</v>
      </c>
      <c r="D311" t="s">
        <v>2064</v>
      </c>
      <c r="E311">
        <v>45669</v>
      </c>
      <c r="F311">
        <v>14</v>
      </c>
      <c r="G311" t="s">
        <v>649</v>
      </c>
      <c r="H311" t="s">
        <v>658</v>
      </c>
      <c r="I311" t="s">
        <v>693</v>
      </c>
      <c r="J311" t="s">
        <v>701</v>
      </c>
      <c r="K311" t="s">
        <v>711</v>
      </c>
      <c r="L311" t="s">
        <v>717</v>
      </c>
      <c r="M311" t="s">
        <v>732</v>
      </c>
      <c r="N311" t="s">
        <v>1737</v>
      </c>
      <c r="O311" s="9">
        <v>1399.72</v>
      </c>
      <c r="P311" s="9">
        <v>3149.21</v>
      </c>
      <c r="Q311" s="9">
        <v>3149.21</v>
      </c>
      <c r="R311" t="s">
        <v>2065</v>
      </c>
      <c r="S311" s="11">
        <v>0.185</v>
      </c>
      <c r="T311" t="s">
        <v>2065</v>
      </c>
      <c r="U311" s="13">
        <v>12</v>
      </c>
      <c r="V311" s="9">
        <f t="shared" si="16"/>
        <v>30799.273800000003</v>
      </c>
      <c r="W311" s="9">
        <f t="shared" si="17"/>
        <v>16796.64</v>
      </c>
      <c r="X311" s="9">
        <f t="shared" si="18"/>
        <v>14002.633800000003</v>
      </c>
      <c r="Y311" s="11">
        <f t="shared" si="19"/>
        <v>0.45464168703873797</v>
      </c>
    </row>
    <row r="312" spans="1:25" x14ac:dyDescent="0.3">
      <c r="A312" t="s">
        <v>325</v>
      </c>
      <c r="B312">
        <v>45435</v>
      </c>
      <c r="C312">
        <v>45449</v>
      </c>
      <c r="D312" t="s">
        <v>2064</v>
      </c>
      <c r="E312">
        <v>45449</v>
      </c>
      <c r="F312">
        <v>14</v>
      </c>
      <c r="G312" t="s">
        <v>648</v>
      </c>
      <c r="H312" t="s">
        <v>655</v>
      </c>
      <c r="I312" t="s">
        <v>1426</v>
      </c>
      <c r="J312" t="s">
        <v>703</v>
      </c>
      <c r="K312" t="s">
        <v>708</v>
      </c>
      <c r="L312" t="s">
        <v>714</v>
      </c>
      <c r="M312" t="s">
        <v>729</v>
      </c>
      <c r="N312" t="s">
        <v>1738</v>
      </c>
      <c r="O312" s="9">
        <v>51.13</v>
      </c>
      <c r="P312" s="9">
        <v>57.53</v>
      </c>
      <c r="Q312" s="9">
        <v>57.53</v>
      </c>
      <c r="R312" t="s">
        <v>2065</v>
      </c>
      <c r="S312" s="11">
        <v>4.4999999999999998E-2</v>
      </c>
      <c r="T312" t="s">
        <v>2065</v>
      </c>
      <c r="U312" s="13">
        <v>16</v>
      </c>
      <c r="V312" s="9">
        <f t="shared" si="16"/>
        <v>879.05840000000001</v>
      </c>
      <c r="W312" s="9">
        <f t="shared" si="17"/>
        <v>818.08</v>
      </c>
      <c r="X312" s="9">
        <f t="shared" si="18"/>
        <v>60.978399999999965</v>
      </c>
      <c r="Y312" s="11">
        <f t="shared" si="19"/>
        <v>6.9367859973808302E-2</v>
      </c>
    </row>
    <row r="313" spans="1:25" x14ac:dyDescent="0.3">
      <c r="A313" t="s">
        <v>326</v>
      </c>
      <c r="B313">
        <v>45101</v>
      </c>
      <c r="C313">
        <v>45099</v>
      </c>
      <c r="D313" t="s">
        <v>2066</v>
      </c>
      <c r="E313">
        <v>45101</v>
      </c>
      <c r="F313">
        <v>0</v>
      </c>
      <c r="G313" t="s">
        <v>648</v>
      </c>
      <c r="H313" t="s">
        <v>653</v>
      </c>
      <c r="I313" t="s">
        <v>667</v>
      </c>
      <c r="J313" t="s">
        <v>703</v>
      </c>
      <c r="K313" t="s">
        <v>707</v>
      </c>
      <c r="L313" t="s">
        <v>724</v>
      </c>
      <c r="M313" t="s">
        <v>733</v>
      </c>
      <c r="N313" t="s">
        <v>1739</v>
      </c>
      <c r="O313" s="9">
        <v>471.42</v>
      </c>
      <c r="P313" s="9">
        <v>824.81</v>
      </c>
      <c r="Q313" s="9">
        <v>824.81</v>
      </c>
      <c r="R313" t="s">
        <v>2065</v>
      </c>
      <c r="S313" s="11">
        <v>8.7999999999999995E-2</v>
      </c>
      <c r="T313" t="s">
        <v>2065</v>
      </c>
      <c r="U313" s="13">
        <v>15</v>
      </c>
      <c r="V313" s="9">
        <f t="shared" si="16"/>
        <v>11283.400799999999</v>
      </c>
      <c r="W313" s="9">
        <f t="shared" si="17"/>
        <v>7071.3</v>
      </c>
      <c r="X313" s="9">
        <f t="shared" si="18"/>
        <v>4212.1007999999993</v>
      </c>
      <c r="Y313" s="11">
        <f t="shared" si="19"/>
        <v>0.37330064531608231</v>
      </c>
    </row>
    <row r="314" spans="1:25" x14ac:dyDescent="0.3">
      <c r="A314" t="s">
        <v>327</v>
      </c>
      <c r="B314">
        <v>45600</v>
      </c>
      <c r="C314">
        <v>45601</v>
      </c>
      <c r="D314" t="s">
        <v>2064</v>
      </c>
      <c r="E314">
        <v>45601</v>
      </c>
      <c r="F314">
        <v>1</v>
      </c>
      <c r="G314" t="s">
        <v>649</v>
      </c>
      <c r="H314" t="s">
        <v>658</v>
      </c>
      <c r="I314" t="s">
        <v>683</v>
      </c>
      <c r="J314" t="s">
        <v>701</v>
      </c>
      <c r="K314" t="s">
        <v>707</v>
      </c>
      <c r="L314" t="s">
        <v>724</v>
      </c>
      <c r="M314" t="s">
        <v>728</v>
      </c>
      <c r="N314" t="s">
        <v>1740</v>
      </c>
      <c r="O314" s="9">
        <v>840.68</v>
      </c>
      <c r="P314" s="9">
        <v>1493.53</v>
      </c>
      <c r="Q314" s="9">
        <v>1493.53</v>
      </c>
      <c r="R314" t="s">
        <v>2065</v>
      </c>
      <c r="S314" s="11">
        <v>0</v>
      </c>
      <c r="T314" t="s">
        <v>2065</v>
      </c>
      <c r="U314" s="13">
        <v>27</v>
      </c>
      <c r="V314" s="9">
        <f t="shared" si="16"/>
        <v>40325.31</v>
      </c>
      <c r="W314" s="9">
        <f t="shared" si="17"/>
        <v>22698.359999999997</v>
      </c>
      <c r="X314" s="9">
        <f t="shared" si="18"/>
        <v>17626.95</v>
      </c>
      <c r="Y314" s="11">
        <f t="shared" si="19"/>
        <v>0.43711877230454027</v>
      </c>
    </row>
    <row r="315" spans="1:25" x14ac:dyDescent="0.3">
      <c r="A315" t="s">
        <v>328</v>
      </c>
      <c r="B315">
        <v>45451</v>
      </c>
      <c r="C315">
        <v>45467</v>
      </c>
      <c r="D315" t="s">
        <v>2064</v>
      </c>
      <c r="E315">
        <v>45467</v>
      </c>
      <c r="F315">
        <v>16</v>
      </c>
      <c r="G315" t="s">
        <v>646</v>
      </c>
      <c r="H315" t="s">
        <v>661</v>
      </c>
      <c r="I315" t="s">
        <v>687</v>
      </c>
      <c r="J315" t="s">
        <v>702</v>
      </c>
      <c r="K315" t="s">
        <v>710</v>
      </c>
      <c r="L315" t="s">
        <v>722</v>
      </c>
      <c r="M315" t="s">
        <v>732</v>
      </c>
      <c r="N315" t="s">
        <v>1741</v>
      </c>
      <c r="O315" s="9">
        <v>597.85</v>
      </c>
      <c r="P315" s="9">
        <v>741.92</v>
      </c>
      <c r="Q315" s="9">
        <v>741.92</v>
      </c>
      <c r="R315" t="s">
        <v>2065</v>
      </c>
      <c r="S315" s="11">
        <v>3.1E-2</v>
      </c>
      <c r="T315" t="s">
        <v>2065</v>
      </c>
      <c r="U315" s="13">
        <v>7</v>
      </c>
      <c r="V315" s="9">
        <f t="shared" si="16"/>
        <v>5032.4433599999993</v>
      </c>
      <c r="W315" s="9">
        <f t="shared" si="17"/>
        <v>4184.95</v>
      </c>
      <c r="X315" s="9">
        <f t="shared" si="18"/>
        <v>847.49335999999948</v>
      </c>
      <c r="Y315" s="11">
        <f t="shared" si="19"/>
        <v>0.16840594108544515</v>
      </c>
    </row>
    <row r="316" spans="1:25" x14ac:dyDescent="0.3">
      <c r="A316" t="s">
        <v>329</v>
      </c>
      <c r="B316">
        <v>45809</v>
      </c>
      <c r="C316">
        <v>45814</v>
      </c>
      <c r="D316" t="s">
        <v>2064</v>
      </c>
      <c r="E316">
        <v>45814</v>
      </c>
      <c r="F316">
        <v>5</v>
      </c>
      <c r="G316" t="s">
        <v>649</v>
      </c>
      <c r="H316" t="s">
        <v>657</v>
      </c>
      <c r="I316" t="s">
        <v>690</v>
      </c>
      <c r="J316" t="s">
        <v>704</v>
      </c>
      <c r="K316" t="s">
        <v>710</v>
      </c>
      <c r="L316" t="s">
        <v>715</v>
      </c>
      <c r="M316" t="s">
        <v>727</v>
      </c>
      <c r="N316" t="s">
        <v>1742</v>
      </c>
      <c r="O316" s="9">
        <v>379.45</v>
      </c>
      <c r="P316" s="9">
        <v>742.23</v>
      </c>
      <c r="Q316" s="9">
        <v>742.23</v>
      </c>
      <c r="R316" t="s">
        <v>2065</v>
      </c>
      <c r="S316" s="11">
        <v>0.09</v>
      </c>
      <c r="T316" t="s">
        <v>2065</v>
      </c>
      <c r="U316" s="13">
        <v>13</v>
      </c>
      <c r="V316" s="9">
        <f t="shared" si="16"/>
        <v>8780.5809000000008</v>
      </c>
      <c r="W316" s="9">
        <f t="shared" si="17"/>
        <v>4932.8499999999995</v>
      </c>
      <c r="X316" s="9">
        <f t="shared" si="18"/>
        <v>3847.7309000000014</v>
      </c>
      <c r="Y316" s="11">
        <f t="shared" si="19"/>
        <v>0.43820915083192286</v>
      </c>
    </row>
    <row r="317" spans="1:25" x14ac:dyDescent="0.3">
      <c r="A317" t="s">
        <v>330</v>
      </c>
      <c r="B317">
        <v>45052</v>
      </c>
      <c r="C317">
        <v>45060</v>
      </c>
      <c r="D317" t="s">
        <v>2064</v>
      </c>
      <c r="E317">
        <v>45060</v>
      </c>
      <c r="F317">
        <v>8</v>
      </c>
      <c r="G317" t="s">
        <v>647</v>
      </c>
      <c r="H317" t="s">
        <v>652</v>
      </c>
      <c r="I317" t="s">
        <v>666</v>
      </c>
      <c r="J317" t="s">
        <v>706</v>
      </c>
      <c r="K317" t="s">
        <v>709</v>
      </c>
      <c r="L317" t="s">
        <v>717</v>
      </c>
      <c r="M317" t="s">
        <v>730</v>
      </c>
      <c r="N317" t="s">
        <v>1743</v>
      </c>
      <c r="O317" s="9">
        <v>291.18</v>
      </c>
      <c r="P317" s="9">
        <v>479.54</v>
      </c>
      <c r="Q317" s="9">
        <v>479.54</v>
      </c>
      <c r="R317" t="s">
        <v>2065</v>
      </c>
      <c r="S317" s="11">
        <v>0.14099999999999999</v>
      </c>
      <c r="T317" t="s">
        <v>2065</v>
      </c>
      <c r="U317" s="13">
        <v>22</v>
      </c>
      <c r="V317" s="9">
        <f t="shared" si="16"/>
        <v>9062.34692</v>
      </c>
      <c r="W317" s="9">
        <f t="shared" si="17"/>
        <v>6405.96</v>
      </c>
      <c r="X317" s="9">
        <f t="shared" si="18"/>
        <v>2656.3869199999999</v>
      </c>
      <c r="Y317" s="11">
        <f t="shared" si="19"/>
        <v>0.29312350801066001</v>
      </c>
    </row>
    <row r="318" spans="1:25" x14ac:dyDescent="0.3">
      <c r="A318" t="s">
        <v>331</v>
      </c>
      <c r="B318">
        <v>45244</v>
      </c>
      <c r="C318">
        <v>45260</v>
      </c>
      <c r="D318" t="s">
        <v>2064</v>
      </c>
      <c r="E318">
        <v>45260</v>
      </c>
      <c r="F318">
        <v>16</v>
      </c>
      <c r="G318" t="s">
        <v>648</v>
      </c>
      <c r="H318" t="s">
        <v>655</v>
      </c>
      <c r="I318" t="s">
        <v>670</v>
      </c>
      <c r="J318" t="s">
        <v>706</v>
      </c>
      <c r="K318" t="s">
        <v>711</v>
      </c>
      <c r="L318" t="s">
        <v>723</v>
      </c>
      <c r="M318" t="s">
        <v>729</v>
      </c>
      <c r="N318" t="s">
        <v>1744</v>
      </c>
      <c r="O318" s="9">
        <v>1017.92</v>
      </c>
      <c r="P318" s="9">
        <v>1175.25</v>
      </c>
      <c r="Q318" s="9">
        <v>1175.25</v>
      </c>
      <c r="R318" t="s">
        <v>2065</v>
      </c>
      <c r="S318" s="11">
        <v>7.4999999999999997E-2</v>
      </c>
      <c r="T318" t="s">
        <v>2065</v>
      </c>
      <c r="U318" s="13">
        <v>15</v>
      </c>
      <c r="V318" s="9">
        <f t="shared" si="16"/>
        <v>16306.59375</v>
      </c>
      <c r="W318" s="9">
        <f t="shared" si="17"/>
        <v>15268.8</v>
      </c>
      <c r="X318" s="9">
        <f t="shared" si="18"/>
        <v>1037.7937500000007</v>
      </c>
      <c r="Y318" s="11">
        <f t="shared" si="19"/>
        <v>6.3642583234159542E-2</v>
      </c>
    </row>
    <row r="319" spans="1:25" x14ac:dyDescent="0.3">
      <c r="A319" t="s">
        <v>332</v>
      </c>
      <c r="B319">
        <v>45748</v>
      </c>
      <c r="C319">
        <v>45774</v>
      </c>
      <c r="D319" t="s">
        <v>2064</v>
      </c>
      <c r="E319">
        <v>45774</v>
      </c>
      <c r="F319">
        <v>26</v>
      </c>
      <c r="G319" t="s">
        <v>648</v>
      </c>
      <c r="H319" t="s">
        <v>1425</v>
      </c>
      <c r="I319" t="s">
        <v>686</v>
      </c>
      <c r="J319" t="s">
        <v>701</v>
      </c>
      <c r="K319" t="s">
        <v>711</v>
      </c>
      <c r="L319" t="s">
        <v>714</v>
      </c>
      <c r="M319" t="s">
        <v>732</v>
      </c>
      <c r="N319" t="s">
        <v>1745</v>
      </c>
      <c r="O319" s="9">
        <v>156.55000000000001</v>
      </c>
      <c r="P319" s="9">
        <v>227.45</v>
      </c>
      <c r="Q319" s="9">
        <v>227.45</v>
      </c>
      <c r="R319" t="s">
        <v>2065</v>
      </c>
      <c r="S319" s="11">
        <v>1.4E-2</v>
      </c>
      <c r="T319" t="s">
        <v>2065</v>
      </c>
      <c r="U319" s="13">
        <v>13</v>
      </c>
      <c r="V319" s="9">
        <f t="shared" si="16"/>
        <v>2915.4540999999999</v>
      </c>
      <c r="W319" s="9">
        <f t="shared" si="17"/>
        <v>2035.15</v>
      </c>
      <c r="X319" s="9">
        <f t="shared" si="18"/>
        <v>880.30409999999983</v>
      </c>
      <c r="Y319" s="11">
        <f t="shared" si="19"/>
        <v>0.3019440779396938</v>
      </c>
    </row>
    <row r="320" spans="1:25" x14ac:dyDescent="0.3">
      <c r="A320" t="s">
        <v>333</v>
      </c>
      <c r="B320">
        <v>45008</v>
      </c>
      <c r="C320">
        <v>45031</v>
      </c>
      <c r="D320" t="s">
        <v>2064</v>
      </c>
      <c r="E320">
        <v>45031</v>
      </c>
      <c r="F320">
        <v>23</v>
      </c>
      <c r="G320" t="s">
        <v>646</v>
      </c>
      <c r="H320" t="s">
        <v>650</v>
      </c>
      <c r="I320" t="s">
        <v>675</v>
      </c>
      <c r="J320" t="s">
        <v>705</v>
      </c>
      <c r="K320" t="s">
        <v>707</v>
      </c>
      <c r="L320" t="s">
        <v>712</v>
      </c>
      <c r="M320" t="s">
        <v>733</v>
      </c>
      <c r="N320" t="s">
        <v>1746</v>
      </c>
      <c r="O320" s="9">
        <v>875.36</v>
      </c>
      <c r="P320" s="9">
        <v>1178.6199999999999</v>
      </c>
      <c r="Q320" s="9">
        <v>1178.6199999999999</v>
      </c>
      <c r="R320" t="s">
        <v>2065</v>
      </c>
      <c r="S320" s="11">
        <v>0.151</v>
      </c>
      <c r="T320" t="s">
        <v>2065</v>
      </c>
      <c r="U320" s="13">
        <v>53</v>
      </c>
      <c r="V320" s="9">
        <f t="shared" si="16"/>
        <v>53034.364139999991</v>
      </c>
      <c r="W320" s="9">
        <f t="shared" si="17"/>
        <v>46394.080000000002</v>
      </c>
      <c r="X320" s="9">
        <f t="shared" si="18"/>
        <v>6640.2841399999888</v>
      </c>
      <c r="Y320" s="11">
        <f t="shared" si="19"/>
        <v>0.12520719815685888</v>
      </c>
    </row>
    <row r="321" spans="1:25" x14ac:dyDescent="0.3">
      <c r="A321" t="s">
        <v>334</v>
      </c>
      <c r="B321">
        <v>45440</v>
      </c>
      <c r="C321">
        <v>45461</v>
      </c>
      <c r="D321" t="s">
        <v>2064</v>
      </c>
      <c r="E321">
        <v>45461</v>
      </c>
      <c r="F321">
        <v>21</v>
      </c>
      <c r="G321" t="s">
        <v>649</v>
      </c>
      <c r="H321" t="s">
        <v>656</v>
      </c>
      <c r="I321" t="s">
        <v>698</v>
      </c>
      <c r="J321" t="s">
        <v>705</v>
      </c>
      <c r="K321" t="s">
        <v>708</v>
      </c>
      <c r="L321" t="s">
        <v>718</v>
      </c>
      <c r="M321" t="s">
        <v>730</v>
      </c>
      <c r="N321" t="s">
        <v>1747</v>
      </c>
      <c r="O321" s="9">
        <v>986.85</v>
      </c>
      <c r="P321" s="9">
        <v>2422.1</v>
      </c>
      <c r="Q321" s="9">
        <v>2422.1</v>
      </c>
      <c r="R321" t="s">
        <v>2065</v>
      </c>
      <c r="S321" s="11">
        <v>7.5999999999999998E-2</v>
      </c>
      <c r="T321" t="s">
        <v>2065</v>
      </c>
      <c r="U321" s="13">
        <v>10</v>
      </c>
      <c r="V321" s="9">
        <f t="shared" si="16"/>
        <v>22380.204000000002</v>
      </c>
      <c r="W321" s="9">
        <f t="shared" si="17"/>
        <v>9868.5</v>
      </c>
      <c r="X321" s="9">
        <f t="shared" si="18"/>
        <v>12511.704000000002</v>
      </c>
      <c r="Y321" s="11">
        <f t="shared" si="19"/>
        <v>0.55905227673527913</v>
      </c>
    </row>
    <row r="322" spans="1:25" x14ac:dyDescent="0.3">
      <c r="A322" t="s">
        <v>335</v>
      </c>
      <c r="B322">
        <v>45293</v>
      </c>
      <c r="C322">
        <v>45292</v>
      </c>
      <c r="D322" t="s">
        <v>2066</v>
      </c>
      <c r="E322">
        <v>45293</v>
      </c>
      <c r="F322">
        <v>0</v>
      </c>
      <c r="G322" t="s">
        <v>648</v>
      </c>
      <c r="H322" t="s">
        <v>1425</v>
      </c>
      <c r="I322" t="s">
        <v>677</v>
      </c>
      <c r="J322" t="s">
        <v>702</v>
      </c>
      <c r="K322" t="s">
        <v>709</v>
      </c>
      <c r="L322" t="s">
        <v>717</v>
      </c>
      <c r="M322" t="s">
        <v>729</v>
      </c>
      <c r="N322" t="s">
        <v>1748</v>
      </c>
      <c r="O322" s="9">
        <v>404.77</v>
      </c>
      <c r="P322" s="9">
        <v>433.88</v>
      </c>
      <c r="Q322" s="9">
        <v>433.88</v>
      </c>
      <c r="R322" t="s">
        <v>2065</v>
      </c>
      <c r="S322" s="11">
        <v>0.215</v>
      </c>
      <c r="T322" t="s">
        <v>2065</v>
      </c>
      <c r="U322" s="13">
        <v>22</v>
      </c>
      <c r="V322" s="9">
        <f t="shared" si="16"/>
        <v>7493.1076000000012</v>
      </c>
      <c r="W322" s="9">
        <f t="shared" si="17"/>
        <v>8904.9399999999987</v>
      </c>
      <c r="X322" s="9">
        <f t="shared" si="18"/>
        <v>-1411.8323999999975</v>
      </c>
      <c r="Y322" s="11">
        <f t="shared" si="19"/>
        <v>-0.18841747314558746</v>
      </c>
    </row>
    <row r="323" spans="1:25" x14ac:dyDescent="0.3">
      <c r="A323" t="s">
        <v>336</v>
      </c>
      <c r="B323">
        <v>44985</v>
      </c>
      <c r="C323">
        <v>44984</v>
      </c>
      <c r="D323" t="s">
        <v>2066</v>
      </c>
      <c r="E323">
        <v>44985</v>
      </c>
      <c r="F323">
        <v>0</v>
      </c>
      <c r="G323" t="s">
        <v>649</v>
      </c>
      <c r="H323" t="s">
        <v>657</v>
      </c>
      <c r="I323" t="s">
        <v>673</v>
      </c>
      <c r="J323" t="s">
        <v>701</v>
      </c>
      <c r="K323" t="s">
        <v>707</v>
      </c>
      <c r="L323" t="s">
        <v>723</v>
      </c>
      <c r="M323" t="s">
        <v>729</v>
      </c>
      <c r="N323" t="s">
        <v>1749</v>
      </c>
      <c r="O323" s="9">
        <v>1299.81</v>
      </c>
      <c r="P323" s="9">
        <v>3149.13</v>
      </c>
      <c r="Q323" s="9">
        <v>3149.13</v>
      </c>
      <c r="R323" t="s">
        <v>2065</v>
      </c>
      <c r="S323" s="11">
        <v>0.10299999999999999</v>
      </c>
      <c r="T323" t="s">
        <v>2065</v>
      </c>
      <c r="U323" s="13">
        <v>14</v>
      </c>
      <c r="V323" s="9">
        <f t="shared" ref="V323:V386" si="20">Q323*U323*(1-S323)</f>
        <v>39546.774539999999</v>
      </c>
      <c r="W323" s="9">
        <f t="shared" ref="W323:W386" si="21">O323*U323</f>
        <v>18197.34</v>
      </c>
      <c r="X323" s="9">
        <f t="shared" ref="X323:X386" si="22">V323-W323</f>
        <v>21349.434539999998</v>
      </c>
      <c r="Y323" s="11">
        <f t="shared" ref="Y323:Y386" si="23">IF(V323=0,0,X323/V323)</f>
        <v>0.53985273864511729</v>
      </c>
    </row>
    <row r="324" spans="1:25" x14ac:dyDescent="0.3">
      <c r="A324" t="s">
        <v>337</v>
      </c>
      <c r="B324">
        <v>45340</v>
      </c>
      <c r="C324">
        <v>45362</v>
      </c>
      <c r="D324" t="s">
        <v>2064</v>
      </c>
      <c r="E324">
        <v>45362</v>
      </c>
      <c r="F324">
        <v>22</v>
      </c>
      <c r="G324" t="s">
        <v>648</v>
      </c>
      <c r="H324" t="s">
        <v>655</v>
      </c>
      <c r="I324" t="s">
        <v>670</v>
      </c>
      <c r="J324" t="s">
        <v>704</v>
      </c>
      <c r="K324" t="s">
        <v>708</v>
      </c>
      <c r="L324" t="s">
        <v>720</v>
      </c>
      <c r="M324" t="s">
        <v>727</v>
      </c>
      <c r="N324" t="s">
        <v>1750</v>
      </c>
      <c r="O324" s="9">
        <v>80.48</v>
      </c>
      <c r="P324" s="9">
        <v>65.650000000000006</v>
      </c>
      <c r="Q324" s="9">
        <v>65.650000000000006</v>
      </c>
      <c r="R324" t="s">
        <v>2065</v>
      </c>
      <c r="S324" s="11">
        <v>0.17599999999999999</v>
      </c>
      <c r="T324" t="s">
        <v>2065</v>
      </c>
      <c r="U324" s="13">
        <v>13</v>
      </c>
      <c r="V324" s="9">
        <f t="shared" si="20"/>
        <v>703.2428000000001</v>
      </c>
      <c r="W324" s="9">
        <f t="shared" si="21"/>
        <v>1046.24</v>
      </c>
      <c r="X324" s="9">
        <f t="shared" si="22"/>
        <v>-342.99719999999991</v>
      </c>
      <c r="Y324" s="11">
        <f t="shared" si="23"/>
        <v>-0.48773652570634191</v>
      </c>
    </row>
    <row r="325" spans="1:25" x14ac:dyDescent="0.3">
      <c r="A325" t="s">
        <v>338</v>
      </c>
      <c r="B325">
        <v>45544</v>
      </c>
      <c r="C325">
        <v>45573</v>
      </c>
      <c r="D325" t="s">
        <v>2064</v>
      </c>
      <c r="E325">
        <v>45573</v>
      </c>
      <c r="F325">
        <v>29</v>
      </c>
      <c r="G325" t="s">
        <v>648</v>
      </c>
      <c r="H325" t="s">
        <v>655</v>
      </c>
      <c r="I325" t="s">
        <v>670</v>
      </c>
      <c r="J325" t="s">
        <v>702</v>
      </c>
      <c r="K325" t="s">
        <v>711</v>
      </c>
      <c r="L325" t="s">
        <v>713</v>
      </c>
      <c r="M325" t="s">
        <v>727</v>
      </c>
      <c r="N325" t="s">
        <v>1751</v>
      </c>
      <c r="O325" s="9">
        <v>1010.33</v>
      </c>
      <c r="P325" s="9">
        <v>2492.14</v>
      </c>
      <c r="Q325" s="9">
        <v>2492.14</v>
      </c>
      <c r="R325" t="s">
        <v>2065</v>
      </c>
      <c r="S325" s="11">
        <v>5.0999999999999997E-2</v>
      </c>
      <c r="T325" t="s">
        <v>2065</v>
      </c>
      <c r="U325" s="13">
        <v>11</v>
      </c>
      <c r="V325" s="9">
        <f t="shared" si="20"/>
        <v>26015.449459999996</v>
      </c>
      <c r="W325" s="9">
        <f t="shared" si="21"/>
        <v>11113.630000000001</v>
      </c>
      <c r="X325" s="9">
        <f t="shared" si="22"/>
        <v>14901.819459999995</v>
      </c>
      <c r="Y325" s="11">
        <f t="shared" si="23"/>
        <v>0.57280653493656752</v>
      </c>
    </row>
    <row r="326" spans="1:25" x14ac:dyDescent="0.3">
      <c r="A326" t="s">
        <v>339</v>
      </c>
      <c r="B326">
        <v>45053</v>
      </c>
      <c r="C326">
        <v>45075</v>
      </c>
      <c r="D326" t="s">
        <v>2064</v>
      </c>
      <c r="E326">
        <v>45075</v>
      </c>
      <c r="F326">
        <v>22</v>
      </c>
      <c r="G326" t="s">
        <v>646</v>
      </c>
      <c r="H326" t="s">
        <v>661</v>
      </c>
      <c r="I326" t="s">
        <v>687</v>
      </c>
      <c r="J326" t="s">
        <v>702</v>
      </c>
      <c r="K326" t="s">
        <v>710</v>
      </c>
      <c r="L326" t="s">
        <v>723</v>
      </c>
      <c r="M326" t="s">
        <v>733</v>
      </c>
      <c r="N326" t="s">
        <v>1752</v>
      </c>
      <c r="O326" s="9">
        <v>653.86</v>
      </c>
      <c r="P326" s="9">
        <v>931.84</v>
      </c>
      <c r="Q326" s="9">
        <v>931.84</v>
      </c>
      <c r="R326" t="s">
        <v>2065</v>
      </c>
      <c r="S326" s="11">
        <v>0.121</v>
      </c>
      <c r="T326" t="s">
        <v>2065</v>
      </c>
      <c r="U326" s="13">
        <v>12</v>
      </c>
      <c r="V326" s="9">
        <f t="shared" si="20"/>
        <v>9829.0483199999999</v>
      </c>
      <c r="W326" s="9">
        <f t="shared" si="21"/>
        <v>7846.32</v>
      </c>
      <c r="X326" s="9">
        <f t="shared" si="22"/>
        <v>1982.7283200000002</v>
      </c>
      <c r="Y326" s="11">
        <f t="shared" si="23"/>
        <v>0.20172129136506273</v>
      </c>
    </row>
    <row r="327" spans="1:25" x14ac:dyDescent="0.3">
      <c r="A327" t="s">
        <v>340</v>
      </c>
      <c r="B327">
        <v>45303</v>
      </c>
      <c r="C327">
        <v>45320</v>
      </c>
      <c r="D327" t="s">
        <v>2064</v>
      </c>
      <c r="E327">
        <v>45320</v>
      </c>
      <c r="F327">
        <v>17</v>
      </c>
      <c r="G327" t="s">
        <v>647</v>
      </c>
      <c r="H327" t="s">
        <v>654</v>
      </c>
      <c r="I327" t="s">
        <v>696</v>
      </c>
      <c r="J327" t="s">
        <v>705</v>
      </c>
      <c r="K327" t="s">
        <v>711</v>
      </c>
      <c r="L327" t="s">
        <v>717</v>
      </c>
      <c r="M327" t="s">
        <v>727</v>
      </c>
      <c r="N327" t="s">
        <v>1753</v>
      </c>
      <c r="O327" s="9">
        <v>310.02</v>
      </c>
      <c r="P327" s="9">
        <v>619.51</v>
      </c>
      <c r="Q327" s="9">
        <v>619.51</v>
      </c>
      <c r="R327" t="s">
        <v>2065</v>
      </c>
      <c r="S327" s="11">
        <v>4.2000000000000003E-2</v>
      </c>
      <c r="T327" t="s">
        <v>2065</v>
      </c>
      <c r="U327" s="13">
        <v>4</v>
      </c>
      <c r="V327" s="9">
        <f t="shared" si="20"/>
        <v>2373.9623200000001</v>
      </c>
      <c r="W327" s="9">
        <f t="shared" si="21"/>
        <v>1240.08</v>
      </c>
      <c r="X327" s="9">
        <f t="shared" si="22"/>
        <v>1133.8823200000002</v>
      </c>
      <c r="Y327" s="11">
        <f t="shared" si="23"/>
        <v>0.47763282106347843</v>
      </c>
    </row>
    <row r="328" spans="1:25" x14ac:dyDescent="0.3">
      <c r="A328" t="s">
        <v>341</v>
      </c>
      <c r="B328">
        <v>45087</v>
      </c>
      <c r="C328">
        <v>45095</v>
      </c>
      <c r="D328" t="s">
        <v>2064</v>
      </c>
      <c r="E328">
        <v>45095</v>
      </c>
      <c r="F328">
        <v>8</v>
      </c>
      <c r="G328" t="s">
        <v>646</v>
      </c>
      <c r="H328" t="s">
        <v>650</v>
      </c>
      <c r="I328" t="s">
        <v>678</v>
      </c>
      <c r="J328" t="s">
        <v>706</v>
      </c>
      <c r="K328" t="s">
        <v>711</v>
      </c>
      <c r="L328" t="s">
        <v>722</v>
      </c>
      <c r="M328" t="s">
        <v>730</v>
      </c>
      <c r="N328" t="s">
        <v>1754</v>
      </c>
      <c r="O328" s="9">
        <v>894.23</v>
      </c>
      <c r="P328" s="9">
        <v>1421.55</v>
      </c>
      <c r="Q328" s="9">
        <v>1421.55</v>
      </c>
      <c r="R328" t="s">
        <v>2065</v>
      </c>
      <c r="S328" s="11">
        <v>0.109</v>
      </c>
      <c r="T328" t="s">
        <v>2065</v>
      </c>
      <c r="U328" s="13">
        <v>3</v>
      </c>
      <c r="V328" s="9">
        <f t="shared" si="20"/>
        <v>3799.8031499999997</v>
      </c>
      <c r="W328" s="9">
        <f t="shared" si="21"/>
        <v>2682.69</v>
      </c>
      <c r="X328" s="9">
        <f t="shared" si="22"/>
        <v>1117.1131499999997</v>
      </c>
      <c r="Y328" s="11">
        <f t="shared" si="23"/>
        <v>0.29399237431549574</v>
      </c>
    </row>
    <row r="329" spans="1:25" x14ac:dyDescent="0.3">
      <c r="A329" t="s">
        <v>342</v>
      </c>
      <c r="B329">
        <v>45796</v>
      </c>
      <c r="C329">
        <v>45794</v>
      </c>
      <c r="D329" t="s">
        <v>2066</v>
      </c>
      <c r="E329">
        <v>45796</v>
      </c>
      <c r="F329">
        <v>0</v>
      </c>
      <c r="G329" t="s">
        <v>648</v>
      </c>
      <c r="H329" t="s">
        <v>655</v>
      </c>
      <c r="I329" t="s">
        <v>670</v>
      </c>
      <c r="J329" t="s">
        <v>705</v>
      </c>
      <c r="K329" t="s">
        <v>710</v>
      </c>
      <c r="L329" t="s">
        <v>716</v>
      </c>
      <c r="M329" t="s">
        <v>732</v>
      </c>
      <c r="N329" t="s">
        <v>1755</v>
      </c>
      <c r="O329" s="9">
        <v>383.77</v>
      </c>
      <c r="P329" s="9">
        <v>952.56</v>
      </c>
      <c r="Q329" s="9">
        <v>952.56</v>
      </c>
      <c r="R329" t="s">
        <v>2065</v>
      </c>
      <c r="S329" s="11">
        <v>0.34599999999999997</v>
      </c>
      <c r="T329" t="s">
        <v>2067</v>
      </c>
      <c r="U329" s="13">
        <v>10</v>
      </c>
      <c r="V329" s="9">
        <f t="shared" si="20"/>
        <v>6229.7423999999992</v>
      </c>
      <c r="W329" s="9">
        <f t="shared" si="21"/>
        <v>3837.7</v>
      </c>
      <c r="X329" s="9">
        <f t="shared" si="22"/>
        <v>2392.0423999999994</v>
      </c>
      <c r="Y329" s="11">
        <f t="shared" si="23"/>
        <v>0.38397131797937578</v>
      </c>
    </row>
    <row r="330" spans="1:25" x14ac:dyDescent="0.3">
      <c r="A330" t="s">
        <v>343</v>
      </c>
      <c r="B330">
        <v>45221</v>
      </c>
      <c r="C330">
        <v>45246</v>
      </c>
      <c r="D330" t="s">
        <v>2064</v>
      </c>
      <c r="E330">
        <v>45246</v>
      </c>
      <c r="F330">
        <v>25</v>
      </c>
      <c r="G330" t="s">
        <v>648</v>
      </c>
      <c r="H330" t="s">
        <v>653</v>
      </c>
      <c r="I330" t="s">
        <v>667</v>
      </c>
      <c r="J330" t="s">
        <v>705</v>
      </c>
      <c r="K330" t="s">
        <v>709</v>
      </c>
      <c r="L330" t="s">
        <v>714</v>
      </c>
      <c r="M330" t="s">
        <v>731</v>
      </c>
      <c r="N330" t="s">
        <v>1756</v>
      </c>
      <c r="O330" s="9">
        <v>1373.31</v>
      </c>
      <c r="P330" s="9">
        <v>3154.14</v>
      </c>
      <c r="Q330" s="9">
        <v>3154.14</v>
      </c>
      <c r="R330" t="s">
        <v>2065</v>
      </c>
      <c r="S330" s="11">
        <v>0.2</v>
      </c>
      <c r="T330" t="s">
        <v>2065</v>
      </c>
      <c r="U330" s="13">
        <v>11</v>
      </c>
      <c r="V330" s="9">
        <f t="shared" si="20"/>
        <v>27756.432000000001</v>
      </c>
      <c r="W330" s="9">
        <f t="shared" si="21"/>
        <v>15106.41</v>
      </c>
      <c r="X330" s="9">
        <f t="shared" si="22"/>
        <v>12650.022000000001</v>
      </c>
      <c r="Y330" s="11">
        <f t="shared" si="23"/>
        <v>0.45575101295440279</v>
      </c>
    </row>
    <row r="331" spans="1:25" x14ac:dyDescent="0.3">
      <c r="A331" t="s">
        <v>344</v>
      </c>
      <c r="B331">
        <v>45668</v>
      </c>
      <c r="C331">
        <v>45680</v>
      </c>
      <c r="D331" t="s">
        <v>2064</v>
      </c>
      <c r="E331">
        <v>45680</v>
      </c>
      <c r="F331">
        <v>12</v>
      </c>
      <c r="G331" t="s">
        <v>648</v>
      </c>
      <c r="H331" t="s">
        <v>1425</v>
      </c>
      <c r="I331" t="s">
        <v>697</v>
      </c>
      <c r="J331" t="s">
        <v>704</v>
      </c>
      <c r="K331" t="s">
        <v>710</v>
      </c>
      <c r="L331" t="s">
        <v>722</v>
      </c>
      <c r="M331" t="s">
        <v>730</v>
      </c>
      <c r="N331" t="s">
        <v>1757</v>
      </c>
      <c r="O331" s="9">
        <v>100.69</v>
      </c>
      <c r="P331" s="9">
        <v>226.14</v>
      </c>
      <c r="Q331" s="9">
        <v>226.14</v>
      </c>
      <c r="R331" t="s">
        <v>2065</v>
      </c>
      <c r="S331" s="11">
        <v>6.5000000000000002E-2</v>
      </c>
      <c r="T331" t="s">
        <v>2065</v>
      </c>
      <c r="U331" s="13">
        <v>12</v>
      </c>
      <c r="V331" s="9">
        <f t="shared" si="20"/>
        <v>2537.2908000000002</v>
      </c>
      <c r="W331" s="9">
        <f t="shared" si="21"/>
        <v>1208.28</v>
      </c>
      <c r="X331" s="9">
        <f t="shared" si="22"/>
        <v>1329.0108000000002</v>
      </c>
      <c r="Y331" s="11">
        <f t="shared" si="23"/>
        <v>0.52379128162999689</v>
      </c>
    </row>
    <row r="332" spans="1:25" x14ac:dyDescent="0.3">
      <c r="A332" t="s">
        <v>345</v>
      </c>
      <c r="B332">
        <v>45914</v>
      </c>
      <c r="C332">
        <v>45926</v>
      </c>
      <c r="D332" t="s">
        <v>2064</v>
      </c>
      <c r="E332">
        <v>45926</v>
      </c>
      <c r="F332">
        <v>12</v>
      </c>
      <c r="G332" t="s">
        <v>649</v>
      </c>
      <c r="H332" t="s">
        <v>658</v>
      </c>
      <c r="I332" t="s">
        <v>683</v>
      </c>
      <c r="J332" t="s">
        <v>705</v>
      </c>
      <c r="K332" t="s">
        <v>711</v>
      </c>
      <c r="L332" t="s">
        <v>725</v>
      </c>
      <c r="M332" t="s">
        <v>729</v>
      </c>
      <c r="N332" t="s">
        <v>1758</v>
      </c>
      <c r="O332" s="9">
        <v>425.15</v>
      </c>
      <c r="P332" s="9">
        <v>885.92</v>
      </c>
      <c r="Q332" s="9">
        <v>885.92</v>
      </c>
      <c r="R332" t="s">
        <v>2065</v>
      </c>
      <c r="S332" s="11">
        <v>0.23899999999999999</v>
      </c>
      <c r="T332" t="s">
        <v>2065</v>
      </c>
      <c r="U332" s="13">
        <v>13</v>
      </c>
      <c r="V332" s="9">
        <f t="shared" si="20"/>
        <v>8764.4065599999994</v>
      </c>
      <c r="W332" s="9">
        <f t="shared" si="21"/>
        <v>5526.95</v>
      </c>
      <c r="X332" s="9">
        <f t="shared" si="22"/>
        <v>3237.4565599999996</v>
      </c>
      <c r="Y332" s="11">
        <f t="shared" si="23"/>
        <v>0.3693868532725848</v>
      </c>
    </row>
    <row r="333" spans="1:25" x14ac:dyDescent="0.3">
      <c r="A333" t="s">
        <v>346</v>
      </c>
      <c r="B333">
        <v>45168</v>
      </c>
      <c r="C333">
        <v>45172</v>
      </c>
      <c r="D333" t="s">
        <v>2064</v>
      </c>
      <c r="E333">
        <v>45172</v>
      </c>
      <c r="F333">
        <v>4</v>
      </c>
      <c r="G333" t="s">
        <v>647</v>
      </c>
      <c r="H333" t="s">
        <v>654</v>
      </c>
      <c r="I333" t="s">
        <v>680</v>
      </c>
      <c r="J333" t="s">
        <v>705</v>
      </c>
      <c r="K333" t="s">
        <v>709</v>
      </c>
      <c r="L333" t="s">
        <v>716</v>
      </c>
      <c r="M333" t="s">
        <v>733</v>
      </c>
      <c r="N333" t="s">
        <v>1759</v>
      </c>
      <c r="O333" s="9">
        <v>1082.25</v>
      </c>
      <c r="P333" s="9">
        <v>2433.34</v>
      </c>
      <c r="Q333" s="9">
        <v>2433.34</v>
      </c>
      <c r="R333" t="s">
        <v>2065</v>
      </c>
      <c r="S333" s="11">
        <v>0.27</v>
      </c>
      <c r="T333" t="s">
        <v>2065</v>
      </c>
      <c r="U333" s="13">
        <v>4</v>
      </c>
      <c r="V333" s="9">
        <f t="shared" si="20"/>
        <v>7105.3528000000006</v>
      </c>
      <c r="W333" s="9">
        <f t="shared" si="21"/>
        <v>4329</v>
      </c>
      <c r="X333" s="9">
        <f t="shared" si="22"/>
        <v>2776.3528000000006</v>
      </c>
      <c r="Y333" s="11">
        <f t="shared" si="23"/>
        <v>0.3907410199251472</v>
      </c>
    </row>
    <row r="334" spans="1:25" x14ac:dyDescent="0.3">
      <c r="A334" t="s">
        <v>347</v>
      </c>
      <c r="B334">
        <v>45245</v>
      </c>
      <c r="C334">
        <v>45266</v>
      </c>
      <c r="D334" t="s">
        <v>2064</v>
      </c>
      <c r="E334">
        <v>45266</v>
      </c>
      <c r="F334">
        <v>21</v>
      </c>
      <c r="G334" t="s">
        <v>649</v>
      </c>
      <c r="H334" t="s">
        <v>658</v>
      </c>
      <c r="I334" t="s">
        <v>693</v>
      </c>
      <c r="J334" t="s">
        <v>702</v>
      </c>
      <c r="K334" t="s">
        <v>711</v>
      </c>
      <c r="L334" t="s">
        <v>722</v>
      </c>
      <c r="M334" t="s">
        <v>733</v>
      </c>
      <c r="N334" t="s">
        <v>1760</v>
      </c>
      <c r="O334" s="9">
        <v>1184.99</v>
      </c>
      <c r="P334" s="9">
        <v>1154.3399999999999</v>
      </c>
      <c r="Q334" s="9">
        <v>1154.3399999999999</v>
      </c>
      <c r="R334" t="s">
        <v>2065</v>
      </c>
      <c r="S334" s="11">
        <v>2.8000000000000001E-2</v>
      </c>
      <c r="T334" t="s">
        <v>2065</v>
      </c>
      <c r="U334" s="13">
        <v>5</v>
      </c>
      <c r="V334" s="9">
        <f t="shared" si="20"/>
        <v>5610.0923999999995</v>
      </c>
      <c r="W334" s="9">
        <f t="shared" si="21"/>
        <v>5924.95</v>
      </c>
      <c r="X334" s="9">
        <f t="shared" si="22"/>
        <v>-314.85760000000028</v>
      </c>
      <c r="Y334" s="11">
        <f t="shared" si="23"/>
        <v>-5.6123424990290764E-2</v>
      </c>
    </row>
    <row r="335" spans="1:25" x14ac:dyDescent="0.3">
      <c r="A335" t="s">
        <v>348</v>
      </c>
      <c r="B335">
        <v>45774</v>
      </c>
      <c r="C335">
        <v>45804</v>
      </c>
      <c r="D335" t="s">
        <v>2064</v>
      </c>
      <c r="E335">
        <v>45804</v>
      </c>
      <c r="F335">
        <v>30</v>
      </c>
      <c r="G335" t="s">
        <v>647</v>
      </c>
      <c r="H335" t="s">
        <v>654</v>
      </c>
      <c r="I335" t="s">
        <v>2057</v>
      </c>
      <c r="J335" t="s">
        <v>706</v>
      </c>
      <c r="K335" t="s">
        <v>709</v>
      </c>
      <c r="L335" t="s">
        <v>722</v>
      </c>
      <c r="M335" t="s">
        <v>730</v>
      </c>
      <c r="N335" t="s">
        <v>1761</v>
      </c>
      <c r="O335" s="9">
        <v>481.32</v>
      </c>
      <c r="P335" s="9">
        <v>1135.99</v>
      </c>
      <c r="Q335" s="9">
        <v>1135.99</v>
      </c>
      <c r="R335" t="s">
        <v>2065</v>
      </c>
      <c r="S335" s="11">
        <v>0.14499999999999999</v>
      </c>
      <c r="T335" t="s">
        <v>2065</v>
      </c>
      <c r="U335" s="13">
        <v>5</v>
      </c>
      <c r="V335" s="9">
        <f t="shared" si="20"/>
        <v>4856.35725</v>
      </c>
      <c r="W335" s="9">
        <f t="shared" si="21"/>
        <v>2406.6</v>
      </c>
      <c r="X335" s="9">
        <f t="shared" si="22"/>
        <v>2449.7572500000001</v>
      </c>
      <c r="Y335" s="11">
        <f t="shared" si="23"/>
        <v>0.50444337677175621</v>
      </c>
    </row>
    <row r="336" spans="1:25" x14ac:dyDescent="0.3">
      <c r="A336" t="s">
        <v>349</v>
      </c>
      <c r="B336">
        <v>45391</v>
      </c>
      <c r="C336">
        <v>45400</v>
      </c>
      <c r="D336" t="s">
        <v>2064</v>
      </c>
      <c r="E336">
        <v>45400</v>
      </c>
      <c r="F336">
        <v>9</v>
      </c>
      <c r="G336" t="s">
        <v>649</v>
      </c>
      <c r="H336" t="s">
        <v>657</v>
      </c>
      <c r="I336" t="s">
        <v>679</v>
      </c>
      <c r="J336" t="s">
        <v>704</v>
      </c>
      <c r="K336" t="s">
        <v>708</v>
      </c>
      <c r="L336" t="s">
        <v>718</v>
      </c>
      <c r="M336" t="s">
        <v>728</v>
      </c>
      <c r="N336" t="s">
        <v>1762</v>
      </c>
      <c r="O336" s="9">
        <v>1288.8499999999999</v>
      </c>
      <c r="P336" s="9">
        <v>2751.84</v>
      </c>
      <c r="Q336" s="9">
        <v>2751.84</v>
      </c>
      <c r="R336" t="s">
        <v>2065</v>
      </c>
      <c r="S336" s="11">
        <v>0.158</v>
      </c>
      <c r="T336" t="s">
        <v>2065</v>
      </c>
      <c r="U336" s="13">
        <v>7</v>
      </c>
      <c r="V336" s="9">
        <f t="shared" si="20"/>
        <v>16219.34496</v>
      </c>
      <c r="W336" s="9">
        <f t="shared" si="21"/>
        <v>9021.9499999999989</v>
      </c>
      <c r="X336" s="9">
        <f t="shared" si="22"/>
        <v>7197.3949600000014</v>
      </c>
      <c r="Y336" s="11">
        <f t="shared" si="23"/>
        <v>0.44375373837538756</v>
      </c>
    </row>
    <row r="337" spans="1:25" x14ac:dyDescent="0.3">
      <c r="A337" t="s">
        <v>350</v>
      </c>
      <c r="B337">
        <v>45484</v>
      </c>
      <c r="C337">
        <v>45504</v>
      </c>
      <c r="D337" t="s">
        <v>2064</v>
      </c>
      <c r="E337">
        <v>45504</v>
      </c>
      <c r="F337">
        <v>20</v>
      </c>
      <c r="G337" t="s">
        <v>647</v>
      </c>
      <c r="H337" t="s">
        <v>659</v>
      </c>
      <c r="I337" t="s">
        <v>676</v>
      </c>
      <c r="J337" t="s">
        <v>704</v>
      </c>
      <c r="K337" t="s">
        <v>708</v>
      </c>
      <c r="L337" t="s">
        <v>715</v>
      </c>
      <c r="M337" t="s">
        <v>730</v>
      </c>
      <c r="N337" t="s">
        <v>1763</v>
      </c>
      <c r="O337" s="9">
        <v>647.26</v>
      </c>
      <c r="P337" s="9">
        <v>1374.72</v>
      </c>
      <c r="Q337" s="9">
        <v>1374.72</v>
      </c>
      <c r="R337" t="s">
        <v>2065</v>
      </c>
      <c r="S337" s="11">
        <v>6.6000000000000003E-2</v>
      </c>
      <c r="T337" t="s">
        <v>2065</v>
      </c>
      <c r="U337" s="13">
        <v>22</v>
      </c>
      <c r="V337" s="9">
        <f t="shared" si="20"/>
        <v>28247.74656</v>
      </c>
      <c r="W337" s="9">
        <f t="shared" si="21"/>
        <v>14239.72</v>
      </c>
      <c r="X337" s="9">
        <f t="shared" si="22"/>
        <v>14008.02656</v>
      </c>
      <c r="Y337" s="11">
        <f t="shared" si="23"/>
        <v>0.49589890401508901</v>
      </c>
    </row>
    <row r="338" spans="1:25" x14ac:dyDescent="0.3">
      <c r="A338" t="s">
        <v>351</v>
      </c>
      <c r="B338">
        <v>45340</v>
      </c>
      <c r="C338">
        <v>45354</v>
      </c>
      <c r="D338" t="s">
        <v>2064</v>
      </c>
      <c r="E338">
        <v>45354</v>
      </c>
      <c r="F338">
        <v>14</v>
      </c>
      <c r="G338" t="s">
        <v>648</v>
      </c>
      <c r="H338" t="s">
        <v>655</v>
      </c>
      <c r="I338" t="s">
        <v>2057</v>
      </c>
      <c r="J338" t="s">
        <v>706</v>
      </c>
      <c r="K338" t="s">
        <v>710</v>
      </c>
      <c r="L338" t="s">
        <v>720</v>
      </c>
      <c r="M338" t="s">
        <v>728</v>
      </c>
      <c r="N338" t="s">
        <v>1764</v>
      </c>
      <c r="O338" s="9">
        <v>624.23</v>
      </c>
      <c r="P338" s="9">
        <v>1318.37</v>
      </c>
      <c r="Q338" s="9">
        <v>1318.37</v>
      </c>
      <c r="R338" t="s">
        <v>2065</v>
      </c>
      <c r="S338" s="11">
        <v>0.21</v>
      </c>
      <c r="T338" t="s">
        <v>2065</v>
      </c>
      <c r="U338" s="13">
        <v>37</v>
      </c>
      <c r="V338" s="9">
        <f t="shared" si="20"/>
        <v>38535.955099999999</v>
      </c>
      <c r="W338" s="9">
        <f t="shared" si="21"/>
        <v>23096.510000000002</v>
      </c>
      <c r="X338" s="9">
        <f t="shared" si="22"/>
        <v>15439.445099999997</v>
      </c>
      <c r="Y338" s="11">
        <f t="shared" si="23"/>
        <v>0.40065038118128793</v>
      </c>
    </row>
    <row r="339" spans="1:25" x14ac:dyDescent="0.3">
      <c r="A339" t="s">
        <v>352</v>
      </c>
      <c r="B339">
        <v>45132</v>
      </c>
      <c r="C339">
        <v>45148</v>
      </c>
      <c r="D339" t="s">
        <v>2064</v>
      </c>
      <c r="E339">
        <v>45148</v>
      </c>
      <c r="F339">
        <v>16</v>
      </c>
      <c r="G339" t="s">
        <v>646</v>
      </c>
      <c r="H339" t="s">
        <v>651</v>
      </c>
      <c r="I339" t="s">
        <v>663</v>
      </c>
      <c r="J339" t="s">
        <v>701</v>
      </c>
      <c r="K339" t="s">
        <v>710</v>
      </c>
      <c r="L339" t="s">
        <v>714</v>
      </c>
      <c r="M339" t="s">
        <v>733</v>
      </c>
      <c r="N339" t="s">
        <v>1765</v>
      </c>
      <c r="O339" s="9">
        <v>506.83</v>
      </c>
      <c r="P339" s="9">
        <v>441.74</v>
      </c>
      <c r="Q339" s="9">
        <v>441.74</v>
      </c>
      <c r="R339" t="s">
        <v>2065</v>
      </c>
      <c r="S339" s="11">
        <v>0.24</v>
      </c>
      <c r="T339" t="s">
        <v>2065</v>
      </c>
      <c r="U339" s="13">
        <v>9</v>
      </c>
      <c r="V339" s="9">
        <f t="shared" si="20"/>
        <v>3021.5016000000001</v>
      </c>
      <c r="W339" s="9">
        <f t="shared" si="21"/>
        <v>4561.47</v>
      </c>
      <c r="X339" s="9">
        <f t="shared" si="22"/>
        <v>-1539.9684000000002</v>
      </c>
      <c r="Y339" s="11">
        <f t="shared" si="23"/>
        <v>-0.50966989393618067</v>
      </c>
    </row>
    <row r="340" spans="1:25" x14ac:dyDescent="0.3">
      <c r="A340" t="s">
        <v>353</v>
      </c>
      <c r="B340">
        <v>45121</v>
      </c>
      <c r="C340">
        <v>45128</v>
      </c>
      <c r="D340" t="s">
        <v>2064</v>
      </c>
      <c r="E340">
        <v>45128</v>
      </c>
      <c r="F340">
        <v>7</v>
      </c>
      <c r="G340" t="s">
        <v>646</v>
      </c>
      <c r="H340" t="s">
        <v>661</v>
      </c>
      <c r="I340" t="s">
        <v>687</v>
      </c>
      <c r="J340" t="s">
        <v>706</v>
      </c>
      <c r="K340" t="s">
        <v>709</v>
      </c>
      <c r="L340" t="s">
        <v>2057</v>
      </c>
      <c r="M340" t="s">
        <v>732</v>
      </c>
      <c r="N340" t="s">
        <v>1766</v>
      </c>
      <c r="O340" s="9">
        <v>620.74</v>
      </c>
      <c r="P340" s="9">
        <v>1330.07</v>
      </c>
      <c r="Q340" s="9">
        <v>1330.07</v>
      </c>
      <c r="R340" t="s">
        <v>2065</v>
      </c>
      <c r="S340" s="11">
        <v>0.29899999999999999</v>
      </c>
      <c r="T340" t="s">
        <v>2065</v>
      </c>
      <c r="U340" s="13">
        <v>28</v>
      </c>
      <c r="V340" s="9">
        <f t="shared" si="20"/>
        <v>26106.613960000002</v>
      </c>
      <c r="W340" s="9">
        <f t="shared" si="21"/>
        <v>17380.72</v>
      </c>
      <c r="X340" s="9">
        <f t="shared" si="22"/>
        <v>8725.8939600000012</v>
      </c>
      <c r="Y340" s="11">
        <f t="shared" si="23"/>
        <v>0.33424073965967516</v>
      </c>
    </row>
    <row r="341" spans="1:25" x14ac:dyDescent="0.3">
      <c r="A341" t="s">
        <v>354</v>
      </c>
      <c r="B341">
        <v>45131</v>
      </c>
      <c r="C341">
        <v>45157</v>
      </c>
      <c r="D341" t="s">
        <v>2064</v>
      </c>
      <c r="E341">
        <v>45157</v>
      </c>
      <c r="F341">
        <v>26</v>
      </c>
      <c r="G341" t="s">
        <v>646</v>
      </c>
      <c r="H341" t="s">
        <v>650</v>
      </c>
      <c r="I341" t="s">
        <v>664</v>
      </c>
      <c r="J341" t="s">
        <v>706</v>
      </c>
      <c r="K341" t="s">
        <v>710</v>
      </c>
      <c r="L341" t="s">
        <v>724</v>
      </c>
      <c r="M341" t="s">
        <v>733</v>
      </c>
      <c r="N341" t="s">
        <v>1767</v>
      </c>
      <c r="O341" s="9">
        <v>661.45</v>
      </c>
      <c r="P341" s="9">
        <v>1634.86</v>
      </c>
      <c r="Q341" s="9">
        <v>1634.86</v>
      </c>
      <c r="R341" t="s">
        <v>2065</v>
      </c>
      <c r="S341" s="11">
        <v>0.56499999999999995</v>
      </c>
      <c r="T341" t="s">
        <v>2067</v>
      </c>
      <c r="U341" s="13">
        <v>24</v>
      </c>
      <c r="V341" s="9">
        <f t="shared" si="20"/>
        <v>17067.938400000003</v>
      </c>
      <c r="W341" s="9">
        <f t="shared" si="21"/>
        <v>15874.800000000001</v>
      </c>
      <c r="X341" s="9">
        <f t="shared" si="22"/>
        <v>1193.1384000000016</v>
      </c>
      <c r="Y341" s="11">
        <f t="shared" si="23"/>
        <v>6.9905244092045793E-2</v>
      </c>
    </row>
    <row r="342" spans="1:25" x14ac:dyDescent="0.3">
      <c r="A342" t="s">
        <v>355</v>
      </c>
      <c r="B342">
        <v>45029</v>
      </c>
      <c r="C342">
        <v>45027</v>
      </c>
      <c r="D342" t="s">
        <v>2066</v>
      </c>
      <c r="E342">
        <v>45029</v>
      </c>
      <c r="F342">
        <v>0</v>
      </c>
      <c r="G342" t="s">
        <v>648</v>
      </c>
      <c r="H342" t="s">
        <v>1425</v>
      </c>
      <c r="I342" t="s">
        <v>686</v>
      </c>
      <c r="J342" t="s">
        <v>702</v>
      </c>
      <c r="K342" t="s">
        <v>709</v>
      </c>
      <c r="L342" t="s">
        <v>715</v>
      </c>
      <c r="M342" t="s">
        <v>729</v>
      </c>
      <c r="N342" t="s">
        <v>1768</v>
      </c>
      <c r="O342" s="9">
        <v>32.1</v>
      </c>
      <c r="P342" s="9">
        <v>70.599999999999994</v>
      </c>
      <c r="Q342" s="9">
        <v>70.599999999999994</v>
      </c>
      <c r="R342" t="s">
        <v>2065</v>
      </c>
      <c r="S342" s="11">
        <v>0.28199999999999997</v>
      </c>
      <c r="T342" t="s">
        <v>2065</v>
      </c>
      <c r="U342" s="13">
        <v>22</v>
      </c>
      <c r="V342" s="9">
        <f t="shared" si="20"/>
        <v>1115.1975999999997</v>
      </c>
      <c r="W342" s="9">
        <f t="shared" si="21"/>
        <v>706.2</v>
      </c>
      <c r="X342" s="9">
        <f t="shared" si="22"/>
        <v>408.99759999999969</v>
      </c>
      <c r="Y342" s="11">
        <f t="shared" si="23"/>
        <v>0.36674899587301818</v>
      </c>
    </row>
    <row r="343" spans="1:25" x14ac:dyDescent="0.3">
      <c r="A343" t="s">
        <v>356</v>
      </c>
      <c r="B343">
        <v>45594</v>
      </c>
      <c r="C343">
        <v>45600</v>
      </c>
      <c r="D343" t="s">
        <v>2064</v>
      </c>
      <c r="E343">
        <v>45600</v>
      </c>
      <c r="F343">
        <v>6</v>
      </c>
      <c r="G343" t="s">
        <v>646</v>
      </c>
      <c r="H343" t="s">
        <v>650</v>
      </c>
      <c r="I343" t="s">
        <v>664</v>
      </c>
      <c r="J343" t="s">
        <v>701</v>
      </c>
      <c r="K343" t="s">
        <v>710</v>
      </c>
      <c r="L343" t="s">
        <v>724</v>
      </c>
      <c r="M343" t="s">
        <v>728</v>
      </c>
      <c r="N343" t="s">
        <v>1769</v>
      </c>
      <c r="O343" s="9">
        <v>805.81</v>
      </c>
      <c r="P343" s="9">
        <v>1823.04</v>
      </c>
      <c r="Q343" s="9">
        <v>1823.04</v>
      </c>
      <c r="R343" t="s">
        <v>2065</v>
      </c>
      <c r="S343" s="11">
        <v>0</v>
      </c>
      <c r="T343" t="s">
        <v>2065</v>
      </c>
      <c r="U343" s="13">
        <v>11</v>
      </c>
      <c r="V343" s="9">
        <f t="shared" si="20"/>
        <v>20053.439999999999</v>
      </c>
      <c r="W343" s="9">
        <f t="shared" si="21"/>
        <v>8863.91</v>
      </c>
      <c r="X343" s="9">
        <f t="shared" si="22"/>
        <v>11189.529999999999</v>
      </c>
      <c r="Y343" s="11">
        <f t="shared" si="23"/>
        <v>0.55798556257679477</v>
      </c>
    </row>
    <row r="344" spans="1:25" x14ac:dyDescent="0.3">
      <c r="A344" t="s">
        <v>357</v>
      </c>
      <c r="B344">
        <v>45339</v>
      </c>
      <c r="C344">
        <v>45355</v>
      </c>
      <c r="D344" t="s">
        <v>2064</v>
      </c>
      <c r="E344">
        <v>45355</v>
      </c>
      <c r="F344">
        <v>16</v>
      </c>
      <c r="G344" t="s">
        <v>647</v>
      </c>
      <c r="H344" t="s">
        <v>654</v>
      </c>
      <c r="I344" t="s">
        <v>680</v>
      </c>
      <c r="J344" t="s">
        <v>705</v>
      </c>
      <c r="K344" t="s">
        <v>709</v>
      </c>
      <c r="L344" t="s">
        <v>721</v>
      </c>
      <c r="M344" t="s">
        <v>730</v>
      </c>
      <c r="N344" t="s">
        <v>1770</v>
      </c>
      <c r="O344" s="9">
        <v>1231.8</v>
      </c>
      <c r="P344" s="9">
        <v>2015.99</v>
      </c>
      <c r="Q344" s="9">
        <v>2015.99</v>
      </c>
      <c r="R344" t="s">
        <v>2065</v>
      </c>
      <c r="S344" s="11">
        <v>0.26100000000000001</v>
      </c>
      <c r="T344" t="s">
        <v>2065</v>
      </c>
      <c r="U344" s="13">
        <v>6</v>
      </c>
      <c r="V344" s="9">
        <f t="shared" si="20"/>
        <v>8938.8996600000009</v>
      </c>
      <c r="W344" s="9">
        <f t="shared" si="21"/>
        <v>7390.7999999999993</v>
      </c>
      <c r="X344" s="9">
        <f t="shared" si="22"/>
        <v>1548.0996600000017</v>
      </c>
      <c r="Y344" s="11">
        <f t="shared" si="23"/>
        <v>0.17318682599464391</v>
      </c>
    </row>
    <row r="345" spans="1:25" x14ac:dyDescent="0.3">
      <c r="A345" t="s">
        <v>358</v>
      </c>
      <c r="B345">
        <v>45486</v>
      </c>
      <c r="C345">
        <v>45485</v>
      </c>
      <c r="D345" t="s">
        <v>2066</v>
      </c>
      <c r="E345">
        <v>45486</v>
      </c>
      <c r="F345">
        <v>0</v>
      </c>
      <c r="G345" t="s">
        <v>647</v>
      </c>
      <c r="H345" t="s">
        <v>652</v>
      </c>
      <c r="I345" t="s">
        <v>694</v>
      </c>
      <c r="J345" t="s">
        <v>705</v>
      </c>
      <c r="K345" t="s">
        <v>709</v>
      </c>
      <c r="L345" t="s">
        <v>721</v>
      </c>
      <c r="M345" t="s">
        <v>729</v>
      </c>
      <c r="N345" t="s">
        <v>1771</v>
      </c>
      <c r="O345" s="9">
        <v>105.13</v>
      </c>
      <c r="P345" s="9">
        <v>244.13</v>
      </c>
      <c r="Q345" s="9">
        <v>244.13</v>
      </c>
      <c r="R345" t="s">
        <v>2065</v>
      </c>
      <c r="S345" s="11">
        <v>7.0999999999999994E-2</v>
      </c>
      <c r="T345" t="s">
        <v>2065</v>
      </c>
      <c r="U345" s="13">
        <v>14</v>
      </c>
      <c r="V345" s="9">
        <f t="shared" si="20"/>
        <v>3175.1547799999998</v>
      </c>
      <c r="W345" s="9">
        <f t="shared" si="21"/>
        <v>1471.82</v>
      </c>
      <c r="X345" s="9">
        <f t="shared" si="22"/>
        <v>1703.3347799999999</v>
      </c>
      <c r="Y345" s="11">
        <f t="shared" si="23"/>
        <v>0.53645724319618837</v>
      </c>
    </row>
    <row r="346" spans="1:25" x14ac:dyDescent="0.3">
      <c r="A346" t="s">
        <v>359</v>
      </c>
      <c r="B346">
        <v>45261</v>
      </c>
      <c r="C346">
        <v>45278</v>
      </c>
      <c r="D346" t="s">
        <v>2064</v>
      </c>
      <c r="E346">
        <v>45278</v>
      </c>
      <c r="F346">
        <v>17</v>
      </c>
      <c r="G346" t="s">
        <v>647</v>
      </c>
      <c r="H346" t="s">
        <v>652</v>
      </c>
      <c r="I346" t="s">
        <v>694</v>
      </c>
      <c r="J346" t="s">
        <v>705</v>
      </c>
      <c r="K346" t="s">
        <v>711</v>
      </c>
      <c r="L346" t="s">
        <v>725</v>
      </c>
      <c r="M346" t="s">
        <v>731</v>
      </c>
      <c r="N346" t="s">
        <v>1772</v>
      </c>
      <c r="O346" s="9">
        <v>1495.79</v>
      </c>
      <c r="P346" s="9">
        <v>2783.12</v>
      </c>
      <c r="Q346" s="9">
        <v>2783.12</v>
      </c>
      <c r="R346" t="s">
        <v>2065</v>
      </c>
      <c r="S346" s="11">
        <v>0.02</v>
      </c>
      <c r="T346" t="s">
        <v>2065</v>
      </c>
      <c r="U346" s="13">
        <v>5</v>
      </c>
      <c r="V346" s="9">
        <f t="shared" si="20"/>
        <v>13637.287999999999</v>
      </c>
      <c r="W346" s="9">
        <f t="shared" si="21"/>
        <v>7478.95</v>
      </c>
      <c r="X346" s="9">
        <f t="shared" si="22"/>
        <v>6158.3379999999988</v>
      </c>
      <c r="Y346" s="11">
        <f t="shared" si="23"/>
        <v>0.45158084217331185</v>
      </c>
    </row>
    <row r="347" spans="1:25" x14ac:dyDescent="0.3">
      <c r="A347" t="s">
        <v>360</v>
      </c>
      <c r="B347">
        <v>45498</v>
      </c>
      <c r="C347">
        <v>45506</v>
      </c>
      <c r="D347" t="s">
        <v>2064</v>
      </c>
      <c r="E347">
        <v>45506</v>
      </c>
      <c r="F347">
        <v>8</v>
      </c>
      <c r="G347" t="s">
        <v>648</v>
      </c>
      <c r="H347" t="s">
        <v>653</v>
      </c>
      <c r="I347" t="s">
        <v>681</v>
      </c>
      <c r="J347" t="s">
        <v>704</v>
      </c>
      <c r="K347" t="s">
        <v>711</v>
      </c>
      <c r="L347" t="s">
        <v>713</v>
      </c>
      <c r="M347" t="s">
        <v>733</v>
      </c>
      <c r="N347" t="s">
        <v>1773</v>
      </c>
      <c r="O347" s="9">
        <v>986.81</v>
      </c>
      <c r="P347" s="9">
        <v>2050.31</v>
      </c>
      <c r="Q347" s="9">
        <v>2050.31</v>
      </c>
      <c r="R347" t="s">
        <v>2065</v>
      </c>
      <c r="S347" s="11">
        <v>0.10299999999999999</v>
      </c>
      <c r="T347" t="s">
        <v>2065</v>
      </c>
      <c r="U347" s="13">
        <v>43</v>
      </c>
      <c r="V347" s="9">
        <f t="shared" si="20"/>
        <v>79082.507010000001</v>
      </c>
      <c r="W347" s="9">
        <f t="shared" si="21"/>
        <v>42432.829999999994</v>
      </c>
      <c r="X347" s="9">
        <f t="shared" si="22"/>
        <v>36649.677010000007</v>
      </c>
      <c r="Y347" s="11">
        <f t="shared" si="23"/>
        <v>0.46343595310358138</v>
      </c>
    </row>
    <row r="348" spans="1:25" x14ac:dyDescent="0.3">
      <c r="A348" t="s">
        <v>361</v>
      </c>
      <c r="B348">
        <v>45050</v>
      </c>
      <c r="C348">
        <v>45062</v>
      </c>
      <c r="D348" t="s">
        <v>2064</v>
      </c>
      <c r="E348">
        <v>45062</v>
      </c>
      <c r="F348">
        <v>12</v>
      </c>
      <c r="G348" t="s">
        <v>646</v>
      </c>
      <c r="H348" t="s">
        <v>651</v>
      </c>
      <c r="I348" t="s">
        <v>669</v>
      </c>
      <c r="J348" t="s">
        <v>705</v>
      </c>
      <c r="K348" t="s">
        <v>709</v>
      </c>
      <c r="L348" t="s">
        <v>713</v>
      </c>
      <c r="M348" t="s">
        <v>730</v>
      </c>
      <c r="N348" t="s">
        <v>1774</v>
      </c>
      <c r="O348" s="9">
        <v>77.739999999999995</v>
      </c>
      <c r="P348" s="9">
        <v>147.12</v>
      </c>
      <c r="Q348" s="9">
        <v>147.12</v>
      </c>
      <c r="R348" t="s">
        <v>2065</v>
      </c>
      <c r="S348" s="11">
        <v>0</v>
      </c>
      <c r="T348" t="s">
        <v>2065</v>
      </c>
      <c r="U348" s="13">
        <v>15</v>
      </c>
      <c r="V348" s="9">
        <f t="shared" si="20"/>
        <v>2206.8000000000002</v>
      </c>
      <c r="W348" s="9">
        <f t="shared" si="21"/>
        <v>1166.0999999999999</v>
      </c>
      <c r="X348" s="9">
        <f t="shared" si="22"/>
        <v>1040.7000000000003</v>
      </c>
      <c r="Y348" s="11">
        <f t="shared" si="23"/>
        <v>0.47158781946710177</v>
      </c>
    </row>
    <row r="349" spans="1:25" x14ac:dyDescent="0.3">
      <c r="A349" t="s">
        <v>362</v>
      </c>
      <c r="B349">
        <v>45281</v>
      </c>
      <c r="C349">
        <v>45297</v>
      </c>
      <c r="D349" t="s">
        <v>2064</v>
      </c>
      <c r="E349">
        <v>45297</v>
      </c>
      <c r="F349">
        <v>16</v>
      </c>
      <c r="G349" t="s">
        <v>646</v>
      </c>
      <c r="H349" t="s">
        <v>651</v>
      </c>
      <c r="I349" t="s">
        <v>2057</v>
      </c>
      <c r="J349" t="s">
        <v>701</v>
      </c>
      <c r="K349" t="s">
        <v>709</v>
      </c>
      <c r="L349" t="s">
        <v>723</v>
      </c>
      <c r="M349" t="s">
        <v>727</v>
      </c>
      <c r="N349" t="s">
        <v>1775</v>
      </c>
      <c r="O349" s="9">
        <v>932.61</v>
      </c>
      <c r="P349" s="9">
        <v>1982.98</v>
      </c>
      <c r="Q349" s="9">
        <v>1982.98</v>
      </c>
      <c r="R349" t="s">
        <v>2065</v>
      </c>
      <c r="S349" s="11">
        <v>0.14399999999999999</v>
      </c>
      <c r="T349" t="s">
        <v>2065</v>
      </c>
      <c r="U349" s="13">
        <v>16</v>
      </c>
      <c r="V349" s="9">
        <f t="shared" si="20"/>
        <v>27158.894079999998</v>
      </c>
      <c r="W349" s="9">
        <f t="shared" si="21"/>
        <v>14921.76</v>
      </c>
      <c r="X349" s="9">
        <f t="shared" si="22"/>
        <v>12237.134079999998</v>
      </c>
      <c r="Y349" s="11">
        <f t="shared" si="23"/>
        <v>0.45057556629345635</v>
      </c>
    </row>
    <row r="350" spans="1:25" x14ac:dyDescent="0.3">
      <c r="A350" t="s">
        <v>363</v>
      </c>
      <c r="B350">
        <v>45825</v>
      </c>
      <c r="C350">
        <v>45843</v>
      </c>
      <c r="D350" t="s">
        <v>2064</v>
      </c>
      <c r="E350">
        <v>45843</v>
      </c>
      <c r="F350">
        <v>18</v>
      </c>
      <c r="G350" t="s">
        <v>647</v>
      </c>
      <c r="H350" t="s">
        <v>654</v>
      </c>
      <c r="I350" t="s">
        <v>680</v>
      </c>
      <c r="J350" t="s">
        <v>704</v>
      </c>
      <c r="K350" t="s">
        <v>709</v>
      </c>
      <c r="L350" t="s">
        <v>716</v>
      </c>
      <c r="M350" t="s">
        <v>731</v>
      </c>
      <c r="N350" t="s">
        <v>1776</v>
      </c>
      <c r="O350" s="9">
        <v>982.93</v>
      </c>
      <c r="P350" s="9">
        <v>2299.3000000000002</v>
      </c>
      <c r="Q350" s="9">
        <v>2299.3000000000002</v>
      </c>
      <c r="R350" t="s">
        <v>2065</v>
      </c>
      <c r="S350" s="11">
        <v>0.113</v>
      </c>
      <c r="T350" t="s">
        <v>2065</v>
      </c>
      <c r="U350" s="13">
        <v>6</v>
      </c>
      <c r="V350" s="9">
        <f t="shared" si="20"/>
        <v>12236.874600000001</v>
      </c>
      <c r="W350" s="9">
        <f t="shared" si="21"/>
        <v>5897.58</v>
      </c>
      <c r="X350" s="9">
        <f t="shared" si="22"/>
        <v>6339.2946000000011</v>
      </c>
      <c r="Y350" s="11">
        <f t="shared" si="23"/>
        <v>0.51804850562087157</v>
      </c>
    </row>
    <row r="351" spans="1:25" x14ac:dyDescent="0.3">
      <c r="A351" t="s">
        <v>364</v>
      </c>
      <c r="B351">
        <v>44980</v>
      </c>
      <c r="C351">
        <v>44993</v>
      </c>
      <c r="D351" t="s">
        <v>2064</v>
      </c>
      <c r="E351">
        <v>44993</v>
      </c>
      <c r="F351">
        <v>13</v>
      </c>
      <c r="G351" t="s">
        <v>649</v>
      </c>
      <c r="H351" t="s">
        <v>658</v>
      </c>
      <c r="I351" t="s">
        <v>693</v>
      </c>
      <c r="J351" t="s">
        <v>705</v>
      </c>
      <c r="K351" t="s">
        <v>711</v>
      </c>
      <c r="L351" t="s">
        <v>712</v>
      </c>
      <c r="M351" t="s">
        <v>728</v>
      </c>
      <c r="N351" t="s">
        <v>1777</v>
      </c>
      <c r="O351" s="9">
        <v>307.37</v>
      </c>
      <c r="P351" s="9">
        <v>462.61</v>
      </c>
      <c r="Q351" s="9">
        <v>462.61</v>
      </c>
      <c r="R351" t="s">
        <v>2065</v>
      </c>
      <c r="S351" s="11">
        <v>0.188</v>
      </c>
      <c r="T351" t="s">
        <v>2065</v>
      </c>
      <c r="U351" s="13">
        <v>11</v>
      </c>
      <c r="V351" s="9">
        <f t="shared" si="20"/>
        <v>4132.0325200000007</v>
      </c>
      <c r="W351" s="9">
        <f t="shared" si="21"/>
        <v>3381.07</v>
      </c>
      <c r="X351" s="9">
        <f t="shared" si="22"/>
        <v>750.9625200000005</v>
      </c>
      <c r="Y351" s="11">
        <f t="shared" si="23"/>
        <v>0.18174167709599739</v>
      </c>
    </row>
    <row r="352" spans="1:25" x14ac:dyDescent="0.3">
      <c r="A352" t="s">
        <v>365</v>
      </c>
      <c r="B352">
        <v>45262</v>
      </c>
      <c r="C352">
        <v>45276</v>
      </c>
      <c r="D352" t="s">
        <v>2064</v>
      </c>
      <c r="E352">
        <v>45276</v>
      </c>
      <c r="F352">
        <v>14</v>
      </c>
      <c r="G352" t="s">
        <v>649</v>
      </c>
      <c r="H352" t="s">
        <v>656</v>
      </c>
      <c r="I352" t="s">
        <v>698</v>
      </c>
      <c r="J352" t="s">
        <v>702</v>
      </c>
      <c r="K352" t="s">
        <v>711</v>
      </c>
      <c r="L352" t="s">
        <v>725</v>
      </c>
      <c r="M352" t="s">
        <v>732</v>
      </c>
      <c r="N352" t="s">
        <v>1778</v>
      </c>
      <c r="O352" s="9">
        <v>879.08</v>
      </c>
      <c r="P352" s="9">
        <v>1093.3900000000001</v>
      </c>
      <c r="Q352" s="9">
        <v>1093.3900000000001</v>
      </c>
      <c r="R352" t="s">
        <v>2065</v>
      </c>
      <c r="S352" s="11">
        <v>0.113</v>
      </c>
      <c r="T352" t="s">
        <v>2065</v>
      </c>
      <c r="U352" s="13">
        <v>17</v>
      </c>
      <c r="V352" s="9">
        <f t="shared" si="20"/>
        <v>16487.22781</v>
      </c>
      <c r="W352" s="9">
        <f t="shared" si="21"/>
        <v>14944.36</v>
      </c>
      <c r="X352" s="9">
        <f t="shared" si="22"/>
        <v>1542.8678099999997</v>
      </c>
      <c r="Y352" s="11">
        <f t="shared" si="23"/>
        <v>9.3579577341935186E-2</v>
      </c>
    </row>
    <row r="353" spans="1:25" x14ac:dyDescent="0.3">
      <c r="A353" t="s">
        <v>366</v>
      </c>
      <c r="B353">
        <v>45121</v>
      </c>
      <c r="C353">
        <v>45121</v>
      </c>
      <c r="D353" t="s">
        <v>2064</v>
      </c>
      <c r="E353">
        <v>45121</v>
      </c>
      <c r="F353">
        <v>0</v>
      </c>
      <c r="G353" t="s">
        <v>646</v>
      </c>
      <c r="H353" t="s">
        <v>651</v>
      </c>
      <c r="I353" t="s">
        <v>665</v>
      </c>
      <c r="J353" t="s">
        <v>702</v>
      </c>
      <c r="K353" t="s">
        <v>707</v>
      </c>
      <c r="L353" t="s">
        <v>714</v>
      </c>
      <c r="M353" t="s">
        <v>733</v>
      </c>
      <c r="N353" t="s">
        <v>1779</v>
      </c>
      <c r="O353" s="9">
        <v>956.38</v>
      </c>
      <c r="P353" s="9">
        <v>1454.22</v>
      </c>
      <c r="Q353" s="9">
        <v>1454.22</v>
      </c>
      <c r="R353" t="s">
        <v>2065</v>
      </c>
      <c r="S353" s="11">
        <v>3.9E-2</v>
      </c>
      <c r="T353" t="s">
        <v>2065</v>
      </c>
      <c r="U353" s="13">
        <v>19</v>
      </c>
      <c r="V353" s="9">
        <f t="shared" si="20"/>
        <v>26552.60298</v>
      </c>
      <c r="W353" s="9">
        <f t="shared" si="21"/>
        <v>18171.22</v>
      </c>
      <c r="X353" s="9">
        <f t="shared" si="22"/>
        <v>8381.3829799999985</v>
      </c>
      <c r="Y353" s="11">
        <f t="shared" si="23"/>
        <v>0.31565202802576603</v>
      </c>
    </row>
    <row r="354" spans="1:25" x14ac:dyDescent="0.3">
      <c r="A354" t="s">
        <v>367</v>
      </c>
      <c r="B354">
        <v>45512</v>
      </c>
      <c r="C354">
        <v>45524</v>
      </c>
      <c r="D354" t="s">
        <v>2064</v>
      </c>
      <c r="E354">
        <v>45524</v>
      </c>
      <c r="F354">
        <v>12</v>
      </c>
      <c r="G354" t="s">
        <v>647</v>
      </c>
      <c r="H354" t="s">
        <v>652</v>
      </c>
      <c r="I354" t="s">
        <v>666</v>
      </c>
      <c r="J354" t="s">
        <v>705</v>
      </c>
      <c r="K354" t="s">
        <v>707</v>
      </c>
      <c r="L354" t="s">
        <v>722</v>
      </c>
      <c r="M354" t="s">
        <v>729</v>
      </c>
      <c r="N354" t="s">
        <v>1780</v>
      </c>
      <c r="O354" s="9">
        <v>1233.3599999999999</v>
      </c>
      <c r="P354" s="9">
        <v>2120.4</v>
      </c>
      <c r="Q354" s="9">
        <v>2120.4</v>
      </c>
      <c r="R354" t="s">
        <v>2065</v>
      </c>
      <c r="S354" s="11">
        <v>0.17899999999999999</v>
      </c>
      <c r="T354" t="s">
        <v>2065</v>
      </c>
      <c r="U354" s="13">
        <v>20</v>
      </c>
      <c r="V354" s="9">
        <f t="shared" si="20"/>
        <v>34816.968000000001</v>
      </c>
      <c r="W354" s="9">
        <f t="shared" si="21"/>
        <v>24667.199999999997</v>
      </c>
      <c r="X354" s="9">
        <f t="shared" si="22"/>
        <v>10149.768000000004</v>
      </c>
      <c r="Y354" s="11">
        <f t="shared" si="23"/>
        <v>0.29151785991244278</v>
      </c>
    </row>
    <row r="355" spans="1:25" x14ac:dyDescent="0.3">
      <c r="A355" t="s">
        <v>368</v>
      </c>
      <c r="B355">
        <v>45603</v>
      </c>
      <c r="C355">
        <v>45622</v>
      </c>
      <c r="D355" t="s">
        <v>2064</v>
      </c>
      <c r="E355">
        <v>45622</v>
      </c>
      <c r="F355">
        <v>19</v>
      </c>
      <c r="G355" t="s">
        <v>648</v>
      </c>
      <c r="H355" t="s">
        <v>655</v>
      </c>
      <c r="I355" t="s">
        <v>1426</v>
      </c>
      <c r="J355" t="s">
        <v>703</v>
      </c>
      <c r="K355" t="s">
        <v>710</v>
      </c>
      <c r="L355" t="s">
        <v>713</v>
      </c>
      <c r="M355" t="s">
        <v>728</v>
      </c>
      <c r="N355" t="s">
        <v>1781</v>
      </c>
      <c r="O355" s="9">
        <v>55.35</v>
      </c>
      <c r="P355" s="9">
        <v>128.68</v>
      </c>
      <c r="Q355" s="9">
        <v>128.68</v>
      </c>
      <c r="R355" t="s">
        <v>2065</v>
      </c>
      <c r="S355" s="11">
        <v>0.128</v>
      </c>
      <c r="T355" t="s">
        <v>2065</v>
      </c>
      <c r="U355" s="13">
        <v>10</v>
      </c>
      <c r="V355" s="9">
        <f t="shared" si="20"/>
        <v>1122.0896000000002</v>
      </c>
      <c r="W355" s="9">
        <f t="shared" si="21"/>
        <v>553.5</v>
      </c>
      <c r="X355" s="9">
        <f t="shared" si="22"/>
        <v>568.58960000000025</v>
      </c>
      <c r="Y355" s="11">
        <f t="shared" si="23"/>
        <v>0.50672388372550647</v>
      </c>
    </row>
    <row r="356" spans="1:25" x14ac:dyDescent="0.3">
      <c r="A356" t="s">
        <v>369</v>
      </c>
      <c r="B356">
        <v>45292</v>
      </c>
      <c r="C356">
        <v>45318</v>
      </c>
      <c r="D356" t="s">
        <v>2064</v>
      </c>
      <c r="E356">
        <v>45318</v>
      </c>
      <c r="F356">
        <v>26</v>
      </c>
      <c r="G356" t="s">
        <v>649</v>
      </c>
      <c r="H356" t="s">
        <v>658</v>
      </c>
      <c r="I356" t="s">
        <v>693</v>
      </c>
      <c r="J356" t="s">
        <v>702</v>
      </c>
      <c r="K356" t="s">
        <v>710</v>
      </c>
      <c r="L356" t="s">
        <v>726</v>
      </c>
      <c r="M356" t="s">
        <v>733</v>
      </c>
      <c r="N356" t="s">
        <v>1782</v>
      </c>
      <c r="O356" s="9">
        <v>657.45</v>
      </c>
      <c r="P356" s="9">
        <v>1325.96</v>
      </c>
      <c r="Q356" s="9">
        <v>1325.96</v>
      </c>
      <c r="R356" t="s">
        <v>2065</v>
      </c>
      <c r="S356" s="11">
        <v>0.16700000000000001</v>
      </c>
      <c r="T356" t="s">
        <v>2065</v>
      </c>
      <c r="U356" s="13">
        <v>21</v>
      </c>
      <c r="V356" s="9">
        <f t="shared" si="20"/>
        <v>23195.01828</v>
      </c>
      <c r="W356" s="9">
        <f t="shared" si="21"/>
        <v>13806.45</v>
      </c>
      <c r="X356" s="9">
        <f t="shared" si="22"/>
        <v>9388.5682799999995</v>
      </c>
      <c r="Y356" s="11">
        <f t="shared" si="23"/>
        <v>0.40476658249048808</v>
      </c>
    </row>
    <row r="357" spans="1:25" x14ac:dyDescent="0.3">
      <c r="A357" t="s">
        <v>370</v>
      </c>
      <c r="B357">
        <v>45883</v>
      </c>
      <c r="C357">
        <v>45911</v>
      </c>
      <c r="D357" t="s">
        <v>2064</v>
      </c>
      <c r="E357">
        <v>45911</v>
      </c>
      <c r="F357">
        <v>28</v>
      </c>
      <c r="G357" t="s">
        <v>648</v>
      </c>
      <c r="H357" t="s">
        <v>655</v>
      </c>
      <c r="I357" t="s">
        <v>670</v>
      </c>
      <c r="J357" t="s">
        <v>703</v>
      </c>
      <c r="K357" t="s">
        <v>711</v>
      </c>
      <c r="L357" t="s">
        <v>721</v>
      </c>
      <c r="M357" t="s">
        <v>728</v>
      </c>
      <c r="N357" t="s">
        <v>1783</v>
      </c>
      <c r="O357" s="9">
        <v>1203.02</v>
      </c>
      <c r="P357" s="9">
        <v>2439.33</v>
      </c>
      <c r="Q357" s="9">
        <v>2439.33</v>
      </c>
      <c r="R357" t="s">
        <v>2065</v>
      </c>
      <c r="S357" s="11">
        <v>0</v>
      </c>
      <c r="T357" t="s">
        <v>2065</v>
      </c>
      <c r="U357" s="13">
        <v>18</v>
      </c>
      <c r="V357" s="9">
        <f t="shared" si="20"/>
        <v>43907.94</v>
      </c>
      <c r="W357" s="9">
        <f t="shared" si="21"/>
        <v>21654.36</v>
      </c>
      <c r="X357" s="9">
        <f t="shared" si="22"/>
        <v>22253.58</v>
      </c>
      <c r="Y357" s="11">
        <f t="shared" si="23"/>
        <v>0.50682359500354612</v>
      </c>
    </row>
    <row r="358" spans="1:25" x14ac:dyDescent="0.3">
      <c r="A358" t="s">
        <v>371</v>
      </c>
      <c r="B358">
        <v>45385</v>
      </c>
      <c r="C358">
        <v>45403</v>
      </c>
      <c r="D358" t="s">
        <v>2064</v>
      </c>
      <c r="E358">
        <v>45403</v>
      </c>
      <c r="F358">
        <v>18</v>
      </c>
      <c r="G358" t="s">
        <v>648</v>
      </c>
      <c r="H358" t="s">
        <v>655</v>
      </c>
      <c r="I358" t="s">
        <v>672</v>
      </c>
      <c r="J358" t="s">
        <v>705</v>
      </c>
      <c r="K358" t="s">
        <v>710</v>
      </c>
      <c r="L358" t="s">
        <v>717</v>
      </c>
      <c r="M358" t="s">
        <v>729</v>
      </c>
      <c r="N358" t="s">
        <v>1784</v>
      </c>
      <c r="O358" s="9">
        <v>1176.69</v>
      </c>
      <c r="P358" s="9">
        <v>2201.54</v>
      </c>
      <c r="Q358" s="9">
        <v>2201.54</v>
      </c>
      <c r="R358" t="s">
        <v>2065</v>
      </c>
      <c r="S358" s="11">
        <v>0.17</v>
      </c>
      <c r="T358" t="s">
        <v>2065</v>
      </c>
      <c r="U358" s="13">
        <v>27</v>
      </c>
      <c r="V358" s="9">
        <f t="shared" si="20"/>
        <v>49336.511399999996</v>
      </c>
      <c r="W358" s="9">
        <f t="shared" si="21"/>
        <v>31770.63</v>
      </c>
      <c r="X358" s="9">
        <f t="shared" si="22"/>
        <v>17565.881399999995</v>
      </c>
      <c r="Y358" s="11">
        <f t="shared" si="23"/>
        <v>0.35604222717701106</v>
      </c>
    </row>
    <row r="359" spans="1:25" x14ac:dyDescent="0.3">
      <c r="A359" t="s">
        <v>372</v>
      </c>
      <c r="B359">
        <v>45621</v>
      </c>
      <c r="C359">
        <v>45633</v>
      </c>
      <c r="D359" t="s">
        <v>2064</v>
      </c>
      <c r="E359">
        <v>45633</v>
      </c>
      <c r="F359">
        <v>12</v>
      </c>
      <c r="G359" t="s">
        <v>647</v>
      </c>
      <c r="H359" t="s">
        <v>659</v>
      </c>
      <c r="I359" t="s">
        <v>685</v>
      </c>
      <c r="J359" t="s">
        <v>701</v>
      </c>
      <c r="K359" t="s">
        <v>710</v>
      </c>
      <c r="L359" t="s">
        <v>720</v>
      </c>
      <c r="M359" t="s">
        <v>733</v>
      </c>
      <c r="N359" t="s">
        <v>1785</v>
      </c>
      <c r="O359" s="9">
        <v>769.9</v>
      </c>
      <c r="P359" s="9">
        <v>814.36</v>
      </c>
      <c r="Q359" s="9">
        <v>814.36</v>
      </c>
      <c r="R359" t="s">
        <v>2065</v>
      </c>
      <c r="S359" s="11">
        <v>0</v>
      </c>
      <c r="T359" t="s">
        <v>2065</v>
      </c>
      <c r="U359" s="13">
        <v>5</v>
      </c>
      <c r="V359" s="9">
        <f t="shared" si="20"/>
        <v>4071.8</v>
      </c>
      <c r="W359" s="9">
        <f t="shared" si="21"/>
        <v>3849.5</v>
      </c>
      <c r="X359" s="9">
        <f t="shared" si="22"/>
        <v>222.30000000000018</v>
      </c>
      <c r="Y359" s="11">
        <f t="shared" si="23"/>
        <v>5.4595019401738831E-2</v>
      </c>
    </row>
    <row r="360" spans="1:25" x14ac:dyDescent="0.3">
      <c r="A360" t="s">
        <v>373</v>
      </c>
      <c r="B360">
        <v>45309</v>
      </c>
      <c r="C360">
        <v>45325</v>
      </c>
      <c r="D360" t="s">
        <v>2064</v>
      </c>
      <c r="E360">
        <v>45325</v>
      </c>
      <c r="F360">
        <v>16</v>
      </c>
      <c r="G360" t="s">
        <v>646</v>
      </c>
      <c r="H360" t="s">
        <v>661</v>
      </c>
      <c r="I360" t="s">
        <v>695</v>
      </c>
      <c r="J360" t="s">
        <v>703</v>
      </c>
      <c r="K360" t="s">
        <v>710</v>
      </c>
      <c r="L360" t="s">
        <v>716</v>
      </c>
      <c r="M360" t="s">
        <v>728</v>
      </c>
      <c r="N360" t="s">
        <v>1786</v>
      </c>
      <c r="O360" s="9">
        <v>666.23</v>
      </c>
      <c r="P360" s="9">
        <v>1382.91</v>
      </c>
      <c r="Q360" s="9">
        <v>1382.91</v>
      </c>
      <c r="R360" t="s">
        <v>2065</v>
      </c>
      <c r="S360" s="11">
        <v>0.17599999999999999</v>
      </c>
      <c r="T360" t="s">
        <v>2065</v>
      </c>
      <c r="U360" s="13">
        <v>13</v>
      </c>
      <c r="V360" s="9">
        <f t="shared" si="20"/>
        <v>14813.731920000002</v>
      </c>
      <c r="W360" s="9">
        <f t="shared" si="21"/>
        <v>8660.99</v>
      </c>
      <c r="X360" s="9">
        <f t="shared" si="22"/>
        <v>6152.7419200000022</v>
      </c>
      <c r="Y360" s="11">
        <f t="shared" si="23"/>
        <v>0.41534043907553048</v>
      </c>
    </row>
    <row r="361" spans="1:25" x14ac:dyDescent="0.3">
      <c r="A361" t="s">
        <v>374</v>
      </c>
      <c r="B361">
        <v>45466</v>
      </c>
      <c r="C361">
        <v>45468</v>
      </c>
      <c r="D361" t="s">
        <v>2064</v>
      </c>
      <c r="E361">
        <v>45468</v>
      </c>
      <c r="F361">
        <v>2</v>
      </c>
      <c r="G361" t="s">
        <v>649</v>
      </c>
      <c r="H361" t="s">
        <v>658</v>
      </c>
      <c r="I361" t="s">
        <v>674</v>
      </c>
      <c r="J361" t="s">
        <v>705</v>
      </c>
      <c r="K361" t="s">
        <v>709</v>
      </c>
      <c r="L361" t="s">
        <v>716</v>
      </c>
      <c r="M361" t="s">
        <v>733</v>
      </c>
      <c r="N361" t="s">
        <v>1787</v>
      </c>
      <c r="O361" s="9">
        <v>951.44</v>
      </c>
      <c r="P361" s="9">
        <v>1646.43</v>
      </c>
      <c r="Q361" s="9">
        <v>1646.43</v>
      </c>
      <c r="R361" t="s">
        <v>2065</v>
      </c>
      <c r="S361" s="11">
        <v>0.11</v>
      </c>
      <c r="T361" t="s">
        <v>2065</v>
      </c>
      <c r="U361" s="13">
        <v>24</v>
      </c>
      <c r="V361" s="9">
        <f t="shared" si="20"/>
        <v>35167.7448</v>
      </c>
      <c r="W361" s="9">
        <f t="shared" si="21"/>
        <v>22834.560000000001</v>
      </c>
      <c r="X361" s="9">
        <f t="shared" si="22"/>
        <v>12333.184799999999</v>
      </c>
      <c r="Y361" s="11">
        <f t="shared" si="23"/>
        <v>0.35069592520473475</v>
      </c>
    </row>
    <row r="362" spans="1:25" x14ac:dyDescent="0.3">
      <c r="A362" t="s">
        <v>375</v>
      </c>
      <c r="B362">
        <v>45833</v>
      </c>
      <c r="C362">
        <v>45848</v>
      </c>
      <c r="D362" t="s">
        <v>2064</v>
      </c>
      <c r="E362">
        <v>45848</v>
      </c>
      <c r="F362">
        <v>15</v>
      </c>
      <c r="G362" t="s">
        <v>649</v>
      </c>
      <c r="H362" t="s">
        <v>658</v>
      </c>
      <c r="I362" t="s">
        <v>674</v>
      </c>
      <c r="J362" t="s">
        <v>703</v>
      </c>
      <c r="K362" t="s">
        <v>709</v>
      </c>
      <c r="L362" t="s">
        <v>726</v>
      </c>
      <c r="M362" t="s">
        <v>730</v>
      </c>
      <c r="N362" t="s">
        <v>1788</v>
      </c>
      <c r="O362" s="9">
        <v>546.83000000000004</v>
      </c>
      <c r="P362" s="9">
        <v>400.84</v>
      </c>
      <c r="Q362" s="9">
        <v>400.84</v>
      </c>
      <c r="R362" t="s">
        <v>2065</v>
      </c>
      <c r="S362" s="11">
        <v>7.8E-2</v>
      </c>
      <c r="T362" t="s">
        <v>2065</v>
      </c>
      <c r="U362" s="13">
        <v>13</v>
      </c>
      <c r="V362" s="9">
        <f t="shared" si="20"/>
        <v>4804.4682400000002</v>
      </c>
      <c r="W362" s="9">
        <f t="shared" si="21"/>
        <v>7108.7900000000009</v>
      </c>
      <c r="X362" s="9">
        <f t="shared" si="22"/>
        <v>-2304.3217600000007</v>
      </c>
      <c r="Y362" s="11">
        <f t="shared" si="23"/>
        <v>-0.47962056254533608</v>
      </c>
    </row>
    <row r="363" spans="1:25" x14ac:dyDescent="0.3">
      <c r="A363" t="s">
        <v>376</v>
      </c>
      <c r="B363">
        <v>45108</v>
      </c>
      <c r="C363">
        <v>45115</v>
      </c>
      <c r="D363" t="s">
        <v>2064</v>
      </c>
      <c r="E363">
        <v>45115</v>
      </c>
      <c r="F363">
        <v>7</v>
      </c>
      <c r="G363" t="s">
        <v>646</v>
      </c>
      <c r="H363" t="s">
        <v>651</v>
      </c>
      <c r="I363" t="s">
        <v>663</v>
      </c>
      <c r="J363" t="s">
        <v>701</v>
      </c>
      <c r="K363" t="s">
        <v>707</v>
      </c>
      <c r="L363" t="s">
        <v>720</v>
      </c>
      <c r="M363" t="s">
        <v>731</v>
      </c>
      <c r="N363" t="s">
        <v>1789</v>
      </c>
      <c r="O363" s="9">
        <v>834.26</v>
      </c>
      <c r="P363" s="9">
        <v>1780.56</v>
      </c>
      <c r="Q363" s="9">
        <v>1780.56</v>
      </c>
      <c r="R363" t="s">
        <v>2065</v>
      </c>
      <c r="S363" s="11">
        <v>1.4E-2</v>
      </c>
      <c r="T363" t="s">
        <v>2065</v>
      </c>
      <c r="U363" s="13">
        <v>47</v>
      </c>
      <c r="V363" s="9">
        <f t="shared" si="20"/>
        <v>82514.711519999997</v>
      </c>
      <c r="W363" s="9">
        <f t="shared" si="21"/>
        <v>39210.22</v>
      </c>
      <c r="X363" s="9">
        <f t="shared" si="22"/>
        <v>43304.491519999996</v>
      </c>
      <c r="Y363" s="11">
        <f t="shared" si="23"/>
        <v>0.5248093427497933</v>
      </c>
    </row>
    <row r="364" spans="1:25" x14ac:dyDescent="0.3">
      <c r="A364" t="s">
        <v>377</v>
      </c>
      <c r="B364">
        <v>45360</v>
      </c>
      <c r="C364">
        <v>45377</v>
      </c>
      <c r="D364" t="s">
        <v>2064</v>
      </c>
      <c r="E364">
        <v>45377</v>
      </c>
      <c r="F364">
        <v>17</v>
      </c>
      <c r="G364" t="s">
        <v>647</v>
      </c>
      <c r="H364" t="s">
        <v>659</v>
      </c>
      <c r="I364" t="s">
        <v>676</v>
      </c>
      <c r="J364" t="s">
        <v>706</v>
      </c>
      <c r="K364" t="s">
        <v>708</v>
      </c>
      <c r="L364" t="s">
        <v>723</v>
      </c>
      <c r="M364" t="s">
        <v>732</v>
      </c>
      <c r="N364" t="s">
        <v>1790</v>
      </c>
      <c r="O364" s="9">
        <v>1029.67</v>
      </c>
      <c r="P364" s="9">
        <v>1118.43</v>
      </c>
      <c r="Q364" s="9">
        <v>1118.43</v>
      </c>
      <c r="R364" t="s">
        <v>2065</v>
      </c>
      <c r="S364" s="11">
        <v>0.27200000000000002</v>
      </c>
      <c r="T364" t="s">
        <v>2065</v>
      </c>
      <c r="U364" s="13">
        <v>9</v>
      </c>
      <c r="V364" s="9">
        <f t="shared" si="20"/>
        <v>7327.9533600000004</v>
      </c>
      <c r="W364" s="9">
        <f t="shared" si="21"/>
        <v>9267.0300000000007</v>
      </c>
      <c r="X364" s="9">
        <f t="shared" si="22"/>
        <v>-1939.0766400000002</v>
      </c>
      <c r="Y364" s="11">
        <f t="shared" si="23"/>
        <v>-0.26461367106736061</v>
      </c>
    </row>
    <row r="365" spans="1:25" x14ac:dyDescent="0.3">
      <c r="A365" t="s">
        <v>378</v>
      </c>
      <c r="B365">
        <v>45082</v>
      </c>
      <c r="C365">
        <v>45105</v>
      </c>
      <c r="D365" t="s">
        <v>2064</v>
      </c>
      <c r="E365">
        <v>45105</v>
      </c>
      <c r="F365">
        <v>23</v>
      </c>
      <c r="G365" t="s">
        <v>649</v>
      </c>
      <c r="H365" t="s">
        <v>658</v>
      </c>
      <c r="I365" t="s">
        <v>674</v>
      </c>
      <c r="J365" t="s">
        <v>701</v>
      </c>
      <c r="K365" t="s">
        <v>711</v>
      </c>
      <c r="L365" t="s">
        <v>723</v>
      </c>
      <c r="M365" t="s">
        <v>728</v>
      </c>
      <c r="N365" t="s">
        <v>1791</v>
      </c>
      <c r="O365" s="9">
        <v>605.82000000000005</v>
      </c>
      <c r="P365" s="9">
        <v>771.12</v>
      </c>
      <c r="Q365" s="9">
        <v>771.12</v>
      </c>
      <c r="R365" t="s">
        <v>2065</v>
      </c>
      <c r="S365" s="11">
        <v>0.13200000000000001</v>
      </c>
      <c r="T365" t="s">
        <v>2065</v>
      </c>
      <c r="U365" s="13">
        <v>19</v>
      </c>
      <c r="V365" s="9">
        <f t="shared" si="20"/>
        <v>12717.311040000001</v>
      </c>
      <c r="W365" s="9">
        <f t="shared" si="21"/>
        <v>11510.580000000002</v>
      </c>
      <c r="X365" s="9">
        <f t="shared" si="22"/>
        <v>1206.7310399999988</v>
      </c>
      <c r="Y365" s="11">
        <f t="shared" si="23"/>
        <v>9.4888851597986767E-2</v>
      </c>
    </row>
    <row r="366" spans="1:25" x14ac:dyDescent="0.3">
      <c r="A366" t="s">
        <v>379</v>
      </c>
      <c r="B366">
        <v>45737</v>
      </c>
      <c r="C366">
        <v>45756</v>
      </c>
      <c r="D366" t="s">
        <v>2064</v>
      </c>
      <c r="E366">
        <v>45756</v>
      </c>
      <c r="F366">
        <v>19</v>
      </c>
      <c r="G366" t="s">
        <v>647</v>
      </c>
      <c r="H366" t="s">
        <v>652</v>
      </c>
      <c r="I366" t="s">
        <v>689</v>
      </c>
      <c r="J366" t="s">
        <v>705</v>
      </c>
      <c r="K366" t="s">
        <v>710</v>
      </c>
      <c r="L366" t="s">
        <v>718</v>
      </c>
      <c r="M366" t="s">
        <v>727</v>
      </c>
      <c r="N366" t="s">
        <v>1792</v>
      </c>
      <c r="O366" s="9">
        <v>1055.45</v>
      </c>
      <c r="P366" s="9">
        <v>1210.04</v>
      </c>
      <c r="Q366" s="9">
        <v>1210.04</v>
      </c>
      <c r="R366" t="s">
        <v>2065</v>
      </c>
      <c r="S366" s="11">
        <v>8.9999999999999993E-3</v>
      </c>
      <c r="T366" t="s">
        <v>2065</v>
      </c>
      <c r="U366" s="13">
        <v>18</v>
      </c>
      <c r="V366" s="9">
        <f t="shared" si="20"/>
        <v>21584.693520000001</v>
      </c>
      <c r="W366" s="9">
        <f t="shared" si="21"/>
        <v>18998.100000000002</v>
      </c>
      <c r="X366" s="9">
        <f t="shared" si="22"/>
        <v>2586.5935199999985</v>
      </c>
      <c r="Y366" s="11">
        <f t="shared" si="23"/>
        <v>0.1198346188053727</v>
      </c>
    </row>
    <row r="367" spans="1:25" x14ac:dyDescent="0.3">
      <c r="A367" t="s">
        <v>380</v>
      </c>
      <c r="B367">
        <v>45445</v>
      </c>
      <c r="C367">
        <v>45458</v>
      </c>
      <c r="D367" t="s">
        <v>2064</v>
      </c>
      <c r="E367">
        <v>45458</v>
      </c>
      <c r="F367">
        <v>13</v>
      </c>
      <c r="G367" t="s">
        <v>646</v>
      </c>
      <c r="H367" t="s">
        <v>650</v>
      </c>
      <c r="I367" t="s">
        <v>675</v>
      </c>
      <c r="J367" t="s">
        <v>702</v>
      </c>
      <c r="K367" t="s">
        <v>708</v>
      </c>
      <c r="L367" t="s">
        <v>719</v>
      </c>
      <c r="M367" t="s">
        <v>730</v>
      </c>
      <c r="N367" t="s">
        <v>1793</v>
      </c>
      <c r="O367" s="9">
        <v>1295.18</v>
      </c>
      <c r="P367" s="9">
        <v>3024.03</v>
      </c>
      <c r="Q367" s="9">
        <v>3024.03</v>
      </c>
      <c r="R367" t="s">
        <v>2065</v>
      </c>
      <c r="S367" s="11">
        <v>0.192</v>
      </c>
      <c r="T367" t="s">
        <v>2065</v>
      </c>
      <c r="U367" s="13">
        <v>8</v>
      </c>
      <c r="V367" s="9">
        <f t="shared" si="20"/>
        <v>19547.329920000004</v>
      </c>
      <c r="W367" s="9">
        <f t="shared" si="21"/>
        <v>10361.44</v>
      </c>
      <c r="X367" s="9">
        <f t="shared" si="22"/>
        <v>9185.8899200000033</v>
      </c>
      <c r="Y367" s="11">
        <f t="shared" si="23"/>
        <v>0.46993067378483178</v>
      </c>
    </row>
    <row r="368" spans="1:25" x14ac:dyDescent="0.3">
      <c r="A368" t="s">
        <v>381</v>
      </c>
      <c r="B368">
        <v>45731</v>
      </c>
      <c r="C368">
        <v>45745</v>
      </c>
      <c r="D368" t="s">
        <v>2064</v>
      </c>
      <c r="E368">
        <v>45745</v>
      </c>
      <c r="F368">
        <v>14</v>
      </c>
      <c r="G368" t="s">
        <v>647</v>
      </c>
      <c r="H368" t="s">
        <v>654</v>
      </c>
      <c r="I368" t="s">
        <v>691</v>
      </c>
      <c r="J368" t="s">
        <v>706</v>
      </c>
      <c r="K368" t="s">
        <v>711</v>
      </c>
      <c r="L368" t="s">
        <v>712</v>
      </c>
      <c r="M368" t="s">
        <v>727</v>
      </c>
      <c r="N368" t="s">
        <v>1794</v>
      </c>
      <c r="O368" s="9">
        <v>935.83</v>
      </c>
      <c r="P368" s="9">
        <v>2303.46</v>
      </c>
      <c r="Q368" s="9">
        <v>2303.46</v>
      </c>
      <c r="R368" t="s">
        <v>2065</v>
      </c>
      <c r="S368" s="11">
        <v>0.105</v>
      </c>
      <c r="T368" t="s">
        <v>2065</v>
      </c>
      <c r="U368" s="13">
        <v>9</v>
      </c>
      <c r="V368" s="9">
        <f t="shared" si="20"/>
        <v>18554.370299999999</v>
      </c>
      <c r="W368" s="9">
        <f t="shared" si="21"/>
        <v>8422.4700000000012</v>
      </c>
      <c r="X368" s="9">
        <f t="shared" si="22"/>
        <v>10131.900299999998</v>
      </c>
      <c r="Y368" s="11">
        <f t="shared" si="23"/>
        <v>0.54606543559174292</v>
      </c>
    </row>
    <row r="369" spans="1:25" x14ac:dyDescent="0.3">
      <c r="A369" t="s">
        <v>382</v>
      </c>
      <c r="B369">
        <v>45194</v>
      </c>
      <c r="C369">
        <v>45208</v>
      </c>
      <c r="D369" t="s">
        <v>2064</v>
      </c>
      <c r="E369">
        <v>45208</v>
      </c>
      <c r="F369">
        <v>14</v>
      </c>
      <c r="G369" t="s">
        <v>648</v>
      </c>
      <c r="H369" t="s">
        <v>1425</v>
      </c>
      <c r="I369" t="s">
        <v>700</v>
      </c>
      <c r="J369" t="s">
        <v>705</v>
      </c>
      <c r="K369" t="s">
        <v>709</v>
      </c>
      <c r="L369" t="s">
        <v>713</v>
      </c>
      <c r="M369" t="s">
        <v>731</v>
      </c>
      <c r="N369" t="s">
        <v>1795</v>
      </c>
      <c r="O369" s="9">
        <v>1279.56</v>
      </c>
      <c r="P369" s="9">
        <v>3083.8</v>
      </c>
      <c r="Q369" s="9">
        <v>3083.8</v>
      </c>
      <c r="R369" t="s">
        <v>2065</v>
      </c>
      <c r="S369" s="11">
        <v>0.106</v>
      </c>
      <c r="T369" t="s">
        <v>2065</v>
      </c>
      <c r="U369" s="13">
        <v>5</v>
      </c>
      <c r="V369" s="9">
        <f t="shared" si="20"/>
        <v>13784.586000000001</v>
      </c>
      <c r="W369" s="9">
        <f t="shared" si="21"/>
        <v>6397.7999999999993</v>
      </c>
      <c r="X369" s="9">
        <f t="shared" si="22"/>
        <v>7386.7860000000019</v>
      </c>
      <c r="Y369" s="11">
        <f t="shared" si="23"/>
        <v>0.53587289455047848</v>
      </c>
    </row>
    <row r="370" spans="1:25" x14ac:dyDescent="0.3">
      <c r="A370" t="s">
        <v>383</v>
      </c>
      <c r="B370">
        <v>45832</v>
      </c>
      <c r="C370">
        <v>45861</v>
      </c>
      <c r="D370" t="s">
        <v>2064</v>
      </c>
      <c r="E370">
        <v>45861</v>
      </c>
      <c r="F370">
        <v>29</v>
      </c>
      <c r="G370" t="s">
        <v>648</v>
      </c>
      <c r="H370" t="s">
        <v>653</v>
      </c>
      <c r="I370" t="s">
        <v>688</v>
      </c>
      <c r="J370" t="s">
        <v>703</v>
      </c>
      <c r="K370" t="s">
        <v>709</v>
      </c>
      <c r="L370" t="s">
        <v>714</v>
      </c>
      <c r="M370" t="s">
        <v>728</v>
      </c>
      <c r="N370" t="s">
        <v>1796</v>
      </c>
      <c r="O370" s="9">
        <v>255.4</v>
      </c>
      <c r="P370" s="9">
        <v>322.70999999999998</v>
      </c>
      <c r="Q370" s="9">
        <v>322.70999999999998</v>
      </c>
      <c r="R370" t="s">
        <v>2065</v>
      </c>
      <c r="S370" s="11">
        <v>0.115</v>
      </c>
      <c r="T370" t="s">
        <v>2065</v>
      </c>
      <c r="U370" s="13">
        <v>16</v>
      </c>
      <c r="V370" s="9">
        <f t="shared" si="20"/>
        <v>4569.5735999999997</v>
      </c>
      <c r="W370" s="9">
        <f t="shared" si="21"/>
        <v>4086.4</v>
      </c>
      <c r="X370" s="9">
        <f t="shared" si="22"/>
        <v>483.17359999999962</v>
      </c>
      <c r="Y370" s="11">
        <f t="shared" si="23"/>
        <v>0.10573713048412212</v>
      </c>
    </row>
    <row r="371" spans="1:25" x14ac:dyDescent="0.3">
      <c r="A371" t="s">
        <v>384</v>
      </c>
      <c r="B371">
        <v>45286</v>
      </c>
      <c r="C371">
        <v>45294</v>
      </c>
      <c r="D371" t="s">
        <v>2064</v>
      </c>
      <c r="E371">
        <v>45294</v>
      </c>
      <c r="F371">
        <v>8</v>
      </c>
      <c r="G371" t="s">
        <v>649</v>
      </c>
      <c r="H371" t="s">
        <v>657</v>
      </c>
      <c r="I371" t="s">
        <v>679</v>
      </c>
      <c r="J371" t="s">
        <v>705</v>
      </c>
      <c r="K371" t="s">
        <v>707</v>
      </c>
      <c r="L371" t="s">
        <v>724</v>
      </c>
      <c r="M371" t="s">
        <v>731</v>
      </c>
      <c r="N371" t="s">
        <v>1797</v>
      </c>
      <c r="O371" s="9">
        <v>492.75</v>
      </c>
      <c r="P371" s="9">
        <v>731.29</v>
      </c>
      <c r="Q371" s="9">
        <v>731.29</v>
      </c>
      <c r="R371" t="s">
        <v>2065</v>
      </c>
      <c r="S371" s="11">
        <v>5.8000000000000003E-2</v>
      </c>
      <c r="T371" t="s">
        <v>2065</v>
      </c>
      <c r="U371" s="13">
        <v>6</v>
      </c>
      <c r="V371" s="9">
        <f t="shared" si="20"/>
        <v>4133.25108</v>
      </c>
      <c r="W371" s="9">
        <f t="shared" si="21"/>
        <v>2956.5</v>
      </c>
      <c r="X371" s="9">
        <f t="shared" si="22"/>
        <v>1176.75108</v>
      </c>
      <c r="Y371" s="11">
        <f t="shared" si="23"/>
        <v>0.28470350753528384</v>
      </c>
    </row>
    <row r="372" spans="1:25" x14ac:dyDescent="0.3">
      <c r="A372" t="s">
        <v>385</v>
      </c>
      <c r="B372">
        <v>44962</v>
      </c>
      <c r="C372">
        <v>44985</v>
      </c>
      <c r="D372" t="s">
        <v>2064</v>
      </c>
      <c r="E372">
        <v>44985</v>
      </c>
      <c r="F372">
        <v>23</v>
      </c>
      <c r="G372" t="s">
        <v>648</v>
      </c>
      <c r="H372" t="s">
        <v>1425</v>
      </c>
      <c r="I372" t="s">
        <v>697</v>
      </c>
      <c r="J372" t="s">
        <v>703</v>
      </c>
      <c r="K372" t="s">
        <v>710</v>
      </c>
      <c r="L372" t="s">
        <v>716</v>
      </c>
      <c r="M372" t="s">
        <v>730</v>
      </c>
      <c r="N372" t="s">
        <v>1798</v>
      </c>
      <c r="O372" s="9">
        <v>1214.49</v>
      </c>
      <c r="P372" s="9">
        <v>1533.95</v>
      </c>
      <c r="Q372" s="9">
        <v>1533.95</v>
      </c>
      <c r="R372" t="s">
        <v>2065</v>
      </c>
      <c r="S372" s="11">
        <v>0</v>
      </c>
      <c r="T372" t="s">
        <v>2065</v>
      </c>
      <c r="U372" s="13">
        <v>11</v>
      </c>
      <c r="V372" s="9">
        <f t="shared" si="20"/>
        <v>16873.45</v>
      </c>
      <c r="W372" s="9">
        <f t="shared" si="21"/>
        <v>13359.39</v>
      </c>
      <c r="X372" s="9">
        <f t="shared" si="22"/>
        <v>3514.0600000000013</v>
      </c>
      <c r="Y372" s="11">
        <f t="shared" si="23"/>
        <v>0.20825972163369086</v>
      </c>
    </row>
    <row r="373" spans="1:25" x14ac:dyDescent="0.3">
      <c r="A373" t="s">
        <v>386</v>
      </c>
      <c r="B373">
        <v>45022</v>
      </c>
      <c r="C373">
        <v>45024</v>
      </c>
      <c r="D373" t="s">
        <v>2064</v>
      </c>
      <c r="E373">
        <v>45024</v>
      </c>
      <c r="F373">
        <v>2</v>
      </c>
      <c r="G373" t="s">
        <v>646</v>
      </c>
      <c r="H373" t="s">
        <v>651</v>
      </c>
      <c r="I373" t="s">
        <v>669</v>
      </c>
      <c r="J373" t="s">
        <v>705</v>
      </c>
      <c r="K373" t="s">
        <v>709</v>
      </c>
      <c r="L373" t="s">
        <v>723</v>
      </c>
      <c r="M373" t="s">
        <v>732</v>
      </c>
      <c r="N373" t="s">
        <v>1799</v>
      </c>
      <c r="O373" s="9">
        <v>720.35</v>
      </c>
      <c r="P373" s="9">
        <v>1571.66</v>
      </c>
      <c r="Q373" s="9">
        <v>1571.66</v>
      </c>
      <c r="R373" t="s">
        <v>2065</v>
      </c>
      <c r="S373" s="11">
        <v>0.107</v>
      </c>
      <c r="T373" t="s">
        <v>2065</v>
      </c>
      <c r="U373" s="13">
        <v>23</v>
      </c>
      <c r="V373" s="9">
        <f t="shared" si="20"/>
        <v>32280.32474</v>
      </c>
      <c r="W373" s="9">
        <f t="shared" si="21"/>
        <v>16568.05</v>
      </c>
      <c r="X373" s="9">
        <f t="shared" si="22"/>
        <v>15712.274740000001</v>
      </c>
      <c r="Y373" s="11">
        <f t="shared" si="23"/>
        <v>0.4867446305622265</v>
      </c>
    </row>
    <row r="374" spans="1:25" x14ac:dyDescent="0.3">
      <c r="A374" t="s">
        <v>387</v>
      </c>
      <c r="B374">
        <v>45751</v>
      </c>
      <c r="C374">
        <v>45757</v>
      </c>
      <c r="D374" t="s">
        <v>2064</v>
      </c>
      <c r="E374">
        <v>45757</v>
      </c>
      <c r="F374">
        <v>6</v>
      </c>
      <c r="G374" t="s">
        <v>649</v>
      </c>
      <c r="H374" t="s">
        <v>658</v>
      </c>
      <c r="I374" t="s">
        <v>674</v>
      </c>
      <c r="J374" t="s">
        <v>703</v>
      </c>
      <c r="K374" t="s">
        <v>711</v>
      </c>
      <c r="L374" t="s">
        <v>725</v>
      </c>
      <c r="M374" t="s">
        <v>728</v>
      </c>
      <c r="N374" t="s">
        <v>1800</v>
      </c>
      <c r="O374" s="9">
        <v>290.14</v>
      </c>
      <c r="P374" s="9">
        <v>250.73</v>
      </c>
      <c r="Q374" s="9">
        <v>250.73</v>
      </c>
      <c r="R374" t="s">
        <v>2065</v>
      </c>
      <c r="S374" s="11">
        <v>3.4000000000000002E-2</v>
      </c>
      <c r="T374" t="s">
        <v>2065</v>
      </c>
      <c r="U374" s="13">
        <v>17</v>
      </c>
      <c r="V374" s="9">
        <f t="shared" si="20"/>
        <v>4117.4880599999997</v>
      </c>
      <c r="W374" s="9">
        <f t="shared" si="21"/>
        <v>4932.38</v>
      </c>
      <c r="X374" s="9">
        <f t="shared" si="22"/>
        <v>-814.89194000000043</v>
      </c>
      <c r="Y374" s="11">
        <f t="shared" si="23"/>
        <v>-0.19790997038131072</v>
      </c>
    </row>
    <row r="375" spans="1:25" x14ac:dyDescent="0.3">
      <c r="A375" t="s">
        <v>388</v>
      </c>
      <c r="B375">
        <v>45429</v>
      </c>
      <c r="C375">
        <v>45439</v>
      </c>
      <c r="D375" t="s">
        <v>2064</v>
      </c>
      <c r="E375">
        <v>45439</v>
      </c>
      <c r="F375">
        <v>10</v>
      </c>
      <c r="G375" t="s">
        <v>648</v>
      </c>
      <c r="H375" t="s">
        <v>1425</v>
      </c>
      <c r="I375" t="s">
        <v>697</v>
      </c>
      <c r="J375" t="s">
        <v>703</v>
      </c>
      <c r="K375" t="s">
        <v>708</v>
      </c>
      <c r="L375" t="s">
        <v>712</v>
      </c>
      <c r="M375" t="s">
        <v>730</v>
      </c>
      <c r="N375" t="s">
        <v>1801</v>
      </c>
      <c r="O375" s="9">
        <v>1484.23</v>
      </c>
      <c r="P375" s="9">
        <v>3472.81</v>
      </c>
      <c r="Q375" s="9">
        <v>3472.81</v>
      </c>
      <c r="R375" t="s">
        <v>2065</v>
      </c>
      <c r="S375" s="11">
        <v>0.25600000000000001</v>
      </c>
      <c r="T375" t="s">
        <v>2065</v>
      </c>
      <c r="U375" s="13">
        <v>12</v>
      </c>
      <c r="V375" s="9">
        <f t="shared" si="20"/>
        <v>31005.24768</v>
      </c>
      <c r="W375" s="9">
        <f t="shared" si="21"/>
        <v>17810.760000000002</v>
      </c>
      <c r="X375" s="9">
        <f t="shared" si="22"/>
        <v>13194.487679999998</v>
      </c>
      <c r="Y375" s="11">
        <f t="shared" si="23"/>
        <v>0.42555659661803413</v>
      </c>
    </row>
    <row r="376" spans="1:25" x14ac:dyDescent="0.3">
      <c r="A376" t="s">
        <v>389</v>
      </c>
      <c r="B376">
        <v>45354</v>
      </c>
      <c r="C376">
        <v>45370</v>
      </c>
      <c r="D376" t="s">
        <v>2064</v>
      </c>
      <c r="E376">
        <v>45370</v>
      </c>
      <c r="F376">
        <v>16</v>
      </c>
      <c r="G376" t="s">
        <v>647</v>
      </c>
      <c r="H376" t="s">
        <v>659</v>
      </c>
      <c r="I376" t="s">
        <v>699</v>
      </c>
      <c r="J376" t="s">
        <v>704</v>
      </c>
      <c r="K376" t="s">
        <v>710</v>
      </c>
      <c r="L376" t="s">
        <v>715</v>
      </c>
      <c r="M376" t="s">
        <v>730</v>
      </c>
      <c r="N376" t="s">
        <v>1802</v>
      </c>
      <c r="O376" s="9">
        <v>988.83</v>
      </c>
      <c r="P376" s="9">
        <v>1206.04</v>
      </c>
      <c r="Q376" s="9">
        <v>1206.04</v>
      </c>
      <c r="R376" t="s">
        <v>2065</v>
      </c>
      <c r="S376" s="11">
        <v>6.3E-2</v>
      </c>
      <c r="T376" t="s">
        <v>2065</v>
      </c>
      <c r="U376" s="13">
        <v>34</v>
      </c>
      <c r="V376" s="9">
        <f t="shared" si="20"/>
        <v>38422.022320000004</v>
      </c>
      <c r="W376" s="9">
        <f t="shared" si="21"/>
        <v>33620.22</v>
      </c>
      <c r="X376" s="9">
        <f t="shared" si="22"/>
        <v>4801.8023200000025</v>
      </c>
      <c r="Y376" s="11">
        <f t="shared" si="23"/>
        <v>0.12497526236406606</v>
      </c>
    </row>
    <row r="377" spans="1:25" x14ac:dyDescent="0.3">
      <c r="A377" t="s">
        <v>390</v>
      </c>
      <c r="B377">
        <v>45835</v>
      </c>
      <c r="C377">
        <v>45849</v>
      </c>
      <c r="D377" t="s">
        <v>2064</v>
      </c>
      <c r="E377">
        <v>45849</v>
      </c>
      <c r="F377">
        <v>14</v>
      </c>
      <c r="G377" t="s">
        <v>647</v>
      </c>
      <c r="H377" t="s">
        <v>659</v>
      </c>
      <c r="I377" t="s">
        <v>685</v>
      </c>
      <c r="J377" t="s">
        <v>705</v>
      </c>
      <c r="K377" t="s">
        <v>709</v>
      </c>
      <c r="L377" t="s">
        <v>716</v>
      </c>
      <c r="M377" t="s">
        <v>729</v>
      </c>
      <c r="N377" t="s">
        <v>1803</v>
      </c>
      <c r="O377" s="9">
        <v>1227.7</v>
      </c>
      <c r="P377" s="9">
        <v>2197.23</v>
      </c>
      <c r="Q377" s="9">
        <v>2197.23</v>
      </c>
      <c r="R377" t="s">
        <v>2065</v>
      </c>
      <c r="S377" s="11">
        <v>9.9000000000000005E-2</v>
      </c>
      <c r="T377" t="s">
        <v>2065</v>
      </c>
      <c r="U377" s="13">
        <v>22</v>
      </c>
      <c r="V377" s="9">
        <f t="shared" si="20"/>
        <v>43553.493060000001</v>
      </c>
      <c r="W377" s="9">
        <f t="shared" si="21"/>
        <v>27009.4</v>
      </c>
      <c r="X377" s="9">
        <f t="shared" si="22"/>
        <v>16544.093059999999</v>
      </c>
      <c r="Y377" s="11">
        <f t="shared" si="23"/>
        <v>0.37985685871873898</v>
      </c>
    </row>
    <row r="378" spans="1:25" x14ac:dyDescent="0.3">
      <c r="A378" t="s">
        <v>391</v>
      </c>
      <c r="B378">
        <v>44998</v>
      </c>
      <c r="C378">
        <v>45020</v>
      </c>
      <c r="D378" t="s">
        <v>2064</v>
      </c>
      <c r="E378">
        <v>45020</v>
      </c>
      <c r="F378">
        <v>22</v>
      </c>
      <c r="G378" t="s">
        <v>646</v>
      </c>
      <c r="H378" t="s">
        <v>661</v>
      </c>
      <c r="I378" t="s">
        <v>687</v>
      </c>
      <c r="J378" t="s">
        <v>705</v>
      </c>
      <c r="K378" t="s">
        <v>707</v>
      </c>
      <c r="L378" t="s">
        <v>720</v>
      </c>
      <c r="M378" t="s">
        <v>727</v>
      </c>
      <c r="N378" t="s">
        <v>1804</v>
      </c>
      <c r="O378" s="9">
        <v>1113.7</v>
      </c>
      <c r="P378" s="9">
        <v>1620.6</v>
      </c>
      <c r="Q378" s="9">
        <v>1620.6</v>
      </c>
      <c r="R378" t="s">
        <v>2065</v>
      </c>
      <c r="S378" s="11">
        <v>0.13900000000000001</v>
      </c>
      <c r="T378" t="s">
        <v>2065</v>
      </c>
      <c r="U378" s="13">
        <v>11</v>
      </c>
      <c r="V378" s="9">
        <f t="shared" si="20"/>
        <v>15348.702599999999</v>
      </c>
      <c r="W378" s="9">
        <f t="shared" si="21"/>
        <v>12250.7</v>
      </c>
      <c r="X378" s="9">
        <f t="shared" si="22"/>
        <v>3098.002599999998</v>
      </c>
      <c r="Y378" s="11">
        <f t="shared" si="23"/>
        <v>0.20184133348182787</v>
      </c>
    </row>
    <row r="379" spans="1:25" x14ac:dyDescent="0.3">
      <c r="A379" t="s">
        <v>392</v>
      </c>
      <c r="B379">
        <v>45664</v>
      </c>
      <c r="C379">
        <v>45677</v>
      </c>
      <c r="D379" t="s">
        <v>2064</v>
      </c>
      <c r="E379">
        <v>45677</v>
      </c>
      <c r="F379">
        <v>13</v>
      </c>
      <c r="G379" t="s">
        <v>646</v>
      </c>
      <c r="H379" t="s">
        <v>661</v>
      </c>
      <c r="I379" t="s">
        <v>695</v>
      </c>
      <c r="J379" t="s">
        <v>701</v>
      </c>
      <c r="K379" t="s">
        <v>711</v>
      </c>
      <c r="L379" t="s">
        <v>723</v>
      </c>
      <c r="M379" t="s">
        <v>729</v>
      </c>
      <c r="N379" t="s">
        <v>1805</v>
      </c>
      <c r="O379" s="9">
        <v>432.13</v>
      </c>
      <c r="P379" s="9">
        <v>1034.6600000000001</v>
      </c>
      <c r="Q379" s="9">
        <v>1034.6600000000001</v>
      </c>
      <c r="R379" t="s">
        <v>2065</v>
      </c>
      <c r="S379" s="11">
        <v>9.1999999999999998E-2</v>
      </c>
      <c r="T379" t="s">
        <v>2065</v>
      </c>
      <c r="U379" s="13">
        <v>7</v>
      </c>
      <c r="V379" s="9">
        <f t="shared" si="20"/>
        <v>6576.298960000001</v>
      </c>
      <c r="W379" s="9">
        <f t="shared" si="21"/>
        <v>3024.91</v>
      </c>
      <c r="X379" s="9">
        <f t="shared" si="22"/>
        <v>3551.3889600000011</v>
      </c>
      <c r="Y379" s="11">
        <f t="shared" si="23"/>
        <v>0.54002851476204794</v>
      </c>
    </row>
    <row r="380" spans="1:25" x14ac:dyDescent="0.3">
      <c r="A380" t="s">
        <v>393</v>
      </c>
      <c r="B380">
        <v>45694</v>
      </c>
      <c r="C380">
        <v>45703</v>
      </c>
      <c r="D380" t="s">
        <v>2064</v>
      </c>
      <c r="E380">
        <v>45703</v>
      </c>
      <c r="F380">
        <v>9</v>
      </c>
      <c r="G380" t="s">
        <v>648</v>
      </c>
      <c r="H380" t="s">
        <v>655</v>
      </c>
      <c r="I380" t="s">
        <v>670</v>
      </c>
      <c r="J380" t="s">
        <v>703</v>
      </c>
      <c r="K380" t="s">
        <v>710</v>
      </c>
      <c r="L380" t="s">
        <v>721</v>
      </c>
      <c r="M380" t="s">
        <v>729</v>
      </c>
      <c r="N380" t="s">
        <v>1806</v>
      </c>
      <c r="O380" s="9">
        <v>837.39</v>
      </c>
      <c r="P380" s="9">
        <v>1905.42</v>
      </c>
      <c r="Q380" s="9">
        <v>1905.42</v>
      </c>
      <c r="R380" t="s">
        <v>2065</v>
      </c>
      <c r="S380" s="11">
        <v>3.2000000000000001E-2</v>
      </c>
      <c r="T380" t="s">
        <v>2065</v>
      </c>
      <c r="U380" s="13">
        <v>18</v>
      </c>
      <c r="V380" s="9">
        <f t="shared" si="20"/>
        <v>33200.038079999998</v>
      </c>
      <c r="W380" s="9">
        <f t="shared" si="21"/>
        <v>15073.02</v>
      </c>
      <c r="X380" s="9">
        <f t="shared" si="22"/>
        <v>18127.018079999998</v>
      </c>
      <c r="Y380" s="11">
        <f t="shared" si="23"/>
        <v>0.54599389423350919</v>
      </c>
    </row>
    <row r="381" spans="1:25" x14ac:dyDescent="0.3">
      <c r="A381" t="s">
        <v>394</v>
      </c>
      <c r="B381">
        <v>45688</v>
      </c>
      <c r="C381">
        <v>45705</v>
      </c>
      <c r="D381" t="s">
        <v>2064</v>
      </c>
      <c r="E381">
        <v>45705</v>
      </c>
      <c r="F381">
        <v>17</v>
      </c>
      <c r="G381" t="s">
        <v>649</v>
      </c>
      <c r="H381" t="s">
        <v>658</v>
      </c>
      <c r="I381" t="s">
        <v>683</v>
      </c>
      <c r="J381" t="s">
        <v>706</v>
      </c>
      <c r="K381" t="s">
        <v>707</v>
      </c>
      <c r="L381" t="s">
        <v>722</v>
      </c>
      <c r="M381" t="s">
        <v>727</v>
      </c>
      <c r="N381" t="s">
        <v>1506</v>
      </c>
      <c r="O381" s="9">
        <v>378.26</v>
      </c>
      <c r="P381" s="9">
        <v>541.55999999999995</v>
      </c>
      <c r="Q381" s="9">
        <v>541.55999999999995</v>
      </c>
      <c r="R381" t="s">
        <v>2065</v>
      </c>
      <c r="S381" s="11">
        <v>0.16300000000000001</v>
      </c>
      <c r="T381" t="s">
        <v>2065</v>
      </c>
      <c r="U381" s="13">
        <v>25</v>
      </c>
      <c r="V381" s="9">
        <f t="shared" si="20"/>
        <v>11332.142999999998</v>
      </c>
      <c r="W381" s="9">
        <f t="shared" si="21"/>
        <v>9456.5</v>
      </c>
      <c r="X381" s="9">
        <f t="shared" si="22"/>
        <v>1875.6429999999982</v>
      </c>
      <c r="Y381" s="11">
        <f t="shared" si="23"/>
        <v>0.16551529573885526</v>
      </c>
    </row>
    <row r="382" spans="1:25" x14ac:dyDescent="0.3">
      <c r="A382" t="s">
        <v>395</v>
      </c>
      <c r="B382">
        <v>45876</v>
      </c>
      <c r="C382">
        <v>45906</v>
      </c>
      <c r="D382" t="s">
        <v>2064</v>
      </c>
      <c r="E382">
        <v>45906</v>
      </c>
      <c r="F382">
        <v>30</v>
      </c>
      <c r="G382" t="s">
        <v>648</v>
      </c>
      <c r="H382" t="s">
        <v>653</v>
      </c>
      <c r="I382" t="s">
        <v>681</v>
      </c>
      <c r="J382" t="s">
        <v>702</v>
      </c>
      <c r="K382" t="s">
        <v>711</v>
      </c>
      <c r="L382" t="s">
        <v>724</v>
      </c>
      <c r="M382" t="s">
        <v>729</v>
      </c>
      <c r="N382" t="s">
        <v>1807</v>
      </c>
      <c r="O382" s="9">
        <v>833.73</v>
      </c>
      <c r="P382" s="9">
        <v>1116.5999999999999</v>
      </c>
      <c r="Q382" s="9">
        <v>1116.5999999999999</v>
      </c>
      <c r="R382" t="s">
        <v>2065</v>
      </c>
      <c r="S382" s="11">
        <v>0.17599999999999999</v>
      </c>
      <c r="T382" t="s">
        <v>2065</v>
      </c>
      <c r="U382" s="13">
        <v>14</v>
      </c>
      <c r="V382" s="9">
        <f t="shared" si="20"/>
        <v>12881.097599999999</v>
      </c>
      <c r="W382" s="9">
        <f t="shared" si="21"/>
        <v>11672.220000000001</v>
      </c>
      <c r="X382" s="9">
        <f t="shared" si="22"/>
        <v>1208.877599999998</v>
      </c>
      <c r="Y382" s="11">
        <f t="shared" si="23"/>
        <v>9.3848958958279924E-2</v>
      </c>
    </row>
    <row r="383" spans="1:25" x14ac:dyDescent="0.3">
      <c r="A383" t="s">
        <v>396</v>
      </c>
      <c r="B383">
        <v>45861</v>
      </c>
      <c r="C383">
        <v>45886</v>
      </c>
      <c r="D383" t="s">
        <v>2064</v>
      </c>
      <c r="E383">
        <v>45886</v>
      </c>
      <c r="F383">
        <v>25</v>
      </c>
      <c r="G383" t="s">
        <v>649</v>
      </c>
      <c r="H383" t="s">
        <v>658</v>
      </c>
      <c r="I383" t="s">
        <v>674</v>
      </c>
      <c r="J383" t="s">
        <v>702</v>
      </c>
      <c r="K383" t="s">
        <v>708</v>
      </c>
      <c r="L383" t="s">
        <v>714</v>
      </c>
      <c r="M383" t="s">
        <v>728</v>
      </c>
      <c r="N383" t="s">
        <v>1808</v>
      </c>
      <c r="O383" s="9">
        <v>1142.06</v>
      </c>
      <c r="P383" s="9">
        <v>1455</v>
      </c>
      <c r="Q383" s="9">
        <v>1455</v>
      </c>
      <c r="R383" t="s">
        <v>2065</v>
      </c>
      <c r="S383" s="11">
        <v>7.8E-2</v>
      </c>
      <c r="T383" t="s">
        <v>2065</v>
      </c>
      <c r="U383" s="13">
        <v>28</v>
      </c>
      <c r="V383" s="9">
        <f t="shared" si="20"/>
        <v>37562.28</v>
      </c>
      <c r="W383" s="9">
        <f t="shared" si="21"/>
        <v>31977.68</v>
      </c>
      <c r="X383" s="9">
        <f t="shared" si="22"/>
        <v>5584.5999999999985</v>
      </c>
      <c r="Y383" s="11">
        <f t="shared" si="23"/>
        <v>0.1486757459877302</v>
      </c>
    </row>
    <row r="384" spans="1:25" x14ac:dyDescent="0.3">
      <c r="A384" t="s">
        <v>397</v>
      </c>
      <c r="B384">
        <v>45097</v>
      </c>
      <c r="C384">
        <v>45115</v>
      </c>
      <c r="D384" t="s">
        <v>2064</v>
      </c>
      <c r="E384">
        <v>45115</v>
      </c>
      <c r="F384">
        <v>18</v>
      </c>
      <c r="G384" t="s">
        <v>648</v>
      </c>
      <c r="H384" t="s">
        <v>1425</v>
      </c>
      <c r="I384" t="s">
        <v>700</v>
      </c>
      <c r="J384" t="s">
        <v>704</v>
      </c>
      <c r="K384" t="s">
        <v>709</v>
      </c>
      <c r="L384" t="s">
        <v>719</v>
      </c>
      <c r="M384" t="s">
        <v>729</v>
      </c>
      <c r="N384" t="s">
        <v>1809</v>
      </c>
      <c r="O384" s="9">
        <v>1145.53</v>
      </c>
      <c r="P384" s="9">
        <v>1278.3</v>
      </c>
      <c r="Q384" s="9">
        <v>1278.3</v>
      </c>
      <c r="R384" t="s">
        <v>2065</v>
      </c>
      <c r="S384" s="11">
        <v>0.09</v>
      </c>
      <c r="T384" t="s">
        <v>2065</v>
      </c>
      <c r="U384" s="13">
        <v>41</v>
      </c>
      <c r="V384" s="9">
        <f t="shared" si="20"/>
        <v>47693.373</v>
      </c>
      <c r="W384" s="9">
        <f t="shared" si="21"/>
        <v>46966.729999999996</v>
      </c>
      <c r="X384" s="9">
        <f t="shared" si="22"/>
        <v>726.64300000000367</v>
      </c>
      <c r="Y384" s="11">
        <f t="shared" si="23"/>
        <v>1.5235722581416158E-2</v>
      </c>
    </row>
    <row r="385" spans="1:25" x14ac:dyDescent="0.3">
      <c r="A385" t="s">
        <v>398</v>
      </c>
      <c r="B385">
        <v>45491</v>
      </c>
      <c r="C385">
        <v>45511</v>
      </c>
      <c r="D385" t="s">
        <v>2064</v>
      </c>
      <c r="E385">
        <v>45511</v>
      </c>
      <c r="F385">
        <v>20</v>
      </c>
      <c r="G385" t="s">
        <v>649</v>
      </c>
      <c r="H385" t="s">
        <v>657</v>
      </c>
      <c r="I385" t="s">
        <v>673</v>
      </c>
      <c r="J385" t="s">
        <v>701</v>
      </c>
      <c r="K385" t="s">
        <v>707</v>
      </c>
      <c r="L385" t="s">
        <v>721</v>
      </c>
      <c r="M385" t="s">
        <v>732</v>
      </c>
      <c r="N385" t="s">
        <v>1810</v>
      </c>
      <c r="O385" s="9">
        <v>941.35</v>
      </c>
      <c r="P385" s="9">
        <v>899.83</v>
      </c>
      <c r="Q385" s="9">
        <v>899.83</v>
      </c>
      <c r="R385" t="s">
        <v>2065</v>
      </c>
      <c r="S385" s="11">
        <v>5.8000000000000003E-2</v>
      </c>
      <c r="T385" t="s">
        <v>2065</v>
      </c>
      <c r="U385" s="13">
        <v>18</v>
      </c>
      <c r="V385" s="9">
        <f t="shared" si="20"/>
        <v>15257.51748</v>
      </c>
      <c r="W385" s="9">
        <f t="shared" si="21"/>
        <v>16944.3</v>
      </c>
      <c r="X385" s="9">
        <f t="shared" si="22"/>
        <v>-1686.7825199999988</v>
      </c>
      <c r="Y385" s="11">
        <f t="shared" si="23"/>
        <v>-0.11055419220139073</v>
      </c>
    </row>
    <row r="386" spans="1:25" x14ac:dyDescent="0.3">
      <c r="A386" t="s">
        <v>399</v>
      </c>
      <c r="B386">
        <v>45066</v>
      </c>
      <c r="C386">
        <v>45096</v>
      </c>
      <c r="D386" t="s">
        <v>2064</v>
      </c>
      <c r="E386">
        <v>45096</v>
      </c>
      <c r="F386">
        <v>30</v>
      </c>
      <c r="G386" t="s">
        <v>647</v>
      </c>
      <c r="H386" t="s">
        <v>654</v>
      </c>
      <c r="I386" t="s">
        <v>680</v>
      </c>
      <c r="J386" t="s">
        <v>703</v>
      </c>
      <c r="K386" t="s">
        <v>709</v>
      </c>
      <c r="L386" t="s">
        <v>722</v>
      </c>
      <c r="M386" t="s">
        <v>731</v>
      </c>
      <c r="N386" t="s">
        <v>1811</v>
      </c>
      <c r="O386" s="9">
        <v>1161.2</v>
      </c>
      <c r="P386" s="9">
        <v>878.73</v>
      </c>
      <c r="Q386" s="9">
        <v>878.73</v>
      </c>
      <c r="R386" t="s">
        <v>2065</v>
      </c>
      <c r="S386" s="11">
        <v>0.19</v>
      </c>
      <c r="T386" t="s">
        <v>2065</v>
      </c>
      <c r="U386" s="13">
        <v>31</v>
      </c>
      <c r="V386" s="9">
        <f t="shared" si="20"/>
        <v>22064.910300000003</v>
      </c>
      <c r="W386" s="9">
        <f t="shared" si="21"/>
        <v>35997.200000000004</v>
      </c>
      <c r="X386" s="9">
        <f t="shared" si="22"/>
        <v>-13932.289700000001</v>
      </c>
      <c r="Y386" s="11">
        <f t="shared" si="23"/>
        <v>-0.63142290227212028</v>
      </c>
    </row>
    <row r="387" spans="1:25" x14ac:dyDescent="0.3">
      <c r="A387" t="s">
        <v>400</v>
      </c>
      <c r="B387">
        <v>45789</v>
      </c>
      <c r="C387">
        <v>45803</v>
      </c>
      <c r="D387" t="s">
        <v>2064</v>
      </c>
      <c r="E387">
        <v>45803</v>
      </c>
      <c r="F387">
        <v>14</v>
      </c>
      <c r="G387" t="s">
        <v>647</v>
      </c>
      <c r="H387" t="s">
        <v>654</v>
      </c>
      <c r="I387" t="s">
        <v>696</v>
      </c>
      <c r="J387" t="s">
        <v>701</v>
      </c>
      <c r="K387" t="s">
        <v>709</v>
      </c>
      <c r="L387" t="s">
        <v>715</v>
      </c>
      <c r="M387" t="s">
        <v>728</v>
      </c>
      <c r="N387" t="s">
        <v>1812</v>
      </c>
      <c r="O387" s="9">
        <v>320.12</v>
      </c>
      <c r="P387" s="9">
        <v>594.41999999999996</v>
      </c>
      <c r="Q387" s="9">
        <v>594.41999999999996</v>
      </c>
      <c r="R387" t="s">
        <v>2065</v>
      </c>
      <c r="S387" s="11">
        <v>0.104</v>
      </c>
      <c r="T387" t="s">
        <v>2065</v>
      </c>
      <c r="U387" s="13">
        <v>18</v>
      </c>
      <c r="V387" s="9">
        <f t="shared" ref="V387:V450" si="24">Q387*U387*(1-S387)</f>
        <v>9586.8057599999993</v>
      </c>
      <c r="W387" s="9">
        <f t="shared" ref="W387:W450" si="25">O387*U387</f>
        <v>5762.16</v>
      </c>
      <c r="X387" s="9">
        <f t="shared" ref="X387:X450" si="26">V387-W387</f>
        <v>3824.6457599999994</v>
      </c>
      <c r="Y387" s="11">
        <f t="shared" ref="Y387:Y450" si="27">IF(V387=0,0,X387/V387)</f>
        <v>0.39894891538931104</v>
      </c>
    </row>
    <row r="388" spans="1:25" x14ac:dyDescent="0.3">
      <c r="A388" t="s">
        <v>401</v>
      </c>
      <c r="B388">
        <v>45419</v>
      </c>
      <c r="C388">
        <v>45424</v>
      </c>
      <c r="D388" t="s">
        <v>2064</v>
      </c>
      <c r="E388">
        <v>45424</v>
      </c>
      <c r="F388">
        <v>5</v>
      </c>
      <c r="G388" t="s">
        <v>646</v>
      </c>
      <c r="H388" t="s">
        <v>651</v>
      </c>
      <c r="I388" t="s">
        <v>669</v>
      </c>
      <c r="J388" t="s">
        <v>703</v>
      </c>
      <c r="K388" t="s">
        <v>710</v>
      </c>
      <c r="L388" t="s">
        <v>716</v>
      </c>
      <c r="M388" t="s">
        <v>731</v>
      </c>
      <c r="N388" t="s">
        <v>1813</v>
      </c>
      <c r="O388" s="9">
        <v>1163.99</v>
      </c>
      <c r="P388" s="9">
        <v>1617.85</v>
      </c>
      <c r="Q388" s="9">
        <v>1617.85</v>
      </c>
      <c r="R388" t="s">
        <v>2065</v>
      </c>
      <c r="S388" s="11">
        <v>0.127</v>
      </c>
      <c r="T388" t="s">
        <v>2065</v>
      </c>
      <c r="U388" s="13">
        <v>14</v>
      </c>
      <c r="V388" s="9">
        <f t="shared" si="24"/>
        <v>19773.362699999998</v>
      </c>
      <c r="W388" s="9">
        <f t="shared" si="25"/>
        <v>16295.86</v>
      </c>
      <c r="X388" s="9">
        <f t="shared" si="26"/>
        <v>3477.5026999999973</v>
      </c>
      <c r="Y388" s="11">
        <f t="shared" si="27"/>
        <v>0.17586804797749436</v>
      </c>
    </row>
    <row r="389" spans="1:25" x14ac:dyDescent="0.3">
      <c r="A389" t="s">
        <v>402</v>
      </c>
      <c r="B389">
        <v>45199</v>
      </c>
      <c r="C389">
        <v>45202</v>
      </c>
      <c r="D389" t="s">
        <v>2064</v>
      </c>
      <c r="E389">
        <v>45202</v>
      </c>
      <c r="F389">
        <v>3</v>
      </c>
      <c r="G389" t="s">
        <v>647</v>
      </c>
      <c r="H389" t="s">
        <v>659</v>
      </c>
      <c r="I389" t="s">
        <v>699</v>
      </c>
      <c r="J389" t="s">
        <v>703</v>
      </c>
      <c r="K389" t="s">
        <v>707</v>
      </c>
      <c r="L389" t="s">
        <v>713</v>
      </c>
      <c r="M389" t="s">
        <v>731</v>
      </c>
      <c r="N389" t="s">
        <v>1814</v>
      </c>
      <c r="O389" s="9">
        <v>1019.36</v>
      </c>
      <c r="P389" s="9">
        <v>972.91</v>
      </c>
      <c r="Q389" s="9">
        <v>972.91</v>
      </c>
      <c r="R389" t="s">
        <v>2065</v>
      </c>
      <c r="S389" s="11">
        <v>0.14699999999999999</v>
      </c>
      <c r="T389" t="s">
        <v>2065</v>
      </c>
      <c r="U389" s="13">
        <v>17</v>
      </c>
      <c r="V389" s="9">
        <f t="shared" si="24"/>
        <v>14108.16791</v>
      </c>
      <c r="W389" s="9">
        <f t="shared" si="25"/>
        <v>17329.12</v>
      </c>
      <c r="X389" s="9">
        <f t="shared" si="26"/>
        <v>-3220.9520899999989</v>
      </c>
      <c r="Y389" s="11">
        <f t="shared" si="27"/>
        <v>-0.22830406545678819</v>
      </c>
    </row>
    <row r="390" spans="1:25" x14ac:dyDescent="0.3">
      <c r="A390" t="s">
        <v>403</v>
      </c>
      <c r="B390">
        <v>45225</v>
      </c>
      <c r="C390">
        <v>45235</v>
      </c>
      <c r="D390" t="s">
        <v>2064</v>
      </c>
      <c r="E390">
        <v>45235</v>
      </c>
      <c r="F390">
        <v>10</v>
      </c>
      <c r="G390" t="s">
        <v>646</v>
      </c>
      <c r="H390" t="s">
        <v>661</v>
      </c>
      <c r="I390" t="s">
        <v>695</v>
      </c>
      <c r="J390" t="s">
        <v>703</v>
      </c>
      <c r="K390" t="s">
        <v>708</v>
      </c>
      <c r="L390" t="s">
        <v>714</v>
      </c>
      <c r="M390" t="s">
        <v>731</v>
      </c>
      <c r="N390" t="s">
        <v>1815</v>
      </c>
      <c r="O390" s="9">
        <v>20.38</v>
      </c>
      <c r="P390" s="9">
        <v>42.56</v>
      </c>
      <c r="Q390" s="9">
        <v>42.56</v>
      </c>
      <c r="R390" t="s">
        <v>2065</v>
      </c>
      <c r="S390" s="11">
        <v>7.1999999999999995E-2</v>
      </c>
      <c r="T390" t="s">
        <v>2065</v>
      </c>
      <c r="U390" s="13">
        <v>11</v>
      </c>
      <c r="V390" s="9">
        <f t="shared" si="24"/>
        <v>434.45248000000004</v>
      </c>
      <c r="W390" s="9">
        <f t="shared" si="25"/>
        <v>224.17999999999998</v>
      </c>
      <c r="X390" s="9">
        <f t="shared" si="26"/>
        <v>210.27248000000006</v>
      </c>
      <c r="Y390" s="11">
        <f t="shared" si="27"/>
        <v>0.48399419885921713</v>
      </c>
    </row>
    <row r="391" spans="1:25" x14ac:dyDescent="0.3">
      <c r="A391" t="s">
        <v>404</v>
      </c>
      <c r="B391">
        <v>45823</v>
      </c>
      <c r="C391">
        <v>45838</v>
      </c>
      <c r="D391" t="s">
        <v>2064</v>
      </c>
      <c r="E391">
        <v>45838</v>
      </c>
      <c r="F391">
        <v>15</v>
      </c>
      <c r="G391" t="s">
        <v>646</v>
      </c>
      <c r="H391" t="s">
        <v>661</v>
      </c>
      <c r="I391" t="s">
        <v>682</v>
      </c>
      <c r="J391" t="s">
        <v>705</v>
      </c>
      <c r="K391" t="s">
        <v>711</v>
      </c>
      <c r="L391" t="s">
        <v>712</v>
      </c>
      <c r="M391" t="s">
        <v>732</v>
      </c>
      <c r="N391" t="s">
        <v>1816</v>
      </c>
      <c r="O391" s="9">
        <v>1487.59</v>
      </c>
      <c r="P391" s="9">
        <v>1480.83</v>
      </c>
      <c r="Q391" s="9">
        <v>1480.83</v>
      </c>
      <c r="R391" t="s">
        <v>2065</v>
      </c>
      <c r="S391" s="11">
        <v>8.9999999999999993E-3</v>
      </c>
      <c r="T391" t="s">
        <v>2065</v>
      </c>
      <c r="U391" s="13">
        <v>11</v>
      </c>
      <c r="V391" s="9">
        <f t="shared" si="24"/>
        <v>16142.527829999999</v>
      </c>
      <c r="W391" s="9">
        <f t="shared" si="25"/>
        <v>16363.49</v>
      </c>
      <c r="X391" s="9">
        <f t="shared" si="26"/>
        <v>-220.9621700000007</v>
      </c>
      <c r="Y391" s="11">
        <f t="shared" si="27"/>
        <v>-1.3688201273492908E-2</v>
      </c>
    </row>
    <row r="392" spans="1:25" x14ac:dyDescent="0.3">
      <c r="A392" t="s">
        <v>405</v>
      </c>
      <c r="B392">
        <v>45514</v>
      </c>
      <c r="C392">
        <v>45542</v>
      </c>
      <c r="D392" t="s">
        <v>2064</v>
      </c>
      <c r="E392">
        <v>45542</v>
      </c>
      <c r="F392">
        <v>28</v>
      </c>
      <c r="G392" t="s">
        <v>649</v>
      </c>
      <c r="H392" t="s">
        <v>657</v>
      </c>
      <c r="I392" t="s">
        <v>673</v>
      </c>
      <c r="J392" t="s">
        <v>703</v>
      </c>
      <c r="K392" t="s">
        <v>711</v>
      </c>
      <c r="L392" t="s">
        <v>721</v>
      </c>
      <c r="M392" t="s">
        <v>728</v>
      </c>
      <c r="N392" t="s">
        <v>1817</v>
      </c>
      <c r="O392" s="9">
        <v>229.96</v>
      </c>
      <c r="P392" s="9">
        <v>564.26</v>
      </c>
      <c r="Q392" s="9">
        <v>564.26</v>
      </c>
      <c r="R392" t="s">
        <v>2065</v>
      </c>
      <c r="S392" s="11">
        <v>0.105</v>
      </c>
      <c r="T392" t="s">
        <v>2065</v>
      </c>
      <c r="U392" s="13">
        <v>5</v>
      </c>
      <c r="V392" s="9">
        <f t="shared" si="24"/>
        <v>2525.0635000000002</v>
      </c>
      <c r="W392" s="9">
        <f t="shared" si="25"/>
        <v>1149.8</v>
      </c>
      <c r="X392" s="9">
        <f t="shared" si="26"/>
        <v>1375.2635000000002</v>
      </c>
      <c r="Y392" s="11">
        <f t="shared" si="27"/>
        <v>0.54464511486542821</v>
      </c>
    </row>
    <row r="393" spans="1:25" x14ac:dyDescent="0.3">
      <c r="A393" t="s">
        <v>406</v>
      </c>
      <c r="B393">
        <v>45208</v>
      </c>
      <c r="C393">
        <v>45225</v>
      </c>
      <c r="D393" t="s">
        <v>2064</v>
      </c>
      <c r="E393">
        <v>45225</v>
      </c>
      <c r="F393">
        <v>17</v>
      </c>
      <c r="G393" t="s">
        <v>647</v>
      </c>
      <c r="H393" t="s">
        <v>659</v>
      </c>
      <c r="I393" t="s">
        <v>685</v>
      </c>
      <c r="J393" t="s">
        <v>704</v>
      </c>
      <c r="K393" t="s">
        <v>709</v>
      </c>
      <c r="L393" t="s">
        <v>712</v>
      </c>
      <c r="M393" t="s">
        <v>727</v>
      </c>
      <c r="N393" t="s">
        <v>1818</v>
      </c>
      <c r="O393" s="9">
        <v>1132.03</v>
      </c>
      <c r="P393" s="9">
        <v>2137.21</v>
      </c>
      <c r="Q393" s="9">
        <v>2137.21</v>
      </c>
      <c r="R393" t="s">
        <v>2065</v>
      </c>
      <c r="S393" s="11">
        <v>0.35699999999999998</v>
      </c>
      <c r="T393" t="s">
        <v>2067</v>
      </c>
      <c r="U393" s="13">
        <v>35</v>
      </c>
      <c r="V393" s="9">
        <f t="shared" si="24"/>
        <v>48097.911050000002</v>
      </c>
      <c r="W393" s="9">
        <f t="shared" si="25"/>
        <v>39621.049999999996</v>
      </c>
      <c r="X393" s="9">
        <f t="shared" si="26"/>
        <v>8476.8610500000068</v>
      </c>
      <c r="Y393" s="11">
        <f t="shared" si="27"/>
        <v>0.17624177152284051</v>
      </c>
    </row>
    <row r="394" spans="1:25" x14ac:dyDescent="0.3">
      <c r="A394" t="s">
        <v>407</v>
      </c>
      <c r="B394">
        <v>45360</v>
      </c>
      <c r="C394">
        <v>45377</v>
      </c>
      <c r="D394" t="s">
        <v>2064</v>
      </c>
      <c r="E394">
        <v>45377</v>
      </c>
      <c r="F394">
        <v>17</v>
      </c>
      <c r="G394" t="s">
        <v>648</v>
      </c>
      <c r="H394" t="s">
        <v>1425</v>
      </c>
      <c r="I394" t="s">
        <v>686</v>
      </c>
      <c r="J394" t="s">
        <v>702</v>
      </c>
      <c r="K394" t="s">
        <v>711</v>
      </c>
      <c r="L394" t="s">
        <v>714</v>
      </c>
      <c r="M394" t="s">
        <v>730</v>
      </c>
      <c r="N394" t="s">
        <v>1819</v>
      </c>
      <c r="O394" s="9">
        <v>1137.4100000000001</v>
      </c>
      <c r="P394" s="9">
        <v>1680.93</v>
      </c>
      <c r="Q394" s="9">
        <v>1680.93</v>
      </c>
      <c r="R394" t="s">
        <v>2065</v>
      </c>
      <c r="S394" s="11">
        <v>0.254</v>
      </c>
      <c r="T394" t="s">
        <v>2065</v>
      </c>
      <c r="U394" s="13">
        <v>9</v>
      </c>
      <c r="V394" s="9">
        <f t="shared" si="24"/>
        <v>11285.764020000001</v>
      </c>
      <c r="W394" s="9">
        <f t="shared" si="25"/>
        <v>10236.69</v>
      </c>
      <c r="X394" s="9">
        <f t="shared" si="26"/>
        <v>1049.07402</v>
      </c>
      <c r="Y394" s="11">
        <f t="shared" si="27"/>
        <v>9.2955516183121464E-2</v>
      </c>
    </row>
    <row r="395" spans="1:25" x14ac:dyDescent="0.3">
      <c r="A395" t="s">
        <v>408</v>
      </c>
      <c r="B395">
        <v>45075</v>
      </c>
      <c r="C395">
        <v>45097</v>
      </c>
      <c r="D395" t="s">
        <v>2064</v>
      </c>
      <c r="E395">
        <v>45097</v>
      </c>
      <c r="F395">
        <v>22</v>
      </c>
      <c r="G395" t="s">
        <v>649</v>
      </c>
      <c r="H395" t="s">
        <v>658</v>
      </c>
      <c r="I395" t="s">
        <v>683</v>
      </c>
      <c r="J395" t="s">
        <v>705</v>
      </c>
      <c r="K395" t="s">
        <v>711</v>
      </c>
      <c r="L395" t="s">
        <v>723</v>
      </c>
      <c r="M395" t="s">
        <v>727</v>
      </c>
      <c r="N395" t="s">
        <v>1820</v>
      </c>
      <c r="O395" s="9">
        <v>1295.3900000000001</v>
      </c>
      <c r="P395" s="9">
        <v>2905.06</v>
      </c>
      <c r="Q395" s="9">
        <v>2905.06</v>
      </c>
      <c r="R395" t="s">
        <v>2065</v>
      </c>
      <c r="S395" s="11">
        <v>0.14799999999999999</v>
      </c>
      <c r="T395" t="s">
        <v>2065</v>
      </c>
      <c r="U395" s="13">
        <v>8</v>
      </c>
      <c r="V395" s="9">
        <f t="shared" si="24"/>
        <v>19800.88896</v>
      </c>
      <c r="W395" s="9">
        <f t="shared" si="25"/>
        <v>10363.120000000001</v>
      </c>
      <c r="X395" s="9">
        <f t="shared" si="26"/>
        <v>9437.7689599999994</v>
      </c>
      <c r="Y395" s="11">
        <f t="shared" si="27"/>
        <v>0.47663359857556614</v>
      </c>
    </row>
    <row r="396" spans="1:25" x14ac:dyDescent="0.3">
      <c r="A396" t="s">
        <v>409</v>
      </c>
      <c r="B396">
        <v>45804</v>
      </c>
      <c r="C396">
        <v>45816</v>
      </c>
      <c r="D396" t="s">
        <v>2064</v>
      </c>
      <c r="E396">
        <v>45816</v>
      </c>
      <c r="F396">
        <v>12</v>
      </c>
      <c r="G396" t="s">
        <v>647</v>
      </c>
      <c r="H396" t="s">
        <v>652</v>
      </c>
      <c r="I396" t="s">
        <v>666</v>
      </c>
      <c r="J396" t="s">
        <v>701</v>
      </c>
      <c r="K396" t="s">
        <v>707</v>
      </c>
      <c r="L396" t="s">
        <v>722</v>
      </c>
      <c r="M396" t="s">
        <v>733</v>
      </c>
      <c r="N396" t="s">
        <v>1821</v>
      </c>
      <c r="O396" s="9">
        <v>653.6</v>
      </c>
      <c r="P396" s="9">
        <v>842.09</v>
      </c>
      <c r="Q396" s="9">
        <v>842.09</v>
      </c>
      <c r="R396" t="s">
        <v>2065</v>
      </c>
      <c r="S396" s="11">
        <v>9.8000000000000004E-2</v>
      </c>
      <c r="T396" t="s">
        <v>2065</v>
      </c>
      <c r="U396" s="13">
        <v>19</v>
      </c>
      <c r="V396" s="9">
        <f t="shared" si="24"/>
        <v>14431.738420000001</v>
      </c>
      <c r="W396" s="9">
        <f t="shared" si="25"/>
        <v>12418.4</v>
      </c>
      <c r="X396" s="9">
        <f t="shared" si="26"/>
        <v>2013.3384200000019</v>
      </c>
      <c r="Y396" s="11">
        <f t="shared" si="27"/>
        <v>0.13950768517324622</v>
      </c>
    </row>
    <row r="397" spans="1:25" x14ac:dyDescent="0.3">
      <c r="A397" t="s">
        <v>410</v>
      </c>
      <c r="B397">
        <v>45890</v>
      </c>
      <c r="C397">
        <v>45914</v>
      </c>
      <c r="D397" t="s">
        <v>2064</v>
      </c>
      <c r="E397">
        <v>45914</v>
      </c>
      <c r="F397">
        <v>24</v>
      </c>
      <c r="G397" t="s">
        <v>649</v>
      </c>
      <c r="H397" t="s">
        <v>656</v>
      </c>
      <c r="I397" t="s">
        <v>671</v>
      </c>
      <c r="J397" t="s">
        <v>703</v>
      </c>
      <c r="K397" t="s">
        <v>708</v>
      </c>
      <c r="L397" t="s">
        <v>720</v>
      </c>
      <c r="M397" t="s">
        <v>732</v>
      </c>
      <c r="N397" t="s">
        <v>1822</v>
      </c>
      <c r="O397" s="9">
        <v>1397.67</v>
      </c>
      <c r="P397" s="9">
        <v>3131.37</v>
      </c>
      <c r="Q397" s="9">
        <v>3131.37</v>
      </c>
      <c r="R397" t="s">
        <v>2065</v>
      </c>
      <c r="S397" s="11">
        <v>0.10299999999999999</v>
      </c>
      <c r="T397" t="s">
        <v>2065</v>
      </c>
      <c r="U397" s="13">
        <v>20</v>
      </c>
      <c r="V397" s="9">
        <f t="shared" si="24"/>
        <v>56176.777799999996</v>
      </c>
      <c r="W397" s="9">
        <f t="shared" si="25"/>
        <v>27953.4</v>
      </c>
      <c r="X397" s="9">
        <f t="shared" si="26"/>
        <v>28223.377799999995</v>
      </c>
      <c r="Y397" s="11">
        <f t="shared" si="27"/>
        <v>0.50240293062874808</v>
      </c>
    </row>
    <row r="398" spans="1:25" x14ac:dyDescent="0.3">
      <c r="A398" t="s">
        <v>411</v>
      </c>
      <c r="B398">
        <v>45638</v>
      </c>
      <c r="C398">
        <v>45646</v>
      </c>
      <c r="D398" t="s">
        <v>2064</v>
      </c>
      <c r="E398">
        <v>45646</v>
      </c>
      <c r="F398">
        <v>8</v>
      </c>
      <c r="G398" t="s">
        <v>647</v>
      </c>
      <c r="H398" t="s">
        <v>652</v>
      </c>
      <c r="I398" t="s">
        <v>689</v>
      </c>
      <c r="J398" t="s">
        <v>701</v>
      </c>
      <c r="K398" t="s">
        <v>707</v>
      </c>
      <c r="L398" t="s">
        <v>717</v>
      </c>
      <c r="M398" t="s">
        <v>731</v>
      </c>
      <c r="N398" t="s">
        <v>1823</v>
      </c>
      <c r="O398" s="9">
        <v>1202.47</v>
      </c>
      <c r="P398" s="9">
        <v>1444.72</v>
      </c>
      <c r="Q398" s="9">
        <v>1444.72</v>
      </c>
      <c r="R398" t="s">
        <v>2065</v>
      </c>
      <c r="S398" s="11">
        <v>0.24099999999999999</v>
      </c>
      <c r="T398" t="s">
        <v>2065</v>
      </c>
      <c r="U398" s="13">
        <v>17</v>
      </c>
      <c r="V398" s="9">
        <f t="shared" si="24"/>
        <v>18641.222160000001</v>
      </c>
      <c r="W398" s="9">
        <f t="shared" si="25"/>
        <v>20441.990000000002</v>
      </c>
      <c r="X398" s="9">
        <f t="shared" si="26"/>
        <v>-1800.7678400000004</v>
      </c>
      <c r="Y398" s="11">
        <f t="shared" si="27"/>
        <v>-9.6601382921343834E-2</v>
      </c>
    </row>
    <row r="399" spans="1:25" x14ac:dyDescent="0.3">
      <c r="A399" t="s">
        <v>412</v>
      </c>
      <c r="B399">
        <v>45914</v>
      </c>
      <c r="C399">
        <v>45923</v>
      </c>
      <c r="D399" t="s">
        <v>2064</v>
      </c>
      <c r="E399">
        <v>45923</v>
      </c>
      <c r="F399">
        <v>9</v>
      </c>
      <c r="G399" t="s">
        <v>646</v>
      </c>
      <c r="H399" t="s">
        <v>661</v>
      </c>
      <c r="I399" t="s">
        <v>687</v>
      </c>
      <c r="J399" t="s">
        <v>703</v>
      </c>
      <c r="K399" t="s">
        <v>708</v>
      </c>
      <c r="L399" t="s">
        <v>726</v>
      </c>
      <c r="M399" t="s">
        <v>727</v>
      </c>
      <c r="N399" t="s">
        <v>1824</v>
      </c>
      <c r="O399" s="9">
        <v>1310.3</v>
      </c>
      <c r="P399" s="9">
        <v>2875.8</v>
      </c>
      <c r="Q399" s="9">
        <v>2875.8</v>
      </c>
      <c r="R399" t="s">
        <v>2065</v>
      </c>
      <c r="S399" s="11">
        <v>8.3000000000000004E-2</v>
      </c>
      <c r="T399" t="s">
        <v>2065</v>
      </c>
      <c r="U399" s="13">
        <v>5</v>
      </c>
      <c r="V399" s="9">
        <f t="shared" si="24"/>
        <v>13185.543</v>
      </c>
      <c r="W399" s="9">
        <f t="shared" si="25"/>
        <v>6551.5</v>
      </c>
      <c r="X399" s="9">
        <f t="shared" si="26"/>
        <v>6634.0429999999997</v>
      </c>
      <c r="Y399" s="11">
        <f t="shared" si="27"/>
        <v>0.50313005691157353</v>
      </c>
    </row>
    <row r="400" spans="1:25" x14ac:dyDescent="0.3">
      <c r="A400" t="s">
        <v>413</v>
      </c>
      <c r="B400">
        <v>45541</v>
      </c>
      <c r="C400">
        <v>45569</v>
      </c>
      <c r="D400" t="s">
        <v>2064</v>
      </c>
      <c r="E400">
        <v>45569</v>
      </c>
      <c r="F400">
        <v>28</v>
      </c>
      <c r="G400" t="s">
        <v>646</v>
      </c>
      <c r="H400" t="s">
        <v>661</v>
      </c>
      <c r="I400" t="s">
        <v>695</v>
      </c>
      <c r="J400" t="s">
        <v>701</v>
      </c>
      <c r="K400" t="s">
        <v>709</v>
      </c>
      <c r="L400" t="s">
        <v>726</v>
      </c>
      <c r="M400" t="s">
        <v>732</v>
      </c>
      <c r="N400" t="s">
        <v>1825</v>
      </c>
      <c r="O400" s="9">
        <v>1174.17</v>
      </c>
      <c r="P400" s="9">
        <v>1641.61</v>
      </c>
      <c r="Q400" s="9">
        <v>1641.61</v>
      </c>
      <c r="R400" t="s">
        <v>2065</v>
      </c>
      <c r="S400" s="11">
        <v>0.122</v>
      </c>
      <c r="T400" t="s">
        <v>2065</v>
      </c>
      <c r="U400" s="13">
        <v>9</v>
      </c>
      <c r="V400" s="9">
        <f t="shared" si="24"/>
        <v>12972.00222</v>
      </c>
      <c r="W400" s="9">
        <f t="shared" si="25"/>
        <v>10567.53</v>
      </c>
      <c r="X400" s="9">
        <f t="shared" si="26"/>
        <v>2404.4722199999997</v>
      </c>
      <c r="Y400" s="11">
        <f t="shared" si="27"/>
        <v>0.18535860380079394</v>
      </c>
    </row>
    <row r="401" spans="1:25" x14ac:dyDescent="0.3">
      <c r="A401" t="s">
        <v>414</v>
      </c>
      <c r="B401">
        <v>45759</v>
      </c>
      <c r="C401">
        <v>45777</v>
      </c>
      <c r="D401" t="s">
        <v>2064</v>
      </c>
      <c r="E401">
        <v>45777</v>
      </c>
      <c r="F401">
        <v>18</v>
      </c>
      <c r="G401" t="s">
        <v>646</v>
      </c>
      <c r="H401" t="s">
        <v>650</v>
      </c>
      <c r="I401" t="s">
        <v>662</v>
      </c>
      <c r="J401" t="s">
        <v>701</v>
      </c>
      <c r="K401" t="s">
        <v>709</v>
      </c>
      <c r="L401" t="s">
        <v>721</v>
      </c>
      <c r="M401" t="s">
        <v>729</v>
      </c>
      <c r="N401" t="s">
        <v>1826</v>
      </c>
      <c r="O401" s="9">
        <v>1119.04</v>
      </c>
      <c r="P401" s="9">
        <v>1299.02</v>
      </c>
      <c r="Q401" s="9">
        <v>1299.02</v>
      </c>
      <c r="R401" t="s">
        <v>2065</v>
      </c>
      <c r="S401" s="11">
        <v>2.5000000000000001E-2</v>
      </c>
      <c r="T401" t="s">
        <v>2065</v>
      </c>
      <c r="U401" s="13">
        <v>14</v>
      </c>
      <c r="V401" s="9">
        <f t="shared" si="24"/>
        <v>17731.623</v>
      </c>
      <c r="W401" s="9">
        <f t="shared" si="25"/>
        <v>15666.56</v>
      </c>
      <c r="X401" s="9">
        <f t="shared" si="26"/>
        <v>2065.0630000000001</v>
      </c>
      <c r="Y401" s="11">
        <f t="shared" si="27"/>
        <v>0.11646215352085933</v>
      </c>
    </row>
    <row r="402" spans="1:25" x14ac:dyDescent="0.3">
      <c r="A402" t="s">
        <v>415</v>
      </c>
      <c r="B402">
        <v>45516</v>
      </c>
      <c r="C402">
        <v>45519</v>
      </c>
      <c r="D402" t="s">
        <v>2064</v>
      </c>
      <c r="E402">
        <v>45519</v>
      </c>
      <c r="F402">
        <v>3</v>
      </c>
      <c r="G402" t="s">
        <v>648</v>
      </c>
      <c r="H402" t="s">
        <v>1425</v>
      </c>
      <c r="I402" t="s">
        <v>677</v>
      </c>
      <c r="J402" t="s">
        <v>701</v>
      </c>
      <c r="K402" t="s">
        <v>709</v>
      </c>
      <c r="L402" t="s">
        <v>726</v>
      </c>
      <c r="M402" t="s">
        <v>728</v>
      </c>
      <c r="N402" t="s">
        <v>1827</v>
      </c>
      <c r="O402" s="9">
        <v>850.7</v>
      </c>
      <c r="P402" s="9">
        <v>1118.56</v>
      </c>
      <c r="Q402" s="9">
        <v>1118.56</v>
      </c>
      <c r="R402" t="s">
        <v>2065</v>
      </c>
      <c r="S402" s="11">
        <v>0.18</v>
      </c>
      <c r="T402" t="s">
        <v>2065</v>
      </c>
      <c r="U402" s="13">
        <v>19</v>
      </c>
      <c r="V402" s="9">
        <f t="shared" si="24"/>
        <v>17427.164800000002</v>
      </c>
      <c r="W402" s="9">
        <f t="shared" si="25"/>
        <v>16163.300000000001</v>
      </c>
      <c r="X402" s="9">
        <f t="shared" si="26"/>
        <v>1263.8648000000012</v>
      </c>
      <c r="Y402" s="11">
        <f t="shared" si="27"/>
        <v>7.2522685962090688E-2</v>
      </c>
    </row>
    <row r="403" spans="1:25" x14ac:dyDescent="0.3">
      <c r="A403" t="s">
        <v>416</v>
      </c>
      <c r="B403">
        <v>45601</v>
      </c>
      <c r="C403">
        <v>45604</v>
      </c>
      <c r="D403" t="s">
        <v>2064</v>
      </c>
      <c r="E403">
        <v>45604</v>
      </c>
      <c r="F403">
        <v>3</v>
      </c>
      <c r="G403" t="s">
        <v>648</v>
      </c>
      <c r="H403" t="s">
        <v>653</v>
      </c>
      <c r="I403" t="s">
        <v>667</v>
      </c>
      <c r="J403" t="s">
        <v>702</v>
      </c>
      <c r="K403" t="s">
        <v>709</v>
      </c>
      <c r="L403" t="s">
        <v>719</v>
      </c>
      <c r="M403" t="s">
        <v>727</v>
      </c>
      <c r="N403" t="s">
        <v>1828</v>
      </c>
      <c r="O403" s="9">
        <v>1020.4</v>
      </c>
      <c r="P403" s="9">
        <v>1184.71</v>
      </c>
      <c r="Q403" s="9">
        <v>1184.71</v>
      </c>
      <c r="R403" t="s">
        <v>2065</v>
      </c>
      <c r="S403" s="11">
        <v>0.106</v>
      </c>
      <c r="T403" t="s">
        <v>2065</v>
      </c>
      <c r="U403" s="13">
        <v>16</v>
      </c>
      <c r="V403" s="9">
        <f t="shared" si="24"/>
        <v>16946.091840000001</v>
      </c>
      <c r="W403" s="9">
        <f t="shared" si="25"/>
        <v>16326.4</v>
      </c>
      <c r="X403" s="9">
        <f t="shared" si="26"/>
        <v>619.69184000000132</v>
      </c>
      <c r="Y403" s="11">
        <f t="shared" si="27"/>
        <v>3.6568422138328345E-2</v>
      </c>
    </row>
    <row r="404" spans="1:25" x14ac:dyDescent="0.3">
      <c r="A404" t="s">
        <v>417</v>
      </c>
      <c r="B404">
        <v>45497</v>
      </c>
      <c r="C404">
        <v>45512</v>
      </c>
      <c r="D404" t="s">
        <v>2064</v>
      </c>
      <c r="E404">
        <v>45512</v>
      </c>
      <c r="F404">
        <v>15</v>
      </c>
      <c r="G404" t="s">
        <v>649</v>
      </c>
      <c r="H404" t="s">
        <v>657</v>
      </c>
      <c r="I404" t="s">
        <v>673</v>
      </c>
      <c r="J404" t="s">
        <v>706</v>
      </c>
      <c r="K404" t="s">
        <v>709</v>
      </c>
      <c r="L404" t="s">
        <v>722</v>
      </c>
      <c r="M404" t="s">
        <v>731</v>
      </c>
      <c r="N404" t="s">
        <v>1829</v>
      </c>
      <c r="O404" s="9">
        <v>501.5</v>
      </c>
      <c r="P404" s="9">
        <v>1201.47</v>
      </c>
      <c r="Q404" s="9">
        <v>1201.47</v>
      </c>
      <c r="R404" t="s">
        <v>2065</v>
      </c>
      <c r="S404" s="11">
        <v>0.126</v>
      </c>
      <c r="T404" t="s">
        <v>2065</v>
      </c>
      <c r="U404" s="13">
        <v>5</v>
      </c>
      <c r="V404" s="9">
        <f t="shared" si="24"/>
        <v>5250.4239000000007</v>
      </c>
      <c r="W404" s="9">
        <f t="shared" si="25"/>
        <v>2507.5</v>
      </c>
      <c r="X404" s="9">
        <f t="shared" si="26"/>
        <v>2742.9239000000007</v>
      </c>
      <c r="Y404" s="11">
        <f t="shared" si="27"/>
        <v>0.52241951359394057</v>
      </c>
    </row>
    <row r="405" spans="1:25" x14ac:dyDescent="0.3">
      <c r="A405" t="s">
        <v>418</v>
      </c>
      <c r="B405">
        <v>45677</v>
      </c>
      <c r="C405">
        <v>45691</v>
      </c>
      <c r="D405" t="s">
        <v>2064</v>
      </c>
      <c r="E405">
        <v>45691</v>
      </c>
      <c r="F405">
        <v>14</v>
      </c>
      <c r="G405" t="s">
        <v>648</v>
      </c>
      <c r="H405" t="s">
        <v>655</v>
      </c>
      <c r="I405" t="s">
        <v>672</v>
      </c>
      <c r="J405" t="s">
        <v>706</v>
      </c>
      <c r="K405" t="s">
        <v>709</v>
      </c>
      <c r="L405" t="s">
        <v>721</v>
      </c>
      <c r="M405" t="s">
        <v>727</v>
      </c>
      <c r="N405" t="s">
        <v>1830</v>
      </c>
      <c r="O405" s="9">
        <v>974.11</v>
      </c>
      <c r="P405" s="9">
        <v>880.99</v>
      </c>
      <c r="Q405" s="9">
        <v>880.99</v>
      </c>
      <c r="R405" t="s">
        <v>2065</v>
      </c>
      <c r="S405" s="11">
        <v>0.111</v>
      </c>
      <c r="T405" t="s">
        <v>2065</v>
      </c>
      <c r="U405" s="13">
        <v>10</v>
      </c>
      <c r="V405" s="9">
        <f t="shared" si="24"/>
        <v>7832.0010999999995</v>
      </c>
      <c r="W405" s="9">
        <f t="shared" si="25"/>
        <v>9741.1</v>
      </c>
      <c r="X405" s="9">
        <f t="shared" si="26"/>
        <v>-1909.0989000000009</v>
      </c>
      <c r="Y405" s="11">
        <f t="shared" si="27"/>
        <v>-0.2437562093805121</v>
      </c>
    </row>
    <row r="406" spans="1:25" x14ac:dyDescent="0.3">
      <c r="A406" t="s">
        <v>419</v>
      </c>
      <c r="B406">
        <v>44991</v>
      </c>
      <c r="C406">
        <v>45020</v>
      </c>
      <c r="D406" t="s">
        <v>2064</v>
      </c>
      <c r="E406">
        <v>45020</v>
      </c>
      <c r="F406">
        <v>29</v>
      </c>
      <c r="G406" t="s">
        <v>647</v>
      </c>
      <c r="H406" t="s">
        <v>659</v>
      </c>
      <c r="I406" t="s">
        <v>699</v>
      </c>
      <c r="J406" t="s">
        <v>705</v>
      </c>
      <c r="K406" t="s">
        <v>711</v>
      </c>
      <c r="L406" t="s">
        <v>712</v>
      </c>
      <c r="M406" t="s">
        <v>732</v>
      </c>
      <c r="N406" t="s">
        <v>1831</v>
      </c>
      <c r="O406" s="9">
        <v>1126.29</v>
      </c>
      <c r="P406" s="9">
        <v>2050.87</v>
      </c>
      <c r="Q406" s="9">
        <v>2050.87</v>
      </c>
      <c r="R406" t="s">
        <v>2065</v>
      </c>
      <c r="S406" s="11">
        <v>6.4000000000000001E-2</v>
      </c>
      <c r="T406" t="s">
        <v>2065</v>
      </c>
      <c r="U406" s="13">
        <v>7</v>
      </c>
      <c r="V406" s="9">
        <f t="shared" si="24"/>
        <v>13437.300239999999</v>
      </c>
      <c r="W406" s="9">
        <f t="shared" si="25"/>
        <v>7884.03</v>
      </c>
      <c r="X406" s="9">
        <f t="shared" si="26"/>
        <v>5553.2702399999989</v>
      </c>
      <c r="Y406" s="11">
        <f t="shared" si="27"/>
        <v>0.41327276616690373</v>
      </c>
    </row>
    <row r="407" spans="1:25" x14ac:dyDescent="0.3">
      <c r="A407" t="s">
        <v>420</v>
      </c>
      <c r="B407">
        <v>45646</v>
      </c>
      <c r="C407">
        <v>45671</v>
      </c>
      <c r="D407" t="s">
        <v>2064</v>
      </c>
      <c r="E407">
        <v>45671</v>
      </c>
      <c r="F407">
        <v>25</v>
      </c>
      <c r="G407" t="s">
        <v>647</v>
      </c>
      <c r="H407" t="s">
        <v>654</v>
      </c>
      <c r="I407" t="s">
        <v>680</v>
      </c>
      <c r="J407" t="s">
        <v>705</v>
      </c>
      <c r="K407" t="s">
        <v>707</v>
      </c>
      <c r="L407" t="s">
        <v>724</v>
      </c>
      <c r="M407" t="s">
        <v>728</v>
      </c>
      <c r="N407" t="s">
        <v>1832</v>
      </c>
      <c r="O407" s="9">
        <v>1361.34</v>
      </c>
      <c r="P407" s="9">
        <v>1737.9</v>
      </c>
      <c r="Q407" s="9">
        <v>1737.9</v>
      </c>
      <c r="R407" t="s">
        <v>2065</v>
      </c>
      <c r="S407" s="11">
        <v>7.6999999999999999E-2</v>
      </c>
      <c r="T407" t="s">
        <v>2065</v>
      </c>
      <c r="U407" s="13">
        <v>14</v>
      </c>
      <c r="V407" s="9">
        <f t="shared" si="24"/>
        <v>22457.143800000002</v>
      </c>
      <c r="W407" s="9">
        <f t="shared" si="25"/>
        <v>19058.759999999998</v>
      </c>
      <c r="X407" s="9">
        <f t="shared" si="26"/>
        <v>3398.3838000000032</v>
      </c>
      <c r="Y407" s="11">
        <f t="shared" si="27"/>
        <v>0.15132751654731813</v>
      </c>
    </row>
    <row r="408" spans="1:25" x14ac:dyDescent="0.3">
      <c r="A408" t="s">
        <v>421</v>
      </c>
      <c r="B408">
        <v>45709</v>
      </c>
      <c r="C408">
        <v>45737</v>
      </c>
      <c r="D408" t="s">
        <v>2064</v>
      </c>
      <c r="E408">
        <v>45737</v>
      </c>
      <c r="F408">
        <v>28</v>
      </c>
      <c r="G408" t="s">
        <v>646</v>
      </c>
      <c r="H408" t="s">
        <v>651</v>
      </c>
      <c r="I408" t="s">
        <v>669</v>
      </c>
      <c r="J408" t="s">
        <v>706</v>
      </c>
      <c r="K408" t="s">
        <v>709</v>
      </c>
      <c r="L408" t="s">
        <v>714</v>
      </c>
      <c r="M408" t="s">
        <v>730</v>
      </c>
      <c r="N408" t="s">
        <v>1833</v>
      </c>
      <c r="O408" s="9">
        <v>1437.39</v>
      </c>
      <c r="P408" s="9">
        <v>1388.31</v>
      </c>
      <c r="Q408" s="9">
        <v>1388.31</v>
      </c>
      <c r="R408" t="s">
        <v>2065</v>
      </c>
      <c r="S408" s="11">
        <v>0.13800000000000001</v>
      </c>
      <c r="T408" t="s">
        <v>2065</v>
      </c>
      <c r="U408" s="13">
        <v>18</v>
      </c>
      <c r="V408" s="9">
        <f t="shared" si="24"/>
        <v>21541.017959999997</v>
      </c>
      <c r="W408" s="9">
        <f t="shared" si="25"/>
        <v>25873.02</v>
      </c>
      <c r="X408" s="9">
        <f t="shared" si="26"/>
        <v>-4332.002040000003</v>
      </c>
      <c r="Y408" s="11">
        <f t="shared" si="27"/>
        <v>-0.20110479681341872</v>
      </c>
    </row>
    <row r="409" spans="1:25" x14ac:dyDescent="0.3">
      <c r="A409" t="s">
        <v>422</v>
      </c>
      <c r="B409">
        <v>45724</v>
      </c>
      <c r="C409">
        <v>45731</v>
      </c>
      <c r="D409" t="s">
        <v>2064</v>
      </c>
      <c r="E409">
        <v>45731</v>
      </c>
      <c r="F409">
        <v>7</v>
      </c>
      <c r="G409" t="s">
        <v>647</v>
      </c>
      <c r="H409" t="s">
        <v>654</v>
      </c>
      <c r="I409" t="s">
        <v>668</v>
      </c>
      <c r="J409" t="s">
        <v>701</v>
      </c>
      <c r="K409" t="s">
        <v>710</v>
      </c>
      <c r="L409" t="s">
        <v>723</v>
      </c>
      <c r="M409" t="s">
        <v>731</v>
      </c>
      <c r="N409" t="s">
        <v>1834</v>
      </c>
      <c r="O409" s="9">
        <v>475.66</v>
      </c>
      <c r="P409" s="9">
        <v>529.14</v>
      </c>
      <c r="Q409" s="9">
        <v>529.14</v>
      </c>
      <c r="R409" t="s">
        <v>2065</v>
      </c>
      <c r="S409" s="11">
        <v>0.19600000000000001</v>
      </c>
      <c r="T409" t="s">
        <v>2065</v>
      </c>
      <c r="U409" s="13">
        <v>11</v>
      </c>
      <c r="V409" s="9">
        <f t="shared" si="24"/>
        <v>4679.7141600000004</v>
      </c>
      <c r="W409" s="9">
        <f t="shared" si="25"/>
        <v>5232.26</v>
      </c>
      <c r="X409" s="9">
        <f t="shared" si="26"/>
        <v>-552.54583999999977</v>
      </c>
      <c r="Y409" s="11">
        <f t="shared" si="27"/>
        <v>-0.11807256193613323</v>
      </c>
    </row>
    <row r="410" spans="1:25" x14ac:dyDescent="0.3">
      <c r="A410" t="s">
        <v>423</v>
      </c>
      <c r="B410">
        <v>45276</v>
      </c>
      <c r="C410">
        <v>45279</v>
      </c>
      <c r="D410" t="s">
        <v>2064</v>
      </c>
      <c r="E410">
        <v>45279</v>
      </c>
      <c r="F410">
        <v>3</v>
      </c>
      <c r="G410" t="s">
        <v>647</v>
      </c>
      <c r="H410" t="s">
        <v>659</v>
      </c>
      <c r="I410" t="s">
        <v>699</v>
      </c>
      <c r="J410" t="s">
        <v>702</v>
      </c>
      <c r="K410" t="s">
        <v>707</v>
      </c>
      <c r="L410" t="s">
        <v>720</v>
      </c>
      <c r="M410" t="s">
        <v>733</v>
      </c>
      <c r="N410" t="s">
        <v>1835</v>
      </c>
      <c r="O410" s="9">
        <v>1415.05</v>
      </c>
      <c r="P410" s="9">
        <v>1972.38</v>
      </c>
      <c r="Q410" s="9">
        <v>1972.38</v>
      </c>
      <c r="R410" t="s">
        <v>2065</v>
      </c>
      <c r="S410" s="11">
        <v>0</v>
      </c>
      <c r="T410" t="s">
        <v>2065</v>
      </c>
      <c r="U410" s="13">
        <v>12</v>
      </c>
      <c r="V410" s="9">
        <f t="shared" si="24"/>
        <v>23668.560000000001</v>
      </c>
      <c r="W410" s="9">
        <f t="shared" si="25"/>
        <v>16980.599999999999</v>
      </c>
      <c r="X410" s="9">
        <f t="shared" si="26"/>
        <v>6687.9600000000028</v>
      </c>
      <c r="Y410" s="11">
        <f t="shared" si="27"/>
        <v>0.28256725377462771</v>
      </c>
    </row>
    <row r="411" spans="1:25" x14ac:dyDescent="0.3">
      <c r="A411" t="s">
        <v>424</v>
      </c>
      <c r="B411">
        <v>45534</v>
      </c>
      <c r="C411">
        <v>45540</v>
      </c>
      <c r="D411" t="s">
        <v>2064</v>
      </c>
      <c r="E411">
        <v>45540</v>
      </c>
      <c r="F411">
        <v>6</v>
      </c>
      <c r="G411" t="s">
        <v>647</v>
      </c>
      <c r="H411" t="s">
        <v>652</v>
      </c>
      <c r="I411" t="s">
        <v>694</v>
      </c>
      <c r="J411" t="s">
        <v>702</v>
      </c>
      <c r="K411" t="s">
        <v>708</v>
      </c>
      <c r="L411" t="s">
        <v>725</v>
      </c>
      <c r="M411" t="s">
        <v>731</v>
      </c>
      <c r="N411" t="s">
        <v>1836</v>
      </c>
      <c r="O411" s="9">
        <v>466.16</v>
      </c>
      <c r="P411" s="9">
        <v>876.81</v>
      </c>
      <c r="Q411" s="9">
        <v>876.81</v>
      </c>
      <c r="R411" t="s">
        <v>2065</v>
      </c>
      <c r="S411" s="11">
        <v>0.24099999999999999</v>
      </c>
      <c r="T411" t="s">
        <v>2065</v>
      </c>
      <c r="U411" s="13">
        <v>8</v>
      </c>
      <c r="V411" s="9">
        <f t="shared" si="24"/>
        <v>5323.9903199999999</v>
      </c>
      <c r="W411" s="9">
        <f t="shared" si="25"/>
        <v>3729.28</v>
      </c>
      <c r="X411" s="9">
        <f t="shared" si="26"/>
        <v>1594.7103199999997</v>
      </c>
      <c r="Y411" s="11">
        <f t="shared" si="27"/>
        <v>0.29953291124691594</v>
      </c>
    </row>
    <row r="412" spans="1:25" x14ac:dyDescent="0.3">
      <c r="A412" t="s">
        <v>425</v>
      </c>
      <c r="B412">
        <v>45430</v>
      </c>
      <c r="C412">
        <v>45433</v>
      </c>
      <c r="D412" t="s">
        <v>2064</v>
      </c>
      <c r="E412">
        <v>45433</v>
      </c>
      <c r="F412">
        <v>3</v>
      </c>
      <c r="G412" t="s">
        <v>649</v>
      </c>
      <c r="H412" t="s">
        <v>657</v>
      </c>
      <c r="I412" t="s">
        <v>673</v>
      </c>
      <c r="J412" t="s">
        <v>703</v>
      </c>
      <c r="K412" t="s">
        <v>709</v>
      </c>
      <c r="L412" t="s">
        <v>726</v>
      </c>
      <c r="M412" t="s">
        <v>728</v>
      </c>
      <c r="N412" t="s">
        <v>1837</v>
      </c>
      <c r="O412" s="9">
        <v>663.66</v>
      </c>
      <c r="P412" s="9">
        <v>824.26</v>
      </c>
      <c r="Q412" s="9">
        <v>824.26</v>
      </c>
      <c r="R412" t="s">
        <v>2065</v>
      </c>
      <c r="S412" s="11">
        <v>0.23899999999999999</v>
      </c>
      <c r="T412" t="s">
        <v>2065</v>
      </c>
      <c r="U412" s="13">
        <v>11</v>
      </c>
      <c r="V412" s="9">
        <f t="shared" si="24"/>
        <v>6899.8804600000003</v>
      </c>
      <c r="W412" s="9">
        <f t="shared" si="25"/>
        <v>7300.2599999999993</v>
      </c>
      <c r="X412" s="9">
        <f t="shared" si="26"/>
        <v>-400.379539999999</v>
      </c>
      <c r="Y412" s="11">
        <f t="shared" si="27"/>
        <v>-5.8027025587048933E-2</v>
      </c>
    </row>
    <row r="413" spans="1:25" x14ac:dyDescent="0.3">
      <c r="A413" t="s">
        <v>426</v>
      </c>
      <c r="B413">
        <v>45002</v>
      </c>
      <c r="C413">
        <v>45022</v>
      </c>
      <c r="D413" t="s">
        <v>2064</v>
      </c>
      <c r="E413">
        <v>45022</v>
      </c>
      <c r="F413">
        <v>20</v>
      </c>
      <c r="G413" t="s">
        <v>649</v>
      </c>
      <c r="H413" t="s">
        <v>656</v>
      </c>
      <c r="I413" t="s">
        <v>684</v>
      </c>
      <c r="J413" t="s">
        <v>704</v>
      </c>
      <c r="K413" t="s">
        <v>707</v>
      </c>
      <c r="L413" t="s">
        <v>719</v>
      </c>
      <c r="M413" t="s">
        <v>730</v>
      </c>
      <c r="N413" t="s">
        <v>1838</v>
      </c>
      <c r="O413" s="9">
        <v>692.18</v>
      </c>
      <c r="P413" s="9">
        <v>1159.3499999999999</v>
      </c>
      <c r="Q413" s="9">
        <v>1159.3499999999999</v>
      </c>
      <c r="R413" t="s">
        <v>2065</v>
      </c>
      <c r="S413" s="11">
        <v>0.112</v>
      </c>
      <c r="T413" t="s">
        <v>2065</v>
      </c>
      <c r="U413" s="13">
        <v>2</v>
      </c>
      <c r="V413" s="9">
        <f t="shared" si="24"/>
        <v>2059.0056</v>
      </c>
      <c r="W413" s="9">
        <f t="shared" si="25"/>
        <v>1384.36</v>
      </c>
      <c r="X413" s="9">
        <f t="shared" si="26"/>
        <v>674.64560000000006</v>
      </c>
      <c r="Y413" s="11">
        <f t="shared" si="27"/>
        <v>0.32765602968734037</v>
      </c>
    </row>
    <row r="414" spans="1:25" x14ac:dyDescent="0.3">
      <c r="A414" t="s">
        <v>427</v>
      </c>
      <c r="B414">
        <v>45163</v>
      </c>
      <c r="C414">
        <v>45185</v>
      </c>
      <c r="D414" t="s">
        <v>2064</v>
      </c>
      <c r="E414">
        <v>45185</v>
      </c>
      <c r="F414">
        <v>22</v>
      </c>
      <c r="G414" t="s">
        <v>646</v>
      </c>
      <c r="H414" t="s">
        <v>651</v>
      </c>
      <c r="I414" t="s">
        <v>669</v>
      </c>
      <c r="J414" t="s">
        <v>701</v>
      </c>
      <c r="K414" t="s">
        <v>709</v>
      </c>
      <c r="L414" t="s">
        <v>716</v>
      </c>
      <c r="M414" t="s">
        <v>730</v>
      </c>
      <c r="N414" t="s">
        <v>1839</v>
      </c>
      <c r="O414" s="9">
        <v>1196.83</v>
      </c>
      <c r="P414" s="9">
        <v>2513.5100000000002</v>
      </c>
      <c r="Q414" s="9">
        <v>2513.5100000000002</v>
      </c>
      <c r="R414" t="s">
        <v>2065</v>
      </c>
      <c r="S414" s="11">
        <v>8.3000000000000004E-2</v>
      </c>
      <c r="T414" t="s">
        <v>2065</v>
      </c>
      <c r="U414" s="13">
        <v>7</v>
      </c>
      <c r="V414" s="9">
        <f t="shared" si="24"/>
        <v>16134.22069</v>
      </c>
      <c r="W414" s="9">
        <f t="shared" si="25"/>
        <v>8377.81</v>
      </c>
      <c r="X414" s="9">
        <f t="shared" si="26"/>
        <v>7756.4106900000006</v>
      </c>
      <c r="Y414" s="11">
        <f t="shared" si="27"/>
        <v>0.48074281609445374</v>
      </c>
    </row>
    <row r="415" spans="1:25" x14ac:dyDescent="0.3">
      <c r="A415" t="s">
        <v>428</v>
      </c>
      <c r="B415">
        <v>45449</v>
      </c>
      <c r="C415">
        <v>45467</v>
      </c>
      <c r="D415" t="s">
        <v>2064</v>
      </c>
      <c r="E415">
        <v>45467</v>
      </c>
      <c r="F415">
        <v>18</v>
      </c>
      <c r="G415" t="s">
        <v>647</v>
      </c>
      <c r="H415" t="s">
        <v>654</v>
      </c>
      <c r="I415" t="s">
        <v>668</v>
      </c>
      <c r="J415" t="s">
        <v>705</v>
      </c>
      <c r="K415" t="s">
        <v>711</v>
      </c>
      <c r="L415" t="s">
        <v>722</v>
      </c>
      <c r="M415" t="s">
        <v>729</v>
      </c>
      <c r="N415" t="s">
        <v>1840</v>
      </c>
      <c r="O415" s="9">
        <v>1253.25</v>
      </c>
      <c r="P415" s="9">
        <v>3087.13</v>
      </c>
      <c r="Q415" s="9">
        <v>3087.13</v>
      </c>
      <c r="R415" t="s">
        <v>2065</v>
      </c>
      <c r="S415" s="11">
        <v>7.1999999999999995E-2</v>
      </c>
      <c r="T415" t="s">
        <v>2065</v>
      </c>
      <c r="U415" s="13">
        <v>11</v>
      </c>
      <c r="V415" s="9">
        <f t="shared" si="24"/>
        <v>31513.423040000001</v>
      </c>
      <c r="W415" s="9">
        <f t="shared" si="25"/>
        <v>13785.75</v>
      </c>
      <c r="X415" s="9">
        <f t="shared" si="26"/>
        <v>17727.673040000001</v>
      </c>
      <c r="Y415" s="11">
        <f t="shared" si="27"/>
        <v>0.562543555408064</v>
      </c>
    </row>
    <row r="416" spans="1:25" x14ac:dyDescent="0.3">
      <c r="A416" t="s">
        <v>429</v>
      </c>
      <c r="B416">
        <v>45167</v>
      </c>
      <c r="C416">
        <v>45182</v>
      </c>
      <c r="D416" t="s">
        <v>2064</v>
      </c>
      <c r="E416">
        <v>45182</v>
      </c>
      <c r="F416">
        <v>15</v>
      </c>
      <c r="G416" t="s">
        <v>648</v>
      </c>
      <c r="H416" t="s">
        <v>653</v>
      </c>
      <c r="I416" t="s">
        <v>688</v>
      </c>
      <c r="J416" t="s">
        <v>705</v>
      </c>
      <c r="K416" t="s">
        <v>709</v>
      </c>
      <c r="L416" t="s">
        <v>719</v>
      </c>
      <c r="M416" t="s">
        <v>728</v>
      </c>
      <c r="N416" t="s">
        <v>1841</v>
      </c>
      <c r="O416" s="9">
        <v>1287.6400000000001</v>
      </c>
      <c r="P416" s="9">
        <v>2717.15</v>
      </c>
      <c r="Q416" s="9">
        <v>2717.15</v>
      </c>
      <c r="R416" t="s">
        <v>2065</v>
      </c>
      <c r="S416" s="11">
        <v>3.2000000000000001E-2</v>
      </c>
      <c r="T416" t="s">
        <v>2065</v>
      </c>
      <c r="U416" s="13">
        <v>7</v>
      </c>
      <c r="V416" s="9">
        <f t="shared" si="24"/>
        <v>18411.4084</v>
      </c>
      <c r="W416" s="9">
        <f t="shared" si="25"/>
        <v>9013.4800000000014</v>
      </c>
      <c r="X416" s="9">
        <f t="shared" si="26"/>
        <v>9397.9283999999989</v>
      </c>
      <c r="Y416" s="11">
        <f t="shared" si="27"/>
        <v>0.51044049405802105</v>
      </c>
    </row>
    <row r="417" spans="1:25" x14ac:dyDescent="0.3">
      <c r="A417" t="s">
        <v>430</v>
      </c>
      <c r="B417">
        <v>45626</v>
      </c>
      <c r="C417">
        <v>45636</v>
      </c>
      <c r="D417" t="s">
        <v>2064</v>
      </c>
      <c r="E417">
        <v>45636</v>
      </c>
      <c r="F417">
        <v>10</v>
      </c>
      <c r="G417" t="s">
        <v>647</v>
      </c>
      <c r="H417" t="s">
        <v>654</v>
      </c>
      <c r="I417" t="s">
        <v>696</v>
      </c>
      <c r="J417" t="s">
        <v>705</v>
      </c>
      <c r="K417" t="s">
        <v>707</v>
      </c>
      <c r="L417" t="s">
        <v>721</v>
      </c>
      <c r="M417" t="s">
        <v>733</v>
      </c>
      <c r="N417" t="s">
        <v>1842</v>
      </c>
      <c r="O417" s="9">
        <v>851.49</v>
      </c>
      <c r="P417" s="9">
        <v>901.79</v>
      </c>
      <c r="Q417" s="9">
        <v>901.79</v>
      </c>
      <c r="R417" t="s">
        <v>2065</v>
      </c>
      <c r="S417" s="11">
        <v>0.245</v>
      </c>
      <c r="T417" t="s">
        <v>2065</v>
      </c>
      <c r="U417" s="13">
        <v>16</v>
      </c>
      <c r="V417" s="9">
        <f t="shared" si="24"/>
        <v>10893.6232</v>
      </c>
      <c r="W417" s="9">
        <f t="shared" si="25"/>
        <v>13623.84</v>
      </c>
      <c r="X417" s="9">
        <f t="shared" si="26"/>
        <v>-2730.2168000000001</v>
      </c>
      <c r="Y417" s="11">
        <f t="shared" si="27"/>
        <v>-0.25062522816100341</v>
      </c>
    </row>
    <row r="418" spans="1:25" x14ac:dyDescent="0.3">
      <c r="A418" t="s">
        <v>431</v>
      </c>
      <c r="B418">
        <v>45813</v>
      </c>
      <c r="C418">
        <v>45822</v>
      </c>
      <c r="D418" t="s">
        <v>2064</v>
      </c>
      <c r="E418">
        <v>45822</v>
      </c>
      <c r="F418">
        <v>9</v>
      </c>
      <c r="G418" t="s">
        <v>647</v>
      </c>
      <c r="H418" t="s">
        <v>654</v>
      </c>
      <c r="I418" t="s">
        <v>680</v>
      </c>
      <c r="J418" t="s">
        <v>703</v>
      </c>
      <c r="K418" t="s">
        <v>707</v>
      </c>
      <c r="L418" t="s">
        <v>720</v>
      </c>
      <c r="M418" t="s">
        <v>733</v>
      </c>
      <c r="N418" t="s">
        <v>1843</v>
      </c>
      <c r="O418" s="9">
        <v>618.69000000000005</v>
      </c>
      <c r="P418" s="9">
        <v>796.15</v>
      </c>
      <c r="Q418" s="9">
        <v>796.15</v>
      </c>
      <c r="R418" t="s">
        <v>2065</v>
      </c>
      <c r="S418" s="11">
        <v>0.09</v>
      </c>
      <c r="T418" t="s">
        <v>2065</v>
      </c>
      <c r="U418" s="13">
        <v>11</v>
      </c>
      <c r="V418" s="9">
        <f t="shared" si="24"/>
        <v>7969.4615000000003</v>
      </c>
      <c r="W418" s="9">
        <f t="shared" si="25"/>
        <v>6805.59</v>
      </c>
      <c r="X418" s="9">
        <f t="shared" si="26"/>
        <v>1163.8715000000002</v>
      </c>
      <c r="Y418" s="11">
        <f t="shared" si="27"/>
        <v>0.14604142325049191</v>
      </c>
    </row>
    <row r="419" spans="1:25" x14ac:dyDescent="0.3">
      <c r="A419" t="s">
        <v>432</v>
      </c>
      <c r="B419">
        <v>45730</v>
      </c>
      <c r="C419">
        <v>45755</v>
      </c>
      <c r="D419" t="s">
        <v>2064</v>
      </c>
      <c r="E419">
        <v>45755</v>
      </c>
      <c r="F419">
        <v>25</v>
      </c>
      <c r="G419" t="s">
        <v>647</v>
      </c>
      <c r="H419" t="s">
        <v>659</v>
      </c>
      <c r="I419" t="s">
        <v>2057</v>
      </c>
      <c r="J419" t="s">
        <v>701</v>
      </c>
      <c r="K419" t="s">
        <v>710</v>
      </c>
      <c r="L419" t="s">
        <v>726</v>
      </c>
      <c r="M419" t="s">
        <v>728</v>
      </c>
      <c r="N419" t="s">
        <v>1844</v>
      </c>
      <c r="O419" s="9">
        <v>80.59</v>
      </c>
      <c r="P419" s="9">
        <v>157.82</v>
      </c>
      <c r="Q419" s="9">
        <v>157.82</v>
      </c>
      <c r="R419" t="s">
        <v>2065</v>
      </c>
      <c r="S419" s="11">
        <v>0.217</v>
      </c>
      <c r="T419" t="s">
        <v>2065</v>
      </c>
      <c r="U419" s="13">
        <v>6</v>
      </c>
      <c r="V419" s="9">
        <f t="shared" si="24"/>
        <v>741.43835999999999</v>
      </c>
      <c r="W419" s="9">
        <f t="shared" si="25"/>
        <v>483.54</v>
      </c>
      <c r="X419" s="9">
        <f t="shared" si="26"/>
        <v>257.89835999999997</v>
      </c>
      <c r="Y419" s="11">
        <f t="shared" si="27"/>
        <v>0.34783519967863541</v>
      </c>
    </row>
    <row r="420" spans="1:25" x14ac:dyDescent="0.3">
      <c r="A420" t="s">
        <v>433</v>
      </c>
      <c r="B420">
        <v>45307</v>
      </c>
      <c r="C420">
        <v>45333</v>
      </c>
      <c r="D420" t="s">
        <v>2064</v>
      </c>
      <c r="E420">
        <v>45333</v>
      </c>
      <c r="F420">
        <v>26</v>
      </c>
      <c r="G420" t="s">
        <v>649</v>
      </c>
      <c r="H420" t="s">
        <v>656</v>
      </c>
      <c r="I420" t="s">
        <v>698</v>
      </c>
      <c r="J420" t="s">
        <v>703</v>
      </c>
      <c r="K420" t="s">
        <v>710</v>
      </c>
      <c r="L420" t="s">
        <v>718</v>
      </c>
      <c r="M420" t="s">
        <v>732</v>
      </c>
      <c r="N420" t="s">
        <v>1845</v>
      </c>
      <c r="O420" s="9">
        <v>504.93</v>
      </c>
      <c r="P420" s="9">
        <v>819.06</v>
      </c>
      <c r="Q420" s="9">
        <v>819.06</v>
      </c>
      <c r="R420" t="s">
        <v>2065</v>
      </c>
      <c r="S420" s="11">
        <v>0.22600000000000001</v>
      </c>
      <c r="T420" t="s">
        <v>2065</v>
      </c>
      <c r="U420" s="13">
        <v>15</v>
      </c>
      <c r="V420" s="9">
        <f t="shared" si="24"/>
        <v>9509.2865999999995</v>
      </c>
      <c r="W420" s="9">
        <f t="shared" si="25"/>
        <v>7573.95</v>
      </c>
      <c r="X420" s="9">
        <f t="shared" si="26"/>
        <v>1935.3365999999996</v>
      </c>
      <c r="Y420" s="11">
        <f t="shared" si="27"/>
        <v>0.20352069312959814</v>
      </c>
    </row>
    <row r="421" spans="1:25" x14ac:dyDescent="0.3">
      <c r="A421" t="s">
        <v>434</v>
      </c>
      <c r="B421">
        <v>45211</v>
      </c>
      <c r="C421">
        <v>45228</v>
      </c>
      <c r="D421" t="s">
        <v>2064</v>
      </c>
      <c r="E421">
        <v>45228</v>
      </c>
      <c r="F421">
        <v>17</v>
      </c>
      <c r="G421" t="s">
        <v>647</v>
      </c>
      <c r="H421" t="s">
        <v>652</v>
      </c>
      <c r="I421" t="s">
        <v>694</v>
      </c>
      <c r="J421" t="s">
        <v>703</v>
      </c>
      <c r="K421" t="s">
        <v>711</v>
      </c>
      <c r="L421" t="s">
        <v>722</v>
      </c>
      <c r="M421" t="s">
        <v>730</v>
      </c>
      <c r="N421" t="s">
        <v>1846</v>
      </c>
      <c r="O421" s="9">
        <v>1102.19</v>
      </c>
      <c r="P421" s="9">
        <v>1711.16</v>
      </c>
      <c r="Q421" s="9">
        <v>1711.16</v>
      </c>
      <c r="R421" t="s">
        <v>2065</v>
      </c>
      <c r="S421" s="11">
        <v>0.151</v>
      </c>
      <c r="T421" t="s">
        <v>2065</v>
      </c>
      <c r="U421" s="13">
        <v>10</v>
      </c>
      <c r="V421" s="9">
        <f t="shared" si="24"/>
        <v>14527.748400000002</v>
      </c>
      <c r="W421" s="9">
        <f t="shared" si="25"/>
        <v>11021.900000000001</v>
      </c>
      <c r="X421" s="9">
        <f t="shared" si="26"/>
        <v>3505.8484000000008</v>
      </c>
      <c r="Y421" s="11">
        <f t="shared" si="27"/>
        <v>0.24132083675127525</v>
      </c>
    </row>
    <row r="422" spans="1:25" x14ac:dyDescent="0.3">
      <c r="A422" t="s">
        <v>435</v>
      </c>
      <c r="B422">
        <v>45713</v>
      </c>
      <c r="C422">
        <v>45733</v>
      </c>
      <c r="D422" t="s">
        <v>2064</v>
      </c>
      <c r="E422">
        <v>45733</v>
      </c>
      <c r="F422">
        <v>20</v>
      </c>
      <c r="G422" t="s">
        <v>648</v>
      </c>
      <c r="H422" t="s">
        <v>1425</v>
      </c>
      <c r="I422" t="s">
        <v>686</v>
      </c>
      <c r="J422" t="s">
        <v>703</v>
      </c>
      <c r="K422" t="s">
        <v>709</v>
      </c>
      <c r="L422" t="s">
        <v>722</v>
      </c>
      <c r="M422" t="s">
        <v>730</v>
      </c>
      <c r="N422" t="s">
        <v>1847</v>
      </c>
      <c r="O422" s="9">
        <v>1205.26</v>
      </c>
      <c r="P422" s="9">
        <v>1696.35</v>
      </c>
      <c r="Q422" s="9">
        <v>1696.35</v>
      </c>
      <c r="R422" t="s">
        <v>2065</v>
      </c>
      <c r="S422" s="11">
        <v>1.9E-2</v>
      </c>
      <c r="T422" t="s">
        <v>2065</v>
      </c>
      <c r="U422" s="13">
        <v>6</v>
      </c>
      <c r="V422" s="9">
        <f t="shared" si="24"/>
        <v>9984.7160999999978</v>
      </c>
      <c r="W422" s="9">
        <f t="shared" si="25"/>
        <v>7231.5599999999995</v>
      </c>
      <c r="X422" s="9">
        <f t="shared" si="26"/>
        <v>2753.1560999999983</v>
      </c>
      <c r="Y422" s="11">
        <f t="shared" si="27"/>
        <v>0.27573704374028213</v>
      </c>
    </row>
    <row r="423" spans="1:25" x14ac:dyDescent="0.3">
      <c r="A423" t="s">
        <v>436</v>
      </c>
      <c r="B423">
        <v>45841</v>
      </c>
      <c r="C423">
        <v>45844</v>
      </c>
      <c r="D423" t="s">
        <v>2064</v>
      </c>
      <c r="E423">
        <v>45844</v>
      </c>
      <c r="F423">
        <v>3</v>
      </c>
      <c r="G423" t="s">
        <v>646</v>
      </c>
      <c r="H423" t="s">
        <v>651</v>
      </c>
      <c r="I423" t="s">
        <v>665</v>
      </c>
      <c r="J423" t="s">
        <v>704</v>
      </c>
      <c r="K423" t="s">
        <v>708</v>
      </c>
      <c r="L423" t="s">
        <v>2057</v>
      </c>
      <c r="M423" t="s">
        <v>731</v>
      </c>
      <c r="N423" t="s">
        <v>1848</v>
      </c>
      <c r="O423" s="9">
        <v>1313.3</v>
      </c>
      <c r="P423" s="9">
        <v>2884.34</v>
      </c>
      <c r="Q423" s="9">
        <v>2884.34</v>
      </c>
      <c r="R423" t="s">
        <v>2065</v>
      </c>
      <c r="S423" s="11">
        <v>0.157</v>
      </c>
      <c r="T423" t="s">
        <v>2065</v>
      </c>
      <c r="U423" s="13">
        <v>42</v>
      </c>
      <c r="V423" s="9">
        <f t="shared" si="24"/>
        <v>102122.94203999999</v>
      </c>
      <c r="W423" s="9">
        <f t="shared" si="25"/>
        <v>55158.6</v>
      </c>
      <c r="X423" s="9">
        <f t="shared" si="26"/>
        <v>46964.342039999996</v>
      </c>
      <c r="Y423" s="11">
        <f t="shared" si="27"/>
        <v>0.45988042551305253</v>
      </c>
    </row>
    <row r="424" spans="1:25" x14ac:dyDescent="0.3">
      <c r="A424" t="s">
        <v>437</v>
      </c>
      <c r="B424">
        <v>45915</v>
      </c>
      <c r="C424">
        <v>45925</v>
      </c>
      <c r="D424" t="s">
        <v>2064</v>
      </c>
      <c r="E424">
        <v>45925</v>
      </c>
      <c r="F424">
        <v>10</v>
      </c>
      <c r="G424" t="s">
        <v>647</v>
      </c>
      <c r="H424" t="s">
        <v>654</v>
      </c>
      <c r="I424" t="s">
        <v>680</v>
      </c>
      <c r="J424" t="s">
        <v>704</v>
      </c>
      <c r="K424" t="s">
        <v>707</v>
      </c>
      <c r="L424" t="s">
        <v>720</v>
      </c>
      <c r="M424" t="s">
        <v>730</v>
      </c>
      <c r="N424" t="s">
        <v>1849</v>
      </c>
      <c r="O424" s="9">
        <v>1488.91</v>
      </c>
      <c r="P424" s="9">
        <v>1483.74</v>
      </c>
      <c r="Q424" s="9">
        <v>1483.74</v>
      </c>
      <c r="R424" t="s">
        <v>2065</v>
      </c>
      <c r="S424" s="11">
        <v>0.16800000000000001</v>
      </c>
      <c r="T424" t="s">
        <v>2065</v>
      </c>
      <c r="U424" s="13">
        <v>24</v>
      </c>
      <c r="V424" s="9">
        <f t="shared" si="24"/>
        <v>29627.320319999999</v>
      </c>
      <c r="W424" s="9">
        <f t="shared" si="25"/>
        <v>35733.840000000004</v>
      </c>
      <c r="X424" s="9">
        <f t="shared" si="26"/>
        <v>-6106.5196800000049</v>
      </c>
      <c r="Y424" s="11">
        <f t="shared" si="27"/>
        <v>-0.20611110333450519</v>
      </c>
    </row>
    <row r="425" spans="1:25" x14ac:dyDescent="0.3">
      <c r="A425" t="s">
        <v>438</v>
      </c>
      <c r="B425">
        <v>45341</v>
      </c>
      <c r="C425">
        <v>45357</v>
      </c>
      <c r="D425" t="s">
        <v>2064</v>
      </c>
      <c r="E425">
        <v>45357</v>
      </c>
      <c r="F425">
        <v>16</v>
      </c>
      <c r="G425" t="s">
        <v>647</v>
      </c>
      <c r="H425" t="s">
        <v>659</v>
      </c>
      <c r="I425" t="s">
        <v>699</v>
      </c>
      <c r="J425" t="s">
        <v>702</v>
      </c>
      <c r="K425" t="s">
        <v>709</v>
      </c>
      <c r="L425" t="s">
        <v>719</v>
      </c>
      <c r="M425" t="s">
        <v>728</v>
      </c>
      <c r="N425" t="s">
        <v>1850</v>
      </c>
      <c r="O425" s="9">
        <v>1477.84</v>
      </c>
      <c r="P425" s="9">
        <v>3197.47</v>
      </c>
      <c r="Q425" s="9">
        <v>3197.47</v>
      </c>
      <c r="R425" t="s">
        <v>2065</v>
      </c>
      <c r="S425" s="11">
        <v>0.24299999999999999</v>
      </c>
      <c r="T425" t="s">
        <v>2065</v>
      </c>
      <c r="U425" s="13">
        <v>24</v>
      </c>
      <c r="V425" s="9">
        <f t="shared" si="24"/>
        <v>58091.634960000003</v>
      </c>
      <c r="W425" s="9">
        <f t="shared" si="25"/>
        <v>35468.159999999996</v>
      </c>
      <c r="X425" s="9">
        <f t="shared" si="26"/>
        <v>22623.474960000007</v>
      </c>
      <c r="Y425" s="11">
        <f t="shared" si="27"/>
        <v>0.38944462443823091</v>
      </c>
    </row>
    <row r="426" spans="1:25" x14ac:dyDescent="0.3">
      <c r="A426" t="s">
        <v>439</v>
      </c>
      <c r="B426">
        <v>45349</v>
      </c>
      <c r="C426">
        <v>45377</v>
      </c>
      <c r="D426" t="s">
        <v>2064</v>
      </c>
      <c r="E426">
        <v>45377</v>
      </c>
      <c r="F426">
        <v>28</v>
      </c>
      <c r="G426" t="s">
        <v>647</v>
      </c>
      <c r="H426" t="s">
        <v>654</v>
      </c>
      <c r="I426" t="s">
        <v>691</v>
      </c>
      <c r="J426" t="s">
        <v>702</v>
      </c>
      <c r="K426" t="s">
        <v>709</v>
      </c>
      <c r="L426" t="s">
        <v>715</v>
      </c>
      <c r="M426" t="s">
        <v>731</v>
      </c>
      <c r="N426" t="s">
        <v>1851</v>
      </c>
      <c r="O426" s="9">
        <v>1035.19</v>
      </c>
      <c r="P426" s="9">
        <v>2322.6999999999998</v>
      </c>
      <c r="Q426" s="9">
        <v>2322.6999999999998</v>
      </c>
      <c r="R426" t="s">
        <v>2065</v>
      </c>
      <c r="S426" s="11">
        <v>0.17299999999999999</v>
      </c>
      <c r="T426" t="s">
        <v>2065</v>
      </c>
      <c r="U426" s="13">
        <v>8</v>
      </c>
      <c r="V426" s="9">
        <f t="shared" si="24"/>
        <v>15366.983199999999</v>
      </c>
      <c r="W426" s="9">
        <f t="shared" si="25"/>
        <v>8281.52</v>
      </c>
      <c r="X426" s="9">
        <f t="shared" si="26"/>
        <v>7085.4631999999983</v>
      </c>
      <c r="Y426" s="11">
        <f t="shared" si="27"/>
        <v>0.46108355217047409</v>
      </c>
    </row>
    <row r="427" spans="1:25" x14ac:dyDescent="0.3">
      <c r="A427" t="s">
        <v>440</v>
      </c>
      <c r="B427">
        <v>45897</v>
      </c>
      <c r="C427">
        <v>45905</v>
      </c>
      <c r="D427" t="s">
        <v>2064</v>
      </c>
      <c r="E427">
        <v>45905</v>
      </c>
      <c r="F427">
        <v>8</v>
      </c>
      <c r="G427" t="s">
        <v>646</v>
      </c>
      <c r="H427" t="s">
        <v>651</v>
      </c>
      <c r="I427" t="s">
        <v>663</v>
      </c>
      <c r="J427" t="s">
        <v>705</v>
      </c>
      <c r="K427" t="s">
        <v>709</v>
      </c>
      <c r="L427" t="s">
        <v>718</v>
      </c>
      <c r="M427" t="s">
        <v>731</v>
      </c>
      <c r="N427" t="s">
        <v>1852</v>
      </c>
      <c r="O427" s="9">
        <v>1271.0999999999999</v>
      </c>
      <c r="P427" s="9">
        <v>1932.42</v>
      </c>
      <c r="Q427" s="9">
        <v>1932.42</v>
      </c>
      <c r="R427" t="s">
        <v>2065</v>
      </c>
      <c r="S427" s="11">
        <v>0.25</v>
      </c>
      <c r="T427" t="s">
        <v>2065</v>
      </c>
      <c r="U427" s="13">
        <v>21</v>
      </c>
      <c r="V427" s="9">
        <f t="shared" si="24"/>
        <v>30435.614999999998</v>
      </c>
      <c r="W427" s="9">
        <f t="shared" si="25"/>
        <v>26693.1</v>
      </c>
      <c r="X427" s="9">
        <f t="shared" si="26"/>
        <v>3742.5149999999994</v>
      </c>
      <c r="Y427" s="11">
        <f t="shared" si="27"/>
        <v>0.12296498690760807</v>
      </c>
    </row>
    <row r="428" spans="1:25" x14ac:dyDescent="0.3">
      <c r="A428" t="s">
        <v>441</v>
      </c>
      <c r="B428">
        <v>45522</v>
      </c>
      <c r="C428">
        <v>45547</v>
      </c>
      <c r="D428" t="s">
        <v>2064</v>
      </c>
      <c r="E428">
        <v>45547</v>
      </c>
      <c r="F428">
        <v>25</v>
      </c>
      <c r="G428" t="s">
        <v>647</v>
      </c>
      <c r="H428" t="s">
        <v>654</v>
      </c>
      <c r="I428" t="s">
        <v>691</v>
      </c>
      <c r="J428" t="s">
        <v>704</v>
      </c>
      <c r="K428" t="s">
        <v>709</v>
      </c>
      <c r="L428" t="s">
        <v>712</v>
      </c>
      <c r="M428" t="s">
        <v>730</v>
      </c>
      <c r="N428" t="s">
        <v>1853</v>
      </c>
      <c r="O428" s="9">
        <v>1154.03</v>
      </c>
      <c r="P428" s="9">
        <v>1590.36</v>
      </c>
      <c r="Q428" s="9">
        <v>1590.36</v>
      </c>
      <c r="R428" t="s">
        <v>2065</v>
      </c>
      <c r="S428" s="11">
        <v>0.314</v>
      </c>
      <c r="T428" t="s">
        <v>2067</v>
      </c>
      <c r="U428" s="13">
        <v>18</v>
      </c>
      <c r="V428" s="9">
        <f t="shared" si="24"/>
        <v>19637.76528</v>
      </c>
      <c r="W428" s="9">
        <f t="shared" si="25"/>
        <v>20772.54</v>
      </c>
      <c r="X428" s="9">
        <f t="shared" si="26"/>
        <v>-1134.7747200000013</v>
      </c>
      <c r="Y428" s="11">
        <f t="shared" si="27"/>
        <v>-5.7785328616576745E-2</v>
      </c>
    </row>
    <row r="429" spans="1:25" x14ac:dyDescent="0.3">
      <c r="A429" t="s">
        <v>442</v>
      </c>
      <c r="B429">
        <v>45347</v>
      </c>
      <c r="C429">
        <v>45360</v>
      </c>
      <c r="D429" t="s">
        <v>2064</v>
      </c>
      <c r="E429">
        <v>45360</v>
      </c>
      <c r="F429">
        <v>13</v>
      </c>
      <c r="G429" t="s">
        <v>649</v>
      </c>
      <c r="H429" t="s">
        <v>657</v>
      </c>
      <c r="I429" t="s">
        <v>673</v>
      </c>
      <c r="J429" t="s">
        <v>705</v>
      </c>
      <c r="K429" t="s">
        <v>710</v>
      </c>
      <c r="L429" t="s">
        <v>718</v>
      </c>
      <c r="M429" t="s">
        <v>732</v>
      </c>
      <c r="N429" t="s">
        <v>1854</v>
      </c>
      <c r="O429" s="9">
        <v>322.44</v>
      </c>
      <c r="P429" s="9">
        <v>395.61</v>
      </c>
      <c r="Q429" s="9">
        <v>395.61</v>
      </c>
      <c r="R429" t="s">
        <v>2065</v>
      </c>
      <c r="S429" s="11">
        <v>0</v>
      </c>
      <c r="T429" t="s">
        <v>2065</v>
      </c>
      <c r="U429" s="13">
        <v>34</v>
      </c>
      <c r="V429" s="9">
        <f t="shared" si="24"/>
        <v>13450.74</v>
      </c>
      <c r="W429" s="9">
        <f t="shared" si="25"/>
        <v>10962.96</v>
      </c>
      <c r="X429" s="9">
        <f t="shared" si="26"/>
        <v>2487.7800000000007</v>
      </c>
      <c r="Y429" s="11">
        <f t="shared" si="27"/>
        <v>0.18495487980586947</v>
      </c>
    </row>
    <row r="430" spans="1:25" x14ac:dyDescent="0.3">
      <c r="A430" t="s">
        <v>443</v>
      </c>
      <c r="B430">
        <v>45784</v>
      </c>
      <c r="C430">
        <v>45790</v>
      </c>
      <c r="D430" t="s">
        <v>2064</v>
      </c>
      <c r="E430">
        <v>45790</v>
      </c>
      <c r="F430">
        <v>6</v>
      </c>
      <c r="G430" t="s">
        <v>647</v>
      </c>
      <c r="H430" t="s">
        <v>654</v>
      </c>
      <c r="I430" t="s">
        <v>668</v>
      </c>
      <c r="J430" t="s">
        <v>706</v>
      </c>
      <c r="K430" t="s">
        <v>711</v>
      </c>
      <c r="L430" t="s">
        <v>713</v>
      </c>
      <c r="M430" t="s">
        <v>730</v>
      </c>
      <c r="N430" t="s">
        <v>1855</v>
      </c>
      <c r="O430" s="9">
        <v>935.98</v>
      </c>
      <c r="P430" s="9">
        <v>2077.69</v>
      </c>
      <c r="Q430" s="9">
        <v>2077.69</v>
      </c>
      <c r="R430" t="s">
        <v>2065</v>
      </c>
      <c r="S430" s="11">
        <v>0.17499999999999999</v>
      </c>
      <c r="T430" t="s">
        <v>2065</v>
      </c>
      <c r="U430" s="13">
        <v>24</v>
      </c>
      <c r="V430" s="9">
        <f t="shared" si="24"/>
        <v>41138.261999999995</v>
      </c>
      <c r="W430" s="9">
        <f t="shared" si="25"/>
        <v>22463.52</v>
      </c>
      <c r="X430" s="9">
        <f t="shared" si="26"/>
        <v>18674.741999999995</v>
      </c>
      <c r="Y430" s="11">
        <f t="shared" si="27"/>
        <v>0.45395067978321491</v>
      </c>
    </row>
    <row r="431" spans="1:25" x14ac:dyDescent="0.3">
      <c r="A431" t="s">
        <v>444</v>
      </c>
      <c r="B431">
        <v>45597</v>
      </c>
      <c r="C431">
        <v>45608</v>
      </c>
      <c r="D431" t="s">
        <v>2064</v>
      </c>
      <c r="E431">
        <v>45608</v>
      </c>
      <c r="F431">
        <v>11</v>
      </c>
      <c r="G431" t="s">
        <v>649</v>
      </c>
      <c r="H431" t="s">
        <v>656</v>
      </c>
      <c r="I431" t="s">
        <v>698</v>
      </c>
      <c r="J431" t="s">
        <v>704</v>
      </c>
      <c r="K431" t="s">
        <v>708</v>
      </c>
      <c r="L431" t="s">
        <v>717</v>
      </c>
      <c r="M431" t="s">
        <v>728</v>
      </c>
      <c r="N431" t="s">
        <v>1856</v>
      </c>
      <c r="O431" s="9">
        <v>599.84</v>
      </c>
      <c r="P431" s="9">
        <v>1330.85</v>
      </c>
      <c r="Q431" s="9">
        <v>1330.85</v>
      </c>
      <c r="R431" t="s">
        <v>2065</v>
      </c>
      <c r="S431" s="11">
        <v>0.115</v>
      </c>
      <c r="T431" t="s">
        <v>2065</v>
      </c>
      <c r="U431" s="13">
        <v>11</v>
      </c>
      <c r="V431" s="9">
        <f t="shared" si="24"/>
        <v>12955.824749999998</v>
      </c>
      <c r="W431" s="9">
        <f t="shared" si="25"/>
        <v>6598.2400000000007</v>
      </c>
      <c r="X431" s="9">
        <f t="shared" si="26"/>
        <v>6357.5847499999973</v>
      </c>
      <c r="Y431" s="11">
        <f t="shared" si="27"/>
        <v>0.49071246892252063</v>
      </c>
    </row>
    <row r="432" spans="1:25" x14ac:dyDescent="0.3">
      <c r="A432" t="s">
        <v>445</v>
      </c>
      <c r="B432">
        <v>45654</v>
      </c>
      <c r="C432">
        <v>45665</v>
      </c>
      <c r="D432" t="s">
        <v>2064</v>
      </c>
      <c r="E432">
        <v>45665</v>
      </c>
      <c r="F432">
        <v>11</v>
      </c>
      <c r="G432" t="s">
        <v>647</v>
      </c>
      <c r="H432" t="s">
        <v>659</v>
      </c>
      <c r="I432" t="s">
        <v>676</v>
      </c>
      <c r="J432" t="s">
        <v>706</v>
      </c>
      <c r="K432" t="s">
        <v>708</v>
      </c>
      <c r="L432" t="s">
        <v>723</v>
      </c>
      <c r="M432" t="s">
        <v>731</v>
      </c>
      <c r="N432" t="s">
        <v>1857</v>
      </c>
      <c r="O432" s="9">
        <v>1201.31</v>
      </c>
      <c r="P432" s="9">
        <v>2764.65</v>
      </c>
      <c r="Q432" s="9">
        <v>2764.65</v>
      </c>
      <c r="R432" t="s">
        <v>2065</v>
      </c>
      <c r="S432" s="11">
        <v>0</v>
      </c>
      <c r="T432" t="s">
        <v>2065</v>
      </c>
      <c r="U432" s="13">
        <v>21</v>
      </c>
      <c r="V432" s="9">
        <f t="shared" si="24"/>
        <v>58057.65</v>
      </c>
      <c r="W432" s="9">
        <f t="shared" si="25"/>
        <v>25227.51</v>
      </c>
      <c r="X432" s="9">
        <f t="shared" si="26"/>
        <v>32830.14</v>
      </c>
      <c r="Y432" s="11">
        <f t="shared" si="27"/>
        <v>0.56547483406579491</v>
      </c>
    </row>
    <row r="433" spans="1:25" x14ac:dyDescent="0.3">
      <c r="A433" t="s">
        <v>446</v>
      </c>
      <c r="B433">
        <v>45220</v>
      </c>
      <c r="C433">
        <v>45220</v>
      </c>
      <c r="D433" t="s">
        <v>2064</v>
      </c>
      <c r="E433">
        <v>45220</v>
      </c>
      <c r="F433">
        <v>0</v>
      </c>
      <c r="G433" t="s">
        <v>649</v>
      </c>
      <c r="H433" t="s">
        <v>658</v>
      </c>
      <c r="I433" t="s">
        <v>693</v>
      </c>
      <c r="J433" t="s">
        <v>706</v>
      </c>
      <c r="K433" t="s">
        <v>710</v>
      </c>
      <c r="L433" t="s">
        <v>713</v>
      </c>
      <c r="M433" t="s">
        <v>732</v>
      </c>
      <c r="N433" t="s">
        <v>1858</v>
      </c>
      <c r="O433" s="9">
        <v>384.19</v>
      </c>
      <c r="P433" s="9">
        <v>278.35000000000002</v>
      </c>
      <c r="Q433" s="9">
        <v>278.35000000000002</v>
      </c>
      <c r="R433" t="s">
        <v>2065</v>
      </c>
      <c r="S433" s="11">
        <v>5.6000000000000001E-2</v>
      </c>
      <c r="T433" t="s">
        <v>2065</v>
      </c>
      <c r="U433" s="13">
        <v>10</v>
      </c>
      <c r="V433" s="9">
        <f t="shared" si="24"/>
        <v>2627.6239999999998</v>
      </c>
      <c r="W433" s="9">
        <f t="shared" si="25"/>
        <v>3841.9</v>
      </c>
      <c r="X433" s="9">
        <f t="shared" si="26"/>
        <v>-1214.2760000000003</v>
      </c>
      <c r="Y433" s="11">
        <f t="shared" si="27"/>
        <v>-0.46211938998882657</v>
      </c>
    </row>
    <row r="434" spans="1:25" x14ac:dyDescent="0.3">
      <c r="A434" t="s">
        <v>447</v>
      </c>
      <c r="B434">
        <v>45636</v>
      </c>
      <c r="C434">
        <v>45645</v>
      </c>
      <c r="D434" t="s">
        <v>2064</v>
      </c>
      <c r="E434">
        <v>45645</v>
      </c>
      <c r="F434">
        <v>9</v>
      </c>
      <c r="G434" t="s">
        <v>646</v>
      </c>
      <c r="H434" t="s">
        <v>651</v>
      </c>
      <c r="I434" t="s">
        <v>665</v>
      </c>
      <c r="J434" t="s">
        <v>701</v>
      </c>
      <c r="K434" t="s">
        <v>707</v>
      </c>
      <c r="L434" t="s">
        <v>719</v>
      </c>
      <c r="M434" t="s">
        <v>732</v>
      </c>
      <c r="N434" t="s">
        <v>1859</v>
      </c>
      <c r="O434" s="9">
        <v>488.68</v>
      </c>
      <c r="P434" s="9">
        <v>984.36</v>
      </c>
      <c r="Q434" s="9">
        <v>984.36</v>
      </c>
      <c r="R434" t="s">
        <v>2065</v>
      </c>
      <c r="S434" s="11">
        <v>5.8999999999999997E-2</v>
      </c>
      <c r="T434" t="s">
        <v>2065</v>
      </c>
      <c r="U434" s="13">
        <v>14</v>
      </c>
      <c r="V434" s="9">
        <f t="shared" si="24"/>
        <v>12967.958640000001</v>
      </c>
      <c r="W434" s="9">
        <f t="shared" si="25"/>
        <v>6841.52</v>
      </c>
      <c r="X434" s="9">
        <f t="shared" si="26"/>
        <v>6126.4386400000003</v>
      </c>
      <c r="Y434" s="11">
        <f t="shared" si="27"/>
        <v>0.47242891576649876</v>
      </c>
    </row>
    <row r="435" spans="1:25" x14ac:dyDescent="0.3">
      <c r="A435" t="s">
        <v>448</v>
      </c>
      <c r="B435">
        <v>45542</v>
      </c>
      <c r="C435">
        <v>45553</v>
      </c>
      <c r="D435" t="s">
        <v>2064</v>
      </c>
      <c r="E435">
        <v>45553</v>
      </c>
      <c r="F435">
        <v>11</v>
      </c>
      <c r="G435" t="s">
        <v>647</v>
      </c>
      <c r="H435" t="s">
        <v>659</v>
      </c>
      <c r="I435" t="s">
        <v>699</v>
      </c>
      <c r="J435" t="s">
        <v>704</v>
      </c>
      <c r="K435" t="s">
        <v>710</v>
      </c>
      <c r="L435" t="s">
        <v>719</v>
      </c>
      <c r="M435" t="s">
        <v>729</v>
      </c>
      <c r="N435" t="s">
        <v>1860</v>
      </c>
      <c r="O435" s="9">
        <v>181.74</v>
      </c>
      <c r="P435" s="9">
        <v>190.84</v>
      </c>
      <c r="Q435" s="9">
        <v>190.84</v>
      </c>
      <c r="R435" t="s">
        <v>2065</v>
      </c>
      <c r="S435" s="11">
        <v>0.214</v>
      </c>
      <c r="T435" t="s">
        <v>2065</v>
      </c>
      <c r="U435" s="13">
        <v>13</v>
      </c>
      <c r="V435" s="9">
        <f t="shared" si="24"/>
        <v>1950.0031200000001</v>
      </c>
      <c r="W435" s="9">
        <f t="shared" si="25"/>
        <v>2362.62</v>
      </c>
      <c r="X435" s="9">
        <f t="shared" si="26"/>
        <v>-412.61687999999981</v>
      </c>
      <c r="Y435" s="11">
        <f t="shared" si="27"/>
        <v>-0.21159806144310159</v>
      </c>
    </row>
    <row r="436" spans="1:25" x14ac:dyDescent="0.3">
      <c r="A436" t="s">
        <v>449</v>
      </c>
      <c r="B436">
        <v>45217</v>
      </c>
      <c r="C436">
        <v>45219</v>
      </c>
      <c r="D436" t="s">
        <v>2064</v>
      </c>
      <c r="E436">
        <v>45219</v>
      </c>
      <c r="F436">
        <v>2</v>
      </c>
      <c r="G436" t="s">
        <v>646</v>
      </c>
      <c r="H436" t="s">
        <v>650</v>
      </c>
      <c r="I436" t="s">
        <v>662</v>
      </c>
      <c r="J436" t="s">
        <v>704</v>
      </c>
      <c r="K436" t="s">
        <v>707</v>
      </c>
      <c r="L436" t="s">
        <v>713</v>
      </c>
      <c r="M436" t="s">
        <v>730</v>
      </c>
      <c r="N436" t="s">
        <v>1861</v>
      </c>
      <c r="O436" s="9">
        <v>774.12</v>
      </c>
      <c r="P436" s="9">
        <v>908.3</v>
      </c>
      <c r="Q436" s="9">
        <v>908.3</v>
      </c>
      <c r="R436" t="s">
        <v>2065</v>
      </c>
      <c r="S436" s="11">
        <v>0</v>
      </c>
      <c r="T436" t="s">
        <v>2065</v>
      </c>
      <c r="U436" s="13">
        <v>30</v>
      </c>
      <c r="V436" s="9">
        <f t="shared" si="24"/>
        <v>27249</v>
      </c>
      <c r="W436" s="9">
        <f t="shared" si="25"/>
        <v>23223.599999999999</v>
      </c>
      <c r="X436" s="9">
        <f t="shared" si="26"/>
        <v>4025.4000000000015</v>
      </c>
      <c r="Y436" s="11">
        <f t="shared" si="27"/>
        <v>0.14772652207420461</v>
      </c>
    </row>
    <row r="437" spans="1:25" x14ac:dyDescent="0.3">
      <c r="A437" t="s">
        <v>450</v>
      </c>
      <c r="B437">
        <v>45650</v>
      </c>
      <c r="C437">
        <v>45670</v>
      </c>
      <c r="D437" t="s">
        <v>2064</v>
      </c>
      <c r="E437">
        <v>45670</v>
      </c>
      <c r="F437">
        <v>20</v>
      </c>
      <c r="G437" t="s">
        <v>647</v>
      </c>
      <c r="H437" t="s">
        <v>654</v>
      </c>
      <c r="I437" t="s">
        <v>668</v>
      </c>
      <c r="J437" t="s">
        <v>701</v>
      </c>
      <c r="K437" t="s">
        <v>709</v>
      </c>
      <c r="L437" t="s">
        <v>726</v>
      </c>
      <c r="M437" t="s">
        <v>729</v>
      </c>
      <c r="N437" t="s">
        <v>1862</v>
      </c>
      <c r="O437" s="9">
        <v>126.15</v>
      </c>
      <c r="P437" s="9">
        <v>284.23</v>
      </c>
      <c r="Q437" s="9">
        <v>284.23</v>
      </c>
      <c r="R437" t="s">
        <v>2065</v>
      </c>
      <c r="S437" s="11">
        <v>0.113</v>
      </c>
      <c r="T437" t="s">
        <v>2065</v>
      </c>
      <c r="U437" s="13">
        <v>22</v>
      </c>
      <c r="V437" s="9">
        <f t="shared" si="24"/>
        <v>5546.4642200000008</v>
      </c>
      <c r="W437" s="9">
        <f t="shared" si="25"/>
        <v>2775.3</v>
      </c>
      <c r="X437" s="9">
        <f t="shared" si="26"/>
        <v>2771.1642200000006</v>
      </c>
      <c r="Y437" s="11">
        <f t="shared" si="27"/>
        <v>0.49962716968541088</v>
      </c>
    </row>
    <row r="438" spans="1:25" x14ac:dyDescent="0.3">
      <c r="A438" t="s">
        <v>451</v>
      </c>
      <c r="B438">
        <v>45037</v>
      </c>
      <c r="C438">
        <v>45035</v>
      </c>
      <c r="D438" t="s">
        <v>2066</v>
      </c>
      <c r="E438">
        <v>45037</v>
      </c>
      <c r="F438">
        <v>0</v>
      </c>
      <c r="G438" t="s">
        <v>647</v>
      </c>
      <c r="H438" t="s">
        <v>652</v>
      </c>
      <c r="I438" t="s">
        <v>694</v>
      </c>
      <c r="J438" t="s">
        <v>705</v>
      </c>
      <c r="K438" t="s">
        <v>711</v>
      </c>
      <c r="L438" t="s">
        <v>724</v>
      </c>
      <c r="M438" t="s">
        <v>727</v>
      </c>
      <c r="N438" t="s">
        <v>1863</v>
      </c>
      <c r="O438" s="9">
        <v>607.04</v>
      </c>
      <c r="P438" s="9">
        <v>1229.3399999999999</v>
      </c>
      <c r="Q438" s="9">
        <v>1229.3399999999999</v>
      </c>
      <c r="R438" t="s">
        <v>2065</v>
      </c>
      <c r="S438" s="11">
        <v>0.14699999999999999</v>
      </c>
      <c r="T438" t="s">
        <v>2065</v>
      </c>
      <c r="U438" s="13">
        <v>7</v>
      </c>
      <c r="V438" s="9">
        <f t="shared" si="24"/>
        <v>7340.3891399999993</v>
      </c>
      <c r="W438" s="9">
        <f t="shared" si="25"/>
        <v>4249.28</v>
      </c>
      <c r="X438" s="9">
        <f t="shared" si="26"/>
        <v>3091.1091399999996</v>
      </c>
      <c r="Y438" s="11">
        <f t="shared" si="27"/>
        <v>0.42110970972310058</v>
      </c>
    </row>
    <row r="439" spans="1:25" x14ac:dyDescent="0.3">
      <c r="A439" t="s">
        <v>452</v>
      </c>
      <c r="B439">
        <v>45290</v>
      </c>
      <c r="C439">
        <v>45299</v>
      </c>
      <c r="D439" t="s">
        <v>2064</v>
      </c>
      <c r="E439">
        <v>45299</v>
      </c>
      <c r="F439">
        <v>9</v>
      </c>
      <c r="G439" t="s">
        <v>649</v>
      </c>
      <c r="H439" t="s">
        <v>657</v>
      </c>
      <c r="I439" t="s">
        <v>673</v>
      </c>
      <c r="J439" t="s">
        <v>704</v>
      </c>
      <c r="K439" t="s">
        <v>709</v>
      </c>
      <c r="L439" t="s">
        <v>716</v>
      </c>
      <c r="M439" t="s">
        <v>733</v>
      </c>
      <c r="N439" t="s">
        <v>1864</v>
      </c>
      <c r="O439" s="9">
        <v>861.1</v>
      </c>
      <c r="P439" s="9">
        <v>1224.72</v>
      </c>
      <c r="Q439" s="9">
        <v>1224.72</v>
      </c>
      <c r="R439" t="s">
        <v>2065</v>
      </c>
      <c r="S439" s="11">
        <v>0.17399999999999999</v>
      </c>
      <c r="T439" t="s">
        <v>2065</v>
      </c>
      <c r="U439" s="13">
        <v>24</v>
      </c>
      <c r="V439" s="9">
        <f t="shared" si="24"/>
        <v>24278.849280000002</v>
      </c>
      <c r="W439" s="9">
        <f t="shared" si="25"/>
        <v>20666.400000000001</v>
      </c>
      <c r="X439" s="9">
        <f t="shared" si="26"/>
        <v>3612.4492800000007</v>
      </c>
      <c r="Y439" s="11">
        <f t="shared" si="27"/>
        <v>0.14878997098827909</v>
      </c>
    </row>
    <row r="440" spans="1:25" x14ac:dyDescent="0.3">
      <c r="A440" t="s">
        <v>453</v>
      </c>
      <c r="B440">
        <v>44978</v>
      </c>
      <c r="C440">
        <v>44997</v>
      </c>
      <c r="D440" t="s">
        <v>2064</v>
      </c>
      <c r="E440">
        <v>44997</v>
      </c>
      <c r="F440">
        <v>19</v>
      </c>
      <c r="G440" t="s">
        <v>646</v>
      </c>
      <c r="H440" t="s">
        <v>650</v>
      </c>
      <c r="I440" t="s">
        <v>678</v>
      </c>
      <c r="J440" t="s">
        <v>701</v>
      </c>
      <c r="K440" t="s">
        <v>708</v>
      </c>
      <c r="L440" t="s">
        <v>721</v>
      </c>
      <c r="M440" t="s">
        <v>729</v>
      </c>
      <c r="N440" t="s">
        <v>1865</v>
      </c>
      <c r="O440" s="9">
        <v>352.65</v>
      </c>
      <c r="P440" s="9">
        <v>485.86</v>
      </c>
      <c r="Q440" s="9">
        <v>485.86</v>
      </c>
      <c r="R440" t="s">
        <v>2065</v>
      </c>
      <c r="S440" s="11">
        <v>4.1000000000000002E-2</v>
      </c>
      <c r="T440" t="s">
        <v>2065</v>
      </c>
      <c r="U440" s="13">
        <v>6</v>
      </c>
      <c r="V440" s="9">
        <f t="shared" si="24"/>
        <v>2795.6384399999997</v>
      </c>
      <c r="W440" s="9">
        <f t="shared" si="25"/>
        <v>2115.8999999999996</v>
      </c>
      <c r="X440" s="9">
        <f t="shared" si="26"/>
        <v>679.73844000000008</v>
      </c>
      <c r="Y440" s="11">
        <f t="shared" si="27"/>
        <v>0.24314247159943908</v>
      </c>
    </row>
    <row r="441" spans="1:25" x14ac:dyDescent="0.3">
      <c r="A441" t="s">
        <v>454</v>
      </c>
      <c r="B441">
        <v>45063</v>
      </c>
      <c r="C441">
        <v>45080</v>
      </c>
      <c r="D441" t="s">
        <v>2064</v>
      </c>
      <c r="E441">
        <v>45080</v>
      </c>
      <c r="F441">
        <v>17</v>
      </c>
      <c r="G441" t="s">
        <v>647</v>
      </c>
      <c r="H441" t="s">
        <v>659</v>
      </c>
      <c r="I441" t="s">
        <v>699</v>
      </c>
      <c r="J441" t="s">
        <v>703</v>
      </c>
      <c r="K441" t="s">
        <v>710</v>
      </c>
      <c r="L441" t="s">
        <v>724</v>
      </c>
      <c r="M441" t="s">
        <v>728</v>
      </c>
      <c r="N441" t="s">
        <v>1866</v>
      </c>
      <c r="O441" s="9">
        <v>979.59</v>
      </c>
      <c r="P441" s="9">
        <v>2210.94</v>
      </c>
      <c r="Q441" s="9">
        <v>2210.94</v>
      </c>
      <c r="R441" t="s">
        <v>2065</v>
      </c>
      <c r="S441" s="11">
        <v>0.15</v>
      </c>
      <c r="T441" t="s">
        <v>2065</v>
      </c>
      <c r="U441" s="13">
        <v>11</v>
      </c>
      <c r="V441" s="9">
        <f t="shared" si="24"/>
        <v>20672.289000000001</v>
      </c>
      <c r="W441" s="9">
        <f t="shared" si="25"/>
        <v>10775.49</v>
      </c>
      <c r="X441" s="9">
        <f t="shared" si="26"/>
        <v>9896.7990000000009</v>
      </c>
      <c r="Y441" s="11">
        <f t="shared" si="27"/>
        <v>0.47874712858358359</v>
      </c>
    </row>
    <row r="442" spans="1:25" x14ac:dyDescent="0.3">
      <c r="A442" t="s">
        <v>455</v>
      </c>
      <c r="B442">
        <v>45374</v>
      </c>
      <c r="C442">
        <v>45377</v>
      </c>
      <c r="D442" t="s">
        <v>2064</v>
      </c>
      <c r="E442">
        <v>45377</v>
      </c>
      <c r="F442">
        <v>3</v>
      </c>
      <c r="G442" t="s">
        <v>647</v>
      </c>
      <c r="H442" t="s">
        <v>654</v>
      </c>
      <c r="I442" t="s">
        <v>668</v>
      </c>
      <c r="J442" t="s">
        <v>702</v>
      </c>
      <c r="K442" t="s">
        <v>711</v>
      </c>
      <c r="L442" t="s">
        <v>715</v>
      </c>
      <c r="M442" t="s">
        <v>730</v>
      </c>
      <c r="N442" t="s">
        <v>1867</v>
      </c>
      <c r="O442" s="9">
        <v>382.21</v>
      </c>
      <c r="P442" s="9">
        <v>571.89</v>
      </c>
      <c r="Q442" s="9">
        <v>571.89</v>
      </c>
      <c r="R442" t="s">
        <v>2065</v>
      </c>
      <c r="S442" s="11">
        <v>0.14799999999999999</v>
      </c>
      <c r="T442" t="s">
        <v>2065</v>
      </c>
      <c r="U442" s="13">
        <v>26</v>
      </c>
      <c r="V442" s="9">
        <f t="shared" si="24"/>
        <v>12668.50728</v>
      </c>
      <c r="W442" s="9">
        <f t="shared" si="25"/>
        <v>9937.4599999999991</v>
      </c>
      <c r="X442" s="9">
        <f t="shared" si="26"/>
        <v>2731.0472800000007</v>
      </c>
      <c r="Y442" s="11">
        <f t="shared" si="27"/>
        <v>0.2155776698578809</v>
      </c>
    </row>
    <row r="443" spans="1:25" x14ac:dyDescent="0.3">
      <c r="A443" t="s">
        <v>456</v>
      </c>
      <c r="B443">
        <v>45189</v>
      </c>
      <c r="C443">
        <v>45197</v>
      </c>
      <c r="D443" t="s">
        <v>2064</v>
      </c>
      <c r="E443">
        <v>45197</v>
      </c>
      <c r="F443">
        <v>8</v>
      </c>
      <c r="G443" t="s">
        <v>647</v>
      </c>
      <c r="H443" t="s">
        <v>654</v>
      </c>
      <c r="I443" t="s">
        <v>2057</v>
      </c>
      <c r="J443" t="s">
        <v>701</v>
      </c>
      <c r="K443" t="s">
        <v>2057</v>
      </c>
      <c r="L443" t="s">
        <v>717</v>
      </c>
      <c r="M443" t="s">
        <v>733</v>
      </c>
      <c r="N443" t="s">
        <v>1868</v>
      </c>
      <c r="O443" s="9">
        <v>1362.06</v>
      </c>
      <c r="P443" s="9">
        <v>3398.37</v>
      </c>
      <c r="Q443" s="9">
        <v>3398.37</v>
      </c>
      <c r="R443" t="s">
        <v>2065</v>
      </c>
      <c r="S443" s="11">
        <v>0.157</v>
      </c>
      <c r="T443" t="s">
        <v>2065</v>
      </c>
      <c r="U443" s="13">
        <v>11</v>
      </c>
      <c r="V443" s="9">
        <f t="shared" si="24"/>
        <v>31513.085009999999</v>
      </c>
      <c r="W443" s="9">
        <f t="shared" si="25"/>
        <v>14982.66</v>
      </c>
      <c r="X443" s="9">
        <f t="shared" si="26"/>
        <v>16530.425009999999</v>
      </c>
      <c r="Y443" s="11">
        <f t="shared" si="27"/>
        <v>0.52455749745714919</v>
      </c>
    </row>
    <row r="444" spans="1:25" x14ac:dyDescent="0.3">
      <c r="A444" t="s">
        <v>457</v>
      </c>
      <c r="B444">
        <v>45526</v>
      </c>
      <c r="C444">
        <v>45539</v>
      </c>
      <c r="D444" t="s">
        <v>2064</v>
      </c>
      <c r="E444">
        <v>45539</v>
      </c>
      <c r="F444">
        <v>13</v>
      </c>
      <c r="G444" t="s">
        <v>649</v>
      </c>
      <c r="H444" t="s">
        <v>656</v>
      </c>
      <c r="I444" t="s">
        <v>698</v>
      </c>
      <c r="J444" t="s">
        <v>703</v>
      </c>
      <c r="K444" t="s">
        <v>707</v>
      </c>
      <c r="L444" t="s">
        <v>716</v>
      </c>
      <c r="M444" t="s">
        <v>728</v>
      </c>
      <c r="N444" t="s">
        <v>1869</v>
      </c>
      <c r="O444" s="9">
        <v>90.04</v>
      </c>
      <c r="P444" s="9">
        <v>194.62</v>
      </c>
      <c r="Q444" s="9">
        <v>194.62</v>
      </c>
      <c r="R444" t="s">
        <v>2065</v>
      </c>
      <c r="S444" s="11">
        <v>4.2999999999999997E-2</v>
      </c>
      <c r="T444" t="s">
        <v>2065</v>
      </c>
      <c r="U444" s="13">
        <v>32</v>
      </c>
      <c r="V444" s="9">
        <f t="shared" si="24"/>
        <v>5960.04288</v>
      </c>
      <c r="W444" s="9">
        <f t="shared" si="25"/>
        <v>2881.28</v>
      </c>
      <c r="X444" s="9">
        <f t="shared" si="26"/>
        <v>3078.7628799999998</v>
      </c>
      <c r="Y444" s="11">
        <f t="shared" si="27"/>
        <v>0.51656723650954672</v>
      </c>
    </row>
    <row r="445" spans="1:25" x14ac:dyDescent="0.3">
      <c r="A445" t="s">
        <v>458</v>
      </c>
      <c r="B445">
        <v>45560</v>
      </c>
      <c r="C445">
        <v>45568</v>
      </c>
      <c r="D445" t="s">
        <v>2064</v>
      </c>
      <c r="E445">
        <v>45568</v>
      </c>
      <c r="F445">
        <v>8</v>
      </c>
      <c r="G445" t="s">
        <v>648</v>
      </c>
      <c r="H445" t="s">
        <v>653</v>
      </c>
      <c r="I445" t="s">
        <v>667</v>
      </c>
      <c r="J445" t="s">
        <v>704</v>
      </c>
      <c r="K445" t="s">
        <v>708</v>
      </c>
      <c r="L445" t="s">
        <v>718</v>
      </c>
      <c r="M445" t="s">
        <v>728</v>
      </c>
      <c r="N445" t="s">
        <v>1870</v>
      </c>
      <c r="O445" s="9">
        <v>558.19000000000005</v>
      </c>
      <c r="P445" s="9">
        <v>1031.6400000000001</v>
      </c>
      <c r="Q445" s="9">
        <v>1031.6400000000001</v>
      </c>
      <c r="R445" t="s">
        <v>2065</v>
      </c>
      <c r="S445" s="11">
        <v>0</v>
      </c>
      <c r="T445" t="s">
        <v>2065</v>
      </c>
      <c r="U445" s="13">
        <v>21</v>
      </c>
      <c r="V445" s="9">
        <f t="shared" si="24"/>
        <v>21664.440000000002</v>
      </c>
      <c r="W445" s="9">
        <f t="shared" si="25"/>
        <v>11721.990000000002</v>
      </c>
      <c r="X445" s="9">
        <f t="shared" si="26"/>
        <v>9942.4500000000007</v>
      </c>
      <c r="Y445" s="11">
        <f t="shared" si="27"/>
        <v>0.45892947152107322</v>
      </c>
    </row>
    <row r="446" spans="1:25" x14ac:dyDescent="0.3">
      <c r="A446" t="s">
        <v>459</v>
      </c>
      <c r="B446">
        <v>45090</v>
      </c>
      <c r="C446">
        <v>45101</v>
      </c>
      <c r="D446" t="s">
        <v>2064</v>
      </c>
      <c r="E446">
        <v>45101</v>
      </c>
      <c r="F446">
        <v>11</v>
      </c>
      <c r="G446" t="s">
        <v>648</v>
      </c>
      <c r="H446" t="s">
        <v>653</v>
      </c>
      <c r="I446" t="s">
        <v>667</v>
      </c>
      <c r="J446" t="s">
        <v>701</v>
      </c>
      <c r="K446" t="s">
        <v>708</v>
      </c>
      <c r="L446" t="s">
        <v>712</v>
      </c>
      <c r="M446" t="s">
        <v>728</v>
      </c>
      <c r="N446" t="s">
        <v>1871</v>
      </c>
      <c r="O446" s="9">
        <v>247.07</v>
      </c>
      <c r="P446" s="9">
        <v>495.19</v>
      </c>
      <c r="Q446" s="9">
        <v>495.19</v>
      </c>
      <c r="R446" t="s">
        <v>2065</v>
      </c>
      <c r="S446" s="11">
        <v>2.8000000000000001E-2</v>
      </c>
      <c r="T446" t="s">
        <v>2065</v>
      </c>
      <c r="U446" s="13">
        <v>4</v>
      </c>
      <c r="V446" s="9">
        <f t="shared" si="24"/>
        <v>1925.29872</v>
      </c>
      <c r="W446" s="9">
        <f t="shared" si="25"/>
        <v>988.28</v>
      </c>
      <c r="X446" s="9">
        <f t="shared" si="26"/>
        <v>937.01872000000003</v>
      </c>
      <c r="Y446" s="11">
        <f t="shared" si="27"/>
        <v>0.48668744764968214</v>
      </c>
    </row>
    <row r="447" spans="1:25" x14ac:dyDescent="0.3">
      <c r="A447" t="s">
        <v>460</v>
      </c>
      <c r="B447">
        <v>45284</v>
      </c>
      <c r="C447">
        <v>45304</v>
      </c>
      <c r="D447" t="s">
        <v>2064</v>
      </c>
      <c r="E447">
        <v>45304</v>
      </c>
      <c r="F447">
        <v>20</v>
      </c>
      <c r="G447" t="s">
        <v>647</v>
      </c>
      <c r="H447" t="s">
        <v>652</v>
      </c>
      <c r="I447" t="s">
        <v>694</v>
      </c>
      <c r="J447" t="s">
        <v>702</v>
      </c>
      <c r="K447" t="s">
        <v>711</v>
      </c>
      <c r="L447" t="s">
        <v>717</v>
      </c>
      <c r="M447" t="s">
        <v>731</v>
      </c>
      <c r="N447" t="s">
        <v>1872</v>
      </c>
      <c r="O447" s="9">
        <v>625.37</v>
      </c>
      <c r="P447" s="9">
        <v>1319.04</v>
      </c>
      <c r="Q447" s="9">
        <v>1319.04</v>
      </c>
      <c r="R447" t="s">
        <v>2065</v>
      </c>
      <c r="S447" s="11">
        <v>7.3999999999999996E-2</v>
      </c>
      <c r="T447" t="s">
        <v>2065</v>
      </c>
      <c r="U447" s="13">
        <v>8</v>
      </c>
      <c r="V447" s="9">
        <f t="shared" si="24"/>
        <v>9771.4483199999995</v>
      </c>
      <c r="W447" s="9">
        <f t="shared" si="25"/>
        <v>5002.96</v>
      </c>
      <c r="X447" s="9">
        <f t="shared" si="26"/>
        <v>4768.4883199999995</v>
      </c>
      <c r="Y447" s="11">
        <f t="shared" si="27"/>
        <v>0.48800220436513547</v>
      </c>
    </row>
    <row r="448" spans="1:25" x14ac:dyDescent="0.3">
      <c r="A448" t="s">
        <v>461</v>
      </c>
      <c r="B448">
        <v>45746</v>
      </c>
      <c r="C448">
        <v>45776</v>
      </c>
      <c r="D448" t="s">
        <v>2064</v>
      </c>
      <c r="E448">
        <v>45776</v>
      </c>
      <c r="F448">
        <v>30</v>
      </c>
      <c r="G448" t="s">
        <v>646</v>
      </c>
      <c r="H448" t="s">
        <v>661</v>
      </c>
      <c r="I448" t="s">
        <v>687</v>
      </c>
      <c r="J448" t="s">
        <v>704</v>
      </c>
      <c r="K448" t="s">
        <v>709</v>
      </c>
      <c r="L448" t="s">
        <v>713</v>
      </c>
      <c r="M448" t="s">
        <v>732</v>
      </c>
      <c r="N448" t="s">
        <v>1873</v>
      </c>
      <c r="O448" s="9">
        <v>194.6</v>
      </c>
      <c r="P448" s="9">
        <v>314.87</v>
      </c>
      <c r="Q448" s="9">
        <v>314.87</v>
      </c>
      <c r="R448" t="s">
        <v>2065</v>
      </c>
      <c r="S448" s="11">
        <v>0.29299999999999998</v>
      </c>
      <c r="T448" t="s">
        <v>2065</v>
      </c>
      <c r="U448" s="13">
        <v>25</v>
      </c>
      <c r="V448" s="9">
        <f t="shared" si="24"/>
        <v>5565.3272500000003</v>
      </c>
      <c r="W448" s="9">
        <f t="shared" si="25"/>
        <v>4865</v>
      </c>
      <c r="X448" s="9">
        <f t="shared" si="26"/>
        <v>700.32725000000028</v>
      </c>
      <c r="Y448" s="11">
        <f t="shared" si="27"/>
        <v>0.1258375686712763</v>
      </c>
    </row>
    <row r="449" spans="1:25" x14ac:dyDescent="0.3">
      <c r="A449" t="s">
        <v>462</v>
      </c>
      <c r="B449">
        <v>45446</v>
      </c>
      <c r="C449">
        <v>45467</v>
      </c>
      <c r="D449" t="s">
        <v>2064</v>
      </c>
      <c r="E449">
        <v>45467</v>
      </c>
      <c r="F449">
        <v>21</v>
      </c>
      <c r="G449" t="s">
        <v>648</v>
      </c>
      <c r="H449" t="s">
        <v>653</v>
      </c>
      <c r="I449" t="s">
        <v>667</v>
      </c>
      <c r="J449" t="s">
        <v>705</v>
      </c>
      <c r="K449" t="s">
        <v>711</v>
      </c>
      <c r="L449" t="s">
        <v>715</v>
      </c>
      <c r="M449" t="s">
        <v>732</v>
      </c>
      <c r="N449" t="s">
        <v>1874</v>
      </c>
      <c r="O449" s="9">
        <v>1205.5</v>
      </c>
      <c r="P449" s="9">
        <v>2210.17</v>
      </c>
      <c r="Q449" s="9">
        <v>2210.17</v>
      </c>
      <c r="R449" t="s">
        <v>2065</v>
      </c>
      <c r="S449" s="11">
        <v>0.104</v>
      </c>
      <c r="T449" t="s">
        <v>2065</v>
      </c>
      <c r="U449" s="13">
        <v>23</v>
      </c>
      <c r="V449" s="9">
        <f t="shared" si="24"/>
        <v>45547.183360000003</v>
      </c>
      <c r="W449" s="9">
        <f t="shared" si="25"/>
        <v>27726.5</v>
      </c>
      <c r="X449" s="9">
        <f t="shared" si="26"/>
        <v>17820.683360000003</v>
      </c>
      <c r="Y449" s="11">
        <f t="shared" si="27"/>
        <v>0.39125763758314652</v>
      </c>
    </row>
    <row r="450" spans="1:25" x14ac:dyDescent="0.3">
      <c r="A450" t="s">
        <v>463</v>
      </c>
      <c r="B450">
        <v>45454</v>
      </c>
      <c r="C450">
        <v>45482</v>
      </c>
      <c r="D450" t="s">
        <v>2064</v>
      </c>
      <c r="E450">
        <v>45482</v>
      </c>
      <c r="F450">
        <v>28</v>
      </c>
      <c r="G450" t="s">
        <v>646</v>
      </c>
      <c r="H450" t="s">
        <v>651</v>
      </c>
      <c r="I450" t="s">
        <v>663</v>
      </c>
      <c r="J450" t="s">
        <v>701</v>
      </c>
      <c r="K450" t="s">
        <v>709</v>
      </c>
      <c r="L450" t="s">
        <v>714</v>
      </c>
      <c r="M450" t="s">
        <v>730</v>
      </c>
      <c r="N450" t="s">
        <v>1875</v>
      </c>
      <c r="O450" s="9">
        <v>895.54</v>
      </c>
      <c r="P450" s="9">
        <v>1045</v>
      </c>
      <c r="Q450" s="9">
        <v>1045</v>
      </c>
      <c r="R450" t="s">
        <v>2065</v>
      </c>
      <c r="S450" s="11">
        <v>0.216</v>
      </c>
      <c r="T450" t="s">
        <v>2065</v>
      </c>
      <c r="U450" s="13">
        <v>15</v>
      </c>
      <c r="V450" s="9">
        <f t="shared" si="24"/>
        <v>12289.2</v>
      </c>
      <c r="W450" s="9">
        <f t="shared" si="25"/>
        <v>13433.099999999999</v>
      </c>
      <c r="X450" s="9">
        <f t="shared" si="26"/>
        <v>-1143.8999999999978</v>
      </c>
      <c r="Y450" s="11">
        <f t="shared" si="27"/>
        <v>-9.3081730299775234E-2</v>
      </c>
    </row>
    <row r="451" spans="1:25" x14ac:dyDescent="0.3">
      <c r="A451" t="s">
        <v>464</v>
      </c>
      <c r="B451">
        <v>45129</v>
      </c>
      <c r="C451">
        <v>45128</v>
      </c>
      <c r="D451" t="s">
        <v>2066</v>
      </c>
      <c r="E451">
        <v>45129</v>
      </c>
      <c r="F451">
        <v>0</v>
      </c>
      <c r="G451" t="s">
        <v>647</v>
      </c>
      <c r="H451" t="s">
        <v>654</v>
      </c>
      <c r="I451" t="s">
        <v>680</v>
      </c>
      <c r="J451" t="s">
        <v>705</v>
      </c>
      <c r="K451" t="s">
        <v>710</v>
      </c>
      <c r="L451" t="s">
        <v>718</v>
      </c>
      <c r="M451" t="s">
        <v>728</v>
      </c>
      <c r="N451" t="s">
        <v>1876</v>
      </c>
      <c r="O451" s="9">
        <v>946.99</v>
      </c>
      <c r="P451" s="9">
        <v>2132.19</v>
      </c>
      <c r="Q451" s="9">
        <v>2132.19</v>
      </c>
      <c r="R451" t="s">
        <v>2065</v>
      </c>
      <c r="S451" s="11">
        <v>0.16500000000000001</v>
      </c>
      <c r="T451" t="s">
        <v>2065</v>
      </c>
      <c r="U451" s="13">
        <v>7</v>
      </c>
      <c r="V451" s="9">
        <f t="shared" ref="V451:V514" si="28">Q451*U451*(1-S451)</f>
        <v>12462.65055</v>
      </c>
      <c r="W451" s="9">
        <f t="shared" ref="W451:W514" si="29">O451*U451</f>
        <v>6628.93</v>
      </c>
      <c r="X451" s="9">
        <f t="shared" ref="X451:X514" si="30">V451-W451</f>
        <v>5833.72055</v>
      </c>
      <c r="Y451" s="11">
        <f t="shared" ref="Y451:Y514" si="31">IF(V451=0,0,X451/V451)</f>
        <v>0.46809629513362228</v>
      </c>
    </row>
    <row r="452" spans="1:25" x14ac:dyDescent="0.3">
      <c r="A452" t="s">
        <v>465</v>
      </c>
      <c r="B452">
        <v>44945</v>
      </c>
      <c r="C452">
        <v>44960</v>
      </c>
      <c r="D452" t="s">
        <v>2064</v>
      </c>
      <c r="E452">
        <v>44960</v>
      </c>
      <c r="F452">
        <v>15</v>
      </c>
      <c r="G452" t="s">
        <v>649</v>
      </c>
      <c r="H452" t="s">
        <v>658</v>
      </c>
      <c r="I452" t="s">
        <v>683</v>
      </c>
      <c r="J452" t="s">
        <v>706</v>
      </c>
      <c r="K452" t="s">
        <v>710</v>
      </c>
      <c r="L452" t="s">
        <v>715</v>
      </c>
      <c r="M452" t="s">
        <v>733</v>
      </c>
      <c r="N452" t="s">
        <v>1877</v>
      </c>
      <c r="O452" s="9">
        <v>873.06</v>
      </c>
      <c r="P452" s="9">
        <v>2101.5500000000002</v>
      </c>
      <c r="Q452" s="9">
        <v>2101.5500000000002</v>
      </c>
      <c r="R452" t="s">
        <v>2065</v>
      </c>
      <c r="S452" s="11">
        <v>6.6000000000000003E-2</v>
      </c>
      <c r="T452" t="s">
        <v>2065</v>
      </c>
      <c r="U452" s="13">
        <v>10</v>
      </c>
      <c r="V452" s="9">
        <f t="shared" si="28"/>
        <v>19628.476999999999</v>
      </c>
      <c r="W452" s="9">
        <f t="shared" si="29"/>
        <v>8730.5999999999985</v>
      </c>
      <c r="X452" s="9">
        <f t="shared" si="30"/>
        <v>10897.877</v>
      </c>
      <c r="Y452" s="11">
        <f t="shared" si="31"/>
        <v>0.55520746719167269</v>
      </c>
    </row>
    <row r="453" spans="1:25" x14ac:dyDescent="0.3">
      <c r="A453" t="s">
        <v>466</v>
      </c>
      <c r="B453">
        <v>45413</v>
      </c>
      <c r="C453">
        <v>45428</v>
      </c>
      <c r="D453" t="s">
        <v>2064</v>
      </c>
      <c r="E453">
        <v>45428</v>
      </c>
      <c r="F453">
        <v>15</v>
      </c>
      <c r="G453" t="s">
        <v>647</v>
      </c>
      <c r="H453" t="s">
        <v>654</v>
      </c>
      <c r="I453" t="s">
        <v>668</v>
      </c>
      <c r="J453" t="s">
        <v>705</v>
      </c>
      <c r="K453" t="s">
        <v>707</v>
      </c>
      <c r="L453" t="s">
        <v>716</v>
      </c>
      <c r="M453" t="s">
        <v>727</v>
      </c>
      <c r="N453" t="s">
        <v>1878</v>
      </c>
      <c r="O453" s="9">
        <v>901.19</v>
      </c>
      <c r="P453" s="9">
        <v>2125.44</v>
      </c>
      <c r="Q453" s="9">
        <v>2125.44</v>
      </c>
      <c r="R453" t="s">
        <v>2065</v>
      </c>
      <c r="S453" s="11">
        <v>7.0999999999999994E-2</v>
      </c>
      <c r="T453" t="s">
        <v>2065</v>
      </c>
      <c r="U453" s="13">
        <v>12</v>
      </c>
      <c r="V453" s="9">
        <f t="shared" si="28"/>
        <v>23694.405119999999</v>
      </c>
      <c r="W453" s="9">
        <f t="shared" si="29"/>
        <v>10814.28</v>
      </c>
      <c r="X453" s="9">
        <f t="shared" si="30"/>
        <v>12880.125119999999</v>
      </c>
      <c r="Y453" s="11">
        <f t="shared" si="31"/>
        <v>0.54359352154100415</v>
      </c>
    </row>
    <row r="454" spans="1:25" x14ac:dyDescent="0.3">
      <c r="A454" t="s">
        <v>467</v>
      </c>
      <c r="B454">
        <v>45817</v>
      </c>
      <c r="C454">
        <v>45832</v>
      </c>
      <c r="D454" t="s">
        <v>2064</v>
      </c>
      <c r="E454">
        <v>45832</v>
      </c>
      <c r="F454">
        <v>15</v>
      </c>
      <c r="G454" t="s">
        <v>647</v>
      </c>
      <c r="H454" t="s">
        <v>652</v>
      </c>
      <c r="I454" t="s">
        <v>694</v>
      </c>
      <c r="J454" t="s">
        <v>701</v>
      </c>
      <c r="K454" t="s">
        <v>711</v>
      </c>
      <c r="L454" t="s">
        <v>717</v>
      </c>
      <c r="M454" t="s">
        <v>730</v>
      </c>
      <c r="N454" t="s">
        <v>1879</v>
      </c>
      <c r="O454" s="9">
        <v>400.39</v>
      </c>
      <c r="P454" s="9">
        <v>712.75</v>
      </c>
      <c r="Q454" s="9">
        <v>712.75</v>
      </c>
      <c r="R454" t="s">
        <v>2065</v>
      </c>
      <c r="S454" s="11">
        <v>0.115</v>
      </c>
      <c r="T454" t="s">
        <v>2065</v>
      </c>
      <c r="U454" s="13">
        <v>19</v>
      </c>
      <c r="V454" s="9">
        <f t="shared" si="28"/>
        <v>11984.891250000001</v>
      </c>
      <c r="W454" s="9">
        <f t="shared" si="29"/>
        <v>7607.41</v>
      </c>
      <c r="X454" s="9">
        <f t="shared" si="30"/>
        <v>4377.4812500000007</v>
      </c>
      <c r="Y454" s="11">
        <f t="shared" si="31"/>
        <v>0.36524997671547504</v>
      </c>
    </row>
    <row r="455" spans="1:25" x14ac:dyDescent="0.3">
      <c r="A455" t="s">
        <v>468</v>
      </c>
      <c r="B455">
        <v>45070</v>
      </c>
      <c r="C455">
        <v>45098</v>
      </c>
      <c r="D455" t="s">
        <v>2064</v>
      </c>
      <c r="E455">
        <v>45098</v>
      </c>
      <c r="F455">
        <v>28</v>
      </c>
      <c r="G455" t="s">
        <v>648</v>
      </c>
      <c r="H455" t="s">
        <v>1425</v>
      </c>
      <c r="I455" t="s">
        <v>697</v>
      </c>
      <c r="J455" t="s">
        <v>705</v>
      </c>
      <c r="K455" t="s">
        <v>709</v>
      </c>
      <c r="L455" t="s">
        <v>715</v>
      </c>
      <c r="M455" t="s">
        <v>732</v>
      </c>
      <c r="N455" t="s">
        <v>1880</v>
      </c>
      <c r="O455" s="9">
        <v>813.97</v>
      </c>
      <c r="P455" s="9">
        <v>1568.83</v>
      </c>
      <c r="Q455" s="9">
        <v>1568.83</v>
      </c>
      <c r="R455" t="s">
        <v>2065</v>
      </c>
      <c r="S455" s="11">
        <v>1.7000000000000001E-2</v>
      </c>
      <c r="T455" t="s">
        <v>2065</v>
      </c>
      <c r="U455" s="13">
        <v>15</v>
      </c>
      <c r="V455" s="9">
        <f t="shared" si="28"/>
        <v>23132.398349999996</v>
      </c>
      <c r="W455" s="9">
        <f t="shared" si="29"/>
        <v>12209.550000000001</v>
      </c>
      <c r="X455" s="9">
        <f t="shared" si="30"/>
        <v>10922.848349999995</v>
      </c>
      <c r="Y455" s="11">
        <f t="shared" si="31"/>
        <v>0.4721883215364911</v>
      </c>
    </row>
    <row r="456" spans="1:25" x14ac:dyDescent="0.3">
      <c r="A456" t="s">
        <v>469</v>
      </c>
      <c r="B456">
        <v>45653</v>
      </c>
      <c r="C456">
        <v>45655</v>
      </c>
      <c r="D456" t="s">
        <v>2064</v>
      </c>
      <c r="E456">
        <v>45655</v>
      </c>
      <c r="F456">
        <v>2</v>
      </c>
      <c r="G456" t="s">
        <v>648</v>
      </c>
      <c r="H456" t="s">
        <v>653</v>
      </c>
      <c r="I456" t="s">
        <v>688</v>
      </c>
      <c r="J456" t="s">
        <v>706</v>
      </c>
      <c r="K456" t="s">
        <v>709</v>
      </c>
      <c r="L456" t="s">
        <v>712</v>
      </c>
      <c r="M456" t="s">
        <v>733</v>
      </c>
      <c r="N456" t="s">
        <v>1881</v>
      </c>
      <c r="O456" s="9">
        <v>1146.72</v>
      </c>
      <c r="P456" s="9">
        <v>2074.34</v>
      </c>
      <c r="Q456" s="9">
        <v>2074.34</v>
      </c>
      <c r="R456" t="s">
        <v>2065</v>
      </c>
      <c r="S456" s="11">
        <v>0.111</v>
      </c>
      <c r="T456" t="s">
        <v>2065</v>
      </c>
      <c r="U456" s="13">
        <v>8</v>
      </c>
      <c r="V456" s="9">
        <f t="shared" si="28"/>
        <v>14752.706080000002</v>
      </c>
      <c r="W456" s="9">
        <f t="shared" si="29"/>
        <v>9173.76</v>
      </c>
      <c r="X456" s="9">
        <f t="shared" si="30"/>
        <v>5578.9460800000015</v>
      </c>
      <c r="Y456" s="11">
        <f t="shared" si="31"/>
        <v>0.37816425337472737</v>
      </c>
    </row>
    <row r="457" spans="1:25" x14ac:dyDescent="0.3">
      <c r="A457" t="s">
        <v>470</v>
      </c>
      <c r="B457">
        <v>45265</v>
      </c>
      <c r="C457">
        <v>45272</v>
      </c>
      <c r="D457" t="s">
        <v>2064</v>
      </c>
      <c r="E457">
        <v>45272</v>
      </c>
      <c r="F457">
        <v>7</v>
      </c>
      <c r="G457" t="s">
        <v>648</v>
      </c>
      <c r="H457" t="s">
        <v>655</v>
      </c>
      <c r="I457" t="s">
        <v>672</v>
      </c>
      <c r="J457" t="s">
        <v>701</v>
      </c>
      <c r="K457" t="s">
        <v>711</v>
      </c>
      <c r="L457" t="s">
        <v>721</v>
      </c>
      <c r="M457" t="s">
        <v>730</v>
      </c>
      <c r="N457" t="s">
        <v>1882</v>
      </c>
      <c r="O457" s="9">
        <v>307.43</v>
      </c>
      <c r="P457" s="9">
        <v>495.19</v>
      </c>
      <c r="Q457" s="9">
        <v>495.19</v>
      </c>
      <c r="R457" t="s">
        <v>2065</v>
      </c>
      <c r="S457" s="11">
        <v>0</v>
      </c>
      <c r="T457" t="s">
        <v>2065</v>
      </c>
      <c r="U457" s="13">
        <v>42</v>
      </c>
      <c r="V457" s="9">
        <f t="shared" si="28"/>
        <v>20797.98</v>
      </c>
      <c r="W457" s="9">
        <f t="shared" si="29"/>
        <v>12912.06</v>
      </c>
      <c r="X457" s="9">
        <f t="shared" si="30"/>
        <v>7885.92</v>
      </c>
      <c r="Y457" s="11">
        <f t="shared" si="31"/>
        <v>0.37916759223732305</v>
      </c>
    </row>
    <row r="458" spans="1:25" x14ac:dyDescent="0.3">
      <c r="A458" t="s">
        <v>471</v>
      </c>
      <c r="B458">
        <v>45048</v>
      </c>
      <c r="C458">
        <v>45065</v>
      </c>
      <c r="D458" t="s">
        <v>2064</v>
      </c>
      <c r="E458">
        <v>45065</v>
      </c>
      <c r="F458">
        <v>17</v>
      </c>
      <c r="G458" t="s">
        <v>647</v>
      </c>
      <c r="H458" t="s">
        <v>659</v>
      </c>
      <c r="I458" t="s">
        <v>685</v>
      </c>
      <c r="J458" t="s">
        <v>703</v>
      </c>
      <c r="K458" t="s">
        <v>711</v>
      </c>
      <c r="L458" t="s">
        <v>713</v>
      </c>
      <c r="M458" t="s">
        <v>732</v>
      </c>
      <c r="N458" t="s">
        <v>1883</v>
      </c>
      <c r="O458" s="9">
        <v>714.28</v>
      </c>
      <c r="P458" s="9">
        <v>757.59</v>
      </c>
      <c r="Q458" s="9">
        <v>757.59</v>
      </c>
      <c r="R458" t="s">
        <v>2065</v>
      </c>
      <c r="S458" s="11">
        <v>0.13600000000000001</v>
      </c>
      <c r="T458" t="s">
        <v>2065</v>
      </c>
      <c r="U458" s="13">
        <v>12</v>
      </c>
      <c r="V458" s="9">
        <f t="shared" si="28"/>
        <v>7854.6931199999999</v>
      </c>
      <c r="W458" s="9">
        <f t="shared" si="29"/>
        <v>8571.36</v>
      </c>
      <c r="X458" s="9">
        <f t="shared" si="30"/>
        <v>-716.66688000000067</v>
      </c>
      <c r="Y458" s="11">
        <f t="shared" si="31"/>
        <v>-9.1240595787910383E-2</v>
      </c>
    </row>
    <row r="459" spans="1:25" x14ac:dyDescent="0.3">
      <c r="A459" t="s">
        <v>472</v>
      </c>
      <c r="B459">
        <v>45260</v>
      </c>
      <c r="C459">
        <v>45270</v>
      </c>
      <c r="D459" t="s">
        <v>2064</v>
      </c>
      <c r="E459">
        <v>45270</v>
      </c>
      <c r="F459">
        <v>10</v>
      </c>
      <c r="G459" t="s">
        <v>649</v>
      </c>
      <c r="H459" t="s">
        <v>656</v>
      </c>
      <c r="I459" t="s">
        <v>684</v>
      </c>
      <c r="J459" t="s">
        <v>705</v>
      </c>
      <c r="K459" t="s">
        <v>711</v>
      </c>
      <c r="L459" t="s">
        <v>721</v>
      </c>
      <c r="M459" t="s">
        <v>731</v>
      </c>
      <c r="N459" t="s">
        <v>1884</v>
      </c>
      <c r="O459" s="9">
        <v>174.74</v>
      </c>
      <c r="P459" s="9">
        <v>415.96</v>
      </c>
      <c r="Q459" s="9">
        <v>415.96</v>
      </c>
      <c r="R459" t="s">
        <v>2065</v>
      </c>
      <c r="S459" s="11">
        <v>0.125</v>
      </c>
      <c r="T459" t="s">
        <v>2065</v>
      </c>
      <c r="U459" s="13">
        <v>21</v>
      </c>
      <c r="V459" s="9">
        <f t="shared" si="28"/>
        <v>7643.2649999999994</v>
      </c>
      <c r="W459" s="9">
        <f t="shared" si="29"/>
        <v>3669.54</v>
      </c>
      <c r="X459" s="9">
        <f t="shared" si="30"/>
        <v>3973.7249999999995</v>
      </c>
      <c r="Y459" s="11">
        <f t="shared" si="31"/>
        <v>0.51989889137691803</v>
      </c>
    </row>
    <row r="460" spans="1:25" x14ac:dyDescent="0.3">
      <c r="A460" t="s">
        <v>473</v>
      </c>
      <c r="B460">
        <v>45417</v>
      </c>
      <c r="C460">
        <v>45430</v>
      </c>
      <c r="D460" t="s">
        <v>2064</v>
      </c>
      <c r="E460">
        <v>45430</v>
      </c>
      <c r="F460">
        <v>13</v>
      </c>
      <c r="G460" t="s">
        <v>649</v>
      </c>
      <c r="H460" t="s">
        <v>657</v>
      </c>
      <c r="I460" t="s">
        <v>673</v>
      </c>
      <c r="J460" t="s">
        <v>701</v>
      </c>
      <c r="K460" t="s">
        <v>709</v>
      </c>
      <c r="L460" t="s">
        <v>720</v>
      </c>
      <c r="M460" t="s">
        <v>727</v>
      </c>
      <c r="N460" t="s">
        <v>1885</v>
      </c>
      <c r="O460" s="9">
        <v>1264.04</v>
      </c>
      <c r="P460" s="9">
        <v>1870.89</v>
      </c>
      <c r="Q460" s="9">
        <v>1870.89</v>
      </c>
      <c r="R460" t="s">
        <v>2065</v>
      </c>
      <c r="S460" s="11">
        <v>0</v>
      </c>
      <c r="T460" t="s">
        <v>2065</v>
      </c>
      <c r="U460" s="13">
        <v>13</v>
      </c>
      <c r="V460" s="9">
        <f t="shared" si="28"/>
        <v>24321.57</v>
      </c>
      <c r="W460" s="9">
        <f t="shared" si="29"/>
        <v>16432.52</v>
      </c>
      <c r="X460" s="9">
        <f t="shared" si="30"/>
        <v>7889.0499999999993</v>
      </c>
      <c r="Y460" s="11">
        <f t="shared" si="31"/>
        <v>0.32436433996653996</v>
      </c>
    </row>
    <row r="461" spans="1:25" x14ac:dyDescent="0.3">
      <c r="A461" t="s">
        <v>474</v>
      </c>
      <c r="B461">
        <v>45116</v>
      </c>
      <c r="C461">
        <v>45126</v>
      </c>
      <c r="D461" t="s">
        <v>2064</v>
      </c>
      <c r="E461">
        <v>45126</v>
      </c>
      <c r="F461">
        <v>10</v>
      </c>
      <c r="G461" t="s">
        <v>647</v>
      </c>
      <c r="H461" t="s">
        <v>652</v>
      </c>
      <c r="I461" t="s">
        <v>689</v>
      </c>
      <c r="J461" t="s">
        <v>706</v>
      </c>
      <c r="K461" t="s">
        <v>710</v>
      </c>
      <c r="L461" t="s">
        <v>725</v>
      </c>
      <c r="M461" t="s">
        <v>727</v>
      </c>
      <c r="N461" t="s">
        <v>1886</v>
      </c>
      <c r="O461" s="9">
        <v>141.26</v>
      </c>
      <c r="P461" s="9">
        <v>206.88</v>
      </c>
      <c r="Q461" s="9">
        <v>206.88</v>
      </c>
      <c r="R461" t="s">
        <v>2065</v>
      </c>
      <c r="S461" s="11">
        <v>0.107</v>
      </c>
      <c r="T461" t="s">
        <v>2065</v>
      </c>
      <c r="U461" s="13">
        <v>9</v>
      </c>
      <c r="V461" s="9">
        <f t="shared" si="28"/>
        <v>1662.6945600000001</v>
      </c>
      <c r="W461" s="9">
        <f t="shared" si="29"/>
        <v>1271.3399999999999</v>
      </c>
      <c r="X461" s="9">
        <f t="shared" si="30"/>
        <v>391.35456000000022</v>
      </c>
      <c r="Y461" s="11">
        <f t="shared" si="31"/>
        <v>0.23537369365062469</v>
      </c>
    </row>
    <row r="462" spans="1:25" x14ac:dyDescent="0.3">
      <c r="A462" t="s">
        <v>475</v>
      </c>
      <c r="B462">
        <v>45063</v>
      </c>
      <c r="C462">
        <v>45092</v>
      </c>
      <c r="D462" t="s">
        <v>2064</v>
      </c>
      <c r="E462">
        <v>45092</v>
      </c>
      <c r="F462">
        <v>29</v>
      </c>
      <c r="G462" t="s">
        <v>646</v>
      </c>
      <c r="H462" t="s">
        <v>661</v>
      </c>
      <c r="I462" t="s">
        <v>687</v>
      </c>
      <c r="J462" t="s">
        <v>706</v>
      </c>
      <c r="K462" t="s">
        <v>707</v>
      </c>
      <c r="L462" t="s">
        <v>723</v>
      </c>
      <c r="M462" t="s">
        <v>733</v>
      </c>
      <c r="N462" t="s">
        <v>1887</v>
      </c>
      <c r="O462" s="9">
        <v>40.89</v>
      </c>
      <c r="P462" s="9">
        <v>62.82</v>
      </c>
      <c r="Q462" s="9">
        <v>62.82</v>
      </c>
      <c r="R462" t="s">
        <v>2065</v>
      </c>
      <c r="S462" s="11">
        <v>0.129</v>
      </c>
      <c r="T462" t="s">
        <v>2065</v>
      </c>
      <c r="U462" s="13">
        <v>17</v>
      </c>
      <c r="V462" s="9">
        <f t="shared" si="28"/>
        <v>930.17574000000002</v>
      </c>
      <c r="W462" s="9">
        <f t="shared" si="29"/>
        <v>695.13</v>
      </c>
      <c r="X462" s="9">
        <f t="shared" si="30"/>
        <v>235.04574000000002</v>
      </c>
      <c r="Y462" s="11">
        <f t="shared" si="31"/>
        <v>0.25268960465470752</v>
      </c>
    </row>
    <row r="463" spans="1:25" x14ac:dyDescent="0.3">
      <c r="A463" t="s">
        <v>476</v>
      </c>
      <c r="B463">
        <v>45358</v>
      </c>
      <c r="C463">
        <v>45385</v>
      </c>
      <c r="D463" t="s">
        <v>2064</v>
      </c>
      <c r="E463">
        <v>45385</v>
      </c>
      <c r="F463">
        <v>27</v>
      </c>
      <c r="G463" t="s">
        <v>649</v>
      </c>
      <c r="H463" t="s">
        <v>656</v>
      </c>
      <c r="I463" t="s">
        <v>698</v>
      </c>
      <c r="J463" t="s">
        <v>701</v>
      </c>
      <c r="K463" t="s">
        <v>711</v>
      </c>
      <c r="L463" t="s">
        <v>724</v>
      </c>
      <c r="M463" t="s">
        <v>728</v>
      </c>
      <c r="N463" t="s">
        <v>1888</v>
      </c>
      <c r="O463" s="9">
        <v>738.16</v>
      </c>
      <c r="P463" s="9">
        <v>956.49</v>
      </c>
      <c r="Q463" s="9">
        <v>956.49</v>
      </c>
      <c r="R463" t="s">
        <v>2065</v>
      </c>
      <c r="S463" s="11">
        <v>0.152</v>
      </c>
      <c r="T463" t="s">
        <v>2065</v>
      </c>
      <c r="U463" s="13">
        <v>5</v>
      </c>
      <c r="V463" s="9">
        <f t="shared" si="28"/>
        <v>4055.5175999999997</v>
      </c>
      <c r="W463" s="9">
        <f t="shared" si="29"/>
        <v>3690.7999999999997</v>
      </c>
      <c r="X463" s="9">
        <f t="shared" si="30"/>
        <v>364.71759999999995</v>
      </c>
      <c r="Y463" s="11">
        <f t="shared" si="31"/>
        <v>8.9931208780847108E-2</v>
      </c>
    </row>
    <row r="464" spans="1:25" x14ac:dyDescent="0.3">
      <c r="A464" t="s">
        <v>477</v>
      </c>
      <c r="B464">
        <v>45757</v>
      </c>
      <c r="C464">
        <v>45766</v>
      </c>
      <c r="D464" t="s">
        <v>2064</v>
      </c>
      <c r="E464">
        <v>45766</v>
      </c>
      <c r="F464">
        <v>9</v>
      </c>
      <c r="G464" t="s">
        <v>646</v>
      </c>
      <c r="H464" t="s">
        <v>661</v>
      </c>
      <c r="I464" t="s">
        <v>687</v>
      </c>
      <c r="J464" t="s">
        <v>706</v>
      </c>
      <c r="K464" t="s">
        <v>2057</v>
      </c>
      <c r="L464" t="s">
        <v>715</v>
      </c>
      <c r="M464" t="s">
        <v>729</v>
      </c>
      <c r="N464" t="s">
        <v>1889</v>
      </c>
      <c r="O464" s="9">
        <v>113.74</v>
      </c>
      <c r="P464" s="9">
        <v>165.7</v>
      </c>
      <c r="Q464" s="9">
        <v>165.7</v>
      </c>
      <c r="R464" t="s">
        <v>2065</v>
      </c>
      <c r="S464" s="11">
        <v>0.124</v>
      </c>
      <c r="T464" t="s">
        <v>2065</v>
      </c>
      <c r="U464" s="13">
        <v>13</v>
      </c>
      <c r="V464" s="9">
        <f t="shared" si="28"/>
        <v>1886.9915999999998</v>
      </c>
      <c r="W464" s="9">
        <f t="shared" si="29"/>
        <v>1478.62</v>
      </c>
      <c r="X464" s="9">
        <f t="shared" si="30"/>
        <v>408.37159999999994</v>
      </c>
      <c r="Y464" s="11">
        <f t="shared" si="31"/>
        <v>0.21641410592394794</v>
      </c>
    </row>
    <row r="465" spans="1:25" x14ac:dyDescent="0.3">
      <c r="A465" t="s">
        <v>478</v>
      </c>
      <c r="B465">
        <v>45865</v>
      </c>
      <c r="C465">
        <v>45884</v>
      </c>
      <c r="D465" t="s">
        <v>2064</v>
      </c>
      <c r="E465">
        <v>45884</v>
      </c>
      <c r="F465">
        <v>19</v>
      </c>
      <c r="G465" t="s">
        <v>647</v>
      </c>
      <c r="H465" t="s">
        <v>652</v>
      </c>
      <c r="I465" t="s">
        <v>689</v>
      </c>
      <c r="J465" t="s">
        <v>705</v>
      </c>
      <c r="K465" t="s">
        <v>709</v>
      </c>
      <c r="L465" t="s">
        <v>713</v>
      </c>
      <c r="M465" t="s">
        <v>727</v>
      </c>
      <c r="N465" t="s">
        <v>1890</v>
      </c>
      <c r="O465" s="9">
        <v>275.43</v>
      </c>
      <c r="P465" s="9">
        <v>608.36</v>
      </c>
      <c r="Q465" s="9">
        <v>608.36</v>
      </c>
      <c r="R465" t="s">
        <v>2065</v>
      </c>
      <c r="S465" s="11">
        <v>0.25700000000000001</v>
      </c>
      <c r="T465" t="s">
        <v>2065</v>
      </c>
      <c r="U465" s="13">
        <v>4</v>
      </c>
      <c r="V465" s="9">
        <f t="shared" si="28"/>
        <v>1808.04592</v>
      </c>
      <c r="W465" s="9">
        <f t="shared" si="29"/>
        <v>1101.72</v>
      </c>
      <c r="X465" s="9">
        <f t="shared" si="30"/>
        <v>706.32592</v>
      </c>
      <c r="Y465" s="11">
        <f t="shared" si="31"/>
        <v>0.39065706915231446</v>
      </c>
    </row>
    <row r="466" spans="1:25" x14ac:dyDescent="0.3">
      <c r="A466" t="s">
        <v>479</v>
      </c>
      <c r="B466">
        <v>45618</v>
      </c>
      <c r="C466">
        <v>45641</v>
      </c>
      <c r="D466" t="s">
        <v>2064</v>
      </c>
      <c r="E466">
        <v>45641</v>
      </c>
      <c r="F466">
        <v>23</v>
      </c>
      <c r="G466" t="s">
        <v>646</v>
      </c>
      <c r="H466" t="s">
        <v>650</v>
      </c>
      <c r="I466" t="s">
        <v>675</v>
      </c>
      <c r="J466" t="s">
        <v>703</v>
      </c>
      <c r="K466" t="s">
        <v>710</v>
      </c>
      <c r="L466" t="s">
        <v>712</v>
      </c>
      <c r="M466" t="s">
        <v>727</v>
      </c>
      <c r="N466" t="s">
        <v>1891</v>
      </c>
      <c r="O466" s="9">
        <v>1335.76</v>
      </c>
      <c r="P466" s="9">
        <v>2665.91</v>
      </c>
      <c r="Q466" s="9">
        <v>2665.91</v>
      </c>
      <c r="R466" t="s">
        <v>2065</v>
      </c>
      <c r="S466" s="11">
        <v>0.21099999999999999</v>
      </c>
      <c r="T466" t="s">
        <v>2065</v>
      </c>
      <c r="U466" s="13">
        <v>40</v>
      </c>
      <c r="V466" s="9">
        <f t="shared" si="28"/>
        <v>84136.119600000005</v>
      </c>
      <c r="W466" s="9">
        <f t="shared" si="29"/>
        <v>53430.400000000001</v>
      </c>
      <c r="X466" s="9">
        <f t="shared" si="30"/>
        <v>30705.719600000004</v>
      </c>
      <c r="Y466" s="11">
        <f t="shared" si="31"/>
        <v>0.36495288522909253</v>
      </c>
    </row>
    <row r="467" spans="1:25" x14ac:dyDescent="0.3">
      <c r="A467" t="s">
        <v>480</v>
      </c>
      <c r="B467">
        <v>45466</v>
      </c>
      <c r="C467">
        <v>45471</v>
      </c>
      <c r="D467" t="s">
        <v>2064</v>
      </c>
      <c r="E467">
        <v>45471</v>
      </c>
      <c r="F467">
        <v>5</v>
      </c>
      <c r="G467" t="s">
        <v>646</v>
      </c>
      <c r="H467" t="s">
        <v>651</v>
      </c>
      <c r="I467" t="s">
        <v>663</v>
      </c>
      <c r="J467" t="s">
        <v>703</v>
      </c>
      <c r="K467" t="s">
        <v>711</v>
      </c>
      <c r="L467" t="s">
        <v>724</v>
      </c>
      <c r="M467" t="s">
        <v>733</v>
      </c>
      <c r="N467" t="s">
        <v>1892</v>
      </c>
      <c r="O467" s="9">
        <v>242.31</v>
      </c>
      <c r="P467" s="9">
        <v>587.95000000000005</v>
      </c>
      <c r="Q467" s="9">
        <v>587.95000000000005</v>
      </c>
      <c r="R467" t="s">
        <v>2065</v>
      </c>
      <c r="S467" s="11">
        <v>0.22900000000000001</v>
      </c>
      <c r="T467" t="s">
        <v>2065</v>
      </c>
      <c r="U467" s="13">
        <v>6</v>
      </c>
      <c r="V467" s="9">
        <f t="shared" si="28"/>
        <v>2719.8567000000003</v>
      </c>
      <c r="W467" s="9">
        <f t="shared" si="29"/>
        <v>1453.8600000000001</v>
      </c>
      <c r="X467" s="9">
        <f t="shared" si="30"/>
        <v>1265.9967000000001</v>
      </c>
      <c r="Y467" s="11">
        <f t="shared" si="31"/>
        <v>0.46546448568411714</v>
      </c>
    </row>
    <row r="468" spans="1:25" x14ac:dyDescent="0.3">
      <c r="A468" t="s">
        <v>481</v>
      </c>
      <c r="B468">
        <v>45278</v>
      </c>
      <c r="C468">
        <v>45305</v>
      </c>
      <c r="D468" t="s">
        <v>2064</v>
      </c>
      <c r="E468">
        <v>45305</v>
      </c>
      <c r="F468">
        <v>27</v>
      </c>
      <c r="G468" t="s">
        <v>647</v>
      </c>
      <c r="H468" t="s">
        <v>654</v>
      </c>
      <c r="I468" t="s">
        <v>691</v>
      </c>
      <c r="J468" t="s">
        <v>704</v>
      </c>
      <c r="K468" t="s">
        <v>710</v>
      </c>
      <c r="L468" t="s">
        <v>726</v>
      </c>
      <c r="M468" t="s">
        <v>729</v>
      </c>
      <c r="N468" t="s">
        <v>1893</v>
      </c>
      <c r="O468" s="9">
        <v>1408.3</v>
      </c>
      <c r="P468" s="9">
        <v>2193.13</v>
      </c>
      <c r="Q468" s="9">
        <v>2193.13</v>
      </c>
      <c r="R468" t="s">
        <v>2065</v>
      </c>
      <c r="S468" s="11">
        <v>7.0999999999999994E-2</v>
      </c>
      <c r="T468" t="s">
        <v>2065</v>
      </c>
      <c r="U468" s="13">
        <v>7</v>
      </c>
      <c r="V468" s="9">
        <f t="shared" si="28"/>
        <v>14261.92439</v>
      </c>
      <c r="W468" s="9">
        <f t="shared" si="29"/>
        <v>9858.1</v>
      </c>
      <c r="X468" s="9">
        <f t="shared" si="30"/>
        <v>4403.8243899999998</v>
      </c>
      <c r="Y468" s="11">
        <f t="shared" si="31"/>
        <v>0.30878191957656281</v>
      </c>
    </row>
    <row r="469" spans="1:25" x14ac:dyDescent="0.3">
      <c r="A469" t="s">
        <v>482</v>
      </c>
      <c r="B469">
        <v>45809</v>
      </c>
      <c r="C469">
        <v>45813</v>
      </c>
      <c r="D469" t="s">
        <v>2064</v>
      </c>
      <c r="E469">
        <v>45813</v>
      </c>
      <c r="F469">
        <v>4</v>
      </c>
      <c r="G469" t="s">
        <v>649</v>
      </c>
      <c r="H469" t="s">
        <v>656</v>
      </c>
      <c r="I469" t="s">
        <v>684</v>
      </c>
      <c r="J469" t="s">
        <v>706</v>
      </c>
      <c r="K469" t="s">
        <v>711</v>
      </c>
      <c r="L469" t="s">
        <v>724</v>
      </c>
      <c r="M469" t="s">
        <v>727</v>
      </c>
      <c r="N469" t="s">
        <v>1894</v>
      </c>
      <c r="O469" s="9">
        <v>1171.42</v>
      </c>
      <c r="P469" s="9">
        <v>2187.8000000000002</v>
      </c>
      <c r="Q469" s="9">
        <v>2187.8000000000002</v>
      </c>
      <c r="R469" t="s">
        <v>2065</v>
      </c>
      <c r="S469" s="11">
        <v>0.23</v>
      </c>
      <c r="T469" t="s">
        <v>2065</v>
      </c>
      <c r="U469" s="13">
        <v>15</v>
      </c>
      <c r="V469" s="9">
        <f t="shared" si="28"/>
        <v>25269.09</v>
      </c>
      <c r="W469" s="9">
        <f t="shared" si="29"/>
        <v>17571.300000000003</v>
      </c>
      <c r="X469" s="9">
        <f t="shared" si="30"/>
        <v>7697.7899999999972</v>
      </c>
      <c r="Y469" s="11">
        <f t="shared" si="31"/>
        <v>0.30463265594447592</v>
      </c>
    </row>
    <row r="470" spans="1:25" x14ac:dyDescent="0.3">
      <c r="A470" t="s">
        <v>483</v>
      </c>
      <c r="B470">
        <v>45739</v>
      </c>
      <c r="C470">
        <v>45749</v>
      </c>
      <c r="D470" t="s">
        <v>2064</v>
      </c>
      <c r="E470">
        <v>45749</v>
      </c>
      <c r="F470">
        <v>10</v>
      </c>
      <c r="G470" t="s">
        <v>649</v>
      </c>
      <c r="H470" t="s">
        <v>656</v>
      </c>
      <c r="I470" t="s">
        <v>671</v>
      </c>
      <c r="J470" t="s">
        <v>706</v>
      </c>
      <c r="K470" t="s">
        <v>708</v>
      </c>
      <c r="L470" t="s">
        <v>718</v>
      </c>
      <c r="M470" t="s">
        <v>728</v>
      </c>
      <c r="N470" t="s">
        <v>1895</v>
      </c>
      <c r="O470" s="9">
        <v>663.61</v>
      </c>
      <c r="P470" s="9">
        <v>1002.11</v>
      </c>
      <c r="Q470" s="9">
        <v>1002.11</v>
      </c>
      <c r="R470" t="s">
        <v>2065</v>
      </c>
      <c r="S470" s="11">
        <v>4.5999999999999999E-2</v>
      </c>
      <c r="T470" t="s">
        <v>2065</v>
      </c>
      <c r="U470" s="13">
        <v>17</v>
      </c>
      <c r="V470" s="9">
        <f t="shared" si="28"/>
        <v>16252.219979999998</v>
      </c>
      <c r="W470" s="9">
        <f t="shared" si="29"/>
        <v>11281.37</v>
      </c>
      <c r="X470" s="9">
        <f t="shared" si="30"/>
        <v>4970.8499799999972</v>
      </c>
      <c r="Y470" s="11">
        <f t="shared" si="31"/>
        <v>0.30585667595670812</v>
      </c>
    </row>
    <row r="471" spans="1:25" x14ac:dyDescent="0.3">
      <c r="A471" t="s">
        <v>484</v>
      </c>
      <c r="B471">
        <v>45060</v>
      </c>
      <c r="C471">
        <v>45068</v>
      </c>
      <c r="D471" t="s">
        <v>2064</v>
      </c>
      <c r="E471">
        <v>45068</v>
      </c>
      <c r="F471">
        <v>8</v>
      </c>
      <c r="G471" t="s">
        <v>646</v>
      </c>
      <c r="H471" t="s">
        <v>650</v>
      </c>
      <c r="I471" t="s">
        <v>675</v>
      </c>
      <c r="J471" t="s">
        <v>705</v>
      </c>
      <c r="K471" t="s">
        <v>710</v>
      </c>
      <c r="L471" t="s">
        <v>721</v>
      </c>
      <c r="M471" t="s">
        <v>728</v>
      </c>
      <c r="N471" t="s">
        <v>1896</v>
      </c>
      <c r="O471" s="9">
        <v>432.01</v>
      </c>
      <c r="P471" s="9">
        <v>913.78</v>
      </c>
      <c r="Q471" s="9">
        <v>913.78</v>
      </c>
      <c r="R471" t="s">
        <v>2065</v>
      </c>
      <c r="S471" s="11">
        <v>4.9000000000000002E-2</v>
      </c>
      <c r="T471" t="s">
        <v>2065</v>
      </c>
      <c r="U471" s="13">
        <v>12</v>
      </c>
      <c r="V471" s="9">
        <f t="shared" si="28"/>
        <v>10428.057360000001</v>
      </c>
      <c r="W471" s="9">
        <f t="shared" si="29"/>
        <v>5184.12</v>
      </c>
      <c r="X471" s="9">
        <f t="shared" si="30"/>
        <v>5243.9373600000008</v>
      </c>
      <c r="Y471" s="11">
        <f t="shared" si="31"/>
        <v>0.50286809699711899</v>
      </c>
    </row>
    <row r="472" spans="1:25" x14ac:dyDescent="0.3">
      <c r="A472" t="s">
        <v>485</v>
      </c>
      <c r="B472">
        <v>45167</v>
      </c>
      <c r="C472">
        <v>45188</v>
      </c>
      <c r="D472" t="s">
        <v>2064</v>
      </c>
      <c r="E472">
        <v>45188</v>
      </c>
      <c r="F472">
        <v>21</v>
      </c>
      <c r="G472" t="s">
        <v>649</v>
      </c>
      <c r="H472" t="s">
        <v>657</v>
      </c>
      <c r="I472" t="s">
        <v>679</v>
      </c>
      <c r="J472" t="s">
        <v>705</v>
      </c>
      <c r="K472" t="s">
        <v>711</v>
      </c>
      <c r="L472" t="s">
        <v>717</v>
      </c>
      <c r="M472" t="s">
        <v>728</v>
      </c>
      <c r="N472" t="s">
        <v>1897</v>
      </c>
      <c r="O472" s="9">
        <v>784.46</v>
      </c>
      <c r="P472" s="9">
        <v>1843.51</v>
      </c>
      <c r="Q472" s="9">
        <v>1843.51</v>
      </c>
      <c r="R472" t="s">
        <v>2065</v>
      </c>
      <c r="S472" s="11">
        <v>0.13800000000000001</v>
      </c>
      <c r="T472" t="s">
        <v>2065</v>
      </c>
      <c r="U472" s="13">
        <v>23</v>
      </c>
      <c r="V472" s="9">
        <f t="shared" si="28"/>
        <v>36549.429260000004</v>
      </c>
      <c r="W472" s="9">
        <f t="shared" si="29"/>
        <v>18042.580000000002</v>
      </c>
      <c r="X472" s="9">
        <f t="shared" si="30"/>
        <v>18506.849260000003</v>
      </c>
      <c r="Y472" s="11">
        <f t="shared" si="31"/>
        <v>0.50635125184441798</v>
      </c>
    </row>
    <row r="473" spans="1:25" x14ac:dyDescent="0.3">
      <c r="A473" t="s">
        <v>486</v>
      </c>
      <c r="B473">
        <v>45841</v>
      </c>
      <c r="C473">
        <v>45861</v>
      </c>
      <c r="D473" t="s">
        <v>2064</v>
      </c>
      <c r="E473">
        <v>45861</v>
      </c>
      <c r="F473">
        <v>20</v>
      </c>
      <c r="G473" t="s">
        <v>647</v>
      </c>
      <c r="H473" t="s">
        <v>659</v>
      </c>
      <c r="I473" t="s">
        <v>699</v>
      </c>
      <c r="J473" t="s">
        <v>705</v>
      </c>
      <c r="K473" t="s">
        <v>708</v>
      </c>
      <c r="L473" t="s">
        <v>724</v>
      </c>
      <c r="M473" t="s">
        <v>727</v>
      </c>
      <c r="N473" t="s">
        <v>1898</v>
      </c>
      <c r="O473" s="9">
        <v>647.36</v>
      </c>
      <c r="P473" s="9">
        <v>1383.6</v>
      </c>
      <c r="Q473" s="9">
        <v>1383.6</v>
      </c>
      <c r="R473" t="s">
        <v>2065</v>
      </c>
      <c r="S473" s="11">
        <v>7.3999999999999996E-2</v>
      </c>
      <c r="T473" t="s">
        <v>2065</v>
      </c>
      <c r="U473" s="13">
        <v>12</v>
      </c>
      <c r="V473" s="9">
        <f t="shared" si="28"/>
        <v>15374.563199999999</v>
      </c>
      <c r="W473" s="9">
        <f t="shared" si="29"/>
        <v>7768.32</v>
      </c>
      <c r="X473" s="9">
        <f t="shared" si="30"/>
        <v>7606.243199999999</v>
      </c>
      <c r="Y473" s="11">
        <f t="shared" si="31"/>
        <v>0.49472906000997802</v>
      </c>
    </row>
    <row r="474" spans="1:25" x14ac:dyDescent="0.3">
      <c r="A474" t="s">
        <v>487</v>
      </c>
      <c r="B474">
        <v>45328</v>
      </c>
      <c r="C474">
        <v>45350</v>
      </c>
      <c r="D474" t="s">
        <v>2064</v>
      </c>
      <c r="E474">
        <v>45350</v>
      </c>
      <c r="F474">
        <v>22</v>
      </c>
      <c r="G474" t="s">
        <v>646</v>
      </c>
      <c r="H474" t="s">
        <v>650</v>
      </c>
      <c r="I474" t="s">
        <v>662</v>
      </c>
      <c r="J474" t="s">
        <v>703</v>
      </c>
      <c r="K474" t="s">
        <v>708</v>
      </c>
      <c r="L474" t="s">
        <v>723</v>
      </c>
      <c r="M474" t="s">
        <v>732</v>
      </c>
      <c r="N474" t="s">
        <v>1899</v>
      </c>
      <c r="O474" s="9">
        <v>834.93</v>
      </c>
      <c r="P474" s="9">
        <v>1588.53</v>
      </c>
      <c r="Q474" s="9">
        <v>1588.53</v>
      </c>
      <c r="R474" t="s">
        <v>2065</v>
      </c>
      <c r="S474" s="11">
        <v>0.126</v>
      </c>
      <c r="T474" t="s">
        <v>2065</v>
      </c>
      <c r="U474" s="13">
        <v>6</v>
      </c>
      <c r="V474" s="9">
        <f t="shared" si="28"/>
        <v>8330.2513199999994</v>
      </c>
      <c r="W474" s="9">
        <f t="shared" si="29"/>
        <v>5009.58</v>
      </c>
      <c r="X474" s="9">
        <f t="shared" si="30"/>
        <v>3320.6713199999995</v>
      </c>
      <c r="Y474" s="11">
        <f t="shared" si="31"/>
        <v>0.39862798761274343</v>
      </c>
    </row>
    <row r="475" spans="1:25" x14ac:dyDescent="0.3">
      <c r="A475" t="s">
        <v>488</v>
      </c>
      <c r="B475">
        <v>45882</v>
      </c>
      <c r="C475">
        <v>45903</v>
      </c>
      <c r="D475" t="s">
        <v>2064</v>
      </c>
      <c r="E475">
        <v>45903</v>
      </c>
      <c r="F475">
        <v>21</v>
      </c>
      <c r="G475" t="s">
        <v>649</v>
      </c>
      <c r="H475" t="s">
        <v>657</v>
      </c>
      <c r="I475" t="s">
        <v>690</v>
      </c>
      <c r="J475" t="s">
        <v>702</v>
      </c>
      <c r="K475" t="s">
        <v>707</v>
      </c>
      <c r="L475" t="s">
        <v>714</v>
      </c>
      <c r="M475" t="s">
        <v>730</v>
      </c>
      <c r="N475" t="s">
        <v>1900</v>
      </c>
      <c r="O475" s="9">
        <v>603.47</v>
      </c>
      <c r="P475" s="9">
        <v>1344.05</v>
      </c>
      <c r="Q475" s="9">
        <v>1344.05</v>
      </c>
      <c r="R475" t="s">
        <v>2065</v>
      </c>
      <c r="S475" s="11">
        <v>0.20499999999999999</v>
      </c>
      <c r="T475" t="s">
        <v>2065</v>
      </c>
      <c r="U475" s="13">
        <v>18</v>
      </c>
      <c r="V475" s="9">
        <f t="shared" si="28"/>
        <v>19233.355499999998</v>
      </c>
      <c r="W475" s="9">
        <f t="shared" si="29"/>
        <v>10862.460000000001</v>
      </c>
      <c r="X475" s="9">
        <f t="shared" si="30"/>
        <v>8370.8954999999969</v>
      </c>
      <c r="Y475" s="11">
        <f t="shared" si="31"/>
        <v>0.43522803392262976</v>
      </c>
    </row>
    <row r="476" spans="1:25" x14ac:dyDescent="0.3">
      <c r="A476" t="s">
        <v>489</v>
      </c>
      <c r="B476">
        <v>45069</v>
      </c>
      <c r="C476">
        <v>45071</v>
      </c>
      <c r="D476" t="s">
        <v>2064</v>
      </c>
      <c r="E476">
        <v>45071</v>
      </c>
      <c r="F476">
        <v>2</v>
      </c>
      <c r="G476" t="s">
        <v>648</v>
      </c>
      <c r="H476" t="s">
        <v>655</v>
      </c>
      <c r="I476" t="s">
        <v>1426</v>
      </c>
      <c r="J476" t="s">
        <v>706</v>
      </c>
      <c r="K476" t="s">
        <v>707</v>
      </c>
      <c r="L476" t="s">
        <v>724</v>
      </c>
      <c r="M476" t="s">
        <v>728</v>
      </c>
      <c r="N476" t="s">
        <v>1901</v>
      </c>
      <c r="O476" s="9">
        <v>690.49</v>
      </c>
      <c r="P476" s="9">
        <v>1290.29</v>
      </c>
      <c r="Q476" s="9">
        <v>1290.29</v>
      </c>
      <c r="R476" t="s">
        <v>2065</v>
      </c>
      <c r="S476" s="11">
        <v>4.2000000000000003E-2</v>
      </c>
      <c r="T476" t="s">
        <v>2065</v>
      </c>
      <c r="U476" s="13">
        <v>22</v>
      </c>
      <c r="V476" s="9">
        <f t="shared" si="28"/>
        <v>27194.152039999997</v>
      </c>
      <c r="W476" s="9">
        <f t="shared" si="29"/>
        <v>15190.78</v>
      </c>
      <c r="X476" s="9">
        <f t="shared" si="30"/>
        <v>12003.372039999997</v>
      </c>
      <c r="Y476" s="11">
        <f t="shared" si="31"/>
        <v>0.44139534199647718</v>
      </c>
    </row>
    <row r="477" spans="1:25" x14ac:dyDescent="0.3">
      <c r="A477" t="s">
        <v>490</v>
      </c>
      <c r="B477">
        <v>45422</v>
      </c>
      <c r="C477">
        <v>45428</v>
      </c>
      <c r="D477" t="s">
        <v>2064</v>
      </c>
      <c r="E477">
        <v>45428</v>
      </c>
      <c r="F477">
        <v>6</v>
      </c>
      <c r="G477" t="s">
        <v>649</v>
      </c>
      <c r="H477" t="s">
        <v>658</v>
      </c>
      <c r="I477" t="s">
        <v>674</v>
      </c>
      <c r="J477" t="s">
        <v>703</v>
      </c>
      <c r="K477" t="s">
        <v>711</v>
      </c>
      <c r="L477" t="s">
        <v>715</v>
      </c>
      <c r="M477" t="s">
        <v>731</v>
      </c>
      <c r="N477" t="s">
        <v>1902</v>
      </c>
      <c r="O477" s="9">
        <v>210.76</v>
      </c>
      <c r="P477" s="9">
        <v>221.58</v>
      </c>
      <c r="Q477" s="9">
        <v>221.58</v>
      </c>
      <c r="R477" t="s">
        <v>2065</v>
      </c>
      <c r="S477" s="11">
        <v>8.8999999999999996E-2</v>
      </c>
      <c r="T477" t="s">
        <v>2065</v>
      </c>
      <c r="U477" s="13">
        <v>5</v>
      </c>
      <c r="V477" s="9">
        <f t="shared" si="28"/>
        <v>1009.2969000000002</v>
      </c>
      <c r="W477" s="9">
        <f t="shared" si="29"/>
        <v>1053.8</v>
      </c>
      <c r="X477" s="9">
        <f t="shared" si="30"/>
        <v>-44.50309999999979</v>
      </c>
      <c r="Y477" s="11">
        <f t="shared" si="31"/>
        <v>-4.4093170205912434E-2</v>
      </c>
    </row>
    <row r="478" spans="1:25" x14ac:dyDescent="0.3">
      <c r="A478" t="s">
        <v>491</v>
      </c>
      <c r="B478">
        <v>44999</v>
      </c>
      <c r="C478">
        <v>45003</v>
      </c>
      <c r="D478" t="s">
        <v>2064</v>
      </c>
      <c r="E478">
        <v>45003</v>
      </c>
      <c r="F478">
        <v>4</v>
      </c>
      <c r="G478" t="s">
        <v>649</v>
      </c>
      <c r="H478" t="s">
        <v>656</v>
      </c>
      <c r="I478" t="s">
        <v>698</v>
      </c>
      <c r="J478" t="s">
        <v>706</v>
      </c>
      <c r="K478" t="s">
        <v>711</v>
      </c>
      <c r="L478" t="s">
        <v>720</v>
      </c>
      <c r="M478" t="s">
        <v>727</v>
      </c>
      <c r="N478" t="s">
        <v>1903</v>
      </c>
      <c r="O478" s="9">
        <v>472.33</v>
      </c>
      <c r="P478" s="9">
        <v>360.34</v>
      </c>
      <c r="Q478" s="9">
        <v>360.34</v>
      </c>
      <c r="R478" t="s">
        <v>2065</v>
      </c>
      <c r="S478" s="11">
        <v>0.16500000000000001</v>
      </c>
      <c r="T478" t="s">
        <v>2065</v>
      </c>
      <c r="U478" s="13">
        <v>14</v>
      </c>
      <c r="V478" s="9">
        <f t="shared" si="28"/>
        <v>4212.3745999999992</v>
      </c>
      <c r="W478" s="9">
        <f t="shared" si="29"/>
        <v>6612.62</v>
      </c>
      <c r="X478" s="9">
        <f t="shared" si="30"/>
        <v>-2400.2454000000007</v>
      </c>
      <c r="Y478" s="11">
        <f t="shared" si="31"/>
        <v>-0.56980815523861561</v>
      </c>
    </row>
    <row r="479" spans="1:25" x14ac:dyDescent="0.3">
      <c r="A479" t="s">
        <v>492</v>
      </c>
      <c r="B479">
        <v>45123</v>
      </c>
      <c r="C479">
        <v>45151</v>
      </c>
      <c r="D479" t="s">
        <v>2064</v>
      </c>
      <c r="E479">
        <v>45151</v>
      </c>
      <c r="F479">
        <v>28</v>
      </c>
      <c r="G479" t="s">
        <v>649</v>
      </c>
      <c r="H479" t="s">
        <v>658</v>
      </c>
      <c r="I479" t="s">
        <v>693</v>
      </c>
      <c r="J479" t="s">
        <v>703</v>
      </c>
      <c r="K479" t="s">
        <v>708</v>
      </c>
      <c r="L479" t="s">
        <v>713</v>
      </c>
      <c r="M479" t="s">
        <v>731</v>
      </c>
      <c r="N479" t="s">
        <v>1904</v>
      </c>
      <c r="O479" s="9">
        <v>1039.03</v>
      </c>
      <c r="P479" s="9">
        <v>2545.81</v>
      </c>
      <c r="Q479" s="9">
        <v>2545.81</v>
      </c>
      <c r="R479" t="s">
        <v>2065</v>
      </c>
      <c r="S479" s="11">
        <v>0.216</v>
      </c>
      <c r="T479" t="s">
        <v>2065</v>
      </c>
      <c r="U479" s="13">
        <v>21</v>
      </c>
      <c r="V479" s="9">
        <f t="shared" si="28"/>
        <v>41914.215840000004</v>
      </c>
      <c r="W479" s="9">
        <f t="shared" si="29"/>
        <v>21819.63</v>
      </c>
      <c r="X479" s="9">
        <f t="shared" si="30"/>
        <v>20094.585840000003</v>
      </c>
      <c r="Y479" s="11">
        <f t="shared" si="31"/>
        <v>0.47942172929364774</v>
      </c>
    </row>
    <row r="480" spans="1:25" x14ac:dyDescent="0.3">
      <c r="A480" t="s">
        <v>493</v>
      </c>
      <c r="B480">
        <v>45032</v>
      </c>
      <c r="C480">
        <v>45035</v>
      </c>
      <c r="D480" t="s">
        <v>2064</v>
      </c>
      <c r="E480">
        <v>45035</v>
      </c>
      <c r="F480">
        <v>3</v>
      </c>
      <c r="G480" t="s">
        <v>649</v>
      </c>
      <c r="H480" t="s">
        <v>656</v>
      </c>
      <c r="I480" t="s">
        <v>684</v>
      </c>
      <c r="J480" t="s">
        <v>701</v>
      </c>
      <c r="K480" t="s">
        <v>711</v>
      </c>
      <c r="L480" t="s">
        <v>717</v>
      </c>
      <c r="M480" t="s">
        <v>733</v>
      </c>
      <c r="N480" t="s">
        <v>1905</v>
      </c>
      <c r="O480" s="9">
        <v>553.61</v>
      </c>
      <c r="P480" s="9">
        <v>699.47</v>
      </c>
      <c r="Q480" s="9">
        <v>699.47</v>
      </c>
      <c r="R480" t="s">
        <v>2065</v>
      </c>
      <c r="S480" s="11">
        <v>0.02</v>
      </c>
      <c r="T480" t="s">
        <v>2065</v>
      </c>
      <c r="U480" s="13">
        <v>33</v>
      </c>
      <c r="V480" s="9">
        <f t="shared" si="28"/>
        <v>22620.859800000002</v>
      </c>
      <c r="W480" s="9">
        <f t="shared" si="29"/>
        <v>18269.13</v>
      </c>
      <c r="X480" s="9">
        <f t="shared" si="30"/>
        <v>4351.729800000001</v>
      </c>
      <c r="Y480" s="11">
        <f t="shared" si="31"/>
        <v>0.19237685209472014</v>
      </c>
    </row>
    <row r="481" spans="1:25" x14ac:dyDescent="0.3">
      <c r="A481" t="s">
        <v>494</v>
      </c>
      <c r="B481">
        <v>45293</v>
      </c>
      <c r="C481">
        <v>45306</v>
      </c>
      <c r="D481" t="s">
        <v>2064</v>
      </c>
      <c r="E481">
        <v>45306</v>
      </c>
      <c r="F481">
        <v>13</v>
      </c>
      <c r="G481" t="s">
        <v>647</v>
      </c>
      <c r="H481" t="s">
        <v>652</v>
      </c>
      <c r="I481" t="s">
        <v>694</v>
      </c>
      <c r="J481" t="s">
        <v>705</v>
      </c>
      <c r="K481" t="s">
        <v>709</v>
      </c>
      <c r="L481" t="s">
        <v>715</v>
      </c>
      <c r="M481" t="s">
        <v>729</v>
      </c>
      <c r="N481" t="s">
        <v>1906</v>
      </c>
      <c r="O481" s="9">
        <v>1219.06</v>
      </c>
      <c r="P481" s="9">
        <v>2738.69</v>
      </c>
      <c r="Q481" s="9">
        <v>2738.69</v>
      </c>
      <c r="R481" t="s">
        <v>2065</v>
      </c>
      <c r="S481" s="11">
        <v>7.5999999999999998E-2</v>
      </c>
      <c r="T481" t="s">
        <v>2065</v>
      </c>
      <c r="U481" s="13">
        <v>16</v>
      </c>
      <c r="V481" s="9">
        <f t="shared" si="28"/>
        <v>40488.792960000006</v>
      </c>
      <c r="W481" s="9">
        <f t="shared" si="29"/>
        <v>19504.96</v>
      </c>
      <c r="X481" s="9">
        <f t="shared" si="30"/>
        <v>20983.832960000007</v>
      </c>
      <c r="Y481" s="11">
        <f t="shared" si="31"/>
        <v>0.51826274447673737</v>
      </c>
    </row>
    <row r="482" spans="1:25" x14ac:dyDescent="0.3">
      <c r="A482" t="s">
        <v>495</v>
      </c>
      <c r="B482">
        <v>45538</v>
      </c>
      <c r="C482">
        <v>45542</v>
      </c>
      <c r="D482" t="s">
        <v>2064</v>
      </c>
      <c r="E482">
        <v>45542</v>
      </c>
      <c r="F482">
        <v>4</v>
      </c>
      <c r="G482" t="s">
        <v>647</v>
      </c>
      <c r="H482" t="s">
        <v>652</v>
      </c>
      <c r="I482" t="s">
        <v>689</v>
      </c>
      <c r="J482" t="s">
        <v>705</v>
      </c>
      <c r="K482" t="s">
        <v>710</v>
      </c>
      <c r="L482" t="s">
        <v>725</v>
      </c>
      <c r="M482" t="s">
        <v>728</v>
      </c>
      <c r="N482" t="s">
        <v>1907</v>
      </c>
      <c r="O482" s="9">
        <v>43.23</v>
      </c>
      <c r="P482" s="9">
        <v>94.78</v>
      </c>
      <c r="Q482" s="9">
        <v>94.78</v>
      </c>
      <c r="R482" t="s">
        <v>2065</v>
      </c>
      <c r="S482" s="11">
        <v>9.0999999999999998E-2</v>
      </c>
      <c r="T482" t="s">
        <v>2065</v>
      </c>
      <c r="U482" s="13">
        <v>55</v>
      </c>
      <c r="V482" s="9">
        <f t="shared" si="28"/>
        <v>4738.5261</v>
      </c>
      <c r="W482" s="9">
        <f t="shared" si="29"/>
        <v>2377.6499999999996</v>
      </c>
      <c r="X482" s="9">
        <f t="shared" si="30"/>
        <v>2360.8761000000004</v>
      </c>
      <c r="Y482" s="11">
        <f t="shared" si="31"/>
        <v>0.49823005090127082</v>
      </c>
    </row>
    <row r="483" spans="1:25" x14ac:dyDescent="0.3">
      <c r="A483" t="s">
        <v>496</v>
      </c>
      <c r="B483">
        <v>45899</v>
      </c>
      <c r="C483">
        <v>45903</v>
      </c>
      <c r="D483" t="s">
        <v>2064</v>
      </c>
      <c r="E483">
        <v>45903</v>
      </c>
      <c r="F483">
        <v>4</v>
      </c>
      <c r="G483" t="s">
        <v>649</v>
      </c>
      <c r="H483" t="s">
        <v>657</v>
      </c>
      <c r="I483" t="s">
        <v>673</v>
      </c>
      <c r="J483" t="s">
        <v>705</v>
      </c>
      <c r="K483" t="s">
        <v>709</v>
      </c>
      <c r="L483" t="s">
        <v>713</v>
      </c>
      <c r="M483" t="s">
        <v>731</v>
      </c>
      <c r="N483" t="s">
        <v>1908</v>
      </c>
      <c r="O483" s="9">
        <v>1286.56</v>
      </c>
      <c r="P483" s="9">
        <v>2777.35</v>
      </c>
      <c r="Q483" s="9">
        <v>2777.35</v>
      </c>
      <c r="R483" t="s">
        <v>2065</v>
      </c>
      <c r="S483" s="11">
        <v>0.13200000000000001</v>
      </c>
      <c r="T483" t="s">
        <v>2065</v>
      </c>
      <c r="U483" s="13">
        <v>15</v>
      </c>
      <c r="V483" s="9">
        <f t="shared" si="28"/>
        <v>36161.097000000002</v>
      </c>
      <c r="W483" s="9">
        <f t="shared" si="29"/>
        <v>19298.399999999998</v>
      </c>
      <c r="X483" s="9">
        <f t="shared" si="30"/>
        <v>16862.697000000004</v>
      </c>
      <c r="Y483" s="11">
        <f t="shared" si="31"/>
        <v>0.46632150014696744</v>
      </c>
    </row>
    <row r="484" spans="1:25" x14ac:dyDescent="0.3">
      <c r="A484" t="s">
        <v>497</v>
      </c>
      <c r="B484">
        <v>45775</v>
      </c>
      <c r="C484">
        <v>45796</v>
      </c>
      <c r="D484" t="s">
        <v>2064</v>
      </c>
      <c r="E484">
        <v>45796</v>
      </c>
      <c r="F484">
        <v>21</v>
      </c>
      <c r="G484" t="s">
        <v>649</v>
      </c>
      <c r="H484" t="s">
        <v>656</v>
      </c>
      <c r="I484" t="s">
        <v>671</v>
      </c>
      <c r="J484" t="s">
        <v>701</v>
      </c>
      <c r="K484" t="s">
        <v>710</v>
      </c>
      <c r="L484" t="s">
        <v>717</v>
      </c>
      <c r="M484" t="s">
        <v>730</v>
      </c>
      <c r="N484" t="s">
        <v>1909</v>
      </c>
      <c r="O484" s="9">
        <v>350.76</v>
      </c>
      <c r="P484" s="9">
        <v>492.18</v>
      </c>
      <c r="Q484" s="9">
        <v>492.18</v>
      </c>
      <c r="R484" t="s">
        <v>2065</v>
      </c>
      <c r="S484" s="11">
        <v>5.2999999999999999E-2</v>
      </c>
      <c r="T484" t="s">
        <v>2065</v>
      </c>
      <c r="U484" s="13">
        <v>11</v>
      </c>
      <c r="V484" s="9">
        <f t="shared" si="28"/>
        <v>5127.0390600000001</v>
      </c>
      <c r="W484" s="9">
        <f t="shared" si="29"/>
        <v>3858.3599999999997</v>
      </c>
      <c r="X484" s="9">
        <f t="shared" si="30"/>
        <v>1268.6790600000004</v>
      </c>
      <c r="Y484" s="11">
        <f t="shared" si="31"/>
        <v>0.24744868239798437</v>
      </c>
    </row>
    <row r="485" spans="1:25" x14ac:dyDescent="0.3">
      <c r="A485" t="s">
        <v>498</v>
      </c>
      <c r="B485">
        <v>45148</v>
      </c>
      <c r="C485">
        <v>45153</v>
      </c>
      <c r="D485" t="s">
        <v>2064</v>
      </c>
      <c r="E485">
        <v>45153</v>
      </c>
      <c r="F485">
        <v>5</v>
      </c>
      <c r="G485" t="s">
        <v>648</v>
      </c>
      <c r="H485" t="s">
        <v>655</v>
      </c>
      <c r="I485" t="s">
        <v>670</v>
      </c>
      <c r="J485" t="s">
        <v>702</v>
      </c>
      <c r="K485" t="s">
        <v>711</v>
      </c>
      <c r="L485" t="s">
        <v>715</v>
      </c>
      <c r="M485" t="s">
        <v>729</v>
      </c>
      <c r="N485" t="s">
        <v>1910</v>
      </c>
      <c r="O485" s="9">
        <v>1307.52</v>
      </c>
      <c r="P485" s="9">
        <v>1921.65</v>
      </c>
      <c r="Q485" s="9">
        <v>1921.65</v>
      </c>
      <c r="R485" t="s">
        <v>2065</v>
      </c>
      <c r="S485" s="11">
        <v>0.123</v>
      </c>
      <c r="T485" t="s">
        <v>2065</v>
      </c>
      <c r="U485" s="13">
        <v>13</v>
      </c>
      <c r="V485" s="9">
        <f t="shared" si="28"/>
        <v>21908.731650000002</v>
      </c>
      <c r="W485" s="9">
        <f t="shared" si="29"/>
        <v>16997.759999999998</v>
      </c>
      <c r="X485" s="9">
        <f t="shared" si="30"/>
        <v>4910.9716500000031</v>
      </c>
      <c r="Y485" s="11">
        <f t="shared" si="31"/>
        <v>0.22415590863289445</v>
      </c>
    </row>
    <row r="486" spans="1:25" x14ac:dyDescent="0.3">
      <c r="A486" t="s">
        <v>499</v>
      </c>
      <c r="B486">
        <v>45634</v>
      </c>
      <c r="C486">
        <v>45634</v>
      </c>
      <c r="D486" t="s">
        <v>2064</v>
      </c>
      <c r="E486">
        <v>45634</v>
      </c>
      <c r="F486">
        <v>0</v>
      </c>
      <c r="G486" t="s">
        <v>649</v>
      </c>
      <c r="H486" t="s">
        <v>657</v>
      </c>
      <c r="I486" t="s">
        <v>679</v>
      </c>
      <c r="J486" t="s">
        <v>706</v>
      </c>
      <c r="K486" t="s">
        <v>707</v>
      </c>
      <c r="L486" t="s">
        <v>722</v>
      </c>
      <c r="M486" t="s">
        <v>727</v>
      </c>
      <c r="N486" t="s">
        <v>1911</v>
      </c>
      <c r="O486" s="9">
        <v>257.44</v>
      </c>
      <c r="P486" s="9">
        <v>290.33</v>
      </c>
      <c r="Q486" s="9">
        <v>290.33</v>
      </c>
      <c r="R486" t="s">
        <v>2065</v>
      </c>
      <c r="S486" s="11">
        <v>9.1999999999999998E-2</v>
      </c>
      <c r="T486" t="s">
        <v>2065</v>
      </c>
      <c r="U486" s="13">
        <v>23</v>
      </c>
      <c r="V486" s="9">
        <f t="shared" si="28"/>
        <v>6063.2517199999993</v>
      </c>
      <c r="W486" s="9">
        <f t="shared" si="29"/>
        <v>5921.12</v>
      </c>
      <c r="X486" s="9">
        <f t="shared" si="30"/>
        <v>142.1317199999994</v>
      </c>
      <c r="Y486" s="11">
        <f t="shared" si="31"/>
        <v>2.3441500792581216E-2</v>
      </c>
    </row>
    <row r="487" spans="1:25" x14ac:dyDescent="0.3">
      <c r="A487" t="s">
        <v>500</v>
      </c>
      <c r="B487">
        <v>45224</v>
      </c>
      <c r="C487">
        <v>45254</v>
      </c>
      <c r="D487" t="s">
        <v>2064</v>
      </c>
      <c r="E487">
        <v>45254</v>
      </c>
      <c r="F487">
        <v>30</v>
      </c>
      <c r="G487" t="s">
        <v>649</v>
      </c>
      <c r="H487" t="s">
        <v>657</v>
      </c>
      <c r="I487" t="s">
        <v>690</v>
      </c>
      <c r="J487" t="s">
        <v>706</v>
      </c>
      <c r="K487" t="s">
        <v>710</v>
      </c>
      <c r="L487" t="s">
        <v>712</v>
      </c>
      <c r="M487" t="s">
        <v>730</v>
      </c>
      <c r="N487" t="s">
        <v>1912</v>
      </c>
      <c r="O487" s="9">
        <v>287.85000000000002</v>
      </c>
      <c r="P487" s="9">
        <v>602.91999999999996</v>
      </c>
      <c r="Q487" s="9">
        <v>602.91999999999996</v>
      </c>
      <c r="R487" t="s">
        <v>2065</v>
      </c>
      <c r="S487" s="11">
        <v>0.222</v>
      </c>
      <c r="T487" t="s">
        <v>2065</v>
      </c>
      <c r="U487" s="13">
        <v>11</v>
      </c>
      <c r="V487" s="9">
        <f t="shared" si="28"/>
        <v>5159.7893599999998</v>
      </c>
      <c r="W487" s="9">
        <f t="shared" si="29"/>
        <v>3166.3500000000004</v>
      </c>
      <c r="X487" s="9">
        <f t="shared" si="30"/>
        <v>1993.4393599999994</v>
      </c>
      <c r="Y487" s="11">
        <f t="shared" si="31"/>
        <v>0.38634122847216373</v>
      </c>
    </row>
    <row r="488" spans="1:25" x14ac:dyDescent="0.3">
      <c r="A488" t="s">
        <v>501</v>
      </c>
      <c r="B488">
        <v>45613</v>
      </c>
      <c r="C488">
        <v>45624</v>
      </c>
      <c r="D488" t="s">
        <v>2064</v>
      </c>
      <c r="E488">
        <v>45624</v>
      </c>
      <c r="F488">
        <v>11</v>
      </c>
      <c r="G488" t="s">
        <v>648</v>
      </c>
      <c r="H488" t="s">
        <v>653</v>
      </c>
      <c r="I488" t="s">
        <v>2057</v>
      </c>
      <c r="J488" t="s">
        <v>704</v>
      </c>
      <c r="K488" t="s">
        <v>710</v>
      </c>
      <c r="L488" t="s">
        <v>720</v>
      </c>
      <c r="M488" t="s">
        <v>728</v>
      </c>
      <c r="N488" t="s">
        <v>1913</v>
      </c>
      <c r="O488" s="9">
        <v>1008.16</v>
      </c>
      <c r="P488" s="9">
        <v>2077.5</v>
      </c>
      <c r="Q488" s="9">
        <v>2077.5</v>
      </c>
      <c r="R488" t="s">
        <v>2065</v>
      </c>
      <c r="S488" s="11">
        <v>7.3999999999999996E-2</v>
      </c>
      <c r="T488" t="s">
        <v>2065</v>
      </c>
      <c r="U488" s="13">
        <v>15</v>
      </c>
      <c r="V488" s="9">
        <f t="shared" si="28"/>
        <v>28856.475000000002</v>
      </c>
      <c r="W488" s="9">
        <f t="shared" si="29"/>
        <v>15122.4</v>
      </c>
      <c r="X488" s="9">
        <f t="shared" si="30"/>
        <v>13734.075000000003</v>
      </c>
      <c r="Y488" s="11">
        <f t="shared" si="31"/>
        <v>0.47594430712691005</v>
      </c>
    </row>
    <row r="489" spans="1:25" x14ac:dyDescent="0.3">
      <c r="A489" t="s">
        <v>502</v>
      </c>
      <c r="B489">
        <v>45424</v>
      </c>
      <c r="C489">
        <v>45436</v>
      </c>
      <c r="D489" t="s">
        <v>2064</v>
      </c>
      <c r="E489">
        <v>45436</v>
      </c>
      <c r="F489">
        <v>12</v>
      </c>
      <c r="G489" t="s">
        <v>649</v>
      </c>
      <c r="H489" t="s">
        <v>658</v>
      </c>
      <c r="I489" t="s">
        <v>693</v>
      </c>
      <c r="J489" t="s">
        <v>702</v>
      </c>
      <c r="K489" t="s">
        <v>709</v>
      </c>
      <c r="L489" t="s">
        <v>723</v>
      </c>
      <c r="M489" t="s">
        <v>728</v>
      </c>
      <c r="N489" t="s">
        <v>1914</v>
      </c>
      <c r="O489" s="9">
        <v>111.02</v>
      </c>
      <c r="P489" s="9">
        <v>172.88</v>
      </c>
      <c r="Q489" s="9">
        <v>172.88</v>
      </c>
      <c r="R489" t="s">
        <v>2065</v>
      </c>
      <c r="S489" s="11">
        <v>0.19700000000000001</v>
      </c>
      <c r="T489" t="s">
        <v>2065</v>
      </c>
      <c r="U489" s="13">
        <v>29</v>
      </c>
      <c r="V489" s="9">
        <f t="shared" si="28"/>
        <v>4025.8565599999993</v>
      </c>
      <c r="W489" s="9">
        <f t="shared" si="29"/>
        <v>3219.58</v>
      </c>
      <c r="X489" s="9">
        <f t="shared" si="30"/>
        <v>806.27655999999934</v>
      </c>
      <c r="Y489" s="11">
        <f t="shared" si="31"/>
        <v>0.20027453735212053</v>
      </c>
    </row>
    <row r="490" spans="1:25" x14ac:dyDescent="0.3">
      <c r="A490" t="s">
        <v>503</v>
      </c>
      <c r="B490">
        <v>45792</v>
      </c>
      <c r="C490">
        <v>45813</v>
      </c>
      <c r="D490" t="s">
        <v>2064</v>
      </c>
      <c r="E490">
        <v>45813</v>
      </c>
      <c r="F490">
        <v>21</v>
      </c>
      <c r="G490" t="s">
        <v>647</v>
      </c>
      <c r="H490" t="s">
        <v>652</v>
      </c>
      <c r="I490" t="s">
        <v>666</v>
      </c>
      <c r="J490" t="s">
        <v>706</v>
      </c>
      <c r="K490" t="s">
        <v>711</v>
      </c>
      <c r="L490" t="s">
        <v>722</v>
      </c>
      <c r="M490" t="s">
        <v>730</v>
      </c>
      <c r="N490" t="s">
        <v>1915</v>
      </c>
      <c r="O490" s="9">
        <v>1466.5</v>
      </c>
      <c r="P490" s="9">
        <v>2778.74</v>
      </c>
      <c r="Q490" s="9">
        <v>2778.74</v>
      </c>
      <c r="R490" t="s">
        <v>2065</v>
      </c>
      <c r="S490" s="11">
        <v>0.13500000000000001</v>
      </c>
      <c r="T490" t="s">
        <v>2065</v>
      </c>
      <c r="U490" s="13">
        <v>4</v>
      </c>
      <c r="V490" s="9">
        <f t="shared" si="28"/>
        <v>9614.4403999999995</v>
      </c>
      <c r="W490" s="9">
        <f t="shared" si="29"/>
        <v>5866</v>
      </c>
      <c r="X490" s="9">
        <f t="shared" si="30"/>
        <v>3748.4403999999995</v>
      </c>
      <c r="Y490" s="11">
        <f t="shared" si="31"/>
        <v>0.38987608680792279</v>
      </c>
    </row>
    <row r="491" spans="1:25" x14ac:dyDescent="0.3">
      <c r="A491" t="s">
        <v>504</v>
      </c>
      <c r="B491">
        <v>45403</v>
      </c>
      <c r="C491">
        <v>45431</v>
      </c>
      <c r="D491" t="s">
        <v>2064</v>
      </c>
      <c r="E491">
        <v>45431</v>
      </c>
      <c r="F491">
        <v>28</v>
      </c>
      <c r="G491" t="s">
        <v>646</v>
      </c>
      <c r="H491" t="s">
        <v>651</v>
      </c>
      <c r="I491" t="s">
        <v>665</v>
      </c>
      <c r="J491" t="s">
        <v>701</v>
      </c>
      <c r="K491" t="s">
        <v>710</v>
      </c>
      <c r="L491" t="s">
        <v>720</v>
      </c>
      <c r="M491" t="s">
        <v>733</v>
      </c>
      <c r="N491" t="s">
        <v>1916</v>
      </c>
      <c r="O491" s="9">
        <v>187.22</v>
      </c>
      <c r="P491" s="9">
        <v>309.47000000000003</v>
      </c>
      <c r="Q491" s="9">
        <v>309.47000000000003</v>
      </c>
      <c r="R491" t="s">
        <v>2065</v>
      </c>
      <c r="S491" s="11">
        <v>0</v>
      </c>
      <c r="T491" t="s">
        <v>2065</v>
      </c>
      <c r="U491" s="13">
        <v>5</v>
      </c>
      <c r="V491" s="9">
        <f t="shared" si="28"/>
        <v>1547.3500000000001</v>
      </c>
      <c r="W491" s="9">
        <f t="shared" si="29"/>
        <v>936.1</v>
      </c>
      <c r="X491" s="9">
        <f t="shared" si="30"/>
        <v>611.25000000000011</v>
      </c>
      <c r="Y491" s="11">
        <f t="shared" si="31"/>
        <v>0.39503021294471197</v>
      </c>
    </row>
    <row r="492" spans="1:25" x14ac:dyDescent="0.3">
      <c r="A492" t="s">
        <v>505</v>
      </c>
      <c r="B492">
        <v>45523</v>
      </c>
      <c r="C492">
        <v>45542</v>
      </c>
      <c r="D492" t="s">
        <v>2064</v>
      </c>
      <c r="E492">
        <v>45542</v>
      </c>
      <c r="F492">
        <v>19</v>
      </c>
      <c r="G492" t="s">
        <v>649</v>
      </c>
      <c r="H492" t="s">
        <v>657</v>
      </c>
      <c r="I492" t="s">
        <v>679</v>
      </c>
      <c r="J492" t="s">
        <v>701</v>
      </c>
      <c r="K492" t="s">
        <v>711</v>
      </c>
      <c r="L492" t="s">
        <v>713</v>
      </c>
      <c r="M492" t="s">
        <v>727</v>
      </c>
      <c r="N492" t="s">
        <v>1917</v>
      </c>
      <c r="O492" s="9">
        <v>297.58999999999997</v>
      </c>
      <c r="P492" s="9">
        <v>666.41</v>
      </c>
      <c r="Q492" s="9">
        <v>666.41</v>
      </c>
      <c r="R492" t="s">
        <v>2065</v>
      </c>
      <c r="S492" s="11">
        <v>0</v>
      </c>
      <c r="T492" t="s">
        <v>2065</v>
      </c>
      <c r="U492" s="13">
        <v>10</v>
      </c>
      <c r="V492" s="9">
        <f t="shared" si="28"/>
        <v>6664.0999999999995</v>
      </c>
      <c r="W492" s="9">
        <f t="shared" si="29"/>
        <v>2975.8999999999996</v>
      </c>
      <c r="X492" s="9">
        <f t="shared" si="30"/>
        <v>3688.2</v>
      </c>
      <c r="Y492" s="11">
        <f t="shared" si="31"/>
        <v>0.55344307558409989</v>
      </c>
    </row>
    <row r="493" spans="1:25" x14ac:dyDescent="0.3">
      <c r="A493" t="s">
        <v>506</v>
      </c>
      <c r="B493">
        <v>45861</v>
      </c>
      <c r="C493">
        <v>45888</v>
      </c>
      <c r="D493" t="s">
        <v>2064</v>
      </c>
      <c r="E493">
        <v>45888</v>
      </c>
      <c r="F493">
        <v>27</v>
      </c>
      <c r="G493" t="s">
        <v>647</v>
      </c>
      <c r="H493" t="s">
        <v>652</v>
      </c>
      <c r="I493" t="s">
        <v>694</v>
      </c>
      <c r="J493" t="s">
        <v>704</v>
      </c>
      <c r="K493" t="s">
        <v>709</v>
      </c>
      <c r="L493" t="s">
        <v>717</v>
      </c>
      <c r="M493" t="s">
        <v>733</v>
      </c>
      <c r="N493" t="s">
        <v>1918</v>
      </c>
      <c r="O493" s="9">
        <v>896.09</v>
      </c>
      <c r="P493" s="9">
        <v>744.27</v>
      </c>
      <c r="Q493" s="9">
        <v>744.27</v>
      </c>
      <c r="R493" t="s">
        <v>2065</v>
      </c>
      <c r="S493" s="11">
        <v>8.3000000000000004E-2</v>
      </c>
      <c r="T493" t="s">
        <v>2065</v>
      </c>
      <c r="U493" s="13">
        <v>11</v>
      </c>
      <c r="V493" s="9">
        <f t="shared" si="28"/>
        <v>7507.4514899999995</v>
      </c>
      <c r="W493" s="9">
        <f t="shared" si="29"/>
        <v>9856.99</v>
      </c>
      <c r="X493" s="9">
        <f t="shared" si="30"/>
        <v>-2349.5385100000003</v>
      </c>
      <c r="Y493" s="11">
        <f t="shared" si="31"/>
        <v>-0.31296086469950679</v>
      </c>
    </row>
    <row r="494" spans="1:25" x14ac:dyDescent="0.3">
      <c r="A494" t="s">
        <v>507</v>
      </c>
      <c r="B494">
        <v>45352</v>
      </c>
      <c r="C494">
        <v>45351</v>
      </c>
      <c r="D494" t="s">
        <v>2066</v>
      </c>
      <c r="E494">
        <v>45352</v>
      </c>
      <c r="F494">
        <v>0</v>
      </c>
      <c r="G494" t="s">
        <v>648</v>
      </c>
      <c r="H494" t="s">
        <v>655</v>
      </c>
      <c r="I494" t="s">
        <v>670</v>
      </c>
      <c r="J494" t="s">
        <v>703</v>
      </c>
      <c r="K494" t="s">
        <v>711</v>
      </c>
      <c r="L494" t="s">
        <v>714</v>
      </c>
      <c r="M494" t="s">
        <v>730</v>
      </c>
      <c r="N494" t="s">
        <v>1919</v>
      </c>
      <c r="O494" s="9">
        <v>5.34</v>
      </c>
      <c r="P494" s="9">
        <v>12.69</v>
      </c>
      <c r="Q494" s="9">
        <v>12.69</v>
      </c>
      <c r="R494" t="s">
        <v>2065</v>
      </c>
      <c r="S494" s="11">
        <v>0.13200000000000001</v>
      </c>
      <c r="T494" t="s">
        <v>2065</v>
      </c>
      <c r="U494" s="13">
        <v>10</v>
      </c>
      <c r="V494" s="9">
        <f t="shared" si="28"/>
        <v>110.14919999999999</v>
      </c>
      <c r="W494" s="9">
        <f t="shared" si="29"/>
        <v>53.4</v>
      </c>
      <c r="X494" s="9">
        <f t="shared" si="30"/>
        <v>56.749199999999995</v>
      </c>
      <c r="Y494" s="11">
        <f t="shared" si="31"/>
        <v>0.51520301554618642</v>
      </c>
    </row>
    <row r="495" spans="1:25" x14ac:dyDescent="0.3">
      <c r="A495" t="s">
        <v>508</v>
      </c>
      <c r="B495">
        <v>45439</v>
      </c>
      <c r="C495">
        <v>45460</v>
      </c>
      <c r="D495" t="s">
        <v>2064</v>
      </c>
      <c r="E495">
        <v>45460</v>
      </c>
      <c r="F495">
        <v>21</v>
      </c>
      <c r="G495" t="s">
        <v>647</v>
      </c>
      <c r="H495" t="s">
        <v>654</v>
      </c>
      <c r="I495" t="s">
        <v>680</v>
      </c>
      <c r="J495" t="s">
        <v>705</v>
      </c>
      <c r="K495" t="s">
        <v>708</v>
      </c>
      <c r="L495" t="s">
        <v>722</v>
      </c>
      <c r="M495" t="s">
        <v>733</v>
      </c>
      <c r="N495" t="s">
        <v>1920</v>
      </c>
      <c r="O495" s="9">
        <v>465.02</v>
      </c>
      <c r="P495" s="9">
        <v>651.55999999999995</v>
      </c>
      <c r="Q495" s="9">
        <v>651.55999999999995</v>
      </c>
      <c r="R495" t="s">
        <v>2065</v>
      </c>
      <c r="S495" s="11">
        <v>4.2000000000000003E-2</v>
      </c>
      <c r="T495" t="s">
        <v>2065</v>
      </c>
      <c r="U495" s="13">
        <v>19</v>
      </c>
      <c r="V495" s="9">
        <f t="shared" si="28"/>
        <v>11859.695119999998</v>
      </c>
      <c r="W495" s="9">
        <f t="shared" si="29"/>
        <v>8835.3799999999992</v>
      </c>
      <c r="X495" s="9">
        <f t="shared" si="30"/>
        <v>3024.3151199999993</v>
      </c>
      <c r="Y495" s="11">
        <f t="shared" si="31"/>
        <v>0.25500783025187918</v>
      </c>
    </row>
    <row r="496" spans="1:25" x14ac:dyDescent="0.3">
      <c r="A496" t="s">
        <v>509</v>
      </c>
      <c r="B496">
        <v>45508</v>
      </c>
      <c r="C496">
        <v>45521</v>
      </c>
      <c r="D496" t="s">
        <v>2064</v>
      </c>
      <c r="E496">
        <v>45521</v>
      </c>
      <c r="F496">
        <v>13</v>
      </c>
      <c r="G496" t="s">
        <v>648</v>
      </c>
      <c r="H496" t="s">
        <v>1425</v>
      </c>
      <c r="I496" t="s">
        <v>697</v>
      </c>
      <c r="J496" t="s">
        <v>704</v>
      </c>
      <c r="K496" t="s">
        <v>707</v>
      </c>
      <c r="L496" t="s">
        <v>726</v>
      </c>
      <c r="M496" t="s">
        <v>732</v>
      </c>
      <c r="N496" t="s">
        <v>1921</v>
      </c>
      <c r="O496" s="9">
        <v>352.79</v>
      </c>
      <c r="P496" s="9">
        <v>754.22</v>
      </c>
      <c r="Q496" s="9">
        <v>754.22</v>
      </c>
      <c r="R496" t="s">
        <v>2065</v>
      </c>
      <c r="S496" s="11">
        <v>0.113</v>
      </c>
      <c r="T496" t="s">
        <v>2065</v>
      </c>
      <c r="U496" s="13">
        <v>7</v>
      </c>
      <c r="V496" s="9">
        <f t="shared" si="28"/>
        <v>4682.9519799999998</v>
      </c>
      <c r="W496" s="9">
        <f t="shared" si="29"/>
        <v>2469.5300000000002</v>
      </c>
      <c r="X496" s="9">
        <f t="shared" si="30"/>
        <v>2213.4219799999996</v>
      </c>
      <c r="Y496" s="11">
        <f t="shared" si="31"/>
        <v>0.47265528014233443</v>
      </c>
    </row>
    <row r="497" spans="1:25" x14ac:dyDescent="0.3">
      <c r="A497" t="s">
        <v>510</v>
      </c>
      <c r="B497">
        <v>45097</v>
      </c>
      <c r="C497">
        <v>45111</v>
      </c>
      <c r="D497" t="s">
        <v>2064</v>
      </c>
      <c r="E497">
        <v>45111</v>
      </c>
      <c r="F497">
        <v>14</v>
      </c>
      <c r="G497" t="s">
        <v>648</v>
      </c>
      <c r="H497" t="s">
        <v>655</v>
      </c>
      <c r="I497" t="s">
        <v>672</v>
      </c>
      <c r="J497" t="s">
        <v>703</v>
      </c>
      <c r="K497" t="s">
        <v>711</v>
      </c>
      <c r="L497" t="s">
        <v>712</v>
      </c>
      <c r="M497" t="s">
        <v>729</v>
      </c>
      <c r="N497" t="s">
        <v>1922</v>
      </c>
      <c r="O497" s="9">
        <v>1292.8599999999999</v>
      </c>
      <c r="P497" s="9">
        <v>2981.01</v>
      </c>
      <c r="Q497" s="9">
        <v>2981.01</v>
      </c>
      <c r="R497" t="s">
        <v>2065</v>
      </c>
      <c r="S497" s="11">
        <v>0.14199999999999999</v>
      </c>
      <c r="T497" t="s">
        <v>2065</v>
      </c>
      <c r="U497" s="13">
        <v>12</v>
      </c>
      <c r="V497" s="9">
        <f t="shared" si="28"/>
        <v>30692.47896</v>
      </c>
      <c r="W497" s="9">
        <f t="shared" si="29"/>
        <v>15514.32</v>
      </c>
      <c r="X497" s="9">
        <f t="shared" si="30"/>
        <v>15178.158960000001</v>
      </c>
      <c r="Y497" s="11">
        <f t="shared" si="31"/>
        <v>0.49452372288927687</v>
      </c>
    </row>
    <row r="498" spans="1:25" x14ac:dyDescent="0.3">
      <c r="A498" t="s">
        <v>511</v>
      </c>
      <c r="B498">
        <v>45544</v>
      </c>
      <c r="C498">
        <v>45548</v>
      </c>
      <c r="D498" t="s">
        <v>2064</v>
      </c>
      <c r="E498">
        <v>45548</v>
      </c>
      <c r="F498">
        <v>4</v>
      </c>
      <c r="G498" t="s">
        <v>649</v>
      </c>
      <c r="H498" t="s">
        <v>658</v>
      </c>
      <c r="I498" t="s">
        <v>683</v>
      </c>
      <c r="J498" t="s">
        <v>704</v>
      </c>
      <c r="K498" t="s">
        <v>709</v>
      </c>
      <c r="L498" t="s">
        <v>721</v>
      </c>
      <c r="M498" t="s">
        <v>729</v>
      </c>
      <c r="N498" t="s">
        <v>1923</v>
      </c>
      <c r="O498" s="9">
        <v>1133.08</v>
      </c>
      <c r="P498" s="9">
        <v>976.17</v>
      </c>
      <c r="Q498" s="9">
        <v>976.17</v>
      </c>
      <c r="R498" t="s">
        <v>2065</v>
      </c>
      <c r="S498" s="11">
        <v>4.2000000000000003E-2</v>
      </c>
      <c r="T498" t="s">
        <v>2065</v>
      </c>
      <c r="U498" s="13">
        <v>27</v>
      </c>
      <c r="V498" s="9">
        <f t="shared" si="28"/>
        <v>25249.613219999999</v>
      </c>
      <c r="W498" s="9">
        <f t="shared" si="29"/>
        <v>30593.159999999996</v>
      </c>
      <c r="X498" s="9">
        <f t="shared" si="30"/>
        <v>-5343.5467799999969</v>
      </c>
      <c r="Y498" s="11">
        <f t="shared" si="31"/>
        <v>-0.21162885678452373</v>
      </c>
    </row>
    <row r="499" spans="1:25" x14ac:dyDescent="0.3">
      <c r="A499" t="s">
        <v>512</v>
      </c>
      <c r="B499">
        <v>45224</v>
      </c>
      <c r="C499">
        <v>45227</v>
      </c>
      <c r="D499" t="s">
        <v>2064</v>
      </c>
      <c r="E499">
        <v>45227</v>
      </c>
      <c r="F499">
        <v>3</v>
      </c>
      <c r="G499" t="s">
        <v>648</v>
      </c>
      <c r="H499" t="s">
        <v>655</v>
      </c>
      <c r="I499" t="s">
        <v>672</v>
      </c>
      <c r="J499" t="s">
        <v>701</v>
      </c>
      <c r="K499" t="s">
        <v>710</v>
      </c>
      <c r="L499" t="s">
        <v>716</v>
      </c>
      <c r="M499" t="s">
        <v>733</v>
      </c>
      <c r="N499" t="s">
        <v>1924</v>
      </c>
      <c r="O499" s="9">
        <v>509.31</v>
      </c>
      <c r="P499" s="9">
        <v>1145.9000000000001</v>
      </c>
      <c r="Q499" s="9">
        <v>1145.9000000000001</v>
      </c>
      <c r="R499" t="s">
        <v>2065</v>
      </c>
      <c r="S499" s="11">
        <v>5.7000000000000002E-2</v>
      </c>
      <c r="T499" t="s">
        <v>2065</v>
      </c>
      <c r="U499" s="13">
        <v>8</v>
      </c>
      <c r="V499" s="9">
        <f t="shared" si="28"/>
        <v>8644.6696000000011</v>
      </c>
      <c r="W499" s="9">
        <f t="shared" si="29"/>
        <v>4074.48</v>
      </c>
      <c r="X499" s="9">
        <f t="shared" si="30"/>
        <v>4570.1896000000015</v>
      </c>
      <c r="Y499" s="11">
        <f t="shared" si="31"/>
        <v>0.52867140231709964</v>
      </c>
    </row>
    <row r="500" spans="1:25" x14ac:dyDescent="0.3">
      <c r="A500" t="s">
        <v>513</v>
      </c>
      <c r="B500">
        <v>45908</v>
      </c>
      <c r="C500">
        <v>45935</v>
      </c>
      <c r="D500" t="s">
        <v>2064</v>
      </c>
      <c r="E500">
        <v>45935</v>
      </c>
      <c r="F500">
        <v>27</v>
      </c>
      <c r="G500" t="s">
        <v>648</v>
      </c>
      <c r="H500" t="s">
        <v>655</v>
      </c>
      <c r="I500" t="s">
        <v>1426</v>
      </c>
      <c r="J500" t="s">
        <v>702</v>
      </c>
      <c r="K500" t="s">
        <v>708</v>
      </c>
      <c r="L500" t="s">
        <v>712</v>
      </c>
      <c r="M500" t="s">
        <v>732</v>
      </c>
      <c r="N500" t="s">
        <v>1925</v>
      </c>
      <c r="O500" s="9">
        <v>660.78</v>
      </c>
      <c r="P500" s="9">
        <v>1630.39</v>
      </c>
      <c r="Q500" s="9">
        <v>1630.39</v>
      </c>
      <c r="R500" t="s">
        <v>2065</v>
      </c>
      <c r="S500" s="11">
        <v>0.218</v>
      </c>
      <c r="T500" t="s">
        <v>2065</v>
      </c>
      <c r="U500" s="13">
        <v>13</v>
      </c>
      <c r="V500" s="9">
        <f t="shared" si="28"/>
        <v>16574.544740000001</v>
      </c>
      <c r="W500" s="9">
        <f t="shared" si="29"/>
        <v>8590.14</v>
      </c>
      <c r="X500" s="9">
        <f t="shared" si="30"/>
        <v>7984.4047400000018</v>
      </c>
      <c r="Y500" s="11">
        <f t="shared" si="31"/>
        <v>0.48172694123724097</v>
      </c>
    </row>
    <row r="501" spans="1:25" x14ac:dyDescent="0.3">
      <c r="A501" t="s">
        <v>514</v>
      </c>
      <c r="B501">
        <v>45048</v>
      </c>
      <c r="C501">
        <v>45062</v>
      </c>
      <c r="D501" t="s">
        <v>2064</v>
      </c>
      <c r="E501">
        <v>45062</v>
      </c>
      <c r="F501">
        <v>14</v>
      </c>
      <c r="G501" t="s">
        <v>647</v>
      </c>
      <c r="H501" t="s">
        <v>654</v>
      </c>
      <c r="I501" t="s">
        <v>668</v>
      </c>
      <c r="J501" t="s">
        <v>703</v>
      </c>
      <c r="K501" t="s">
        <v>707</v>
      </c>
      <c r="L501" t="s">
        <v>716</v>
      </c>
      <c r="M501" t="s">
        <v>732</v>
      </c>
      <c r="N501" t="s">
        <v>1926</v>
      </c>
      <c r="O501" s="9">
        <v>475.37</v>
      </c>
      <c r="P501" s="9">
        <v>963.73</v>
      </c>
      <c r="Q501" s="9">
        <v>963.73</v>
      </c>
      <c r="R501" t="s">
        <v>2065</v>
      </c>
      <c r="S501" s="11">
        <v>4.1000000000000002E-2</v>
      </c>
      <c r="T501" t="s">
        <v>2065</v>
      </c>
      <c r="U501" s="13">
        <v>22</v>
      </c>
      <c r="V501" s="9">
        <f t="shared" si="28"/>
        <v>20332.775539999999</v>
      </c>
      <c r="W501" s="9">
        <f t="shared" si="29"/>
        <v>10458.14</v>
      </c>
      <c r="X501" s="9">
        <f t="shared" si="30"/>
        <v>9874.6355399999993</v>
      </c>
      <c r="Y501" s="11">
        <f t="shared" si="31"/>
        <v>0.48565113604750881</v>
      </c>
    </row>
    <row r="502" spans="1:25" x14ac:dyDescent="0.3">
      <c r="A502" t="s">
        <v>515</v>
      </c>
      <c r="B502">
        <v>45408</v>
      </c>
      <c r="C502">
        <v>45406</v>
      </c>
      <c r="D502" t="s">
        <v>2066</v>
      </c>
      <c r="E502">
        <v>45408</v>
      </c>
      <c r="F502">
        <v>0</v>
      </c>
      <c r="G502" t="s">
        <v>649</v>
      </c>
      <c r="H502" t="s">
        <v>658</v>
      </c>
      <c r="I502" t="s">
        <v>683</v>
      </c>
      <c r="J502" t="s">
        <v>703</v>
      </c>
      <c r="K502" t="s">
        <v>710</v>
      </c>
      <c r="L502" t="s">
        <v>725</v>
      </c>
      <c r="M502" t="s">
        <v>730</v>
      </c>
      <c r="N502" t="s">
        <v>1927</v>
      </c>
      <c r="O502" s="9">
        <v>1232.77</v>
      </c>
      <c r="P502" s="9">
        <v>891.73</v>
      </c>
      <c r="Q502" s="9">
        <v>891.73</v>
      </c>
      <c r="R502" t="s">
        <v>2065</v>
      </c>
      <c r="S502" s="11">
        <v>0.16700000000000001</v>
      </c>
      <c r="T502" t="s">
        <v>2065</v>
      </c>
      <c r="U502" s="13">
        <v>10</v>
      </c>
      <c r="V502" s="9">
        <f t="shared" si="28"/>
        <v>7428.1108999999988</v>
      </c>
      <c r="W502" s="9">
        <f t="shared" si="29"/>
        <v>12327.7</v>
      </c>
      <c r="X502" s="9">
        <f t="shared" si="30"/>
        <v>-4899.589100000002</v>
      </c>
      <c r="Y502" s="11">
        <f t="shared" si="31"/>
        <v>-0.65960096260813805</v>
      </c>
    </row>
    <row r="503" spans="1:25" x14ac:dyDescent="0.3">
      <c r="A503" t="s">
        <v>516</v>
      </c>
      <c r="B503">
        <v>44980</v>
      </c>
      <c r="C503">
        <v>45003</v>
      </c>
      <c r="D503" t="s">
        <v>2064</v>
      </c>
      <c r="E503">
        <v>45003</v>
      </c>
      <c r="F503">
        <v>23</v>
      </c>
      <c r="G503" t="s">
        <v>647</v>
      </c>
      <c r="H503" t="s">
        <v>659</v>
      </c>
      <c r="I503" t="s">
        <v>699</v>
      </c>
      <c r="J503" t="s">
        <v>702</v>
      </c>
      <c r="K503" t="s">
        <v>710</v>
      </c>
      <c r="L503" t="s">
        <v>723</v>
      </c>
      <c r="M503" t="s">
        <v>728</v>
      </c>
      <c r="N503" t="s">
        <v>1928</v>
      </c>
      <c r="O503" s="9">
        <v>770.11</v>
      </c>
      <c r="P503" s="9">
        <v>1667.82</v>
      </c>
      <c r="Q503" s="9">
        <v>1667.82</v>
      </c>
      <c r="R503" t="s">
        <v>2065</v>
      </c>
      <c r="S503" s="11">
        <v>6.9000000000000006E-2</v>
      </c>
      <c r="T503" t="s">
        <v>2065</v>
      </c>
      <c r="U503" s="13">
        <v>7</v>
      </c>
      <c r="V503" s="9">
        <f t="shared" si="28"/>
        <v>10869.182940000001</v>
      </c>
      <c r="W503" s="9">
        <f t="shared" si="29"/>
        <v>5390.77</v>
      </c>
      <c r="X503" s="9">
        <f t="shared" si="30"/>
        <v>5478.4129400000002</v>
      </c>
      <c r="Y503" s="11">
        <f t="shared" si="31"/>
        <v>0.50403171703355287</v>
      </c>
    </row>
    <row r="504" spans="1:25" x14ac:dyDescent="0.3">
      <c r="A504" t="s">
        <v>517</v>
      </c>
      <c r="B504">
        <v>45740</v>
      </c>
      <c r="C504">
        <v>45741</v>
      </c>
      <c r="D504" t="s">
        <v>2064</v>
      </c>
      <c r="E504">
        <v>45741</v>
      </c>
      <c r="F504">
        <v>1</v>
      </c>
      <c r="G504" t="s">
        <v>647</v>
      </c>
      <c r="H504" t="s">
        <v>659</v>
      </c>
      <c r="I504" t="s">
        <v>699</v>
      </c>
      <c r="J504" t="s">
        <v>703</v>
      </c>
      <c r="K504" t="s">
        <v>708</v>
      </c>
      <c r="L504" t="s">
        <v>715</v>
      </c>
      <c r="M504" t="s">
        <v>729</v>
      </c>
      <c r="N504" t="s">
        <v>1929</v>
      </c>
      <c r="O504" s="9">
        <v>1133.03</v>
      </c>
      <c r="P504" s="9">
        <v>1921.51</v>
      </c>
      <c r="Q504" s="9">
        <v>1921.51</v>
      </c>
      <c r="R504" t="s">
        <v>2065</v>
      </c>
      <c r="S504" s="11">
        <v>0.10100000000000001</v>
      </c>
      <c r="T504" t="s">
        <v>2065</v>
      </c>
      <c r="U504" s="13">
        <v>5</v>
      </c>
      <c r="V504" s="9">
        <f t="shared" si="28"/>
        <v>8637.1874499999994</v>
      </c>
      <c r="W504" s="9">
        <f t="shared" si="29"/>
        <v>5665.15</v>
      </c>
      <c r="X504" s="9">
        <f t="shared" si="30"/>
        <v>2972.0374499999998</v>
      </c>
      <c r="Y504" s="11">
        <f t="shared" si="31"/>
        <v>0.3440978289755654</v>
      </c>
    </row>
    <row r="505" spans="1:25" x14ac:dyDescent="0.3">
      <c r="A505" t="s">
        <v>518</v>
      </c>
      <c r="B505">
        <v>45726</v>
      </c>
      <c r="C505">
        <v>45743</v>
      </c>
      <c r="D505" t="s">
        <v>2064</v>
      </c>
      <c r="E505">
        <v>45743</v>
      </c>
      <c r="F505">
        <v>17</v>
      </c>
      <c r="G505" t="s">
        <v>648</v>
      </c>
      <c r="H505" t="s">
        <v>655</v>
      </c>
      <c r="I505" t="s">
        <v>1426</v>
      </c>
      <c r="J505" t="s">
        <v>706</v>
      </c>
      <c r="K505" t="s">
        <v>711</v>
      </c>
      <c r="L505" t="s">
        <v>721</v>
      </c>
      <c r="M505" t="s">
        <v>729</v>
      </c>
      <c r="N505" t="s">
        <v>1930</v>
      </c>
      <c r="O505" s="9">
        <v>996.73</v>
      </c>
      <c r="P505" s="9">
        <v>1217.43</v>
      </c>
      <c r="Q505" s="9">
        <v>1217.43</v>
      </c>
      <c r="R505" t="s">
        <v>2065</v>
      </c>
      <c r="S505" s="11">
        <v>7.0000000000000007E-2</v>
      </c>
      <c r="T505" t="s">
        <v>2065</v>
      </c>
      <c r="U505" s="13">
        <v>9</v>
      </c>
      <c r="V505" s="9">
        <f t="shared" si="28"/>
        <v>10189.8891</v>
      </c>
      <c r="W505" s="9">
        <f t="shared" si="29"/>
        <v>8970.57</v>
      </c>
      <c r="X505" s="9">
        <f t="shared" si="30"/>
        <v>1219.3191000000006</v>
      </c>
      <c r="Y505" s="11">
        <f t="shared" si="31"/>
        <v>0.11965970267527255</v>
      </c>
    </row>
    <row r="506" spans="1:25" x14ac:dyDescent="0.3">
      <c r="A506" t="s">
        <v>519</v>
      </c>
      <c r="B506">
        <v>45387</v>
      </c>
      <c r="C506">
        <v>45391</v>
      </c>
      <c r="D506" t="s">
        <v>2064</v>
      </c>
      <c r="E506">
        <v>45391</v>
      </c>
      <c r="F506">
        <v>4</v>
      </c>
      <c r="G506" t="s">
        <v>646</v>
      </c>
      <c r="H506" t="s">
        <v>651</v>
      </c>
      <c r="I506" t="s">
        <v>665</v>
      </c>
      <c r="J506" t="s">
        <v>703</v>
      </c>
      <c r="K506" t="s">
        <v>711</v>
      </c>
      <c r="L506" t="s">
        <v>723</v>
      </c>
      <c r="M506" t="s">
        <v>727</v>
      </c>
      <c r="N506" t="s">
        <v>1931</v>
      </c>
      <c r="O506" s="9">
        <v>395.07</v>
      </c>
      <c r="P506" s="9">
        <v>970.27</v>
      </c>
      <c r="Q506" s="9">
        <v>970.27</v>
      </c>
      <c r="R506" t="s">
        <v>2065</v>
      </c>
      <c r="S506" s="11">
        <v>0.123</v>
      </c>
      <c r="T506" t="s">
        <v>2065</v>
      </c>
      <c r="U506" s="13">
        <v>38</v>
      </c>
      <c r="V506" s="9">
        <f t="shared" si="28"/>
        <v>32335.21802</v>
      </c>
      <c r="W506" s="9">
        <f t="shared" si="29"/>
        <v>15012.66</v>
      </c>
      <c r="X506" s="9">
        <f t="shared" si="30"/>
        <v>17322.55802</v>
      </c>
      <c r="Y506" s="11">
        <f t="shared" si="31"/>
        <v>0.53571799049833657</v>
      </c>
    </row>
    <row r="507" spans="1:25" x14ac:dyDescent="0.3">
      <c r="A507" t="s">
        <v>520</v>
      </c>
      <c r="B507">
        <v>45774</v>
      </c>
      <c r="C507">
        <v>45794</v>
      </c>
      <c r="D507" t="s">
        <v>2064</v>
      </c>
      <c r="E507">
        <v>45794</v>
      </c>
      <c r="F507">
        <v>20</v>
      </c>
      <c r="G507" t="s">
        <v>648</v>
      </c>
      <c r="H507" t="s">
        <v>1425</v>
      </c>
      <c r="I507" t="s">
        <v>697</v>
      </c>
      <c r="J507" t="s">
        <v>701</v>
      </c>
      <c r="K507" t="s">
        <v>711</v>
      </c>
      <c r="L507" t="s">
        <v>725</v>
      </c>
      <c r="M507" t="s">
        <v>730</v>
      </c>
      <c r="N507" t="s">
        <v>1932</v>
      </c>
      <c r="O507" s="9">
        <v>932.26</v>
      </c>
      <c r="P507" s="9">
        <v>1624.67</v>
      </c>
      <c r="Q507" s="9">
        <v>1624.67</v>
      </c>
      <c r="R507" t="s">
        <v>2065</v>
      </c>
      <c r="S507" s="11">
        <v>0.23499999999999999</v>
      </c>
      <c r="T507" t="s">
        <v>2065</v>
      </c>
      <c r="U507" s="13">
        <v>28</v>
      </c>
      <c r="V507" s="9">
        <f t="shared" si="28"/>
        <v>34800.431400000001</v>
      </c>
      <c r="W507" s="9">
        <f t="shared" si="29"/>
        <v>26103.279999999999</v>
      </c>
      <c r="X507" s="9">
        <f t="shared" si="30"/>
        <v>8697.1514000000025</v>
      </c>
      <c r="Y507" s="11">
        <f t="shared" si="31"/>
        <v>0.24991504559337163</v>
      </c>
    </row>
    <row r="508" spans="1:25" x14ac:dyDescent="0.3">
      <c r="A508" t="s">
        <v>521</v>
      </c>
      <c r="B508">
        <v>45589</v>
      </c>
      <c r="C508">
        <v>45593</v>
      </c>
      <c r="D508" t="s">
        <v>2064</v>
      </c>
      <c r="E508">
        <v>45593</v>
      </c>
      <c r="F508">
        <v>4</v>
      </c>
      <c r="G508" t="s">
        <v>647</v>
      </c>
      <c r="H508" t="s">
        <v>659</v>
      </c>
      <c r="I508" t="s">
        <v>685</v>
      </c>
      <c r="J508" t="s">
        <v>705</v>
      </c>
      <c r="K508" t="s">
        <v>710</v>
      </c>
      <c r="L508" t="s">
        <v>714</v>
      </c>
      <c r="M508" t="s">
        <v>729</v>
      </c>
      <c r="N508" t="s">
        <v>1933</v>
      </c>
      <c r="O508" s="9">
        <v>1331.77</v>
      </c>
      <c r="P508" s="9">
        <v>2606.11</v>
      </c>
      <c r="Q508" s="9">
        <v>2606.11</v>
      </c>
      <c r="R508" t="s">
        <v>2065</v>
      </c>
      <c r="S508" s="11">
        <v>0.02</v>
      </c>
      <c r="T508" t="s">
        <v>2065</v>
      </c>
      <c r="U508" s="13">
        <v>6</v>
      </c>
      <c r="V508" s="9">
        <f t="shared" si="28"/>
        <v>15323.926799999999</v>
      </c>
      <c r="W508" s="9">
        <f t="shared" si="29"/>
        <v>7990.62</v>
      </c>
      <c r="X508" s="9">
        <f t="shared" si="30"/>
        <v>7333.3067999999994</v>
      </c>
      <c r="Y508" s="11">
        <f t="shared" si="31"/>
        <v>0.47855271665745619</v>
      </c>
    </row>
    <row r="509" spans="1:25" x14ac:dyDescent="0.3">
      <c r="A509" t="s">
        <v>522</v>
      </c>
      <c r="B509">
        <v>45029</v>
      </c>
      <c r="C509">
        <v>45036</v>
      </c>
      <c r="D509" t="s">
        <v>2064</v>
      </c>
      <c r="E509">
        <v>45036</v>
      </c>
      <c r="F509">
        <v>7</v>
      </c>
      <c r="G509" t="s">
        <v>649</v>
      </c>
      <c r="H509" t="s">
        <v>657</v>
      </c>
      <c r="I509" t="s">
        <v>679</v>
      </c>
      <c r="J509" t="s">
        <v>705</v>
      </c>
      <c r="K509" t="s">
        <v>708</v>
      </c>
      <c r="L509" t="s">
        <v>720</v>
      </c>
      <c r="M509" t="s">
        <v>731</v>
      </c>
      <c r="N509" t="s">
        <v>1934</v>
      </c>
      <c r="O509" s="9">
        <v>227.02</v>
      </c>
      <c r="P509" s="9">
        <v>434.72</v>
      </c>
      <c r="Q509" s="9">
        <v>434.72</v>
      </c>
      <c r="R509" t="s">
        <v>2065</v>
      </c>
      <c r="S509" s="11">
        <v>9.8000000000000004E-2</v>
      </c>
      <c r="T509" t="s">
        <v>2065</v>
      </c>
      <c r="U509" s="13">
        <v>10</v>
      </c>
      <c r="V509" s="9">
        <f t="shared" si="28"/>
        <v>3921.1744000000008</v>
      </c>
      <c r="W509" s="9">
        <f t="shared" si="29"/>
        <v>2270.2000000000003</v>
      </c>
      <c r="X509" s="9">
        <f t="shared" si="30"/>
        <v>1650.9744000000005</v>
      </c>
      <c r="Y509" s="11">
        <f t="shared" si="31"/>
        <v>0.42104079838938052</v>
      </c>
    </row>
    <row r="510" spans="1:25" x14ac:dyDescent="0.3">
      <c r="A510" t="s">
        <v>523</v>
      </c>
      <c r="B510">
        <v>45608</v>
      </c>
      <c r="C510">
        <v>45617</v>
      </c>
      <c r="D510" t="s">
        <v>2064</v>
      </c>
      <c r="E510">
        <v>45617</v>
      </c>
      <c r="F510">
        <v>9</v>
      </c>
      <c r="G510" t="s">
        <v>647</v>
      </c>
      <c r="H510" t="s">
        <v>654</v>
      </c>
      <c r="I510" t="s">
        <v>691</v>
      </c>
      <c r="J510" t="s">
        <v>701</v>
      </c>
      <c r="K510" t="s">
        <v>711</v>
      </c>
      <c r="L510" t="s">
        <v>722</v>
      </c>
      <c r="M510" t="s">
        <v>731</v>
      </c>
      <c r="N510" t="s">
        <v>1935</v>
      </c>
      <c r="O510" s="9">
        <v>903.41</v>
      </c>
      <c r="P510" s="9">
        <v>1860.41</v>
      </c>
      <c r="Q510" s="9">
        <v>1860.41</v>
      </c>
      <c r="R510" t="s">
        <v>2065</v>
      </c>
      <c r="S510" s="11">
        <v>0.108</v>
      </c>
      <c r="T510" t="s">
        <v>2065</v>
      </c>
      <c r="U510" s="13">
        <v>5</v>
      </c>
      <c r="V510" s="9">
        <f t="shared" si="28"/>
        <v>8297.4286000000011</v>
      </c>
      <c r="W510" s="9">
        <f t="shared" si="29"/>
        <v>4517.05</v>
      </c>
      <c r="X510" s="9">
        <f t="shared" si="30"/>
        <v>3780.3786000000009</v>
      </c>
      <c r="Y510" s="11">
        <f t="shared" si="31"/>
        <v>0.455608451996803</v>
      </c>
    </row>
    <row r="511" spans="1:25" x14ac:dyDescent="0.3">
      <c r="A511" t="s">
        <v>524</v>
      </c>
      <c r="B511">
        <v>45056</v>
      </c>
      <c r="C511">
        <v>45060</v>
      </c>
      <c r="D511" t="s">
        <v>2064</v>
      </c>
      <c r="E511">
        <v>45060</v>
      </c>
      <c r="F511">
        <v>4</v>
      </c>
      <c r="G511" t="s">
        <v>647</v>
      </c>
      <c r="H511" t="s">
        <v>654</v>
      </c>
      <c r="I511" t="s">
        <v>680</v>
      </c>
      <c r="J511" t="s">
        <v>703</v>
      </c>
      <c r="K511" t="s">
        <v>710</v>
      </c>
      <c r="L511" t="s">
        <v>712</v>
      </c>
      <c r="M511" t="s">
        <v>732</v>
      </c>
      <c r="N511" t="s">
        <v>1936</v>
      </c>
      <c r="O511" s="9">
        <v>622.6</v>
      </c>
      <c r="P511" s="9">
        <v>833.69</v>
      </c>
      <c r="Q511" s="9">
        <v>833.69</v>
      </c>
      <c r="R511" t="s">
        <v>2065</v>
      </c>
      <c r="S511" s="11">
        <v>0.20899999999999999</v>
      </c>
      <c r="T511" t="s">
        <v>2065</v>
      </c>
      <c r="U511" s="13">
        <v>14</v>
      </c>
      <c r="V511" s="9">
        <f t="shared" si="28"/>
        <v>9232.2830599999998</v>
      </c>
      <c r="W511" s="9">
        <f t="shared" si="29"/>
        <v>8716.4</v>
      </c>
      <c r="X511" s="9">
        <f t="shared" si="30"/>
        <v>515.88306000000011</v>
      </c>
      <c r="Y511" s="11">
        <f t="shared" si="31"/>
        <v>5.5878167582959715E-2</v>
      </c>
    </row>
    <row r="512" spans="1:25" x14ac:dyDescent="0.3">
      <c r="A512" t="s">
        <v>525</v>
      </c>
      <c r="B512">
        <v>45353</v>
      </c>
      <c r="C512">
        <v>45374</v>
      </c>
      <c r="D512" t="s">
        <v>2064</v>
      </c>
      <c r="E512">
        <v>45374</v>
      </c>
      <c r="F512">
        <v>21</v>
      </c>
      <c r="G512" t="s">
        <v>648</v>
      </c>
      <c r="H512" t="s">
        <v>1425</v>
      </c>
      <c r="I512" t="s">
        <v>677</v>
      </c>
      <c r="J512" t="s">
        <v>705</v>
      </c>
      <c r="K512" t="s">
        <v>708</v>
      </c>
      <c r="L512" t="s">
        <v>721</v>
      </c>
      <c r="M512" t="s">
        <v>727</v>
      </c>
      <c r="N512" t="s">
        <v>1937</v>
      </c>
      <c r="O512" s="9">
        <v>225.01</v>
      </c>
      <c r="P512" s="9">
        <v>333.48</v>
      </c>
      <c r="Q512" s="9">
        <v>333.48</v>
      </c>
      <c r="R512" t="s">
        <v>2065</v>
      </c>
      <c r="S512" s="11">
        <v>0.11899999999999999</v>
      </c>
      <c r="T512" t="s">
        <v>2065</v>
      </c>
      <c r="U512" s="13">
        <v>12</v>
      </c>
      <c r="V512" s="9">
        <f t="shared" si="28"/>
        <v>3525.5505600000001</v>
      </c>
      <c r="W512" s="9">
        <f t="shared" si="29"/>
        <v>2700.12</v>
      </c>
      <c r="X512" s="9">
        <f t="shared" si="30"/>
        <v>825.43056000000024</v>
      </c>
      <c r="Y512" s="11">
        <f t="shared" si="31"/>
        <v>0.23412813004729685</v>
      </c>
    </row>
    <row r="513" spans="1:25" x14ac:dyDescent="0.3">
      <c r="A513" t="s">
        <v>526</v>
      </c>
      <c r="B513">
        <v>45575</v>
      </c>
      <c r="C513">
        <v>45576</v>
      </c>
      <c r="D513" t="s">
        <v>2064</v>
      </c>
      <c r="E513">
        <v>45576</v>
      </c>
      <c r="F513">
        <v>1</v>
      </c>
      <c r="G513" t="s">
        <v>649</v>
      </c>
      <c r="H513" t="s">
        <v>658</v>
      </c>
      <c r="I513" t="s">
        <v>693</v>
      </c>
      <c r="J513" t="s">
        <v>703</v>
      </c>
      <c r="K513" t="s">
        <v>710</v>
      </c>
      <c r="L513" t="s">
        <v>716</v>
      </c>
      <c r="M513" t="s">
        <v>727</v>
      </c>
      <c r="N513" t="s">
        <v>1938</v>
      </c>
      <c r="O513" s="9">
        <v>1389.46</v>
      </c>
      <c r="P513" s="9">
        <v>1784.7</v>
      </c>
      <c r="Q513" s="9">
        <v>1784.7</v>
      </c>
      <c r="R513" t="s">
        <v>2065</v>
      </c>
      <c r="S513" s="11">
        <v>0.14599999999999999</v>
      </c>
      <c r="T513" t="s">
        <v>2065</v>
      </c>
      <c r="U513" s="13">
        <v>33</v>
      </c>
      <c r="V513" s="9">
        <f t="shared" si="28"/>
        <v>50296.415399999998</v>
      </c>
      <c r="W513" s="9">
        <f t="shared" si="29"/>
        <v>45852.18</v>
      </c>
      <c r="X513" s="9">
        <f t="shared" si="30"/>
        <v>4444.2353999999978</v>
      </c>
      <c r="Y513" s="11">
        <f t="shared" si="31"/>
        <v>8.8360877503011831E-2</v>
      </c>
    </row>
    <row r="514" spans="1:25" x14ac:dyDescent="0.3">
      <c r="A514" t="s">
        <v>527</v>
      </c>
      <c r="B514">
        <v>45078</v>
      </c>
      <c r="C514">
        <v>45085</v>
      </c>
      <c r="D514" t="s">
        <v>2064</v>
      </c>
      <c r="E514">
        <v>45085</v>
      </c>
      <c r="F514">
        <v>7</v>
      </c>
      <c r="G514" t="s">
        <v>649</v>
      </c>
      <c r="H514" t="s">
        <v>656</v>
      </c>
      <c r="I514" t="s">
        <v>698</v>
      </c>
      <c r="J514" t="s">
        <v>704</v>
      </c>
      <c r="K514" t="s">
        <v>708</v>
      </c>
      <c r="L514" t="s">
        <v>720</v>
      </c>
      <c r="M514" t="s">
        <v>730</v>
      </c>
      <c r="N514" t="s">
        <v>1939</v>
      </c>
      <c r="O514" s="9">
        <v>804.17</v>
      </c>
      <c r="P514" s="9">
        <v>1072.29</v>
      </c>
      <c r="Q514" s="9">
        <v>1072.29</v>
      </c>
      <c r="R514" t="s">
        <v>2065</v>
      </c>
      <c r="S514" s="11">
        <v>3.2000000000000001E-2</v>
      </c>
      <c r="T514" t="s">
        <v>2065</v>
      </c>
      <c r="U514" s="13">
        <v>5</v>
      </c>
      <c r="V514" s="9">
        <f t="shared" si="28"/>
        <v>5189.8836000000001</v>
      </c>
      <c r="W514" s="9">
        <f t="shared" si="29"/>
        <v>4020.85</v>
      </c>
      <c r="X514" s="9">
        <f t="shared" si="30"/>
        <v>1169.0336000000002</v>
      </c>
      <c r="Y514" s="11">
        <f t="shared" si="31"/>
        <v>0.2252523736755869</v>
      </c>
    </row>
    <row r="515" spans="1:25" x14ac:dyDescent="0.3">
      <c r="A515" t="s">
        <v>528</v>
      </c>
      <c r="B515">
        <v>45661</v>
      </c>
      <c r="C515">
        <v>45662</v>
      </c>
      <c r="D515" t="s">
        <v>2064</v>
      </c>
      <c r="E515">
        <v>45662</v>
      </c>
      <c r="F515">
        <v>1</v>
      </c>
      <c r="G515" t="s">
        <v>647</v>
      </c>
      <c r="H515" t="s">
        <v>654</v>
      </c>
      <c r="I515" t="s">
        <v>680</v>
      </c>
      <c r="J515" t="s">
        <v>702</v>
      </c>
      <c r="K515" t="s">
        <v>707</v>
      </c>
      <c r="L515" t="s">
        <v>714</v>
      </c>
      <c r="M515" t="s">
        <v>727</v>
      </c>
      <c r="N515" t="s">
        <v>1940</v>
      </c>
      <c r="O515" s="9">
        <v>1428.33</v>
      </c>
      <c r="P515" s="9">
        <v>3028.05</v>
      </c>
      <c r="Q515" s="9">
        <v>3028.05</v>
      </c>
      <c r="R515" t="s">
        <v>2065</v>
      </c>
      <c r="S515" s="11">
        <v>0</v>
      </c>
      <c r="T515" t="s">
        <v>2065</v>
      </c>
      <c r="U515" s="13">
        <v>11</v>
      </c>
      <c r="V515" s="9">
        <f t="shared" ref="V515:V578" si="32">Q515*U515*(1-S515)</f>
        <v>33308.550000000003</v>
      </c>
      <c r="W515" s="9">
        <f t="shared" ref="W515:W578" si="33">O515*U515</f>
        <v>15711.63</v>
      </c>
      <c r="X515" s="9">
        <f t="shared" ref="X515:X578" si="34">V515-W515</f>
        <v>17596.920000000006</v>
      </c>
      <c r="Y515" s="11">
        <f t="shared" ref="Y515:Y578" si="35">IF(V515=0,0,X515/V515)</f>
        <v>0.52830039134096207</v>
      </c>
    </row>
    <row r="516" spans="1:25" x14ac:dyDescent="0.3">
      <c r="A516" t="s">
        <v>529</v>
      </c>
      <c r="B516">
        <v>45874</v>
      </c>
      <c r="C516">
        <v>45897</v>
      </c>
      <c r="D516" t="s">
        <v>2064</v>
      </c>
      <c r="E516">
        <v>45897</v>
      </c>
      <c r="F516">
        <v>23</v>
      </c>
      <c r="G516" t="s">
        <v>647</v>
      </c>
      <c r="H516" t="s">
        <v>654</v>
      </c>
      <c r="I516" t="s">
        <v>691</v>
      </c>
      <c r="J516" t="s">
        <v>703</v>
      </c>
      <c r="K516" t="s">
        <v>710</v>
      </c>
      <c r="L516" t="s">
        <v>725</v>
      </c>
      <c r="M516" t="s">
        <v>731</v>
      </c>
      <c r="N516" t="s">
        <v>1941</v>
      </c>
      <c r="O516" s="9">
        <v>638.54</v>
      </c>
      <c r="P516" s="9">
        <v>987.24</v>
      </c>
      <c r="Q516" s="9">
        <v>987.24</v>
      </c>
      <c r="R516" t="s">
        <v>2065</v>
      </c>
      <c r="S516" s="11">
        <v>0</v>
      </c>
      <c r="T516" t="s">
        <v>2065</v>
      </c>
      <c r="U516" s="13">
        <v>11</v>
      </c>
      <c r="V516" s="9">
        <f t="shared" si="32"/>
        <v>10859.64</v>
      </c>
      <c r="W516" s="9">
        <f t="shared" si="33"/>
        <v>7023.94</v>
      </c>
      <c r="X516" s="9">
        <f t="shared" si="34"/>
        <v>3835.7</v>
      </c>
      <c r="Y516" s="11">
        <f t="shared" si="35"/>
        <v>0.35320692030306716</v>
      </c>
    </row>
    <row r="517" spans="1:25" x14ac:dyDescent="0.3">
      <c r="A517" t="s">
        <v>530</v>
      </c>
      <c r="B517">
        <v>45199</v>
      </c>
      <c r="C517">
        <v>45229</v>
      </c>
      <c r="D517" t="s">
        <v>2064</v>
      </c>
      <c r="E517">
        <v>45229</v>
      </c>
      <c r="F517">
        <v>30</v>
      </c>
      <c r="G517" t="s">
        <v>647</v>
      </c>
      <c r="H517" t="s">
        <v>652</v>
      </c>
      <c r="I517" t="s">
        <v>689</v>
      </c>
      <c r="J517" t="s">
        <v>706</v>
      </c>
      <c r="K517" t="s">
        <v>708</v>
      </c>
      <c r="L517" t="s">
        <v>726</v>
      </c>
      <c r="M517" t="s">
        <v>728</v>
      </c>
      <c r="N517" t="s">
        <v>1942</v>
      </c>
      <c r="O517" s="9">
        <v>649.13</v>
      </c>
      <c r="P517" s="9">
        <v>975.43</v>
      </c>
      <c r="Q517" s="9">
        <v>975.43</v>
      </c>
      <c r="R517" t="s">
        <v>2065</v>
      </c>
      <c r="S517" s="11">
        <v>0.157</v>
      </c>
      <c r="T517" t="s">
        <v>2065</v>
      </c>
      <c r="U517" s="13">
        <v>27</v>
      </c>
      <c r="V517" s="9">
        <f t="shared" si="32"/>
        <v>22201.762229999997</v>
      </c>
      <c r="W517" s="9">
        <f t="shared" si="33"/>
        <v>17526.509999999998</v>
      </c>
      <c r="X517" s="9">
        <f t="shared" si="34"/>
        <v>4675.2522299999982</v>
      </c>
      <c r="Y517" s="11">
        <f t="shared" si="35"/>
        <v>0.21058023149543473</v>
      </c>
    </row>
    <row r="518" spans="1:25" x14ac:dyDescent="0.3">
      <c r="A518" t="s">
        <v>531</v>
      </c>
      <c r="B518">
        <v>45794</v>
      </c>
      <c r="C518">
        <v>45807</v>
      </c>
      <c r="D518" t="s">
        <v>2064</v>
      </c>
      <c r="E518">
        <v>45807</v>
      </c>
      <c r="F518">
        <v>13</v>
      </c>
      <c r="G518" t="s">
        <v>646</v>
      </c>
      <c r="H518" t="s">
        <v>651</v>
      </c>
      <c r="I518" t="s">
        <v>665</v>
      </c>
      <c r="J518" t="s">
        <v>704</v>
      </c>
      <c r="K518" t="s">
        <v>710</v>
      </c>
      <c r="L518" t="s">
        <v>721</v>
      </c>
      <c r="M518" t="s">
        <v>733</v>
      </c>
      <c r="N518" t="s">
        <v>1943</v>
      </c>
      <c r="O518" s="9">
        <v>66.400000000000006</v>
      </c>
      <c r="P518" s="9">
        <v>141.43</v>
      </c>
      <c r="Q518" s="9">
        <v>141.43</v>
      </c>
      <c r="R518" t="s">
        <v>2065</v>
      </c>
      <c r="S518" s="11">
        <v>0.107</v>
      </c>
      <c r="T518" t="s">
        <v>2065</v>
      </c>
      <c r="U518" s="13">
        <v>8</v>
      </c>
      <c r="V518" s="9">
        <f t="shared" si="32"/>
        <v>1010.3759200000001</v>
      </c>
      <c r="W518" s="9">
        <f t="shared" si="33"/>
        <v>531.20000000000005</v>
      </c>
      <c r="X518" s="9">
        <f t="shared" si="34"/>
        <v>479.17592000000002</v>
      </c>
      <c r="Y518" s="11">
        <f t="shared" si="35"/>
        <v>0.47425508715607551</v>
      </c>
    </row>
    <row r="519" spans="1:25" x14ac:dyDescent="0.3">
      <c r="A519" t="s">
        <v>532</v>
      </c>
      <c r="B519">
        <v>45413</v>
      </c>
      <c r="C519">
        <v>45438</v>
      </c>
      <c r="D519" t="s">
        <v>2064</v>
      </c>
      <c r="E519">
        <v>45438</v>
      </c>
      <c r="F519">
        <v>25</v>
      </c>
      <c r="G519" t="s">
        <v>649</v>
      </c>
      <c r="H519" t="s">
        <v>656</v>
      </c>
      <c r="I519" t="s">
        <v>671</v>
      </c>
      <c r="J519" t="s">
        <v>703</v>
      </c>
      <c r="K519" t="s">
        <v>707</v>
      </c>
      <c r="L519" t="s">
        <v>717</v>
      </c>
      <c r="M519" t="s">
        <v>729</v>
      </c>
      <c r="N519" t="s">
        <v>1944</v>
      </c>
      <c r="O519" s="9">
        <v>930.71</v>
      </c>
      <c r="P519" s="9">
        <v>1625.42</v>
      </c>
      <c r="Q519" s="9">
        <v>1625.42</v>
      </c>
      <c r="R519" t="s">
        <v>2065</v>
      </c>
      <c r="S519" s="11">
        <v>0.13800000000000001</v>
      </c>
      <c r="T519" t="s">
        <v>2065</v>
      </c>
      <c r="U519" s="13">
        <v>7</v>
      </c>
      <c r="V519" s="9">
        <f t="shared" si="32"/>
        <v>9807.7842799999999</v>
      </c>
      <c r="W519" s="9">
        <f t="shared" si="33"/>
        <v>6514.97</v>
      </c>
      <c r="X519" s="9">
        <f t="shared" si="34"/>
        <v>3292.8142799999996</v>
      </c>
      <c r="Y519" s="11">
        <f t="shared" si="35"/>
        <v>0.33573477821231196</v>
      </c>
    </row>
    <row r="520" spans="1:25" x14ac:dyDescent="0.3">
      <c r="A520" t="s">
        <v>533</v>
      </c>
      <c r="B520">
        <v>45047</v>
      </c>
      <c r="C520">
        <v>45064</v>
      </c>
      <c r="D520" t="s">
        <v>2064</v>
      </c>
      <c r="E520">
        <v>45064</v>
      </c>
      <c r="F520">
        <v>17</v>
      </c>
      <c r="G520" t="s">
        <v>646</v>
      </c>
      <c r="H520" t="s">
        <v>651</v>
      </c>
      <c r="I520" t="s">
        <v>663</v>
      </c>
      <c r="J520" t="s">
        <v>701</v>
      </c>
      <c r="K520" t="s">
        <v>711</v>
      </c>
      <c r="L520" t="s">
        <v>721</v>
      </c>
      <c r="M520" t="s">
        <v>727</v>
      </c>
      <c r="N520" t="s">
        <v>1945</v>
      </c>
      <c r="O520" s="9">
        <v>327.97</v>
      </c>
      <c r="P520" s="9">
        <v>299.94</v>
      </c>
      <c r="Q520" s="9">
        <v>299.94</v>
      </c>
      <c r="R520" t="s">
        <v>2065</v>
      </c>
      <c r="S520" s="11">
        <v>4.9000000000000002E-2</v>
      </c>
      <c r="T520" t="s">
        <v>2065</v>
      </c>
      <c r="U520" s="13">
        <v>3</v>
      </c>
      <c r="V520" s="9">
        <f t="shared" si="32"/>
        <v>855.72881999999993</v>
      </c>
      <c r="W520" s="9">
        <f t="shared" si="33"/>
        <v>983.91000000000008</v>
      </c>
      <c r="X520" s="9">
        <f t="shared" si="34"/>
        <v>-128.18118000000015</v>
      </c>
      <c r="Y520" s="11">
        <f t="shared" si="35"/>
        <v>-0.14979182306843442</v>
      </c>
    </row>
    <row r="521" spans="1:25" x14ac:dyDescent="0.3">
      <c r="A521" t="s">
        <v>534</v>
      </c>
      <c r="B521">
        <v>45482</v>
      </c>
      <c r="C521">
        <v>45512</v>
      </c>
      <c r="D521" t="s">
        <v>2064</v>
      </c>
      <c r="E521">
        <v>45512</v>
      </c>
      <c r="F521">
        <v>30</v>
      </c>
      <c r="G521" t="s">
        <v>649</v>
      </c>
      <c r="H521" t="s">
        <v>657</v>
      </c>
      <c r="I521" t="s">
        <v>673</v>
      </c>
      <c r="J521" t="s">
        <v>701</v>
      </c>
      <c r="K521" t="s">
        <v>711</v>
      </c>
      <c r="L521" t="s">
        <v>713</v>
      </c>
      <c r="M521" t="s">
        <v>727</v>
      </c>
      <c r="N521" t="s">
        <v>1946</v>
      </c>
      <c r="O521" s="9">
        <v>1062.3800000000001</v>
      </c>
      <c r="P521" s="9">
        <v>1503.96</v>
      </c>
      <c r="Q521" s="9">
        <v>1503.96</v>
      </c>
      <c r="R521" t="s">
        <v>2065</v>
      </c>
      <c r="S521" s="11">
        <v>0.18</v>
      </c>
      <c r="T521" t="s">
        <v>2065</v>
      </c>
      <c r="U521" s="13">
        <v>6</v>
      </c>
      <c r="V521" s="9">
        <f t="shared" si="32"/>
        <v>7399.4832000000006</v>
      </c>
      <c r="W521" s="9">
        <f t="shared" si="33"/>
        <v>6374.2800000000007</v>
      </c>
      <c r="X521" s="9">
        <f t="shared" si="34"/>
        <v>1025.2031999999999</v>
      </c>
      <c r="Y521" s="11">
        <f t="shared" si="35"/>
        <v>0.13855064905073369</v>
      </c>
    </row>
    <row r="522" spans="1:25" x14ac:dyDescent="0.3">
      <c r="A522" t="s">
        <v>535</v>
      </c>
      <c r="B522">
        <v>45056</v>
      </c>
      <c r="C522">
        <v>45073</v>
      </c>
      <c r="D522" t="s">
        <v>2064</v>
      </c>
      <c r="E522">
        <v>45073</v>
      </c>
      <c r="F522">
        <v>17</v>
      </c>
      <c r="G522" t="s">
        <v>647</v>
      </c>
      <c r="H522" t="s">
        <v>654</v>
      </c>
      <c r="I522" t="s">
        <v>691</v>
      </c>
      <c r="J522" t="s">
        <v>704</v>
      </c>
      <c r="K522" t="s">
        <v>707</v>
      </c>
      <c r="L522" t="s">
        <v>724</v>
      </c>
      <c r="M522" t="s">
        <v>731</v>
      </c>
      <c r="N522" t="s">
        <v>1947</v>
      </c>
      <c r="O522" s="9">
        <v>1286.1600000000001</v>
      </c>
      <c r="P522" s="9">
        <v>3101.11</v>
      </c>
      <c r="Q522" s="9">
        <v>3101.11</v>
      </c>
      <c r="R522" t="s">
        <v>2065</v>
      </c>
      <c r="S522" s="11">
        <v>0.1</v>
      </c>
      <c r="T522" t="s">
        <v>2065</v>
      </c>
      <c r="U522" s="13">
        <v>23</v>
      </c>
      <c r="V522" s="9">
        <f t="shared" si="32"/>
        <v>64192.976999999999</v>
      </c>
      <c r="W522" s="9">
        <f t="shared" si="33"/>
        <v>29581.68</v>
      </c>
      <c r="X522" s="9">
        <f t="shared" si="34"/>
        <v>34611.296999999999</v>
      </c>
      <c r="Y522" s="11">
        <f t="shared" si="35"/>
        <v>0.53917575749758417</v>
      </c>
    </row>
    <row r="523" spans="1:25" x14ac:dyDescent="0.3">
      <c r="A523" t="s">
        <v>536</v>
      </c>
      <c r="B523">
        <v>45482</v>
      </c>
      <c r="C523">
        <v>45485</v>
      </c>
      <c r="D523" t="s">
        <v>2064</v>
      </c>
      <c r="E523">
        <v>45485</v>
      </c>
      <c r="F523">
        <v>3</v>
      </c>
      <c r="G523" t="s">
        <v>647</v>
      </c>
      <c r="H523" t="s">
        <v>659</v>
      </c>
      <c r="I523" t="s">
        <v>685</v>
      </c>
      <c r="J523" t="s">
        <v>705</v>
      </c>
      <c r="K523" t="s">
        <v>707</v>
      </c>
      <c r="L523" t="s">
        <v>726</v>
      </c>
      <c r="M523" t="s">
        <v>733</v>
      </c>
      <c r="N523" t="s">
        <v>1948</v>
      </c>
      <c r="O523" s="9">
        <v>748.39</v>
      </c>
      <c r="P523" s="9">
        <v>979.42</v>
      </c>
      <c r="Q523" s="9">
        <v>979.42</v>
      </c>
      <c r="R523" t="s">
        <v>2065</v>
      </c>
      <c r="S523" s="11">
        <v>0</v>
      </c>
      <c r="T523" t="s">
        <v>2065</v>
      </c>
      <c r="U523" s="13">
        <v>23</v>
      </c>
      <c r="V523" s="9">
        <f t="shared" si="32"/>
        <v>22526.66</v>
      </c>
      <c r="W523" s="9">
        <f t="shared" si="33"/>
        <v>17212.97</v>
      </c>
      <c r="X523" s="9">
        <f t="shared" si="34"/>
        <v>5313.6899999999987</v>
      </c>
      <c r="Y523" s="11">
        <f t="shared" si="35"/>
        <v>0.23588450307324738</v>
      </c>
    </row>
    <row r="524" spans="1:25" x14ac:dyDescent="0.3">
      <c r="A524" t="s">
        <v>537</v>
      </c>
      <c r="B524">
        <v>45406</v>
      </c>
      <c r="C524">
        <v>45422</v>
      </c>
      <c r="D524" t="s">
        <v>2064</v>
      </c>
      <c r="E524">
        <v>45422</v>
      </c>
      <c r="F524">
        <v>16</v>
      </c>
      <c r="G524" t="s">
        <v>646</v>
      </c>
      <c r="H524" t="s">
        <v>650</v>
      </c>
      <c r="I524" t="s">
        <v>662</v>
      </c>
      <c r="J524" t="s">
        <v>703</v>
      </c>
      <c r="K524" t="s">
        <v>708</v>
      </c>
      <c r="L524" t="s">
        <v>725</v>
      </c>
      <c r="M524" t="s">
        <v>732</v>
      </c>
      <c r="N524" t="s">
        <v>1949</v>
      </c>
      <c r="O524" s="9">
        <v>513.30999999999995</v>
      </c>
      <c r="P524" s="9">
        <v>1186.26</v>
      </c>
      <c r="Q524" s="9">
        <v>1186.26</v>
      </c>
      <c r="R524" t="s">
        <v>2065</v>
      </c>
      <c r="S524" s="11">
        <v>9.4E-2</v>
      </c>
      <c r="T524" t="s">
        <v>2065</v>
      </c>
      <c r="U524" s="13">
        <v>15</v>
      </c>
      <c r="V524" s="9">
        <f t="shared" si="32"/>
        <v>16121.273400000002</v>
      </c>
      <c r="W524" s="9">
        <f t="shared" si="33"/>
        <v>7699.65</v>
      </c>
      <c r="X524" s="9">
        <f t="shared" si="34"/>
        <v>8421.6234000000022</v>
      </c>
      <c r="Y524" s="11">
        <f t="shared" si="35"/>
        <v>0.52239194702820446</v>
      </c>
    </row>
    <row r="525" spans="1:25" x14ac:dyDescent="0.3">
      <c r="A525" t="s">
        <v>538</v>
      </c>
      <c r="B525">
        <v>45304</v>
      </c>
      <c r="C525">
        <v>45306</v>
      </c>
      <c r="D525" t="s">
        <v>2064</v>
      </c>
      <c r="E525">
        <v>45306</v>
      </c>
      <c r="F525">
        <v>2</v>
      </c>
      <c r="G525" t="s">
        <v>648</v>
      </c>
      <c r="H525" t="s">
        <v>1425</v>
      </c>
      <c r="I525" t="s">
        <v>686</v>
      </c>
      <c r="J525" t="s">
        <v>703</v>
      </c>
      <c r="K525" t="s">
        <v>711</v>
      </c>
      <c r="L525" t="s">
        <v>718</v>
      </c>
      <c r="M525" t="s">
        <v>727</v>
      </c>
      <c r="N525" t="s">
        <v>1950</v>
      </c>
      <c r="O525" s="9">
        <v>1061.3699999999999</v>
      </c>
      <c r="P525" s="9">
        <v>1938.33</v>
      </c>
      <c r="Q525" s="9">
        <v>1938.33</v>
      </c>
      <c r="R525" t="s">
        <v>2065</v>
      </c>
      <c r="S525" s="11">
        <v>0.17</v>
      </c>
      <c r="T525" t="s">
        <v>2065</v>
      </c>
      <c r="U525" s="13">
        <v>4</v>
      </c>
      <c r="V525" s="9">
        <f t="shared" si="32"/>
        <v>6435.2555999999995</v>
      </c>
      <c r="W525" s="9">
        <f t="shared" si="33"/>
        <v>4245.4799999999996</v>
      </c>
      <c r="X525" s="9">
        <f t="shared" si="34"/>
        <v>2189.7755999999999</v>
      </c>
      <c r="Y525" s="11">
        <f t="shared" si="35"/>
        <v>0.34027795259600879</v>
      </c>
    </row>
    <row r="526" spans="1:25" x14ac:dyDescent="0.3">
      <c r="A526" t="s">
        <v>539</v>
      </c>
      <c r="B526">
        <v>45398</v>
      </c>
      <c r="C526">
        <v>45409</v>
      </c>
      <c r="D526" t="s">
        <v>2064</v>
      </c>
      <c r="E526">
        <v>45409</v>
      </c>
      <c r="F526">
        <v>11</v>
      </c>
      <c r="G526" t="s">
        <v>646</v>
      </c>
      <c r="H526" t="s">
        <v>650</v>
      </c>
      <c r="I526" t="s">
        <v>678</v>
      </c>
      <c r="J526" t="s">
        <v>706</v>
      </c>
      <c r="K526" t="s">
        <v>708</v>
      </c>
      <c r="L526" t="s">
        <v>726</v>
      </c>
      <c r="M526" t="s">
        <v>728</v>
      </c>
      <c r="N526" t="s">
        <v>1951</v>
      </c>
      <c r="O526" s="9">
        <v>401.3</v>
      </c>
      <c r="P526" s="9">
        <v>826.47</v>
      </c>
      <c r="Q526" s="9">
        <v>826.47</v>
      </c>
      <c r="R526" t="s">
        <v>2065</v>
      </c>
      <c r="S526" s="11">
        <v>0.22500000000000001</v>
      </c>
      <c r="T526" t="s">
        <v>2065</v>
      </c>
      <c r="U526" s="13">
        <v>13</v>
      </c>
      <c r="V526" s="9">
        <f t="shared" si="32"/>
        <v>8326.6852500000005</v>
      </c>
      <c r="W526" s="9">
        <f t="shared" si="33"/>
        <v>5216.9000000000005</v>
      </c>
      <c r="X526" s="9">
        <f t="shared" si="34"/>
        <v>3109.7852499999999</v>
      </c>
      <c r="Y526" s="11">
        <f t="shared" si="35"/>
        <v>0.37347217489696755</v>
      </c>
    </row>
    <row r="527" spans="1:25" x14ac:dyDescent="0.3">
      <c r="A527" t="s">
        <v>540</v>
      </c>
      <c r="B527">
        <v>45695</v>
      </c>
      <c r="C527">
        <v>45704</v>
      </c>
      <c r="D527" t="s">
        <v>2064</v>
      </c>
      <c r="E527">
        <v>45704</v>
      </c>
      <c r="F527">
        <v>9</v>
      </c>
      <c r="G527" t="s">
        <v>646</v>
      </c>
      <c r="H527" t="s">
        <v>651</v>
      </c>
      <c r="I527" t="s">
        <v>665</v>
      </c>
      <c r="J527" t="s">
        <v>705</v>
      </c>
      <c r="K527" t="s">
        <v>710</v>
      </c>
      <c r="L527" t="s">
        <v>712</v>
      </c>
      <c r="M527" t="s">
        <v>728</v>
      </c>
      <c r="N527" t="s">
        <v>1952</v>
      </c>
      <c r="O527" s="9">
        <v>90.68</v>
      </c>
      <c r="P527" s="9">
        <v>118.17</v>
      </c>
      <c r="Q527" s="9">
        <v>118.17</v>
      </c>
      <c r="R527" t="s">
        <v>2065</v>
      </c>
      <c r="S527" s="11">
        <v>0.13500000000000001</v>
      </c>
      <c r="T527" t="s">
        <v>2065</v>
      </c>
      <c r="U527" s="13">
        <v>21</v>
      </c>
      <c r="V527" s="9">
        <f t="shared" si="32"/>
        <v>2146.5580500000001</v>
      </c>
      <c r="W527" s="9">
        <f t="shared" si="33"/>
        <v>1904.2800000000002</v>
      </c>
      <c r="X527" s="9">
        <f t="shared" si="34"/>
        <v>242.27804999999989</v>
      </c>
      <c r="Y527" s="11">
        <f t="shared" si="35"/>
        <v>0.11286815653552899</v>
      </c>
    </row>
    <row r="528" spans="1:25" x14ac:dyDescent="0.3">
      <c r="A528" t="s">
        <v>541</v>
      </c>
      <c r="B528">
        <v>44938</v>
      </c>
      <c r="C528">
        <v>44952</v>
      </c>
      <c r="D528" t="s">
        <v>2064</v>
      </c>
      <c r="E528">
        <v>44952</v>
      </c>
      <c r="F528">
        <v>14</v>
      </c>
      <c r="G528" t="s">
        <v>647</v>
      </c>
      <c r="H528" t="s">
        <v>659</v>
      </c>
      <c r="I528" t="s">
        <v>676</v>
      </c>
      <c r="J528" t="s">
        <v>703</v>
      </c>
      <c r="K528" t="s">
        <v>707</v>
      </c>
      <c r="L528" t="s">
        <v>724</v>
      </c>
      <c r="M528" t="s">
        <v>728</v>
      </c>
      <c r="N528" t="s">
        <v>1953</v>
      </c>
      <c r="O528" s="9">
        <v>1083.0899999999999</v>
      </c>
      <c r="P528" s="9">
        <v>1425.87</v>
      </c>
      <c r="Q528" s="9">
        <v>1425.87</v>
      </c>
      <c r="R528" t="s">
        <v>2065</v>
      </c>
      <c r="S528" s="11">
        <v>0</v>
      </c>
      <c r="T528" t="s">
        <v>2065</v>
      </c>
      <c r="U528" s="13">
        <v>8</v>
      </c>
      <c r="V528" s="9">
        <f t="shared" si="32"/>
        <v>11406.96</v>
      </c>
      <c r="W528" s="9">
        <f t="shared" si="33"/>
        <v>8664.7199999999993</v>
      </c>
      <c r="X528" s="9">
        <f t="shared" si="34"/>
        <v>2742.24</v>
      </c>
      <c r="Y528" s="11">
        <f t="shared" si="35"/>
        <v>0.24040059752992909</v>
      </c>
    </row>
    <row r="529" spans="1:25" x14ac:dyDescent="0.3">
      <c r="A529" t="s">
        <v>542</v>
      </c>
      <c r="B529">
        <v>45448</v>
      </c>
      <c r="C529">
        <v>45466</v>
      </c>
      <c r="D529" t="s">
        <v>2064</v>
      </c>
      <c r="E529">
        <v>45466</v>
      </c>
      <c r="F529">
        <v>18</v>
      </c>
      <c r="G529" t="s">
        <v>646</v>
      </c>
      <c r="H529" t="s">
        <v>650</v>
      </c>
      <c r="I529" t="s">
        <v>664</v>
      </c>
      <c r="J529" t="s">
        <v>704</v>
      </c>
      <c r="K529" t="s">
        <v>710</v>
      </c>
      <c r="L529" t="s">
        <v>726</v>
      </c>
      <c r="M529" t="s">
        <v>731</v>
      </c>
      <c r="N529" t="s">
        <v>1954</v>
      </c>
      <c r="O529" s="9">
        <v>1208.74</v>
      </c>
      <c r="P529" s="9">
        <v>1594.78</v>
      </c>
      <c r="Q529" s="9">
        <v>1594.78</v>
      </c>
      <c r="R529" t="s">
        <v>2065</v>
      </c>
      <c r="S529" s="11">
        <v>5.8999999999999997E-2</v>
      </c>
      <c r="T529" t="s">
        <v>2065</v>
      </c>
      <c r="U529" s="13">
        <v>39</v>
      </c>
      <c r="V529" s="9">
        <f t="shared" si="32"/>
        <v>58526.83122</v>
      </c>
      <c r="W529" s="9">
        <f t="shared" si="33"/>
        <v>47140.86</v>
      </c>
      <c r="X529" s="9">
        <f t="shared" si="34"/>
        <v>11385.971219999999</v>
      </c>
      <c r="Y529" s="11">
        <f t="shared" si="35"/>
        <v>0.1945427589817838</v>
      </c>
    </row>
    <row r="530" spans="1:25" x14ac:dyDescent="0.3">
      <c r="A530" t="s">
        <v>543</v>
      </c>
      <c r="B530">
        <v>45162</v>
      </c>
      <c r="C530">
        <v>45189</v>
      </c>
      <c r="D530" t="s">
        <v>2064</v>
      </c>
      <c r="E530">
        <v>45189</v>
      </c>
      <c r="F530">
        <v>27</v>
      </c>
      <c r="G530" t="s">
        <v>646</v>
      </c>
      <c r="H530" t="s">
        <v>661</v>
      </c>
      <c r="I530" t="s">
        <v>687</v>
      </c>
      <c r="J530" t="s">
        <v>705</v>
      </c>
      <c r="K530" t="s">
        <v>709</v>
      </c>
      <c r="L530" t="s">
        <v>724</v>
      </c>
      <c r="M530" t="s">
        <v>728</v>
      </c>
      <c r="N530" t="s">
        <v>1955</v>
      </c>
      <c r="O530" s="9">
        <v>1399.64</v>
      </c>
      <c r="P530" s="9">
        <v>3342.11</v>
      </c>
      <c r="Q530" s="9">
        <v>3342.11</v>
      </c>
      <c r="R530" t="s">
        <v>2065</v>
      </c>
      <c r="S530" s="11">
        <v>0</v>
      </c>
      <c r="T530" t="s">
        <v>2065</v>
      </c>
      <c r="U530" s="13">
        <v>10</v>
      </c>
      <c r="V530" s="9">
        <f t="shared" si="32"/>
        <v>33421.1</v>
      </c>
      <c r="W530" s="9">
        <f t="shared" si="33"/>
        <v>13996.400000000001</v>
      </c>
      <c r="X530" s="9">
        <f t="shared" si="34"/>
        <v>19424.699999999997</v>
      </c>
      <c r="Y530" s="11">
        <f t="shared" si="35"/>
        <v>0.58121067229983447</v>
      </c>
    </row>
    <row r="531" spans="1:25" x14ac:dyDescent="0.3">
      <c r="A531" t="s">
        <v>544</v>
      </c>
      <c r="B531">
        <v>45316</v>
      </c>
      <c r="C531">
        <v>45330</v>
      </c>
      <c r="D531" t="s">
        <v>2064</v>
      </c>
      <c r="E531">
        <v>45330</v>
      </c>
      <c r="F531">
        <v>14</v>
      </c>
      <c r="G531" t="s">
        <v>647</v>
      </c>
      <c r="H531" t="s">
        <v>652</v>
      </c>
      <c r="I531" t="s">
        <v>666</v>
      </c>
      <c r="J531" t="s">
        <v>704</v>
      </c>
      <c r="K531" t="s">
        <v>709</v>
      </c>
      <c r="L531" t="s">
        <v>714</v>
      </c>
      <c r="M531" t="s">
        <v>729</v>
      </c>
      <c r="N531" t="s">
        <v>1956</v>
      </c>
      <c r="O531" s="9">
        <v>937.16</v>
      </c>
      <c r="P531" s="9">
        <v>1069.77</v>
      </c>
      <c r="Q531" s="9">
        <v>1069.77</v>
      </c>
      <c r="R531" t="s">
        <v>2065</v>
      </c>
      <c r="S531" s="11">
        <v>3.7999999999999999E-2</v>
      </c>
      <c r="T531" t="s">
        <v>2065</v>
      </c>
      <c r="U531" s="13">
        <v>9</v>
      </c>
      <c r="V531" s="9">
        <f t="shared" si="32"/>
        <v>9262.0686600000008</v>
      </c>
      <c r="W531" s="9">
        <f t="shared" si="33"/>
        <v>8434.44</v>
      </c>
      <c r="X531" s="9">
        <f t="shared" si="34"/>
        <v>827.62866000000031</v>
      </c>
      <c r="Y531" s="11">
        <f t="shared" si="35"/>
        <v>8.9356783066645962E-2</v>
      </c>
    </row>
    <row r="532" spans="1:25" x14ac:dyDescent="0.3">
      <c r="A532" t="s">
        <v>545</v>
      </c>
      <c r="B532">
        <v>45727</v>
      </c>
      <c r="C532">
        <v>45742</v>
      </c>
      <c r="D532" t="s">
        <v>2064</v>
      </c>
      <c r="E532">
        <v>45742</v>
      </c>
      <c r="F532">
        <v>15</v>
      </c>
      <c r="G532" t="s">
        <v>649</v>
      </c>
      <c r="H532" t="s">
        <v>656</v>
      </c>
      <c r="I532" t="s">
        <v>671</v>
      </c>
      <c r="J532" t="s">
        <v>705</v>
      </c>
      <c r="K532" t="s">
        <v>708</v>
      </c>
      <c r="L532" t="s">
        <v>714</v>
      </c>
      <c r="M532" t="s">
        <v>730</v>
      </c>
      <c r="N532" t="s">
        <v>1957</v>
      </c>
      <c r="O532" s="9">
        <v>116.97</v>
      </c>
      <c r="P532" s="9">
        <v>140.82</v>
      </c>
      <c r="Q532" s="9">
        <v>140.82</v>
      </c>
      <c r="R532" t="s">
        <v>2065</v>
      </c>
      <c r="S532" s="11">
        <v>0.122</v>
      </c>
      <c r="T532" t="s">
        <v>2065</v>
      </c>
      <c r="U532" s="13">
        <v>5</v>
      </c>
      <c r="V532" s="9">
        <f t="shared" si="32"/>
        <v>618.19979999999987</v>
      </c>
      <c r="W532" s="9">
        <f t="shared" si="33"/>
        <v>584.85</v>
      </c>
      <c r="X532" s="9">
        <f t="shared" si="34"/>
        <v>33.349799999999846</v>
      </c>
      <c r="Y532" s="11">
        <f t="shared" si="35"/>
        <v>5.3946636669891926E-2</v>
      </c>
    </row>
    <row r="533" spans="1:25" x14ac:dyDescent="0.3">
      <c r="A533" t="s">
        <v>546</v>
      </c>
      <c r="B533">
        <v>45769</v>
      </c>
      <c r="C533">
        <v>45789</v>
      </c>
      <c r="D533" t="s">
        <v>2064</v>
      </c>
      <c r="E533">
        <v>45789</v>
      </c>
      <c r="F533">
        <v>20</v>
      </c>
      <c r="G533" t="s">
        <v>649</v>
      </c>
      <c r="H533" t="s">
        <v>657</v>
      </c>
      <c r="I533" t="s">
        <v>679</v>
      </c>
      <c r="J533" t="s">
        <v>706</v>
      </c>
      <c r="K533" t="s">
        <v>709</v>
      </c>
      <c r="L533" t="s">
        <v>723</v>
      </c>
      <c r="M533" t="s">
        <v>732</v>
      </c>
      <c r="N533" t="s">
        <v>1958</v>
      </c>
      <c r="O533" s="9">
        <v>59.51</v>
      </c>
      <c r="P533" s="9">
        <v>67.040000000000006</v>
      </c>
      <c r="Q533" s="9">
        <v>67.040000000000006</v>
      </c>
      <c r="R533" t="s">
        <v>2065</v>
      </c>
      <c r="S533" s="11">
        <v>0.114</v>
      </c>
      <c r="T533" t="s">
        <v>2065</v>
      </c>
      <c r="U533" s="13">
        <v>9</v>
      </c>
      <c r="V533" s="9">
        <f t="shared" si="32"/>
        <v>534.57695999999999</v>
      </c>
      <c r="W533" s="9">
        <f t="shared" si="33"/>
        <v>535.59</v>
      </c>
      <c r="X533" s="9">
        <f t="shared" si="34"/>
        <v>-1.0130400000000463</v>
      </c>
      <c r="Y533" s="11">
        <f t="shared" si="35"/>
        <v>-1.8950311663264469E-3</v>
      </c>
    </row>
    <row r="534" spans="1:25" x14ac:dyDescent="0.3">
      <c r="A534" t="s">
        <v>547</v>
      </c>
      <c r="B534">
        <v>45155</v>
      </c>
      <c r="C534">
        <v>45172</v>
      </c>
      <c r="D534" t="s">
        <v>2064</v>
      </c>
      <c r="E534">
        <v>45172</v>
      </c>
      <c r="F534">
        <v>17</v>
      </c>
      <c r="G534" t="s">
        <v>646</v>
      </c>
      <c r="H534" t="s">
        <v>661</v>
      </c>
      <c r="I534" t="s">
        <v>687</v>
      </c>
      <c r="J534" t="s">
        <v>706</v>
      </c>
      <c r="K534" t="s">
        <v>707</v>
      </c>
      <c r="L534" t="s">
        <v>720</v>
      </c>
      <c r="M534" t="s">
        <v>730</v>
      </c>
      <c r="N534" t="s">
        <v>1959</v>
      </c>
      <c r="O534" s="9">
        <v>676.37</v>
      </c>
      <c r="P534" s="9">
        <v>1276.67</v>
      </c>
      <c r="Q534" s="9">
        <v>1276.67</v>
      </c>
      <c r="R534" t="s">
        <v>2065</v>
      </c>
      <c r="S534" s="11">
        <v>6.6000000000000003E-2</v>
      </c>
      <c r="T534" t="s">
        <v>2065</v>
      </c>
      <c r="U534" s="13">
        <v>10</v>
      </c>
      <c r="V534" s="9">
        <f t="shared" si="32"/>
        <v>11924.0978</v>
      </c>
      <c r="W534" s="9">
        <f t="shared" si="33"/>
        <v>6763.7</v>
      </c>
      <c r="X534" s="9">
        <f t="shared" si="34"/>
        <v>5160.3977999999997</v>
      </c>
      <c r="Y534" s="11">
        <f t="shared" si="35"/>
        <v>0.4327705027712872</v>
      </c>
    </row>
    <row r="535" spans="1:25" x14ac:dyDescent="0.3">
      <c r="A535" t="s">
        <v>548</v>
      </c>
      <c r="B535">
        <v>45832</v>
      </c>
      <c r="C535">
        <v>45852</v>
      </c>
      <c r="D535" t="s">
        <v>2064</v>
      </c>
      <c r="E535">
        <v>45852</v>
      </c>
      <c r="F535">
        <v>20</v>
      </c>
      <c r="G535" t="s">
        <v>646</v>
      </c>
      <c r="H535" t="s">
        <v>661</v>
      </c>
      <c r="I535" t="s">
        <v>682</v>
      </c>
      <c r="J535" t="s">
        <v>706</v>
      </c>
      <c r="K535" t="s">
        <v>709</v>
      </c>
      <c r="L535" t="s">
        <v>713</v>
      </c>
      <c r="M535" t="s">
        <v>731</v>
      </c>
      <c r="N535" t="s">
        <v>1960</v>
      </c>
      <c r="O535" s="9">
        <v>1151.06</v>
      </c>
      <c r="P535" s="9">
        <v>2821.36</v>
      </c>
      <c r="Q535" s="9">
        <v>2821.36</v>
      </c>
      <c r="R535" t="s">
        <v>2065</v>
      </c>
      <c r="S535" s="11">
        <v>0.248</v>
      </c>
      <c r="T535" t="s">
        <v>2065</v>
      </c>
      <c r="U535" s="13">
        <v>20</v>
      </c>
      <c r="V535" s="9">
        <f t="shared" si="32"/>
        <v>42433.254400000005</v>
      </c>
      <c r="W535" s="9">
        <f t="shared" si="33"/>
        <v>23021.199999999997</v>
      </c>
      <c r="X535" s="9">
        <f t="shared" si="34"/>
        <v>19412.054400000008</v>
      </c>
      <c r="Y535" s="11">
        <f t="shared" si="35"/>
        <v>0.45747267501594235</v>
      </c>
    </row>
    <row r="536" spans="1:25" x14ac:dyDescent="0.3">
      <c r="A536" t="s">
        <v>549</v>
      </c>
      <c r="B536">
        <v>45667</v>
      </c>
      <c r="C536">
        <v>45694</v>
      </c>
      <c r="D536" t="s">
        <v>2064</v>
      </c>
      <c r="E536">
        <v>45694</v>
      </c>
      <c r="F536">
        <v>27</v>
      </c>
      <c r="G536" t="s">
        <v>648</v>
      </c>
      <c r="H536" t="s">
        <v>655</v>
      </c>
      <c r="I536" t="s">
        <v>672</v>
      </c>
      <c r="J536" t="s">
        <v>703</v>
      </c>
      <c r="K536" t="s">
        <v>707</v>
      </c>
      <c r="L536" t="s">
        <v>717</v>
      </c>
      <c r="M536" t="s">
        <v>731</v>
      </c>
      <c r="N536" t="s">
        <v>1961</v>
      </c>
      <c r="O536" s="9">
        <v>725.62</v>
      </c>
      <c r="P536" s="9">
        <v>1559.19</v>
      </c>
      <c r="Q536" s="9">
        <v>1559.19</v>
      </c>
      <c r="R536" t="s">
        <v>2065</v>
      </c>
      <c r="S536" s="11">
        <v>0.19</v>
      </c>
      <c r="T536" t="s">
        <v>2065</v>
      </c>
      <c r="U536" s="13">
        <v>12</v>
      </c>
      <c r="V536" s="9">
        <f t="shared" si="32"/>
        <v>15155.326800000001</v>
      </c>
      <c r="W536" s="9">
        <f t="shared" si="33"/>
        <v>8707.44</v>
      </c>
      <c r="X536" s="9">
        <f t="shared" si="34"/>
        <v>6447.8868000000002</v>
      </c>
      <c r="Y536" s="11">
        <f t="shared" si="35"/>
        <v>0.42545349797405885</v>
      </c>
    </row>
    <row r="537" spans="1:25" x14ac:dyDescent="0.3">
      <c r="A537" t="s">
        <v>550</v>
      </c>
      <c r="B537">
        <v>45108</v>
      </c>
      <c r="C537">
        <v>45118</v>
      </c>
      <c r="D537" t="s">
        <v>2064</v>
      </c>
      <c r="E537">
        <v>45118</v>
      </c>
      <c r="F537">
        <v>10</v>
      </c>
      <c r="G537" t="s">
        <v>649</v>
      </c>
      <c r="H537" t="s">
        <v>657</v>
      </c>
      <c r="I537" t="s">
        <v>690</v>
      </c>
      <c r="J537" t="s">
        <v>701</v>
      </c>
      <c r="K537" t="s">
        <v>711</v>
      </c>
      <c r="L537" t="s">
        <v>721</v>
      </c>
      <c r="M537" t="s">
        <v>729</v>
      </c>
      <c r="N537" t="s">
        <v>1962</v>
      </c>
      <c r="O537" s="9">
        <v>479.5</v>
      </c>
      <c r="P537" s="9">
        <v>656.66</v>
      </c>
      <c r="Q537" s="9">
        <v>656.66</v>
      </c>
      <c r="R537" t="s">
        <v>2065</v>
      </c>
      <c r="S537" s="11">
        <v>0.14899999999999999</v>
      </c>
      <c r="T537" t="s">
        <v>2065</v>
      </c>
      <c r="U537" s="13">
        <v>14</v>
      </c>
      <c r="V537" s="9">
        <f t="shared" si="32"/>
        <v>7823.4472399999995</v>
      </c>
      <c r="W537" s="9">
        <f t="shared" si="33"/>
        <v>6713</v>
      </c>
      <c r="X537" s="9">
        <f t="shared" si="34"/>
        <v>1110.4472399999995</v>
      </c>
      <c r="Y537" s="11">
        <f t="shared" si="35"/>
        <v>0.14193835606412289</v>
      </c>
    </row>
    <row r="538" spans="1:25" x14ac:dyDescent="0.3">
      <c r="A538" t="s">
        <v>551</v>
      </c>
      <c r="B538">
        <v>45520</v>
      </c>
      <c r="C538">
        <v>45530</v>
      </c>
      <c r="D538" t="s">
        <v>2064</v>
      </c>
      <c r="E538">
        <v>45530</v>
      </c>
      <c r="F538">
        <v>10</v>
      </c>
      <c r="G538" t="s">
        <v>648</v>
      </c>
      <c r="H538" t="s">
        <v>1425</v>
      </c>
      <c r="I538" t="s">
        <v>677</v>
      </c>
      <c r="J538" t="s">
        <v>701</v>
      </c>
      <c r="K538" t="s">
        <v>710</v>
      </c>
      <c r="L538" t="s">
        <v>716</v>
      </c>
      <c r="M538" t="s">
        <v>731</v>
      </c>
      <c r="N538" t="s">
        <v>1814</v>
      </c>
      <c r="O538" s="9">
        <v>1291.7</v>
      </c>
      <c r="P538" s="9">
        <v>2657.84</v>
      </c>
      <c r="Q538" s="9">
        <v>2657.84</v>
      </c>
      <c r="R538" t="s">
        <v>2065</v>
      </c>
      <c r="S538" s="11">
        <v>8.6999999999999994E-2</v>
      </c>
      <c r="T538" t="s">
        <v>2065</v>
      </c>
      <c r="U538" s="13">
        <v>21</v>
      </c>
      <c r="V538" s="9">
        <f t="shared" si="32"/>
        <v>50958.766320000002</v>
      </c>
      <c r="W538" s="9">
        <f t="shared" si="33"/>
        <v>27125.7</v>
      </c>
      <c r="X538" s="9">
        <f t="shared" si="34"/>
        <v>23833.066320000002</v>
      </c>
      <c r="Y538" s="11">
        <f t="shared" si="35"/>
        <v>0.46769315745083367</v>
      </c>
    </row>
    <row r="539" spans="1:25" x14ac:dyDescent="0.3">
      <c r="A539" t="s">
        <v>552</v>
      </c>
      <c r="B539">
        <v>45114</v>
      </c>
      <c r="C539">
        <v>45120</v>
      </c>
      <c r="D539" t="s">
        <v>2064</v>
      </c>
      <c r="E539">
        <v>45120</v>
      </c>
      <c r="F539">
        <v>6</v>
      </c>
      <c r="G539" t="s">
        <v>646</v>
      </c>
      <c r="H539" t="s">
        <v>661</v>
      </c>
      <c r="I539" t="s">
        <v>695</v>
      </c>
      <c r="J539" t="s">
        <v>705</v>
      </c>
      <c r="K539" t="s">
        <v>709</v>
      </c>
      <c r="L539" t="s">
        <v>717</v>
      </c>
      <c r="M539" t="s">
        <v>733</v>
      </c>
      <c r="N539" t="s">
        <v>1963</v>
      </c>
      <c r="O539" s="9">
        <v>612.59</v>
      </c>
      <c r="P539" s="9">
        <v>1424.74</v>
      </c>
      <c r="Q539" s="9">
        <v>1424.74</v>
      </c>
      <c r="R539" t="s">
        <v>2065</v>
      </c>
      <c r="S539" s="11">
        <v>4.3999999999999997E-2</v>
      </c>
      <c r="T539" t="s">
        <v>2065</v>
      </c>
      <c r="U539" s="13">
        <v>15</v>
      </c>
      <c r="V539" s="9">
        <f t="shared" si="32"/>
        <v>20430.771599999996</v>
      </c>
      <c r="W539" s="9">
        <f t="shared" si="33"/>
        <v>9188.85</v>
      </c>
      <c r="X539" s="9">
        <f t="shared" si="34"/>
        <v>11241.921599999996</v>
      </c>
      <c r="Y539" s="11">
        <f t="shared" si="35"/>
        <v>0.55024459281802152</v>
      </c>
    </row>
    <row r="540" spans="1:25" x14ac:dyDescent="0.3">
      <c r="A540" t="s">
        <v>553</v>
      </c>
      <c r="B540">
        <v>45288</v>
      </c>
      <c r="C540">
        <v>45292</v>
      </c>
      <c r="D540" t="s">
        <v>2064</v>
      </c>
      <c r="E540">
        <v>45292</v>
      </c>
      <c r="F540">
        <v>4</v>
      </c>
      <c r="G540" t="s">
        <v>646</v>
      </c>
      <c r="H540" t="s">
        <v>661</v>
      </c>
      <c r="I540" t="s">
        <v>695</v>
      </c>
      <c r="J540" t="s">
        <v>702</v>
      </c>
      <c r="K540" t="s">
        <v>710</v>
      </c>
      <c r="L540" t="s">
        <v>720</v>
      </c>
      <c r="M540" t="s">
        <v>728</v>
      </c>
      <c r="N540" t="s">
        <v>1964</v>
      </c>
      <c r="O540" s="9">
        <v>1141.8</v>
      </c>
      <c r="P540" s="9">
        <v>2318.7399999999998</v>
      </c>
      <c r="Q540" s="9">
        <v>2318.7399999999998</v>
      </c>
      <c r="R540" t="s">
        <v>2065</v>
      </c>
      <c r="S540" s="11">
        <v>0.107</v>
      </c>
      <c r="T540" t="s">
        <v>2065</v>
      </c>
      <c r="U540" s="13">
        <v>32</v>
      </c>
      <c r="V540" s="9">
        <f t="shared" si="32"/>
        <v>66260.314239999992</v>
      </c>
      <c r="W540" s="9">
        <f t="shared" si="33"/>
        <v>36537.599999999999</v>
      </c>
      <c r="X540" s="9">
        <f t="shared" si="34"/>
        <v>29722.714239999994</v>
      </c>
      <c r="Y540" s="11">
        <f t="shared" si="35"/>
        <v>0.44857490612468304</v>
      </c>
    </row>
    <row r="541" spans="1:25" x14ac:dyDescent="0.3">
      <c r="A541" t="s">
        <v>554</v>
      </c>
      <c r="B541">
        <v>44952</v>
      </c>
      <c r="C541">
        <v>44972</v>
      </c>
      <c r="D541" t="s">
        <v>2064</v>
      </c>
      <c r="E541">
        <v>44972</v>
      </c>
      <c r="F541">
        <v>20</v>
      </c>
      <c r="G541" t="s">
        <v>649</v>
      </c>
      <c r="H541" t="s">
        <v>656</v>
      </c>
      <c r="I541" t="s">
        <v>671</v>
      </c>
      <c r="J541" t="s">
        <v>705</v>
      </c>
      <c r="K541" t="s">
        <v>708</v>
      </c>
      <c r="L541" t="s">
        <v>719</v>
      </c>
      <c r="M541" t="s">
        <v>729</v>
      </c>
      <c r="N541" t="s">
        <v>1965</v>
      </c>
      <c r="O541" s="9">
        <v>492.62</v>
      </c>
      <c r="P541" s="9">
        <v>366.7</v>
      </c>
      <c r="Q541" s="9">
        <v>366.7</v>
      </c>
      <c r="R541" t="s">
        <v>2065</v>
      </c>
      <c r="S541" s="11">
        <v>8.8999999999999996E-2</v>
      </c>
      <c r="T541" t="s">
        <v>2065</v>
      </c>
      <c r="U541" s="13">
        <v>10</v>
      </c>
      <c r="V541" s="9">
        <f t="shared" si="32"/>
        <v>3340.6370000000002</v>
      </c>
      <c r="W541" s="9">
        <f t="shared" si="33"/>
        <v>4926.2</v>
      </c>
      <c r="X541" s="9">
        <f t="shared" si="34"/>
        <v>-1585.5629999999996</v>
      </c>
      <c r="Y541" s="11">
        <f t="shared" si="35"/>
        <v>-0.47462894052840809</v>
      </c>
    </row>
    <row r="542" spans="1:25" x14ac:dyDescent="0.3">
      <c r="A542" t="s">
        <v>555</v>
      </c>
      <c r="B542">
        <v>45115</v>
      </c>
      <c r="C542">
        <v>45116</v>
      </c>
      <c r="D542" t="s">
        <v>2064</v>
      </c>
      <c r="E542">
        <v>45116</v>
      </c>
      <c r="F542">
        <v>1</v>
      </c>
      <c r="G542" t="s">
        <v>646</v>
      </c>
      <c r="H542" t="s">
        <v>650</v>
      </c>
      <c r="I542" t="s">
        <v>664</v>
      </c>
      <c r="J542" t="s">
        <v>704</v>
      </c>
      <c r="K542" t="s">
        <v>708</v>
      </c>
      <c r="L542" t="s">
        <v>726</v>
      </c>
      <c r="M542" t="s">
        <v>731</v>
      </c>
      <c r="N542" t="s">
        <v>1966</v>
      </c>
      <c r="O542" s="9">
        <v>1258.72</v>
      </c>
      <c r="P542" s="9">
        <v>2797.41</v>
      </c>
      <c r="Q542" s="9">
        <v>2797.41</v>
      </c>
      <c r="R542" t="s">
        <v>2065</v>
      </c>
      <c r="S542" s="11">
        <v>0</v>
      </c>
      <c r="T542" t="s">
        <v>2065</v>
      </c>
      <c r="U542" s="13">
        <v>7</v>
      </c>
      <c r="V542" s="9">
        <f t="shared" si="32"/>
        <v>19581.87</v>
      </c>
      <c r="W542" s="9">
        <f t="shared" si="33"/>
        <v>8811.0400000000009</v>
      </c>
      <c r="X542" s="9">
        <f t="shared" si="34"/>
        <v>10770.829999999998</v>
      </c>
      <c r="Y542" s="11">
        <f t="shared" si="35"/>
        <v>0.55004093071805704</v>
      </c>
    </row>
    <row r="543" spans="1:25" x14ac:dyDescent="0.3">
      <c r="A543" t="s">
        <v>556</v>
      </c>
      <c r="B543">
        <v>45450</v>
      </c>
      <c r="C543">
        <v>45452</v>
      </c>
      <c r="D543" t="s">
        <v>2064</v>
      </c>
      <c r="E543">
        <v>45452</v>
      </c>
      <c r="F543">
        <v>2</v>
      </c>
      <c r="G543" t="s">
        <v>647</v>
      </c>
      <c r="H543" t="s">
        <v>659</v>
      </c>
      <c r="I543" t="s">
        <v>685</v>
      </c>
      <c r="J543" t="s">
        <v>701</v>
      </c>
      <c r="K543" t="s">
        <v>707</v>
      </c>
      <c r="L543" t="s">
        <v>719</v>
      </c>
      <c r="M543" t="s">
        <v>732</v>
      </c>
      <c r="N543" t="s">
        <v>1967</v>
      </c>
      <c r="O543" s="9">
        <v>1370.28</v>
      </c>
      <c r="P543" s="9">
        <v>2209.66</v>
      </c>
      <c r="Q543" s="9">
        <v>2209.66</v>
      </c>
      <c r="R543" t="s">
        <v>2065</v>
      </c>
      <c r="S543" s="11">
        <v>0.13300000000000001</v>
      </c>
      <c r="T543" t="s">
        <v>2065</v>
      </c>
      <c r="U543" s="13">
        <v>16</v>
      </c>
      <c r="V543" s="9">
        <f t="shared" si="32"/>
        <v>30652.403519999996</v>
      </c>
      <c r="W543" s="9">
        <f t="shared" si="33"/>
        <v>21924.48</v>
      </c>
      <c r="X543" s="9">
        <f t="shared" si="34"/>
        <v>8727.9235199999966</v>
      </c>
      <c r="Y543" s="11">
        <f t="shared" si="35"/>
        <v>0.28473863442079589</v>
      </c>
    </row>
    <row r="544" spans="1:25" x14ac:dyDescent="0.3">
      <c r="A544" t="s">
        <v>557</v>
      </c>
      <c r="B544">
        <v>44968</v>
      </c>
      <c r="C544">
        <v>44969</v>
      </c>
      <c r="D544" t="s">
        <v>2064</v>
      </c>
      <c r="E544">
        <v>44969</v>
      </c>
      <c r="F544">
        <v>1</v>
      </c>
      <c r="G544" t="s">
        <v>646</v>
      </c>
      <c r="H544" t="s">
        <v>651</v>
      </c>
      <c r="I544" t="s">
        <v>663</v>
      </c>
      <c r="J544" t="s">
        <v>703</v>
      </c>
      <c r="K544" t="s">
        <v>711</v>
      </c>
      <c r="L544" t="s">
        <v>726</v>
      </c>
      <c r="M544" t="s">
        <v>733</v>
      </c>
      <c r="N544" t="s">
        <v>1968</v>
      </c>
      <c r="O544" s="9">
        <v>944.61</v>
      </c>
      <c r="P544" s="9">
        <v>839.04</v>
      </c>
      <c r="Q544" s="9">
        <v>839.04</v>
      </c>
      <c r="R544" t="s">
        <v>2065</v>
      </c>
      <c r="S544" s="11">
        <v>5.8999999999999997E-2</v>
      </c>
      <c r="T544" t="s">
        <v>2065</v>
      </c>
      <c r="U544" s="13">
        <v>6</v>
      </c>
      <c r="V544" s="9">
        <f t="shared" si="32"/>
        <v>4737.2198399999997</v>
      </c>
      <c r="W544" s="9">
        <f t="shared" si="33"/>
        <v>5667.66</v>
      </c>
      <c r="X544" s="9">
        <f t="shared" si="34"/>
        <v>-930.44016000000011</v>
      </c>
      <c r="Y544" s="11">
        <f t="shared" si="35"/>
        <v>-0.19641059343363726</v>
      </c>
    </row>
    <row r="545" spans="1:25" x14ac:dyDescent="0.3">
      <c r="A545" t="s">
        <v>558</v>
      </c>
      <c r="B545">
        <v>45108</v>
      </c>
      <c r="C545">
        <v>45115</v>
      </c>
      <c r="D545" t="s">
        <v>2064</v>
      </c>
      <c r="E545">
        <v>45115</v>
      </c>
      <c r="F545">
        <v>7</v>
      </c>
      <c r="G545" t="s">
        <v>649</v>
      </c>
      <c r="H545" t="s">
        <v>656</v>
      </c>
      <c r="I545" t="s">
        <v>698</v>
      </c>
      <c r="J545" t="s">
        <v>705</v>
      </c>
      <c r="K545" t="s">
        <v>710</v>
      </c>
      <c r="L545" t="s">
        <v>725</v>
      </c>
      <c r="M545" t="s">
        <v>731</v>
      </c>
      <c r="N545" t="s">
        <v>1969</v>
      </c>
      <c r="O545" s="9">
        <v>460.21</v>
      </c>
      <c r="P545" s="9">
        <v>1139.1500000000001</v>
      </c>
      <c r="Q545" s="9">
        <v>1139.1500000000001</v>
      </c>
      <c r="R545" t="s">
        <v>2065</v>
      </c>
      <c r="S545" s="11">
        <v>0.115</v>
      </c>
      <c r="T545" t="s">
        <v>2065</v>
      </c>
      <c r="U545" s="13">
        <v>14</v>
      </c>
      <c r="V545" s="9">
        <f t="shared" si="32"/>
        <v>14114.068500000001</v>
      </c>
      <c r="W545" s="9">
        <f t="shared" si="33"/>
        <v>6442.94</v>
      </c>
      <c r="X545" s="9">
        <f t="shared" si="34"/>
        <v>7671.1285000000016</v>
      </c>
      <c r="Y545" s="11">
        <f t="shared" si="35"/>
        <v>0.54350937151821255</v>
      </c>
    </row>
    <row r="546" spans="1:25" x14ac:dyDescent="0.3">
      <c r="A546" t="s">
        <v>559</v>
      </c>
      <c r="B546">
        <v>45889</v>
      </c>
      <c r="C546">
        <v>45895</v>
      </c>
      <c r="D546" t="s">
        <v>2064</v>
      </c>
      <c r="E546">
        <v>45895</v>
      </c>
      <c r="F546">
        <v>6</v>
      </c>
      <c r="G546" t="s">
        <v>648</v>
      </c>
      <c r="H546" t="s">
        <v>1425</v>
      </c>
      <c r="I546" t="s">
        <v>700</v>
      </c>
      <c r="J546" t="s">
        <v>701</v>
      </c>
      <c r="K546" t="s">
        <v>707</v>
      </c>
      <c r="L546" t="s">
        <v>724</v>
      </c>
      <c r="M546" t="s">
        <v>729</v>
      </c>
      <c r="N546" t="s">
        <v>1970</v>
      </c>
      <c r="O546" s="9">
        <v>1304.95</v>
      </c>
      <c r="P546" s="9">
        <v>1712.03</v>
      </c>
      <c r="Q546" s="9">
        <v>1712.03</v>
      </c>
      <c r="R546" t="s">
        <v>2065</v>
      </c>
      <c r="S546" s="11">
        <v>0.21199999999999999</v>
      </c>
      <c r="T546" t="s">
        <v>2065</v>
      </c>
      <c r="U546" s="13">
        <v>8</v>
      </c>
      <c r="V546" s="9">
        <f t="shared" si="32"/>
        <v>10792.637119999999</v>
      </c>
      <c r="W546" s="9">
        <f t="shared" si="33"/>
        <v>10439.6</v>
      </c>
      <c r="X546" s="9">
        <f t="shared" si="34"/>
        <v>353.03711999999905</v>
      </c>
      <c r="Y546" s="11">
        <f t="shared" si="35"/>
        <v>3.2710922833287949E-2</v>
      </c>
    </row>
    <row r="547" spans="1:25" x14ac:dyDescent="0.3">
      <c r="A547" t="s">
        <v>560</v>
      </c>
      <c r="B547">
        <v>45355</v>
      </c>
      <c r="C547">
        <v>45367</v>
      </c>
      <c r="D547" t="s">
        <v>2064</v>
      </c>
      <c r="E547">
        <v>45367</v>
      </c>
      <c r="F547">
        <v>12</v>
      </c>
      <c r="G547" t="s">
        <v>646</v>
      </c>
      <c r="H547" t="s">
        <v>661</v>
      </c>
      <c r="I547" t="s">
        <v>682</v>
      </c>
      <c r="J547" t="s">
        <v>706</v>
      </c>
      <c r="K547" t="s">
        <v>710</v>
      </c>
      <c r="L547" t="s">
        <v>724</v>
      </c>
      <c r="M547" t="s">
        <v>732</v>
      </c>
      <c r="N547" t="s">
        <v>1971</v>
      </c>
      <c r="O547" s="9">
        <v>441.08</v>
      </c>
      <c r="P547" s="9">
        <v>1054.29</v>
      </c>
      <c r="Q547" s="9">
        <v>1054.29</v>
      </c>
      <c r="R547" t="s">
        <v>2065</v>
      </c>
      <c r="S547" s="11">
        <v>0.23699999999999999</v>
      </c>
      <c r="T547" t="s">
        <v>2065</v>
      </c>
      <c r="U547" s="13">
        <v>6</v>
      </c>
      <c r="V547" s="9">
        <f t="shared" si="32"/>
        <v>4826.5396199999996</v>
      </c>
      <c r="W547" s="9">
        <f t="shared" si="33"/>
        <v>2646.48</v>
      </c>
      <c r="X547" s="9">
        <f t="shared" si="34"/>
        <v>2180.0596199999995</v>
      </c>
      <c r="Y547" s="11">
        <f t="shared" si="35"/>
        <v>0.45168169985932899</v>
      </c>
    </row>
    <row r="548" spans="1:25" x14ac:dyDescent="0.3">
      <c r="A548" t="s">
        <v>561</v>
      </c>
      <c r="B548">
        <v>45177</v>
      </c>
      <c r="C548">
        <v>45201</v>
      </c>
      <c r="D548" t="s">
        <v>2064</v>
      </c>
      <c r="E548">
        <v>45201</v>
      </c>
      <c r="F548">
        <v>24</v>
      </c>
      <c r="G548" t="s">
        <v>648</v>
      </c>
      <c r="H548" t="s">
        <v>653</v>
      </c>
      <c r="I548" t="s">
        <v>667</v>
      </c>
      <c r="J548" t="s">
        <v>702</v>
      </c>
      <c r="K548" t="s">
        <v>711</v>
      </c>
      <c r="L548" t="s">
        <v>720</v>
      </c>
      <c r="M548" t="s">
        <v>733</v>
      </c>
      <c r="N548" t="s">
        <v>1972</v>
      </c>
      <c r="O548" s="9">
        <v>1299.03</v>
      </c>
      <c r="P548" s="9">
        <v>2451.2199999999998</v>
      </c>
      <c r="Q548" s="9">
        <v>2451.2199999999998</v>
      </c>
      <c r="R548" t="s">
        <v>2065</v>
      </c>
      <c r="S548" s="11">
        <v>0.20799999999999999</v>
      </c>
      <c r="T548" t="s">
        <v>2065</v>
      </c>
      <c r="U548" s="13">
        <v>8</v>
      </c>
      <c r="V548" s="9">
        <f t="shared" si="32"/>
        <v>15530.929919999999</v>
      </c>
      <c r="W548" s="9">
        <f t="shared" si="33"/>
        <v>10392.24</v>
      </c>
      <c r="X548" s="9">
        <f t="shared" si="34"/>
        <v>5138.6899199999989</v>
      </c>
      <c r="Y548" s="11">
        <f t="shared" si="35"/>
        <v>0.3308681416032041</v>
      </c>
    </row>
    <row r="549" spans="1:25" x14ac:dyDescent="0.3">
      <c r="A549" t="s">
        <v>562</v>
      </c>
      <c r="B549">
        <v>44985</v>
      </c>
      <c r="C549">
        <v>44991</v>
      </c>
      <c r="D549" t="s">
        <v>2064</v>
      </c>
      <c r="E549">
        <v>44991</v>
      </c>
      <c r="F549">
        <v>6</v>
      </c>
      <c r="G549" t="s">
        <v>649</v>
      </c>
      <c r="H549" t="s">
        <v>656</v>
      </c>
      <c r="I549" t="s">
        <v>698</v>
      </c>
      <c r="J549" t="s">
        <v>705</v>
      </c>
      <c r="K549" t="s">
        <v>709</v>
      </c>
      <c r="L549" t="s">
        <v>726</v>
      </c>
      <c r="M549" t="s">
        <v>728</v>
      </c>
      <c r="N549" t="s">
        <v>1973</v>
      </c>
      <c r="O549" s="9">
        <v>880.02</v>
      </c>
      <c r="P549" s="9">
        <v>1251.21</v>
      </c>
      <c r="Q549" s="9">
        <v>1251.21</v>
      </c>
      <c r="R549" t="s">
        <v>2065</v>
      </c>
      <c r="S549" s="11">
        <v>0.123</v>
      </c>
      <c r="T549" t="s">
        <v>2065</v>
      </c>
      <c r="U549" s="13">
        <v>29</v>
      </c>
      <c r="V549" s="9">
        <f t="shared" si="32"/>
        <v>31822.023930000003</v>
      </c>
      <c r="W549" s="9">
        <f t="shared" si="33"/>
        <v>25520.579999999998</v>
      </c>
      <c r="X549" s="9">
        <f t="shared" si="34"/>
        <v>6301.4439300000049</v>
      </c>
      <c r="Y549" s="11">
        <f t="shared" si="35"/>
        <v>0.19802146915172672</v>
      </c>
    </row>
    <row r="550" spans="1:25" x14ac:dyDescent="0.3">
      <c r="A550" t="s">
        <v>563</v>
      </c>
      <c r="B550">
        <v>45486</v>
      </c>
      <c r="C550">
        <v>45507</v>
      </c>
      <c r="D550" t="s">
        <v>2064</v>
      </c>
      <c r="E550">
        <v>45507</v>
      </c>
      <c r="F550">
        <v>21</v>
      </c>
      <c r="G550" t="s">
        <v>648</v>
      </c>
      <c r="H550" t="s">
        <v>655</v>
      </c>
      <c r="I550" t="s">
        <v>1426</v>
      </c>
      <c r="J550" t="s">
        <v>701</v>
      </c>
      <c r="K550" t="s">
        <v>709</v>
      </c>
      <c r="L550" t="s">
        <v>724</v>
      </c>
      <c r="M550" t="s">
        <v>732</v>
      </c>
      <c r="N550" t="s">
        <v>1974</v>
      </c>
      <c r="O550" s="9">
        <v>702.98</v>
      </c>
      <c r="P550" s="9">
        <v>1104.8</v>
      </c>
      <c r="Q550" s="9">
        <v>1104.8</v>
      </c>
      <c r="R550" t="s">
        <v>2065</v>
      </c>
      <c r="S550" s="11">
        <v>0.17499999999999999</v>
      </c>
      <c r="T550" t="s">
        <v>2065</v>
      </c>
      <c r="U550" s="13">
        <v>12</v>
      </c>
      <c r="V550" s="9">
        <f t="shared" si="32"/>
        <v>10937.519999999999</v>
      </c>
      <c r="W550" s="9">
        <f t="shared" si="33"/>
        <v>8435.76</v>
      </c>
      <c r="X550" s="9">
        <f t="shared" si="34"/>
        <v>2501.7599999999984</v>
      </c>
      <c r="Y550" s="11">
        <f t="shared" si="35"/>
        <v>0.22873192460448061</v>
      </c>
    </row>
    <row r="551" spans="1:25" x14ac:dyDescent="0.3">
      <c r="A551" t="s">
        <v>564</v>
      </c>
      <c r="B551">
        <v>45633</v>
      </c>
      <c r="C551">
        <v>45652</v>
      </c>
      <c r="D551" t="s">
        <v>2064</v>
      </c>
      <c r="E551">
        <v>45652</v>
      </c>
      <c r="F551">
        <v>19</v>
      </c>
      <c r="G551" t="s">
        <v>649</v>
      </c>
      <c r="H551" t="s">
        <v>658</v>
      </c>
      <c r="I551" t="s">
        <v>683</v>
      </c>
      <c r="J551" t="s">
        <v>706</v>
      </c>
      <c r="K551" t="s">
        <v>708</v>
      </c>
      <c r="L551" t="s">
        <v>726</v>
      </c>
      <c r="M551" t="s">
        <v>729</v>
      </c>
      <c r="N551" t="s">
        <v>1975</v>
      </c>
      <c r="O551" s="9">
        <v>1035.24</v>
      </c>
      <c r="P551" s="9">
        <v>2383.41</v>
      </c>
      <c r="Q551" s="9">
        <v>2383.41</v>
      </c>
      <c r="R551" t="s">
        <v>2065</v>
      </c>
      <c r="S551" s="11">
        <v>0.17</v>
      </c>
      <c r="T551" t="s">
        <v>2065</v>
      </c>
      <c r="U551" s="13">
        <v>15</v>
      </c>
      <c r="V551" s="9">
        <f t="shared" si="32"/>
        <v>29673.454499999993</v>
      </c>
      <c r="W551" s="9">
        <f t="shared" si="33"/>
        <v>15528.6</v>
      </c>
      <c r="X551" s="9">
        <f t="shared" si="34"/>
        <v>14144.854499999992</v>
      </c>
      <c r="Y551" s="11">
        <f t="shared" si="35"/>
        <v>0.47668378145860962</v>
      </c>
    </row>
    <row r="552" spans="1:25" x14ac:dyDescent="0.3">
      <c r="A552" t="s">
        <v>565</v>
      </c>
      <c r="B552">
        <v>45875</v>
      </c>
      <c r="C552">
        <v>45892</v>
      </c>
      <c r="D552" t="s">
        <v>2064</v>
      </c>
      <c r="E552">
        <v>45892</v>
      </c>
      <c r="F552">
        <v>17</v>
      </c>
      <c r="G552" t="s">
        <v>648</v>
      </c>
      <c r="H552" t="s">
        <v>655</v>
      </c>
      <c r="I552" t="s">
        <v>672</v>
      </c>
      <c r="J552" t="s">
        <v>704</v>
      </c>
      <c r="K552" t="s">
        <v>710</v>
      </c>
      <c r="L552" t="s">
        <v>720</v>
      </c>
      <c r="M552" t="s">
        <v>732</v>
      </c>
      <c r="N552" t="s">
        <v>1976</v>
      </c>
      <c r="O552" s="9">
        <v>86.64</v>
      </c>
      <c r="P552" s="9">
        <v>213.06</v>
      </c>
      <c r="Q552" s="9">
        <v>213.06</v>
      </c>
      <c r="R552" t="s">
        <v>2065</v>
      </c>
      <c r="S552" s="11">
        <v>0.21199999999999999</v>
      </c>
      <c r="T552" t="s">
        <v>2065</v>
      </c>
      <c r="U552" s="13">
        <v>11</v>
      </c>
      <c r="V552" s="9">
        <f t="shared" si="32"/>
        <v>1846.8040799999999</v>
      </c>
      <c r="W552" s="9">
        <f t="shared" si="33"/>
        <v>953.04</v>
      </c>
      <c r="X552" s="9">
        <f t="shared" si="34"/>
        <v>893.76407999999992</v>
      </c>
      <c r="Y552" s="11">
        <f t="shared" si="35"/>
        <v>0.48395175735154322</v>
      </c>
    </row>
    <row r="553" spans="1:25" x14ac:dyDescent="0.3">
      <c r="A553" t="s">
        <v>566</v>
      </c>
      <c r="B553">
        <v>44988</v>
      </c>
      <c r="C553">
        <v>45005</v>
      </c>
      <c r="D553" t="s">
        <v>2064</v>
      </c>
      <c r="E553">
        <v>45005</v>
      </c>
      <c r="F553">
        <v>17</v>
      </c>
      <c r="G553" t="s">
        <v>647</v>
      </c>
      <c r="H553" t="s">
        <v>652</v>
      </c>
      <c r="I553" t="s">
        <v>694</v>
      </c>
      <c r="J553" t="s">
        <v>705</v>
      </c>
      <c r="K553" t="s">
        <v>708</v>
      </c>
      <c r="L553" t="s">
        <v>726</v>
      </c>
      <c r="M553" t="s">
        <v>729</v>
      </c>
      <c r="N553" t="s">
        <v>1977</v>
      </c>
      <c r="O553" s="9">
        <v>1171.17</v>
      </c>
      <c r="P553" s="9">
        <v>2030.64</v>
      </c>
      <c r="Q553" s="9">
        <v>2030.64</v>
      </c>
      <c r="R553" t="s">
        <v>2065</v>
      </c>
      <c r="S553" s="11">
        <v>0.157</v>
      </c>
      <c r="T553" t="s">
        <v>2065</v>
      </c>
      <c r="U553" s="13">
        <v>11</v>
      </c>
      <c r="V553" s="9">
        <f t="shared" si="32"/>
        <v>18830.12472</v>
      </c>
      <c r="W553" s="9">
        <f t="shared" si="33"/>
        <v>12882.87</v>
      </c>
      <c r="X553" s="9">
        <f t="shared" si="34"/>
        <v>5947.254719999999</v>
      </c>
      <c r="Y553" s="11">
        <f t="shared" si="35"/>
        <v>0.31583724528830415</v>
      </c>
    </row>
    <row r="554" spans="1:25" x14ac:dyDescent="0.3">
      <c r="A554" t="s">
        <v>567</v>
      </c>
      <c r="B554">
        <v>45704</v>
      </c>
      <c r="C554">
        <v>45733</v>
      </c>
      <c r="D554" t="s">
        <v>2064</v>
      </c>
      <c r="E554">
        <v>45733</v>
      </c>
      <c r="F554">
        <v>29</v>
      </c>
      <c r="G554" t="s">
        <v>649</v>
      </c>
      <c r="H554" t="s">
        <v>656</v>
      </c>
      <c r="I554" t="s">
        <v>684</v>
      </c>
      <c r="J554" t="s">
        <v>704</v>
      </c>
      <c r="K554" t="s">
        <v>707</v>
      </c>
      <c r="L554" t="s">
        <v>716</v>
      </c>
      <c r="M554" t="s">
        <v>733</v>
      </c>
      <c r="N554" t="s">
        <v>1978</v>
      </c>
      <c r="O554" s="9">
        <v>730.42</v>
      </c>
      <c r="P554" s="9">
        <v>956.7</v>
      </c>
      <c r="Q554" s="9">
        <v>956.7</v>
      </c>
      <c r="R554" t="s">
        <v>2065</v>
      </c>
      <c r="S554" s="11">
        <v>4.2000000000000003E-2</v>
      </c>
      <c r="T554" t="s">
        <v>2065</v>
      </c>
      <c r="U554" s="13">
        <v>22</v>
      </c>
      <c r="V554" s="9">
        <f t="shared" si="32"/>
        <v>20163.409200000002</v>
      </c>
      <c r="W554" s="9">
        <f t="shared" si="33"/>
        <v>16069.24</v>
      </c>
      <c r="X554" s="9">
        <f t="shared" si="34"/>
        <v>4094.1692000000021</v>
      </c>
      <c r="Y554" s="11">
        <f t="shared" si="35"/>
        <v>0.20304945256975698</v>
      </c>
    </row>
    <row r="555" spans="1:25" x14ac:dyDescent="0.3">
      <c r="A555" t="s">
        <v>568</v>
      </c>
      <c r="B555">
        <v>45703</v>
      </c>
      <c r="C555">
        <v>45717</v>
      </c>
      <c r="D555" t="s">
        <v>2064</v>
      </c>
      <c r="E555">
        <v>45717</v>
      </c>
      <c r="F555">
        <v>14</v>
      </c>
      <c r="G555" t="s">
        <v>646</v>
      </c>
      <c r="H555" t="s">
        <v>650</v>
      </c>
      <c r="I555" t="s">
        <v>675</v>
      </c>
      <c r="J555" t="s">
        <v>702</v>
      </c>
      <c r="K555" t="s">
        <v>711</v>
      </c>
      <c r="L555" t="s">
        <v>716</v>
      </c>
      <c r="M555" t="s">
        <v>733</v>
      </c>
      <c r="N555" t="s">
        <v>1979</v>
      </c>
      <c r="O555" s="9">
        <v>1162.8599999999999</v>
      </c>
      <c r="P555" s="9">
        <v>1447.68</v>
      </c>
      <c r="Q555" s="9">
        <v>1447.68</v>
      </c>
      <c r="R555" t="s">
        <v>2065</v>
      </c>
      <c r="S555" s="11">
        <v>8.6999999999999994E-2</v>
      </c>
      <c r="T555" t="s">
        <v>2065</v>
      </c>
      <c r="U555" s="13">
        <v>12</v>
      </c>
      <c r="V555" s="9">
        <f t="shared" si="32"/>
        <v>15860.782080000001</v>
      </c>
      <c r="W555" s="9">
        <f t="shared" si="33"/>
        <v>13954.32</v>
      </c>
      <c r="X555" s="9">
        <f t="shared" si="34"/>
        <v>1906.4620800000012</v>
      </c>
      <c r="Y555" s="11">
        <f t="shared" si="35"/>
        <v>0.12019975247021369</v>
      </c>
    </row>
    <row r="556" spans="1:25" x14ac:dyDescent="0.3">
      <c r="A556" t="s">
        <v>569</v>
      </c>
      <c r="B556">
        <v>45535</v>
      </c>
      <c r="C556">
        <v>45561</v>
      </c>
      <c r="D556" t="s">
        <v>2064</v>
      </c>
      <c r="E556">
        <v>45561</v>
      </c>
      <c r="F556">
        <v>26</v>
      </c>
      <c r="G556" t="s">
        <v>647</v>
      </c>
      <c r="H556" t="s">
        <v>652</v>
      </c>
      <c r="I556" t="s">
        <v>689</v>
      </c>
      <c r="J556" t="s">
        <v>702</v>
      </c>
      <c r="K556" t="s">
        <v>708</v>
      </c>
      <c r="L556" t="s">
        <v>714</v>
      </c>
      <c r="M556" t="s">
        <v>730</v>
      </c>
      <c r="N556" t="s">
        <v>1980</v>
      </c>
      <c r="O556" s="9">
        <v>1189.03</v>
      </c>
      <c r="P556" s="9">
        <v>2949.62</v>
      </c>
      <c r="Q556" s="9">
        <v>2949.62</v>
      </c>
      <c r="R556" t="s">
        <v>2065</v>
      </c>
      <c r="S556" s="11">
        <v>0.125</v>
      </c>
      <c r="T556" t="s">
        <v>2065</v>
      </c>
      <c r="U556" s="13">
        <v>13</v>
      </c>
      <c r="V556" s="9">
        <f t="shared" si="32"/>
        <v>33551.927499999998</v>
      </c>
      <c r="W556" s="9">
        <f t="shared" si="33"/>
        <v>15457.39</v>
      </c>
      <c r="X556" s="9">
        <f t="shared" si="34"/>
        <v>18094.537499999999</v>
      </c>
      <c r="Y556" s="11">
        <f t="shared" si="35"/>
        <v>0.53929949330034765</v>
      </c>
    </row>
    <row r="557" spans="1:25" x14ac:dyDescent="0.3">
      <c r="A557" t="s">
        <v>570</v>
      </c>
      <c r="B557">
        <v>45053</v>
      </c>
      <c r="C557">
        <v>45066</v>
      </c>
      <c r="D557" t="s">
        <v>2064</v>
      </c>
      <c r="E557">
        <v>45066</v>
      </c>
      <c r="F557">
        <v>13</v>
      </c>
      <c r="G557" t="s">
        <v>647</v>
      </c>
      <c r="H557" t="s">
        <v>654</v>
      </c>
      <c r="I557" t="s">
        <v>691</v>
      </c>
      <c r="J557" t="s">
        <v>706</v>
      </c>
      <c r="K557" t="s">
        <v>707</v>
      </c>
      <c r="L557" t="s">
        <v>726</v>
      </c>
      <c r="M557" t="s">
        <v>733</v>
      </c>
      <c r="N557" t="s">
        <v>1981</v>
      </c>
      <c r="O557" s="9">
        <v>1443.28</v>
      </c>
      <c r="P557" s="9">
        <v>2580.5700000000002</v>
      </c>
      <c r="Q557" s="9">
        <v>2580.5700000000002</v>
      </c>
      <c r="R557" t="s">
        <v>2065</v>
      </c>
      <c r="S557" s="11">
        <v>0</v>
      </c>
      <c r="T557" t="s">
        <v>2065</v>
      </c>
      <c r="U557" s="13">
        <v>18</v>
      </c>
      <c r="V557" s="9">
        <f t="shared" si="32"/>
        <v>46450.26</v>
      </c>
      <c r="W557" s="9">
        <f t="shared" si="33"/>
        <v>25979.040000000001</v>
      </c>
      <c r="X557" s="9">
        <f t="shared" si="34"/>
        <v>20471.22</v>
      </c>
      <c r="Y557" s="11">
        <f t="shared" si="35"/>
        <v>0.4407127107577008</v>
      </c>
    </row>
    <row r="558" spans="1:25" x14ac:dyDescent="0.3">
      <c r="A558" t="s">
        <v>571</v>
      </c>
      <c r="B558">
        <v>45791</v>
      </c>
      <c r="C558">
        <v>45789</v>
      </c>
      <c r="D558" t="s">
        <v>2066</v>
      </c>
      <c r="E558">
        <v>45791</v>
      </c>
      <c r="F558">
        <v>0</v>
      </c>
      <c r="G558" t="s">
        <v>648</v>
      </c>
      <c r="H558" t="s">
        <v>653</v>
      </c>
      <c r="I558" t="s">
        <v>688</v>
      </c>
      <c r="J558" t="s">
        <v>703</v>
      </c>
      <c r="K558" t="s">
        <v>710</v>
      </c>
      <c r="L558" t="s">
        <v>721</v>
      </c>
      <c r="M558" t="s">
        <v>728</v>
      </c>
      <c r="N558" t="s">
        <v>1982</v>
      </c>
      <c r="O558" s="9">
        <v>883.5</v>
      </c>
      <c r="P558" s="9">
        <v>1978.91</v>
      </c>
      <c r="Q558" s="9">
        <v>1978.91</v>
      </c>
      <c r="R558" t="s">
        <v>2065</v>
      </c>
      <c r="S558" s="11">
        <v>5.3999999999999999E-2</v>
      </c>
      <c r="T558" t="s">
        <v>2065</v>
      </c>
      <c r="U558" s="13">
        <v>27</v>
      </c>
      <c r="V558" s="9">
        <f t="shared" si="32"/>
        <v>50545.319219999998</v>
      </c>
      <c r="W558" s="9">
        <f t="shared" si="33"/>
        <v>23854.5</v>
      </c>
      <c r="X558" s="9">
        <f t="shared" si="34"/>
        <v>26690.819219999998</v>
      </c>
      <c r="Y558" s="11">
        <f t="shared" si="35"/>
        <v>0.52805718970390547</v>
      </c>
    </row>
    <row r="559" spans="1:25" x14ac:dyDescent="0.3">
      <c r="A559" t="s">
        <v>572</v>
      </c>
      <c r="B559">
        <v>45362</v>
      </c>
      <c r="C559">
        <v>45380</v>
      </c>
      <c r="D559" t="s">
        <v>2064</v>
      </c>
      <c r="E559">
        <v>45380</v>
      </c>
      <c r="F559">
        <v>18</v>
      </c>
      <c r="G559" t="s">
        <v>648</v>
      </c>
      <c r="H559" t="s">
        <v>1425</v>
      </c>
      <c r="I559" t="s">
        <v>700</v>
      </c>
      <c r="J559" t="s">
        <v>701</v>
      </c>
      <c r="K559" t="s">
        <v>707</v>
      </c>
      <c r="L559" t="s">
        <v>724</v>
      </c>
      <c r="M559" t="s">
        <v>732</v>
      </c>
      <c r="N559" t="s">
        <v>1983</v>
      </c>
      <c r="O559" s="9">
        <v>710.98</v>
      </c>
      <c r="P559" s="9">
        <v>1481.45</v>
      </c>
      <c r="Q559" s="9">
        <v>1481.45</v>
      </c>
      <c r="R559" t="s">
        <v>2065</v>
      </c>
      <c r="S559" s="11">
        <v>0.21099999999999999</v>
      </c>
      <c r="T559" t="s">
        <v>2065</v>
      </c>
      <c r="U559" s="13">
        <v>9</v>
      </c>
      <c r="V559" s="9">
        <f t="shared" si="32"/>
        <v>10519.776450000001</v>
      </c>
      <c r="W559" s="9">
        <f t="shared" si="33"/>
        <v>6398.82</v>
      </c>
      <c r="X559" s="9">
        <f t="shared" si="34"/>
        <v>4120.9564500000015</v>
      </c>
      <c r="Y559" s="11">
        <f t="shared" si="35"/>
        <v>0.39173422264120461</v>
      </c>
    </row>
    <row r="560" spans="1:25" x14ac:dyDescent="0.3">
      <c r="A560" t="s">
        <v>573</v>
      </c>
      <c r="B560">
        <v>45430</v>
      </c>
      <c r="C560">
        <v>45434</v>
      </c>
      <c r="D560" t="s">
        <v>2064</v>
      </c>
      <c r="E560">
        <v>45434</v>
      </c>
      <c r="F560">
        <v>4</v>
      </c>
      <c r="G560" t="s">
        <v>646</v>
      </c>
      <c r="H560" t="s">
        <v>650</v>
      </c>
      <c r="I560" t="s">
        <v>664</v>
      </c>
      <c r="J560" t="s">
        <v>701</v>
      </c>
      <c r="K560" t="s">
        <v>711</v>
      </c>
      <c r="L560" t="s">
        <v>722</v>
      </c>
      <c r="M560" t="s">
        <v>733</v>
      </c>
      <c r="N560" t="s">
        <v>1984</v>
      </c>
      <c r="O560" s="9">
        <v>857.42</v>
      </c>
      <c r="P560" s="9">
        <v>1658.92</v>
      </c>
      <c r="Q560" s="9">
        <v>1658.92</v>
      </c>
      <c r="R560" t="s">
        <v>2065</v>
      </c>
      <c r="S560" s="11">
        <v>0.122</v>
      </c>
      <c r="T560" t="s">
        <v>2065</v>
      </c>
      <c r="U560" s="13">
        <v>9</v>
      </c>
      <c r="V560" s="9">
        <f t="shared" si="32"/>
        <v>13108.78584</v>
      </c>
      <c r="W560" s="9">
        <f t="shared" si="33"/>
        <v>7716.78</v>
      </c>
      <c r="X560" s="9">
        <f t="shared" si="34"/>
        <v>5392.0058400000007</v>
      </c>
      <c r="Y560" s="11">
        <f t="shared" si="35"/>
        <v>0.41132763215544305</v>
      </c>
    </row>
    <row r="561" spans="1:25" x14ac:dyDescent="0.3">
      <c r="A561" t="s">
        <v>574</v>
      </c>
      <c r="B561">
        <v>45299</v>
      </c>
      <c r="C561">
        <v>45303</v>
      </c>
      <c r="D561" t="s">
        <v>2064</v>
      </c>
      <c r="E561">
        <v>45303</v>
      </c>
      <c r="F561">
        <v>4</v>
      </c>
      <c r="G561" t="s">
        <v>647</v>
      </c>
      <c r="H561" t="s">
        <v>654</v>
      </c>
      <c r="I561" t="s">
        <v>668</v>
      </c>
      <c r="J561" t="s">
        <v>701</v>
      </c>
      <c r="K561" t="s">
        <v>711</v>
      </c>
      <c r="L561" t="s">
        <v>718</v>
      </c>
      <c r="M561" t="s">
        <v>728</v>
      </c>
      <c r="N561" t="s">
        <v>1985</v>
      </c>
      <c r="O561" s="9">
        <v>802.32</v>
      </c>
      <c r="P561" s="9">
        <v>602.34</v>
      </c>
      <c r="Q561" s="9">
        <v>602.34</v>
      </c>
      <c r="R561" t="s">
        <v>2065</v>
      </c>
      <c r="S561" s="11">
        <v>0.12</v>
      </c>
      <c r="T561" t="s">
        <v>2065</v>
      </c>
      <c r="U561" s="13">
        <v>25</v>
      </c>
      <c r="V561" s="9">
        <f t="shared" si="32"/>
        <v>13251.48</v>
      </c>
      <c r="W561" s="9">
        <f t="shared" si="33"/>
        <v>20058</v>
      </c>
      <c r="X561" s="9">
        <f t="shared" si="34"/>
        <v>-6806.52</v>
      </c>
      <c r="Y561" s="11">
        <f t="shared" si="35"/>
        <v>-0.51364224977134632</v>
      </c>
    </row>
    <row r="562" spans="1:25" x14ac:dyDescent="0.3">
      <c r="A562" t="s">
        <v>575</v>
      </c>
      <c r="B562">
        <v>45590</v>
      </c>
      <c r="C562">
        <v>45601</v>
      </c>
      <c r="D562" t="s">
        <v>2064</v>
      </c>
      <c r="E562">
        <v>45601</v>
      </c>
      <c r="F562">
        <v>11</v>
      </c>
      <c r="G562" t="s">
        <v>648</v>
      </c>
      <c r="H562" t="s">
        <v>1425</v>
      </c>
      <c r="I562" t="s">
        <v>700</v>
      </c>
      <c r="J562" t="s">
        <v>701</v>
      </c>
      <c r="K562" t="s">
        <v>710</v>
      </c>
      <c r="L562" t="s">
        <v>725</v>
      </c>
      <c r="M562" t="s">
        <v>727</v>
      </c>
      <c r="N562" t="s">
        <v>1986</v>
      </c>
      <c r="O562" s="9">
        <v>446.66</v>
      </c>
      <c r="P562" s="9">
        <v>527.64</v>
      </c>
      <c r="Q562" s="9">
        <v>527.64</v>
      </c>
      <c r="R562" t="s">
        <v>2065</v>
      </c>
      <c r="S562" s="11">
        <v>0.14499999999999999</v>
      </c>
      <c r="T562" t="s">
        <v>2065</v>
      </c>
      <c r="U562" s="13">
        <v>15</v>
      </c>
      <c r="V562" s="9">
        <f t="shared" si="32"/>
        <v>6766.9829999999993</v>
      </c>
      <c r="W562" s="9">
        <f t="shared" si="33"/>
        <v>6699.9000000000005</v>
      </c>
      <c r="X562" s="9">
        <f t="shared" si="34"/>
        <v>67.082999999998719</v>
      </c>
      <c r="Y562" s="11">
        <f t="shared" si="35"/>
        <v>9.9132804087137105E-3</v>
      </c>
    </row>
    <row r="563" spans="1:25" x14ac:dyDescent="0.3">
      <c r="A563" t="s">
        <v>576</v>
      </c>
      <c r="B563">
        <v>45626</v>
      </c>
      <c r="C563">
        <v>45645</v>
      </c>
      <c r="D563" t="s">
        <v>2064</v>
      </c>
      <c r="E563">
        <v>45645</v>
      </c>
      <c r="F563">
        <v>19</v>
      </c>
      <c r="G563" t="s">
        <v>646</v>
      </c>
      <c r="H563" t="s">
        <v>650</v>
      </c>
      <c r="I563" t="s">
        <v>662</v>
      </c>
      <c r="J563" t="s">
        <v>701</v>
      </c>
      <c r="K563" t="s">
        <v>708</v>
      </c>
      <c r="L563" t="s">
        <v>716</v>
      </c>
      <c r="M563" t="s">
        <v>730</v>
      </c>
      <c r="N563" t="s">
        <v>1987</v>
      </c>
      <c r="O563" s="9">
        <v>1195.98</v>
      </c>
      <c r="P563" s="9">
        <v>1841.9</v>
      </c>
      <c r="Q563" s="9">
        <v>1841.9</v>
      </c>
      <c r="R563" t="s">
        <v>2065</v>
      </c>
      <c r="S563" s="11">
        <v>5.5E-2</v>
      </c>
      <c r="T563" t="s">
        <v>2065</v>
      </c>
      <c r="U563" s="13">
        <v>19</v>
      </c>
      <c r="V563" s="9">
        <f t="shared" si="32"/>
        <v>33071.3145</v>
      </c>
      <c r="W563" s="9">
        <f t="shared" si="33"/>
        <v>22723.62</v>
      </c>
      <c r="X563" s="9">
        <f t="shared" si="34"/>
        <v>10347.694500000001</v>
      </c>
      <c r="Y563" s="11">
        <f t="shared" si="35"/>
        <v>0.31289032977506842</v>
      </c>
    </row>
    <row r="564" spans="1:25" x14ac:dyDescent="0.3">
      <c r="A564" t="s">
        <v>577</v>
      </c>
      <c r="B564">
        <v>45029</v>
      </c>
      <c r="C564">
        <v>45048</v>
      </c>
      <c r="D564" t="s">
        <v>2064</v>
      </c>
      <c r="E564">
        <v>45048</v>
      </c>
      <c r="F564">
        <v>19</v>
      </c>
      <c r="G564" t="s">
        <v>648</v>
      </c>
      <c r="H564" t="s">
        <v>653</v>
      </c>
      <c r="I564" t="s">
        <v>681</v>
      </c>
      <c r="J564" t="s">
        <v>704</v>
      </c>
      <c r="K564" t="s">
        <v>710</v>
      </c>
      <c r="L564" t="s">
        <v>718</v>
      </c>
      <c r="M564" t="s">
        <v>732</v>
      </c>
      <c r="N564" t="s">
        <v>1988</v>
      </c>
      <c r="O564" s="9">
        <v>671.05</v>
      </c>
      <c r="P564" s="9">
        <v>1645.48</v>
      </c>
      <c r="Q564" s="9">
        <v>1645.48</v>
      </c>
      <c r="R564" t="s">
        <v>2065</v>
      </c>
      <c r="S564" s="11">
        <v>0.13700000000000001</v>
      </c>
      <c r="T564" t="s">
        <v>2065</v>
      </c>
      <c r="U564" s="13">
        <v>6</v>
      </c>
      <c r="V564" s="9">
        <f t="shared" si="32"/>
        <v>8520.2954399999999</v>
      </c>
      <c r="W564" s="9">
        <f t="shared" si="33"/>
        <v>4026.2999999999997</v>
      </c>
      <c r="X564" s="9">
        <f t="shared" si="34"/>
        <v>4493.9954400000006</v>
      </c>
      <c r="Y564" s="11">
        <f t="shared" si="35"/>
        <v>0.52744596377517172</v>
      </c>
    </row>
    <row r="565" spans="1:25" x14ac:dyDescent="0.3">
      <c r="A565" t="s">
        <v>578</v>
      </c>
      <c r="B565">
        <v>45692</v>
      </c>
      <c r="C565">
        <v>45696</v>
      </c>
      <c r="D565" t="s">
        <v>2064</v>
      </c>
      <c r="E565">
        <v>45696</v>
      </c>
      <c r="F565">
        <v>4</v>
      </c>
      <c r="G565" t="s">
        <v>649</v>
      </c>
      <c r="H565" t="s">
        <v>658</v>
      </c>
      <c r="I565" t="s">
        <v>693</v>
      </c>
      <c r="J565" t="s">
        <v>706</v>
      </c>
      <c r="K565" t="s">
        <v>709</v>
      </c>
      <c r="L565" t="s">
        <v>716</v>
      </c>
      <c r="M565" t="s">
        <v>729</v>
      </c>
      <c r="N565" t="s">
        <v>1989</v>
      </c>
      <c r="O565" s="9">
        <v>586.21</v>
      </c>
      <c r="P565" s="9">
        <v>727.22</v>
      </c>
      <c r="Q565" s="9">
        <v>727.22</v>
      </c>
      <c r="R565" t="s">
        <v>2065</v>
      </c>
      <c r="S565" s="11">
        <v>6.8000000000000005E-2</v>
      </c>
      <c r="T565" t="s">
        <v>2065</v>
      </c>
      <c r="U565" s="13">
        <v>15</v>
      </c>
      <c r="V565" s="9">
        <f t="shared" si="32"/>
        <v>10166.535600000001</v>
      </c>
      <c r="W565" s="9">
        <f t="shared" si="33"/>
        <v>8793.1500000000015</v>
      </c>
      <c r="X565" s="9">
        <f t="shared" si="34"/>
        <v>1373.3855999999996</v>
      </c>
      <c r="Y565" s="11">
        <f t="shared" si="35"/>
        <v>0.13508884973559721</v>
      </c>
    </row>
    <row r="566" spans="1:25" x14ac:dyDescent="0.3">
      <c r="A566" t="s">
        <v>579</v>
      </c>
      <c r="B566">
        <v>45315</v>
      </c>
      <c r="C566">
        <v>45326</v>
      </c>
      <c r="D566" t="s">
        <v>2064</v>
      </c>
      <c r="E566">
        <v>45326</v>
      </c>
      <c r="F566">
        <v>11</v>
      </c>
      <c r="G566" t="s">
        <v>649</v>
      </c>
      <c r="H566" t="s">
        <v>658</v>
      </c>
      <c r="I566" t="s">
        <v>693</v>
      </c>
      <c r="J566" t="s">
        <v>704</v>
      </c>
      <c r="K566" t="s">
        <v>707</v>
      </c>
      <c r="L566" t="s">
        <v>717</v>
      </c>
      <c r="M566" t="s">
        <v>731</v>
      </c>
      <c r="N566" t="s">
        <v>1990</v>
      </c>
      <c r="O566" s="9">
        <v>525.34</v>
      </c>
      <c r="P566" s="9">
        <v>1233.79</v>
      </c>
      <c r="Q566" s="9">
        <v>1233.79</v>
      </c>
      <c r="R566" t="s">
        <v>2065</v>
      </c>
      <c r="S566" s="11">
        <v>0.14299999999999999</v>
      </c>
      <c r="T566" t="s">
        <v>2065</v>
      </c>
      <c r="U566" s="13">
        <v>4</v>
      </c>
      <c r="V566" s="9">
        <f t="shared" si="32"/>
        <v>4229.4321199999995</v>
      </c>
      <c r="W566" s="9">
        <f t="shared" si="33"/>
        <v>2101.36</v>
      </c>
      <c r="X566" s="9">
        <f t="shared" si="34"/>
        <v>2128.0721199999994</v>
      </c>
      <c r="Y566" s="11">
        <f t="shared" si="35"/>
        <v>0.50315788494082736</v>
      </c>
    </row>
    <row r="567" spans="1:25" x14ac:dyDescent="0.3">
      <c r="A567" t="s">
        <v>580</v>
      </c>
      <c r="B567">
        <v>45330</v>
      </c>
      <c r="C567">
        <v>45331</v>
      </c>
      <c r="D567" t="s">
        <v>2064</v>
      </c>
      <c r="E567">
        <v>45331</v>
      </c>
      <c r="F567">
        <v>1</v>
      </c>
      <c r="G567" t="s">
        <v>646</v>
      </c>
      <c r="H567" t="s">
        <v>650</v>
      </c>
      <c r="I567" t="s">
        <v>675</v>
      </c>
      <c r="J567" t="s">
        <v>701</v>
      </c>
      <c r="K567" t="s">
        <v>711</v>
      </c>
      <c r="L567" t="s">
        <v>721</v>
      </c>
      <c r="M567" t="s">
        <v>727</v>
      </c>
      <c r="N567" t="s">
        <v>1991</v>
      </c>
      <c r="O567" s="9">
        <v>1233.52</v>
      </c>
      <c r="P567" s="9">
        <v>1543.76</v>
      </c>
      <c r="Q567" s="9">
        <v>1543.76</v>
      </c>
      <c r="R567" t="s">
        <v>2065</v>
      </c>
      <c r="S567" s="11">
        <v>0.126</v>
      </c>
      <c r="T567" t="s">
        <v>2065</v>
      </c>
      <c r="U567" s="13">
        <v>13</v>
      </c>
      <c r="V567" s="9">
        <f t="shared" si="32"/>
        <v>17540.201120000002</v>
      </c>
      <c r="W567" s="9">
        <f t="shared" si="33"/>
        <v>16035.76</v>
      </c>
      <c r="X567" s="9">
        <f t="shared" si="34"/>
        <v>1504.4411200000013</v>
      </c>
      <c r="Y567" s="11">
        <f t="shared" si="35"/>
        <v>8.5771030201277493E-2</v>
      </c>
    </row>
    <row r="568" spans="1:25" x14ac:dyDescent="0.3">
      <c r="A568" t="s">
        <v>581</v>
      </c>
      <c r="B568">
        <v>45834</v>
      </c>
      <c r="C568">
        <v>45849</v>
      </c>
      <c r="D568" t="s">
        <v>2064</v>
      </c>
      <c r="E568">
        <v>45849</v>
      </c>
      <c r="F568">
        <v>15</v>
      </c>
      <c r="G568" t="s">
        <v>646</v>
      </c>
      <c r="H568" t="s">
        <v>651</v>
      </c>
      <c r="I568" t="s">
        <v>663</v>
      </c>
      <c r="J568" t="s">
        <v>705</v>
      </c>
      <c r="K568" t="s">
        <v>708</v>
      </c>
      <c r="L568" t="s">
        <v>720</v>
      </c>
      <c r="M568" t="s">
        <v>731</v>
      </c>
      <c r="N568" t="s">
        <v>1992</v>
      </c>
      <c r="O568" s="9">
        <v>1170.1500000000001</v>
      </c>
      <c r="P568" s="9">
        <v>2115.19</v>
      </c>
      <c r="Q568" s="9">
        <v>2115.19</v>
      </c>
      <c r="R568" t="s">
        <v>2065</v>
      </c>
      <c r="S568" s="11">
        <v>9.1999999999999998E-2</v>
      </c>
      <c r="T568" t="s">
        <v>2065</v>
      </c>
      <c r="U568" s="13">
        <v>23</v>
      </c>
      <c r="V568" s="9">
        <f t="shared" si="32"/>
        <v>44173.627960000005</v>
      </c>
      <c r="W568" s="9">
        <f t="shared" si="33"/>
        <v>26913.45</v>
      </c>
      <c r="X568" s="9">
        <f t="shared" si="34"/>
        <v>17260.177960000005</v>
      </c>
      <c r="Y568" s="11">
        <f t="shared" si="35"/>
        <v>0.39073489674946776</v>
      </c>
    </row>
    <row r="569" spans="1:25" x14ac:dyDescent="0.3">
      <c r="A569" t="s">
        <v>582</v>
      </c>
      <c r="B569">
        <v>45600</v>
      </c>
      <c r="C569">
        <v>45603</v>
      </c>
      <c r="D569" t="s">
        <v>2064</v>
      </c>
      <c r="E569">
        <v>45603</v>
      </c>
      <c r="F569">
        <v>3</v>
      </c>
      <c r="G569" t="s">
        <v>649</v>
      </c>
      <c r="H569" t="s">
        <v>657</v>
      </c>
      <c r="I569" t="s">
        <v>679</v>
      </c>
      <c r="J569" t="s">
        <v>701</v>
      </c>
      <c r="K569" t="s">
        <v>708</v>
      </c>
      <c r="L569" t="s">
        <v>719</v>
      </c>
      <c r="M569" t="s">
        <v>732</v>
      </c>
      <c r="N569" t="s">
        <v>1993</v>
      </c>
      <c r="O569" s="9">
        <v>740.68</v>
      </c>
      <c r="P569" s="9">
        <v>1837.19</v>
      </c>
      <c r="Q569" s="9">
        <v>1837.19</v>
      </c>
      <c r="R569" t="s">
        <v>2065</v>
      </c>
      <c r="S569" s="11">
        <v>0.19700000000000001</v>
      </c>
      <c r="T569" t="s">
        <v>2065</v>
      </c>
      <c r="U569" s="13">
        <v>17</v>
      </c>
      <c r="V569" s="9">
        <f t="shared" si="32"/>
        <v>25079.480689999997</v>
      </c>
      <c r="W569" s="9">
        <f t="shared" si="33"/>
        <v>12591.56</v>
      </c>
      <c r="X569" s="9">
        <f t="shared" si="34"/>
        <v>12487.920689999997</v>
      </c>
      <c r="Y569" s="11">
        <f t="shared" si="35"/>
        <v>0.4979337827748298</v>
      </c>
    </row>
    <row r="570" spans="1:25" x14ac:dyDescent="0.3">
      <c r="A570" t="s">
        <v>583</v>
      </c>
      <c r="B570">
        <v>45342</v>
      </c>
      <c r="C570">
        <v>45342</v>
      </c>
      <c r="D570" t="s">
        <v>2064</v>
      </c>
      <c r="E570">
        <v>45342</v>
      </c>
      <c r="F570">
        <v>0</v>
      </c>
      <c r="G570" t="s">
        <v>648</v>
      </c>
      <c r="H570" t="s">
        <v>1425</v>
      </c>
      <c r="I570" t="s">
        <v>700</v>
      </c>
      <c r="J570" t="s">
        <v>706</v>
      </c>
      <c r="K570" t="s">
        <v>708</v>
      </c>
      <c r="L570" t="s">
        <v>712</v>
      </c>
      <c r="M570" t="s">
        <v>729</v>
      </c>
      <c r="N570" t="s">
        <v>1994</v>
      </c>
      <c r="O570" s="9">
        <v>1407.05</v>
      </c>
      <c r="P570" s="9">
        <v>2858.93</v>
      </c>
      <c r="Q570" s="9">
        <v>2858.93</v>
      </c>
      <c r="R570" t="s">
        <v>2065</v>
      </c>
      <c r="S570" s="11">
        <v>0</v>
      </c>
      <c r="T570" t="s">
        <v>2065</v>
      </c>
      <c r="U570" s="13">
        <v>12</v>
      </c>
      <c r="V570" s="9">
        <f t="shared" si="32"/>
        <v>34307.159999999996</v>
      </c>
      <c r="W570" s="9">
        <f t="shared" si="33"/>
        <v>16884.599999999999</v>
      </c>
      <c r="X570" s="9">
        <f t="shared" si="34"/>
        <v>17422.559999999998</v>
      </c>
      <c r="Y570" s="11">
        <f t="shared" si="35"/>
        <v>0.50784034586366222</v>
      </c>
    </row>
    <row r="571" spans="1:25" x14ac:dyDescent="0.3">
      <c r="A571" t="s">
        <v>584</v>
      </c>
      <c r="B571">
        <v>45760</v>
      </c>
      <c r="C571">
        <v>45761</v>
      </c>
      <c r="D571" t="s">
        <v>2064</v>
      </c>
      <c r="E571">
        <v>45761</v>
      </c>
      <c r="F571">
        <v>1</v>
      </c>
      <c r="G571" t="s">
        <v>647</v>
      </c>
      <c r="H571" t="s">
        <v>652</v>
      </c>
      <c r="I571" t="s">
        <v>666</v>
      </c>
      <c r="J571" t="s">
        <v>706</v>
      </c>
      <c r="K571" t="s">
        <v>708</v>
      </c>
      <c r="L571" t="s">
        <v>715</v>
      </c>
      <c r="M571" t="s">
        <v>727</v>
      </c>
      <c r="N571" t="s">
        <v>1995</v>
      </c>
      <c r="O571" s="9">
        <v>138.9</v>
      </c>
      <c r="P571" s="9">
        <v>289.92</v>
      </c>
      <c r="Q571" s="9">
        <v>289.92</v>
      </c>
      <c r="R571" t="s">
        <v>2065</v>
      </c>
      <c r="S571" s="11">
        <v>2.9000000000000001E-2</v>
      </c>
      <c r="T571" t="s">
        <v>2065</v>
      </c>
      <c r="U571" s="13">
        <v>12</v>
      </c>
      <c r="V571" s="9">
        <f t="shared" si="32"/>
        <v>3378.1478400000001</v>
      </c>
      <c r="W571" s="9">
        <f t="shared" si="33"/>
        <v>1666.8000000000002</v>
      </c>
      <c r="X571" s="9">
        <f t="shared" si="34"/>
        <v>1711.3478399999999</v>
      </c>
      <c r="Y571" s="11">
        <f t="shared" si="35"/>
        <v>0.50659353025828491</v>
      </c>
    </row>
    <row r="572" spans="1:25" x14ac:dyDescent="0.3">
      <c r="A572" t="s">
        <v>585</v>
      </c>
      <c r="B572">
        <v>45078</v>
      </c>
      <c r="C572">
        <v>45078</v>
      </c>
      <c r="D572" t="s">
        <v>2064</v>
      </c>
      <c r="E572">
        <v>45078</v>
      </c>
      <c r="F572">
        <v>0</v>
      </c>
      <c r="G572" t="s">
        <v>647</v>
      </c>
      <c r="H572" t="s">
        <v>654</v>
      </c>
      <c r="I572" t="s">
        <v>668</v>
      </c>
      <c r="J572" t="s">
        <v>701</v>
      </c>
      <c r="K572" t="s">
        <v>707</v>
      </c>
      <c r="L572" t="s">
        <v>718</v>
      </c>
      <c r="M572" t="s">
        <v>733</v>
      </c>
      <c r="N572" t="s">
        <v>1996</v>
      </c>
      <c r="O572" s="9">
        <v>669.37</v>
      </c>
      <c r="P572" s="9">
        <v>997.2</v>
      </c>
      <c r="Q572" s="9">
        <v>997.2</v>
      </c>
      <c r="R572" t="s">
        <v>2065</v>
      </c>
      <c r="S572" s="11">
        <v>8.2000000000000003E-2</v>
      </c>
      <c r="T572" t="s">
        <v>2065</v>
      </c>
      <c r="U572" s="13">
        <v>5</v>
      </c>
      <c r="V572" s="9">
        <f t="shared" si="32"/>
        <v>4577.1480000000001</v>
      </c>
      <c r="W572" s="9">
        <f t="shared" si="33"/>
        <v>3346.85</v>
      </c>
      <c r="X572" s="9">
        <f t="shared" si="34"/>
        <v>1230.2980000000002</v>
      </c>
      <c r="Y572" s="11">
        <f t="shared" si="35"/>
        <v>0.26879139586484863</v>
      </c>
    </row>
    <row r="573" spans="1:25" x14ac:dyDescent="0.3">
      <c r="A573" t="s">
        <v>586</v>
      </c>
      <c r="B573">
        <v>45740</v>
      </c>
      <c r="C573">
        <v>45751</v>
      </c>
      <c r="D573" t="s">
        <v>2064</v>
      </c>
      <c r="E573">
        <v>45751</v>
      </c>
      <c r="F573">
        <v>11</v>
      </c>
      <c r="G573" t="s">
        <v>647</v>
      </c>
      <c r="H573" t="s">
        <v>654</v>
      </c>
      <c r="I573" t="s">
        <v>691</v>
      </c>
      <c r="J573" t="s">
        <v>702</v>
      </c>
      <c r="K573" t="s">
        <v>709</v>
      </c>
      <c r="L573" t="s">
        <v>713</v>
      </c>
      <c r="M573" t="s">
        <v>730</v>
      </c>
      <c r="N573" t="s">
        <v>1997</v>
      </c>
      <c r="O573" s="9">
        <v>23.83</v>
      </c>
      <c r="P573" s="9">
        <v>47.29</v>
      </c>
      <c r="Q573" s="9">
        <v>47.29</v>
      </c>
      <c r="R573" t="s">
        <v>2065</v>
      </c>
      <c r="S573" s="11">
        <v>6.4000000000000001E-2</v>
      </c>
      <c r="T573" t="s">
        <v>2065</v>
      </c>
      <c r="U573" s="13">
        <v>19</v>
      </c>
      <c r="V573" s="9">
        <f t="shared" si="32"/>
        <v>841.00536</v>
      </c>
      <c r="W573" s="9">
        <f t="shared" si="33"/>
        <v>452.77</v>
      </c>
      <c r="X573" s="9">
        <f t="shared" si="34"/>
        <v>388.23536000000001</v>
      </c>
      <c r="Y573" s="11">
        <f t="shared" si="35"/>
        <v>0.46163244429262618</v>
      </c>
    </row>
    <row r="574" spans="1:25" x14ac:dyDescent="0.3">
      <c r="A574" t="s">
        <v>587</v>
      </c>
      <c r="B574">
        <v>45293</v>
      </c>
      <c r="C574">
        <v>45293</v>
      </c>
      <c r="D574" t="s">
        <v>2064</v>
      </c>
      <c r="E574">
        <v>45293</v>
      </c>
      <c r="F574">
        <v>0</v>
      </c>
      <c r="G574" t="s">
        <v>648</v>
      </c>
      <c r="H574" t="s">
        <v>653</v>
      </c>
      <c r="I574" t="s">
        <v>688</v>
      </c>
      <c r="J574" t="s">
        <v>702</v>
      </c>
      <c r="K574" t="s">
        <v>711</v>
      </c>
      <c r="L574" t="s">
        <v>720</v>
      </c>
      <c r="M574" t="s">
        <v>731</v>
      </c>
      <c r="N574" t="s">
        <v>1998</v>
      </c>
      <c r="O574" s="9">
        <v>444.41</v>
      </c>
      <c r="P574" s="9">
        <v>754.24</v>
      </c>
      <c r="Q574" s="9">
        <v>754.24</v>
      </c>
      <c r="R574" t="s">
        <v>2065</v>
      </c>
      <c r="S574" s="11">
        <v>0.20699999999999999</v>
      </c>
      <c r="T574" t="s">
        <v>2065</v>
      </c>
      <c r="U574" s="13">
        <v>32</v>
      </c>
      <c r="V574" s="9">
        <f t="shared" si="32"/>
        <v>19139.594240000002</v>
      </c>
      <c r="W574" s="9">
        <f t="shared" si="33"/>
        <v>14221.12</v>
      </c>
      <c r="X574" s="9">
        <f t="shared" si="34"/>
        <v>4918.4742400000014</v>
      </c>
      <c r="Y574" s="11">
        <f t="shared" si="35"/>
        <v>0.25697902360546598</v>
      </c>
    </row>
    <row r="575" spans="1:25" x14ac:dyDescent="0.3">
      <c r="A575" t="s">
        <v>588</v>
      </c>
      <c r="B575">
        <v>45279</v>
      </c>
      <c r="C575">
        <v>45292</v>
      </c>
      <c r="D575" t="s">
        <v>2064</v>
      </c>
      <c r="E575">
        <v>45292</v>
      </c>
      <c r="F575">
        <v>13</v>
      </c>
      <c r="G575" t="s">
        <v>648</v>
      </c>
      <c r="H575" t="s">
        <v>653</v>
      </c>
      <c r="I575" t="s">
        <v>667</v>
      </c>
      <c r="J575" t="s">
        <v>706</v>
      </c>
      <c r="K575" t="s">
        <v>707</v>
      </c>
      <c r="L575" t="s">
        <v>723</v>
      </c>
      <c r="M575" t="s">
        <v>732</v>
      </c>
      <c r="N575" t="s">
        <v>1999</v>
      </c>
      <c r="O575" s="9">
        <v>856.1</v>
      </c>
      <c r="P575" s="9">
        <v>901.48</v>
      </c>
      <c r="Q575" s="9">
        <v>901.48</v>
      </c>
      <c r="R575" t="s">
        <v>2065</v>
      </c>
      <c r="S575" s="11">
        <v>5.6000000000000001E-2</v>
      </c>
      <c r="T575" t="s">
        <v>2065</v>
      </c>
      <c r="U575" s="13">
        <v>17</v>
      </c>
      <c r="V575" s="9">
        <f t="shared" si="32"/>
        <v>14466.95104</v>
      </c>
      <c r="W575" s="9">
        <f t="shared" si="33"/>
        <v>14553.7</v>
      </c>
      <c r="X575" s="9">
        <f t="shared" si="34"/>
        <v>-86.748960000000807</v>
      </c>
      <c r="Y575" s="11">
        <f t="shared" si="35"/>
        <v>-5.9963540182134192E-3</v>
      </c>
    </row>
    <row r="576" spans="1:25" x14ac:dyDescent="0.3">
      <c r="A576" t="s">
        <v>589</v>
      </c>
      <c r="B576">
        <v>45042</v>
      </c>
      <c r="C576">
        <v>45042</v>
      </c>
      <c r="D576" t="s">
        <v>2064</v>
      </c>
      <c r="E576">
        <v>45042</v>
      </c>
      <c r="F576">
        <v>0</v>
      </c>
      <c r="G576" t="s">
        <v>649</v>
      </c>
      <c r="H576" t="s">
        <v>657</v>
      </c>
      <c r="I576" t="s">
        <v>673</v>
      </c>
      <c r="J576" t="s">
        <v>704</v>
      </c>
      <c r="K576" t="s">
        <v>711</v>
      </c>
      <c r="L576" t="s">
        <v>724</v>
      </c>
      <c r="M576" t="s">
        <v>727</v>
      </c>
      <c r="N576" t="s">
        <v>2000</v>
      </c>
      <c r="O576" s="9">
        <v>81.489999999999995</v>
      </c>
      <c r="P576" s="9">
        <v>113.08</v>
      </c>
      <c r="Q576" s="9">
        <v>113.08</v>
      </c>
      <c r="R576" t="s">
        <v>2065</v>
      </c>
      <c r="S576" s="11">
        <v>0.121</v>
      </c>
      <c r="T576" t="s">
        <v>2065</v>
      </c>
      <c r="U576" s="13">
        <v>5</v>
      </c>
      <c r="V576" s="9">
        <f t="shared" si="32"/>
        <v>496.98660000000001</v>
      </c>
      <c r="W576" s="9">
        <f t="shared" si="33"/>
        <v>407.45</v>
      </c>
      <c r="X576" s="9">
        <f t="shared" si="34"/>
        <v>89.536600000000021</v>
      </c>
      <c r="Y576" s="11">
        <f t="shared" si="35"/>
        <v>0.18015898215364362</v>
      </c>
    </row>
    <row r="577" spans="1:25" x14ac:dyDescent="0.3">
      <c r="A577" t="s">
        <v>590</v>
      </c>
      <c r="B577">
        <v>45872</v>
      </c>
      <c r="C577">
        <v>45885</v>
      </c>
      <c r="D577" t="s">
        <v>2064</v>
      </c>
      <c r="E577">
        <v>45885</v>
      </c>
      <c r="F577">
        <v>13</v>
      </c>
      <c r="G577" t="s">
        <v>648</v>
      </c>
      <c r="H577" t="s">
        <v>653</v>
      </c>
      <c r="I577" t="s">
        <v>681</v>
      </c>
      <c r="J577" t="s">
        <v>706</v>
      </c>
      <c r="K577" t="s">
        <v>710</v>
      </c>
      <c r="L577" t="s">
        <v>719</v>
      </c>
      <c r="M577" t="s">
        <v>729</v>
      </c>
      <c r="N577" t="s">
        <v>2001</v>
      </c>
      <c r="O577" s="9">
        <v>698.66</v>
      </c>
      <c r="P577" s="9">
        <v>868.62</v>
      </c>
      <c r="Q577" s="9">
        <v>868.62</v>
      </c>
      <c r="R577" t="s">
        <v>2065</v>
      </c>
      <c r="S577" s="11">
        <v>7.1999999999999995E-2</v>
      </c>
      <c r="T577" t="s">
        <v>2065</v>
      </c>
      <c r="U577" s="13">
        <v>15</v>
      </c>
      <c r="V577" s="9">
        <f t="shared" si="32"/>
        <v>12091.190399999999</v>
      </c>
      <c r="W577" s="9">
        <f t="shared" si="33"/>
        <v>10479.9</v>
      </c>
      <c r="X577" s="9">
        <f t="shared" si="34"/>
        <v>1611.2903999999999</v>
      </c>
      <c r="Y577" s="11">
        <f t="shared" si="35"/>
        <v>0.13326151906432637</v>
      </c>
    </row>
    <row r="578" spans="1:25" x14ac:dyDescent="0.3">
      <c r="A578" t="s">
        <v>591</v>
      </c>
      <c r="B578">
        <v>45140</v>
      </c>
      <c r="C578">
        <v>45157</v>
      </c>
      <c r="D578" t="s">
        <v>2064</v>
      </c>
      <c r="E578">
        <v>45157</v>
      </c>
      <c r="F578">
        <v>17</v>
      </c>
      <c r="G578" t="s">
        <v>648</v>
      </c>
      <c r="H578" t="s">
        <v>653</v>
      </c>
      <c r="I578" t="s">
        <v>688</v>
      </c>
      <c r="J578" t="s">
        <v>701</v>
      </c>
      <c r="K578" t="s">
        <v>708</v>
      </c>
      <c r="L578" t="s">
        <v>721</v>
      </c>
      <c r="M578" t="s">
        <v>729</v>
      </c>
      <c r="N578" t="s">
        <v>2002</v>
      </c>
      <c r="O578" s="9">
        <v>175.38</v>
      </c>
      <c r="P578" s="9">
        <v>347.9</v>
      </c>
      <c r="Q578" s="9">
        <v>347.9</v>
      </c>
      <c r="R578" t="s">
        <v>2065</v>
      </c>
      <c r="S578" s="11">
        <v>7.1999999999999995E-2</v>
      </c>
      <c r="T578" t="s">
        <v>2065</v>
      </c>
      <c r="U578" s="13">
        <v>43</v>
      </c>
      <c r="V578" s="9">
        <f t="shared" si="32"/>
        <v>13882.6016</v>
      </c>
      <c r="W578" s="9">
        <f t="shared" si="33"/>
        <v>7541.34</v>
      </c>
      <c r="X578" s="9">
        <f t="shared" si="34"/>
        <v>6341.2615999999998</v>
      </c>
      <c r="Y578" s="11">
        <f t="shared" si="35"/>
        <v>0.45677761148169804</v>
      </c>
    </row>
    <row r="579" spans="1:25" x14ac:dyDescent="0.3">
      <c r="A579" t="s">
        <v>592</v>
      </c>
      <c r="B579">
        <v>45092</v>
      </c>
      <c r="C579">
        <v>45119</v>
      </c>
      <c r="D579" t="s">
        <v>2064</v>
      </c>
      <c r="E579">
        <v>45119</v>
      </c>
      <c r="F579">
        <v>27</v>
      </c>
      <c r="G579" t="s">
        <v>649</v>
      </c>
      <c r="H579" t="s">
        <v>658</v>
      </c>
      <c r="I579" t="s">
        <v>693</v>
      </c>
      <c r="J579" t="s">
        <v>704</v>
      </c>
      <c r="K579" t="s">
        <v>711</v>
      </c>
      <c r="L579" t="s">
        <v>714</v>
      </c>
      <c r="M579" t="s">
        <v>733</v>
      </c>
      <c r="N579" t="s">
        <v>2003</v>
      </c>
      <c r="O579" s="9">
        <v>751.28</v>
      </c>
      <c r="P579" s="9">
        <v>1111.8800000000001</v>
      </c>
      <c r="Q579" s="9">
        <v>1111.8800000000001</v>
      </c>
      <c r="R579" t="s">
        <v>2065</v>
      </c>
      <c r="S579" s="11">
        <v>0.13500000000000001</v>
      </c>
      <c r="T579" t="s">
        <v>2065</v>
      </c>
      <c r="U579" s="13">
        <v>7</v>
      </c>
      <c r="V579" s="9">
        <f t="shared" ref="V579:V632" si="36">Q579*U579*(1-S579)</f>
        <v>6732.4334000000008</v>
      </c>
      <c r="W579" s="9">
        <f t="shared" ref="W579:W632" si="37">O579*U579</f>
        <v>5258.96</v>
      </c>
      <c r="X579" s="9">
        <f t="shared" ref="X579:X632" si="38">V579-W579</f>
        <v>1473.4734000000008</v>
      </c>
      <c r="Y579" s="11">
        <f t="shared" ref="Y579:Y632" si="39">IF(V579=0,0,X579/V579)</f>
        <v>0.21886193482433863</v>
      </c>
    </row>
    <row r="580" spans="1:25" x14ac:dyDescent="0.3">
      <c r="A580" t="s">
        <v>593</v>
      </c>
      <c r="B580">
        <v>45607</v>
      </c>
      <c r="C580">
        <v>45620</v>
      </c>
      <c r="D580" t="s">
        <v>2064</v>
      </c>
      <c r="E580">
        <v>45620</v>
      </c>
      <c r="F580">
        <v>13</v>
      </c>
      <c r="G580" t="s">
        <v>649</v>
      </c>
      <c r="H580" t="s">
        <v>658</v>
      </c>
      <c r="I580" t="s">
        <v>683</v>
      </c>
      <c r="J580" t="s">
        <v>701</v>
      </c>
      <c r="K580" t="s">
        <v>707</v>
      </c>
      <c r="L580" t="s">
        <v>718</v>
      </c>
      <c r="M580" t="s">
        <v>729</v>
      </c>
      <c r="N580" t="s">
        <v>2004</v>
      </c>
      <c r="O580" s="9">
        <v>164.53</v>
      </c>
      <c r="P580" s="9">
        <v>327.72</v>
      </c>
      <c r="Q580" s="9">
        <v>327.72</v>
      </c>
      <c r="R580" t="s">
        <v>2065</v>
      </c>
      <c r="S580" s="11">
        <v>6.7000000000000004E-2</v>
      </c>
      <c r="T580" t="s">
        <v>2065</v>
      </c>
      <c r="U580" s="13">
        <v>14</v>
      </c>
      <c r="V580" s="9">
        <f t="shared" si="36"/>
        <v>4280.6786400000001</v>
      </c>
      <c r="W580" s="9">
        <f t="shared" si="37"/>
        <v>2303.42</v>
      </c>
      <c r="X580" s="9">
        <f t="shared" si="38"/>
        <v>1977.25864</v>
      </c>
      <c r="Y580" s="11">
        <f t="shared" si="39"/>
        <v>0.46190307805960412</v>
      </c>
    </row>
    <row r="581" spans="1:25" x14ac:dyDescent="0.3">
      <c r="A581" t="s">
        <v>594</v>
      </c>
      <c r="B581">
        <v>45849</v>
      </c>
      <c r="C581">
        <v>45872</v>
      </c>
      <c r="D581" t="s">
        <v>2064</v>
      </c>
      <c r="E581">
        <v>45872</v>
      </c>
      <c r="F581">
        <v>23</v>
      </c>
      <c r="G581" t="s">
        <v>646</v>
      </c>
      <c r="H581" t="s">
        <v>650</v>
      </c>
      <c r="I581" t="s">
        <v>678</v>
      </c>
      <c r="J581" t="s">
        <v>705</v>
      </c>
      <c r="K581" t="s">
        <v>707</v>
      </c>
      <c r="L581" t="s">
        <v>712</v>
      </c>
      <c r="M581" t="s">
        <v>730</v>
      </c>
      <c r="N581" t="s">
        <v>2005</v>
      </c>
      <c r="O581" s="9">
        <v>389.93</v>
      </c>
      <c r="P581" s="9">
        <v>486.13</v>
      </c>
      <c r="Q581" s="9">
        <v>486.13</v>
      </c>
      <c r="R581" t="s">
        <v>2065</v>
      </c>
      <c r="S581" s="11">
        <v>0.13200000000000001</v>
      </c>
      <c r="T581" t="s">
        <v>2065</v>
      </c>
      <c r="U581" s="13">
        <v>17</v>
      </c>
      <c r="V581" s="9">
        <f t="shared" si="36"/>
        <v>7173.3342799999991</v>
      </c>
      <c r="W581" s="9">
        <f t="shared" si="37"/>
        <v>6628.81</v>
      </c>
      <c r="X581" s="9">
        <f t="shared" si="38"/>
        <v>544.52427999999873</v>
      </c>
      <c r="Y581" s="11">
        <f t="shared" si="39"/>
        <v>7.5909508569562828E-2</v>
      </c>
    </row>
    <row r="582" spans="1:25" x14ac:dyDescent="0.3">
      <c r="A582" t="s">
        <v>595</v>
      </c>
      <c r="B582">
        <v>45080</v>
      </c>
      <c r="C582">
        <v>45108</v>
      </c>
      <c r="D582" t="s">
        <v>2064</v>
      </c>
      <c r="E582">
        <v>45108</v>
      </c>
      <c r="F582">
        <v>28</v>
      </c>
      <c r="G582" t="s">
        <v>648</v>
      </c>
      <c r="H582" t="s">
        <v>655</v>
      </c>
      <c r="I582" t="s">
        <v>672</v>
      </c>
      <c r="J582" t="s">
        <v>705</v>
      </c>
      <c r="K582" t="s">
        <v>709</v>
      </c>
      <c r="L582" t="s">
        <v>720</v>
      </c>
      <c r="M582" t="s">
        <v>727</v>
      </c>
      <c r="N582" t="s">
        <v>2006</v>
      </c>
      <c r="O582" s="9">
        <v>860.4</v>
      </c>
      <c r="P582" s="9">
        <v>2066.6</v>
      </c>
      <c r="Q582" s="9">
        <v>2066.6</v>
      </c>
      <c r="R582" t="s">
        <v>2065</v>
      </c>
      <c r="S582" s="11">
        <v>0.01</v>
      </c>
      <c r="T582" t="s">
        <v>2065</v>
      </c>
      <c r="U582" s="13">
        <v>3</v>
      </c>
      <c r="V582" s="9">
        <f t="shared" si="36"/>
        <v>6137.8019999999988</v>
      </c>
      <c r="W582" s="9">
        <f t="shared" si="37"/>
        <v>2581.1999999999998</v>
      </c>
      <c r="X582" s="9">
        <f t="shared" si="38"/>
        <v>3556.601999999999</v>
      </c>
      <c r="Y582" s="11">
        <f t="shared" si="39"/>
        <v>0.57945857491004105</v>
      </c>
    </row>
    <row r="583" spans="1:25" x14ac:dyDescent="0.3">
      <c r="A583" t="s">
        <v>596</v>
      </c>
      <c r="B583">
        <v>44955</v>
      </c>
      <c r="C583">
        <v>44963</v>
      </c>
      <c r="D583" t="s">
        <v>2064</v>
      </c>
      <c r="E583">
        <v>44963</v>
      </c>
      <c r="F583">
        <v>8</v>
      </c>
      <c r="G583" t="s">
        <v>648</v>
      </c>
      <c r="H583" t="s">
        <v>655</v>
      </c>
      <c r="I583" t="s">
        <v>672</v>
      </c>
      <c r="J583" t="s">
        <v>701</v>
      </c>
      <c r="K583" t="s">
        <v>709</v>
      </c>
      <c r="L583" t="s">
        <v>726</v>
      </c>
      <c r="M583" t="s">
        <v>732</v>
      </c>
      <c r="N583" t="s">
        <v>2007</v>
      </c>
      <c r="O583" s="9">
        <v>41.84</v>
      </c>
      <c r="P583" s="9">
        <v>86.2</v>
      </c>
      <c r="Q583" s="9">
        <v>86.2</v>
      </c>
      <c r="R583" t="s">
        <v>2065</v>
      </c>
      <c r="S583" s="11">
        <v>0.22600000000000001</v>
      </c>
      <c r="T583" t="s">
        <v>2065</v>
      </c>
      <c r="U583" s="13">
        <v>27</v>
      </c>
      <c r="V583" s="9">
        <f t="shared" si="36"/>
        <v>1801.4076000000002</v>
      </c>
      <c r="W583" s="9">
        <f t="shared" si="37"/>
        <v>1129.68</v>
      </c>
      <c r="X583" s="9">
        <f t="shared" si="38"/>
        <v>671.72760000000017</v>
      </c>
      <c r="Y583" s="11">
        <f t="shared" si="39"/>
        <v>0.37289039970742882</v>
      </c>
    </row>
    <row r="584" spans="1:25" x14ac:dyDescent="0.3">
      <c r="A584" t="s">
        <v>597</v>
      </c>
      <c r="B584">
        <v>45541</v>
      </c>
      <c r="C584">
        <v>45539</v>
      </c>
      <c r="D584" t="s">
        <v>2066</v>
      </c>
      <c r="E584">
        <v>45541</v>
      </c>
      <c r="F584">
        <v>0</v>
      </c>
      <c r="G584" t="s">
        <v>647</v>
      </c>
      <c r="H584" t="s">
        <v>652</v>
      </c>
      <c r="I584" t="s">
        <v>666</v>
      </c>
      <c r="J584" t="s">
        <v>701</v>
      </c>
      <c r="K584" t="s">
        <v>711</v>
      </c>
      <c r="L584" t="s">
        <v>720</v>
      </c>
      <c r="M584" t="s">
        <v>731</v>
      </c>
      <c r="N584" t="s">
        <v>2008</v>
      </c>
      <c r="O584" s="9">
        <v>1368.17</v>
      </c>
      <c r="P584" s="9">
        <v>2307.75</v>
      </c>
      <c r="Q584" s="9">
        <v>2307.75</v>
      </c>
      <c r="R584" t="s">
        <v>2065</v>
      </c>
      <c r="S584" s="11">
        <v>0.16300000000000001</v>
      </c>
      <c r="T584" t="s">
        <v>2065</v>
      </c>
      <c r="U584" s="13">
        <v>21</v>
      </c>
      <c r="V584" s="9">
        <f t="shared" si="36"/>
        <v>40563.321749999996</v>
      </c>
      <c r="W584" s="9">
        <f t="shared" si="37"/>
        <v>28731.57</v>
      </c>
      <c r="X584" s="9">
        <f t="shared" si="38"/>
        <v>11831.751749999996</v>
      </c>
      <c r="Y584" s="11">
        <f t="shared" si="39"/>
        <v>0.29168596750831921</v>
      </c>
    </row>
    <row r="585" spans="1:25" x14ac:dyDescent="0.3">
      <c r="A585" t="s">
        <v>598</v>
      </c>
      <c r="B585">
        <v>45507</v>
      </c>
      <c r="C585">
        <v>45513</v>
      </c>
      <c r="D585" t="s">
        <v>2064</v>
      </c>
      <c r="E585">
        <v>45513</v>
      </c>
      <c r="F585">
        <v>6</v>
      </c>
      <c r="G585" t="s">
        <v>646</v>
      </c>
      <c r="H585" t="s">
        <v>650</v>
      </c>
      <c r="I585" t="s">
        <v>675</v>
      </c>
      <c r="J585" t="s">
        <v>704</v>
      </c>
      <c r="K585" t="s">
        <v>709</v>
      </c>
      <c r="L585" t="s">
        <v>722</v>
      </c>
      <c r="M585" t="s">
        <v>731</v>
      </c>
      <c r="N585" t="s">
        <v>2009</v>
      </c>
      <c r="O585" s="9">
        <v>643.21</v>
      </c>
      <c r="P585" s="9">
        <v>1112.81</v>
      </c>
      <c r="Q585" s="9">
        <v>1112.81</v>
      </c>
      <c r="R585" t="s">
        <v>2065</v>
      </c>
      <c r="S585" s="11">
        <v>0.14099999999999999</v>
      </c>
      <c r="T585" t="s">
        <v>2065</v>
      </c>
      <c r="U585" s="13">
        <v>4</v>
      </c>
      <c r="V585" s="9">
        <f t="shared" si="36"/>
        <v>3823.6151599999998</v>
      </c>
      <c r="W585" s="9">
        <f t="shared" si="37"/>
        <v>2572.84</v>
      </c>
      <c r="X585" s="9">
        <f t="shared" si="38"/>
        <v>1250.7751599999997</v>
      </c>
      <c r="Y585" s="11">
        <f t="shared" si="39"/>
        <v>0.32711847496702562</v>
      </c>
    </row>
    <row r="586" spans="1:25" x14ac:dyDescent="0.3">
      <c r="A586" t="s">
        <v>599</v>
      </c>
      <c r="B586">
        <v>45764</v>
      </c>
      <c r="C586">
        <v>45764</v>
      </c>
      <c r="D586" t="s">
        <v>2064</v>
      </c>
      <c r="E586">
        <v>45764</v>
      </c>
      <c r="F586">
        <v>0</v>
      </c>
      <c r="G586" t="s">
        <v>648</v>
      </c>
      <c r="H586" t="s">
        <v>655</v>
      </c>
      <c r="I586" t="s">
        <v>670</v>
      </c>
      <c r="J586" t="s">
        <v>701</v>
      </c>
      <c r="K586" t="s">
        <v>710</v>
      </c>
      <c r="L586" t="s">
        <v>716</v>
      </c>
      <c r="M586" t="s">
        <v>730</v>
      </c>
      <c r="N586" t="s">
        <v>2010</v>
      </c>
      <c r="O586" s="9">
        <v>719.41</v>
      </c>
      <c r="P586" s="9">
        <v>1125.99</v>
      </c>
      <c r="Q586" s="9">
        <v>1125.99</v>
      </c>
      <c r="R586" t="s">
        <v>2065</v>
      </c>
      <c r="S586" s="11">
        <v>4.1000000000000002E-2</v>
      </c>
      <c r="T586" t="s">
        <v>2065</v>
      </c>
      <c r="U586" s="13">
        <v>21</v>
      </c>
      <c r="V586" s="9">
        <f t="shared" si="36"/>
        <v>22676.312610000001</v>
      </c>
      <c r="W586" s="9">
        <f t="shared" si="37"/>
        <v>15107.609999999999</v>
      </c>
      <c r="X586" s="9">
        <f t="shared" si="38"/>
        <v>7568.7026100000021</v>
      </c>
      <c r="Y586" s="11">
        <f t="shared" si="39"/>
        <v>0.33377131194876403</v>
      </c>
    </row>
    <row r="587" spans="1:25" x14ac:dyDescent="0.3">
      <c r="A587" t="s">
        <v>600</v>
      </c>
      <c r="B587">
        <v>45049</v>
      </c>
      <c r="C587">
        <v>45062</v>
      </c>
      <c r="D587" t="s">
        <v>2064</v>
      </c>
      <c r="E587">
        <v>45062</v>
      </c>
      <c r="F587">
        <v>13</v>
      </c>
      <c r="G587" t="s">
        <v>648</v>
      </c>
      <c r="H587" t="s">
        <v>1425</v>
      </c>
      <c r="I587" t="s">
        <v>700</v>
      </c>
      <c r="J587" t="s">
        <v>701</v>
      </c>
      <c r="K587" t="s">
        <v>709</v>
      </c>
      <c r="L587" t="s">
        <v>716</v>
      </c>
      <c r="M587" t="s">
        <v>730</v>
      </c>
      <c r="N587" t="s">
        <v>2011</v>
      </c>
      <c r="O587" s="9">
        <v>64.5</v>
      </c>
      <c r="P587" s="9">
        <v>123.62</v>
      </c>
      <c r="Q587" s="9">
        <v>123.62</v>
      </c>
      <c r="R587" t="s">
        <v>2065</v>
      </c>
      <c r="S587" s="11">
        <v>0</v>
      </c>
      <c r="T587" t="s">
        <v>2065</v>
      </c>
      <c r="U587" s="13">
        <v>3</v>
      </c>
      <c r="V587" s="9">
        <f t="shared" si="36"/>
        <v>370.86</v>
      </c>
      <c r="W587" s="9">
        <f t="shared" si="37"/>
        <v>193.5</v>
      </c>
      <c r="X587" s="9">
        <f t="shared" si="38"/>
        <v>177.36</v>
      </c>
      <c r="Y587" s="11">
        <f t="shared" si="39"/>
        <v>0.47823976702798904</v>
      </c>
    </row>
    <row r="588" spans="1:25" x14ac:dyDescent="0.3">
      <c r="A588" t="s">
        <v>601</v>
      </c>
      <c r="B588">
        <v>45364</v>
      </c>
      <c r="C588">
        <v>45388</v>
      </c>
      <c r="D588" t="s">
        <v>2064</v>
      </c>
      <c r="E588">
        <v>45388</v>
      </c>
      <c r="F588">
        <v>24</v>
      </c>
      <c r="G588" t="s">
        <v>646</v>
      </c>
      <c r="H588" t="s">
        <v>651</v>
      </c>
      <c r="I588" t="s">
        <v>669</v>
      </c>
      <c r="J588" t="s">
        <v>704</v>
      </c>
      <c r="K588" t="s">
        <v>710</v>
      </c>
      <c r="L588" t="s">
        <v>716</v>
      </c>
      <c r="M588" t="s">
        <v>727</v>
      </c>
      <c r="N588" t="s">
        <v>2012</v>
      </c>
      <c r="O588" s="9">
        <v>1232.78</v>
      </c>
      <c r="P588" s="9">
        <v>1731.75</v>
      </c>
      <c r="Q588" s="9">
        <v>1731.75</v>
      </c>
      <c r="R588" t="s">
        <v>2065</v>
      </c>
      <c r="S588" s="11">
        <v>9.2999999999999999E-2</v>
      </c>
      <c r="T588" t="s">
        <v>2065</v>
      </c>
      <c r="U588" s="13">
        <v>16</v>
      </c>
      <c r="V588" s="9">
        <f t="shared" si="36"/>
        <v>25131.155999999999</v>
      </c>
      <c r="W588" s="9">
        <f t="shared" si="37"/>
        <v>19724.48</v>
      </c>
      <c r="X588" s="9">
        <f t="shared" si="38"/>
        <v>5406.6759999999995</v>
      </c>
      <c r="Y588" s="11">
        <f t="shared" si="39"/>
        <v>0.21513837246484005</v>
      </c>
    </row>
    <row r="589" spans="1:25" x14ac:dyDescent="0.3">
      <c r="A589" t="s">
        <v>602</v>
      </c>
      <c r="B589">
        <v>45459</v>
      </c>
      <c r="C589">
        <v>45464</v>
      </c>
      <c r="D589" t="s">
        <v>2064</v>
      </c>
      <c r="E589">
        <v>45464</v>
      </c>
      <c r="F589">
        <v>5</v>
      </c>
      <c r="G589" t="s">
        <v>647</v>
      </c>
      <c r="H589" t="s">
        <v>652</v>
      </c>
      <c r="I589" t="s">
        <v>689</v>
      </c>
      <c r="J589" t="s">
        <v>705</v>
      </c>
      <c r="K589" t="s">
        <v>710</v>
      </c>
      <c r="L589" t="s">
        <v>721</v>
      </c>
      <c r="M589" t="s">
        <v>730</v>
      </c>
      <c r="N589" t="s">
        <v>2013</v>
      </c>
      <c r="O589" s="9">
        <v>1367.13</v>
      </c>
      <c r="P589" s="9">
        <v>3062.01</v>
      </c>
      <c r="Q589" s="9">
        <v>3062.01</v>
      </c>
      <c r="R589" t="s">
        <v>2065</v>
      </c>
      <c r="S589" s="11">
        <v>0.10299999999999999</v>
      </c>
      <c r="T589" t="s">
        <v>2065</v>
      </c>
      <c r="U589" s="13">
        <v>25</v>
      </c>
      <c r="V589" s="9">
        <f t="shared" si="36"/>
        <v>68665.574250000005</v>
      </c>
      <c r="W589" s="9">
        <f t="shared" si="37"/>
        <v>34178.25</v>
      </c>
      <c r="X589" s="9">
        <f t="shared" si="38"/>
        <v>34487.324250000005</v>
      </c>
      <c r="Y589" s="11">
        <f t="shared" si="39"/>
        <v>0.50225057645971705</v>
      </c>
    </row>
    <row r="590" spans="1:25" x14ac:dyDescent="0.3">
      <c r="A590" t="s">
        <v>603</v>
      </c>
      <c r="B590">
        <v>45703</v>
      </c>
      <c r="C590">
        <v>45715</v>
      </c>
      <c r="D590" t="s">
        <v>2064</v>
      </c>
      <c r="E590">
        <v>45715</v>
      </c>
      <c r="F590">
        <v>12</v>
      </c>
      <c r="G590" t="s">
        <v>649</v>
      </c>
      <c r="H590" t="s">
        <v>657</v>
      </c>
      <c r="I590" t="s">
        <v>679</v>
      </c>
      <c r="J590" t="s">
        <v>703</v>
      </c>
      <c r="K590" t="s">
        <v>711</v>
      </c>
      <c r="L590" t="s">
        <v>723</v>
      </c>
      <c r="M590" t="s">
        <v>733</v>
      </c>
      <c r="N590" t="s">
        <v>2014</v>
      </c>
      <c r="O590" s="9">
        <v>1027.26</v>
      </c>
      <c r="P590" s="9">
        <v>2200.41</v>
      </c>
      <c r="Q590" s="9">
        <v>2200.41</v>
      </c>
      <c r="R590" t="s">
        <v>2065</v>
      </c>
      <c r="S590" s="11">
        <v>8.7999999999999995E-2</v>
      </c>
      <c r="T590" t="s">
        <v>2065</v>
      </c>
      <c r="U590" s="13">
        <v>6</v>
      </c>
      <c r="V590" s="9">
        <f t="shared" si="36"/>
        <v>12040.64352</v>
      </c>
      <c r="W590" s="9">
        <f t="shared" si="37"/>
        <v>6163.5599999999995</v>
      </c>
      <c r="X590" s="9">
        <f t="shared" si="38"/>
        <v>5877.0835200000001</v>
      </c>
      <c r="Y590" s="11">
        <f t="shared" si="39"/>
        <v>0.48810377204822358</v>
      </c>
    </row>
    <row r="591" spans="1:25" x14ac:dyDescent="0.3">
      <c r="A591" t="s">
        <v>604</v>
      </c>
      <c r="B591">
        <v>45019</v>
      </c>
      <c r="C591">
        <v>45032</v>
      </c>
      <c r="D591" t="s">
        <v>2064</v>
      </c>
      <c r="E591">
        <v>45032</v>
      </c>
      <c r="F591">
        <v>13</v>
      </c>
      <c r="G591" t="s">
        <v>649</v>
      </c>
      <c r="H591" t="s">
        <v>657</v>
      </c>
      <c r="I591" t="s">
        <v>673</v>
      </c>
      <c r="J591" t="s">
        <v>703</v>
      </c>
      <c r="K591" t="s">
        <v>709</v>
      </c>
      <c r="L591" t="s">
        <v>724</v>
      </c>
      <c r="M591" t="s">
        <v>733</v>
      </c>
      <c r="N591" t="s">
        <v>2015</v>
      </c>
      <c r="O591" s="9">
        <v>790.54</v>
      </c>
      <c r="P591" s="9">
        <v>601.49</v>
      </c>
      <c r="Q591" s="9">
        <v>601.49</v>
      </c>
      <c r="R591" t="s">
        <v>2065</v>
      </c>
      <c r="S591" s="11">
        <v>0</v>
      </c>
      <c r="T591" t="s">
        <v>2065</v>
      </c>
      <c r="U591" s="13">
        <v>15</v>
      </c>
      <c r="V591" s="9">
        <f t="shared" si="36"/>
        <v>9022.35</v>
      </c>
      <c r="W591" s="9">
        <f t="shared" si="37"/>
        <v>11858.099999999999</v>
      </c>
      <c r="X591" s="9">
        <f t="shared" si="38"/>
        <v>-2835.7499999999982</v>
      </c>
      <c r="Y591" s="11">
        <f t="shared" si="39"/>
        <v>-0.31430281467688553</v>
      </c>
    </row>
    <row r="592" spans="1:25" x14ac:dyDescent="0.3">
      <c r="A592" t="s">
        <v>605</v>
      </c>
      <c r="B592">
        <v>45899</v>
      </c>
      <c r="C592">
        <v>45922</v>
      </c>
      <c r="D592" t="s">
        <v>2064</v>
      </c>
      <c r="E592">
        <v>45922</v>
      </c>
      <c r="F592">
        <v>23</v>
      </c>
      <c r="G592" t="s">
        <v>649</v>
      </c>
      <c r="H592" t="s">
        <v>657</v>
      </c>
      <c r="I592" t="s">
        <v>673</v>
      </c>
      <c r="J592" t="s">
        <v>701</v>
      </c>
      <c r="K592" t="s">
        <v>711</v>
      </c>
      <c r="L592" t="s">
        <v>718</v>
      </c>
      <c r="M592" t="s">
        <v>727</v>
      </c>
      <c r="N592" t="s">
        <v>2016</v>
      </c>
      <c r="O592" s="9">
        <v>663.9</v>
      </c>
      <c r="P592" s="9">
        <v>947.77</v>
      </c>
      <c r="Q592" s="9">
        <v>947.77</v>
      </c>
      <c r="R592" t="s">
        <v>2065</v>
      </c>
      <c r="S592" s="11">
        <v>0.17399999999999999</v>
      </c>
      <c r="T592" t="s">
        <v>2065</v>
      </c>
      <c r="U592" s="13">
        <v>15</v>
      </c>
      <c r="V592" s="9">
        <f t="shared" si="36"/>
        <v>11742.8703</v>
      </c>
      <c r="W592" s="9">
        <f t="shared" si="37"/>
        <v>9958.5</v>
      </c>
      <c r="X592" s="9">
        <f t="shared" si="38"/>
        <v>1784.3703000000005</v>
      </c>
      <c r="Y592" s="11">
        <f t="shared" si="39"/>
        <v>0.1519535049280073</v>
      </c>
    </row>
    <row r="593" spans="1:25" x14ac:dyDescent="0.3">
      <c r="A593" t="s">
        <v>606</v>
      </c>
      <c r="B593">
        <v>44984</v>
      </c>
      <c r="C593">
        <v>44983</v>
      </c>
      <c r="D593" t="s">
        <v>2066</v>
      </c>
      <c r="E593">
        <v>44984</v>
      </c>
      <c r="F593">
        <v>0</v>
      </c>
      <c r="G593" t="s">
        <v>648</v>
      </c>
      <c r="H593" t="s">
        <v>1425</v>
      </c>
      <c r="I593" t="s">
        <v>686</v>
      </c>
      <c r="J593" t="s">
        <v>703</v>
      </c>
      <c r="K593" t="s">
        <v>708</v>
      </c>
      <c r="L593" t="s">
        <v>716</v>
      </c>
      <c r="M593" t="s">
        <v>729</v>
      </c>
      <c r="N593" t="s">
        <v>2017</v>
      </c>
      <c r="O593" s="9">
        <v>1015.91</v>
      </c>
      <c r="P593" s="9">
        <v>2331.48</v>
      </c>
      <c r="Q593" s="9">
        <v>2331.48</v>
      </c>
      <c r="R593" t="s">
        <v>2065</v>
      </c>
      <c r="S593" s="11">
        <v>0.14599999999999999</v>
      </c>
      <c r="T593" t="s">
        <v>2065</v>
      </c>
      <c r="U593" s="13">
        <v>26</v>
      </c>
      <c r="V593" s="9">
        <f t="shared" si="36"/>
        <v>51768.181920000003</v>
      </c>
      <c r="W593" s="9">
        <f t="shared" si="37"/>
        <v>26413.66</v>
      </c>
      <c r="X593" s="9">
        <f t="shared" si="38"/>
        <v>25354.521920000003</v>
      </c>
      <c r="Y593" s="11">
        <f t="shared" si="39"/>
        <v>0.48977037592669626</v>
      </c>
    </row>
    <row r="594" spans="1:25" x14ac:dyDescent="0.3">
      <c r="A594" t="s">
        <v>607</v>
      </c>
      <c r="B594">
        <v>45504</v>
      </c>
      <c r="C594">
        <v>45519</v>
      </c>
      <c r="D594" t="s">
        <v>2064</v>
      </c>
      <c r="E594">
        <v>45519</v>
      </c>
      <c r="F594">
        <v>15</v>
      </c>
      <c r="G594" t="s">
        <v>647</v>
      </c>
      <c r="H594" t="s">
        <v>652</v>
      </c>
      <c r="I594" t="s">
        <v>689</v>
      </c>
      <c r="J594" t="s">
        <v>701</v>
      </c>
      <c r="K594" t="s">
        <v>709</v>
      </c>
      <c r="L594" t="s">
        <v>721</v>
      </c>
      <c r="M594" t="s">
        <v>732</v>
      </c>
      <c r="N594" t="s">
        <v>2018</v>
      </c>
      <c r="O594" s="9">
        <v>1252.52</v>
      </c>
      <c r="P594" s="9">
        <v>1417.24</v>
      </c>
      <c r="Q594" s="9">
        <v>1417.24</v>
      </c>
      <c r="R594" t="s">
        <v>2065</v>
      </c>
      <c r="S594" s="11">
        <v>0.192</v>
      </c>
      <c r="T594" t="s">
        <v>2065</v>
      </c>
      <c r="U594" s="13">
        <v>5</v>
      </c>
      <c r="V594" s="9">
        <f t="shared" si="36"/>
        <v>5725.6496000000006</v>
      </c>
      <c r="W594" s="9">
        <f t="shared" si="37"/>
        <v>6262.6</v>
      </c>
      <c r="X594" s="9">
        <f t="shared" si="38"/>
        <v>-536.95039999999972</v>
      </c>
      <c r="Y594" s="11">
        <f t="shared" si="39"/>
        <v>-9.3779821943696953E-2</v>
      </c>
    </row>
    <row r="595" spans="1:25" x14ac:dyDescent="0.3">
      <c r="A595" t="s">
        <v>608</v>
      </c>
      <c r="B595">
        <v>45823</v>
      </c>
      <c r="C595">
        <v>45850</v>
      </c>
      <c r="D595" t="s">
        <v>2064</v>
      </c>
      <c r="E595">
        <v>45850</v>
      </c>
      <c r="F595">
        <v>27</v>
      </c>
      <c r="G595" t="s">
        <v>649</v>
      </c>
      <c r="H595" t="s">
        <v>657</v>
      </c>
      <c r="I595" t="s">
        <v>673</v>
      </c>
      <c r="J595" t="s">
        <v>704</v>
      </c>
      <c r="K595" t="s">
        <v>711</v>
      </c>
      <c r="L595" t="s">
        <v>712</v>
      </c>
      <c r="M595" t="s">
        <v>733</v>
      </c>
      <c r="N595" t="s">
        <v>2019</v>
      </c>
      <c r="O595" s="9">
        <v>318.83</v>
      </c>
      <c r="P595" s="9">
        <v>699.5</v>
      </c>
      <c r="Q595" s="9">
        <v>699.5</v>
      </c>
      <c r="R595" t="s">
        <v>2065</v>
      </c>
      <c r="S595" s="11">
        <v>0.08</v>
      </c>
      <c r="T595" t="s">
        <v>2065</v>
      </c>
      <c r="U595" s="13">
        <v>13</v>
      </c>
      <c r="V595" s="9">
        <f t="shared" si="36"/>
        <v>8366.02</v>
      </c>
      <c r="W595" s="9">
        <f t="shared" si="37"/>
        <v>4144.79</v>
      </c>
      <c r="X595" s="9">
        <f t="shared" si="38"/>
        <v>4221.2300000000005</v>
      </c>
      <c r="Y595" s="11">
        <f t="shared" si="39"/>
        <v>0.50456848059172699</v>
      </c>
    </row>
    <row r="596" spans="1:25" x14ac:dyDescent="0.3">
      <c r="A596" t="s">
        <v>609</v>
      </c>
      <c r="B596">
        <v>45473</v>
      </c>
      <c r="C596">
        <v>45494</v>
      </c>
      <c r="D596" t="s">
        <v>2064</v>
      </c>
      <c r="E596">
        <v>45494</v>
      </c>
      <c r="F596">
        <v>21</v>
      </c>
      <c r="G596" t="s">
        <v>646</v>
      </c>
      <c r="H596" t="s">
        <v>650</v>
      </c>
      <c r="I596" t="s">
        <v>662</v>
      </c>
      <c r="J596" t="s">
        <v>705</v>
      </c>
      <c r="K596" t="s">
        <v>707</v>
      </c>
      <c r="L596" t="s">
        <v>723</v>
      </c>
      <c r="M596" t="s">
        <v>731</v>
      </c>
      <c r="N596" t="s">
        <v>2020</v>
      </c>
      <c r="O596" s="9">
        <v>753.43</v>
      </c>
      <c r="P596" s="9">
        <v>1787.2</v>
      </c>
      <c r="Q596" s="9">
        <v>1787.2</v>
      </c>
      <c r="R596" t="s">
        <v>2065</v>
      </c>
      <c r="S596" s="11">
        <v>7.2999999999999995E-2</v>
      </c>
      <c r="T596" t="s">
        <v>2065</v>
      </c>
      <c r="U596" s="13">
        <v>9</v>
      </c>
      <c r="V596" s="9">
        <f t="shared" si="36"/>
        <v>14910.609600000002</v>
      </c>
      <c r="W596" s="9">
        <f t="shared" si="37"/>
        <v>6780.87</v>
      </c>
      <c r="X596" s="9">
        <f t="shared" si="38"/>
        <v>8129.7396000000017</v>
      </c>
      <c r="Y596" s="11">
        <f t="shared" si="39"/>
        <v>0.54523187301476939</v>
      </c>
    </row>
    <row r="597" spans="1:25" x14ac:dyDescent="0.3">
      <c r="A597" t="s">
        <v>610</v>
      </c>
      <c r="B597">
        <v>45705</v>
      </c>
      <c r="C597">
        <v>45703</v>
      </c>
      <c r="D597" t="s">
        <v>2066</v>
      </c>
      <c r="E597">
        <v>45705</v>
      </c>
      <c r="F597">
        <v>0</v>
      </c>
      <c r="G597" t="s">
        <v>648</v>
      </c>
      <c r="H597" t="s">
        <v>653</v>
      </c>
      <c r="I597" t="s">
        <v>667</v>
      </c>
      <c r="J597" t="s">
        <v>705</v>
      </c>
      <c r="K597" t="s">
        <v>707</v>
      </c>
      <c r="L597" t="s">
        <v>726</v>
      </c>
      <c r="M597" t="s">
        <v>727</v>
      </c>
      <c r="N597" t="s">
        <v>2021</v>
      </c>
      <c r="O597" s="9">
        <v>1133.47</v>
      </c>
      <c r="P597" s="9">
        <v>1698.75</v>
      </c>
      <c r="Q597" s="9">
        <v>1698.75</v>
      </c>
      <c r="R597" t="s">
        <v>2065</v>
      </c>
      <c r="S597" s="11">
        <v>4.2999999999999997E-2</v>
      </c>
      <c r="T597" t="s">
        <v>2065</v>
      </c>
      <c r="U597" s="13">
        <v>5</v>
      </c>
      <c r="V597" s="9">
        <f t="shared" si="36"/>
        <v>8128.5187499999993</v>
      </c>
      <c r="W597" s="9">
        <f t="shared" si="37"/>
        <v>5667.35</v>
      </c>
      <c r="X597" s="9">
        <f t="shared" si="38"/>
        <v>2461.1687499999989</v>
      </c>
      <c r="Y597" s="11">
        <f t="shared" si="39"/>
        <v>0.30278194904821976</v>
      </c>
    </row>
    <row r="598" spans="1:25" x14ac:dyDescent="0.3">
      <c r="A598" t="s">
        <v>611</v>
      </c>
      <c r="B598">
        <v>44933</v>
      </c>
      <c r="C598">
        <v>44956</v>
      </c>
      <c r="D598" t="s">
        <v>2064</v>
      </c>
      <c r="E598">
        <v>44956</v>
      </c>
      <c r="F598">
        <v>23</v>
      </c>
      <c r="G598" t="s">
        <v>646</v>
      </c>
      <c r="H598" t="s">
        <v>661</v>
      </c>
      <c r="I598" t="s">
        <v>695</v>
      </c>
      <c r="J598" t="s">
        <v>704</v>
      </c>
      <c r="K598" t="s">
        <v>708</v>
      </c>
      <c r="L598" t="s">
        <v>720</v>
      </c>
      <c r="M598" t="s">
        <v>728</v>
      </c>
      <c r="N598" t="s">
        <v>2022</v>
      </c>
      <c r="O598" s="9">
        <v>299.02</v>
      </c>
      <c r="P598" s="9">
        <v>724.7</v>
      </c>
      <c r="Q598" s="9">
        <v>724.7</v>
      </c>
      <c r="R598" t="s">
        <v>2065</v>
      </c>
      <c r="S598" s="11">
        <v>0.14000000000000001</v>
      </c>
      <c r="T598" t="s">
        <v>2065</v>
      </c>
      <c r="U598" s="13">
        <v>5</v>
      </c>
      <c r="V598" s="9">
        <f t="shared" si="36"/>
        <v>3116.21</v>
      </c>
      <c r="W598" s="9">
        <f t="shared" si="37"/>
        <v>1495.1</v>
      </c>
      <c r="X598" s="9">
        <f t="shared" si="38"/>
        <v>1621.1100000000001</v>
      </c>
      <c r="Y598" s="11">
        <f t="shared" si="39"/>
        <v>0.52021847051386139</v>
      </c>
    </row>
    <row r="599" spans="1:25" x14ac:dyDescent="0.3">
      <c r="A599" t="s">
        <v>612</v>
      </c>
      <c r="B599">
        <v>45726</v>
      </c>
      <c r="C599">
        <v>45751</v>
      </c>
      <c r="D599" t="s">
        <v>2064</v>
      </c>
      <c r="E599">
        <v>45751</v>
      </c>
      <c r="F599">
        <v>25</v>
      </c>
      <c r="G599" t="s">
        <v>647</v>
      </c>
      <c r="H599" t="s">
        <v>652</v>
      </c>
      <c r="I599" t="s">
        <v>666</v>
      </c>
      <c r="J599" t="s">
        <v>701</v>
      </c>
      <c r="K599" t="s">
        <v>711</v>
      </c>
      <c r="L599" t="s">
        <v>722</v>
      </c>
      <c r="M599" t="s">
        <v>728</v>
      </c>
      <c r="N599" t="s">
        <v>2023</v>
      </c>
      <c r="O599" s="9">
        <v>783.72</v>
      </c>
      <c r="P599" s="9">
        <v>1355.94</v>
      </c>
      <c r="Q599" s="9">
        <v>1355.94</v>
      </c>
      <c r="R599" t="s">
        <v>2065</v>
      </c>
      <c r="S599" s="11">
        <v>0.187</v>
      </c>
      <c r="T599" t="s">
        <v>2065</v>
      </c>
      <c r="U599" s="13">
        <v>4</v>
      </c>
      <c r="V599" s="9">
        <f t="shared" si="36"/>
        <v>4409.5168800000001</v>
      </c>
      <c r="W599" s="9">
        <f t="shared" si="37"/>
        <v>3134.88</v>
      </c>
      <c r="X599" s="9">
        <f t="shared" si="38"/>
        <v>1274.63688</v>
      </c>
      <c r="Y599" s="11">
        <f t="shared" si="39"/>
        <v>0.28906497348525856</v>
      </c>
    </row>
    <row r="600" spans="1:25" x14ac:dyDescent="0.3">
      <c r="A600" t="s">
        <v>613</v>
      </c>
      <c r="B600">
        <v>45521</v>
      </c>
      <c r="C600">
        <v>45519</v>
      </c>
      <c r="D600" t="s">
        <v>2066</v>
      </c>
      <c r="E600">
        <v>45521</v>
      </c>
      <c r="F600">
        <v>0</v>
      </c>
      <c r="G600" t="s">
        <v>648</v>
      </c>
      <c r="H600" t="s">
        <v>655</v>
      </c>
      <c r="I600" t="s">
        <v>1426</v>
      </c>
      <c r="J600" t="s">
        <v>704</v>
      </c>
      <c r="K600" t="s">
        <v>711</v>
      </c>
      <c r="L600" t="s">
        <v>724</v>
      </c>
      <c r="M600" t="s">
        <v>732</v>
      </c>
      <c r="N600" t="s">
        <v>2024</v>
      </c>
      <c r="O600" s="9">
        <v>165.3</v>
      </c>
      <c r="P600" s="9">
        <v>275.07</v>
      </c>
      <c r="Q600" s="9">
        <v>275.07</v>
      </c>
      <c r="R600" t="s">
        <v>2065</v>
      </c>
      <c r="S600" s="11">
        <v>0.13300000000000001</v>
      </c>
      <c r="T600" t="s">
        <v>2065</v>
      </c>
      <c r="U600" s="13">
        <v>25</v>
      </c>
      <c r="V600" s="9">
        <f t="shared" si="36"/>
        <v>5962.1422499999999</v>
      </c>
      <c r="W600" s="9">
        <f t="shared" si="37"/>
        <v>4132.5</v>
      </c>
      <c r="X600" s="9">
        <f t="shared" si="38"/>
        <v>1829.6422499999999</v>
      </c>
      <c r="Y600" s="11">
        <f t="shared" si="39"/>
        <v>0.30687665159280625</v>
      </c>
    </row>
    <row r="601" spans="1:25" x14ac:dyDescent="0.3">
      <c r="A601" t="s">
        <v>614</v>
      </c>
      <c r="B601">
        <v>45360</v>
      </c>
      <c r="C601">
        <v>45373</v>
      </c>
      <c r="D601" t="s">
        <v>2064</v>
      </c>
      <c r="E601">
        <v>45373</v>
      </c>
      <c r="F601">
        <v>13</v>
      </c>
      <c r="G601" t="s">
        <v>649</v>
      </c>
      <c r="H601" t="s">
        <v>658</v>
      </c>
      <c r="I601" t="s">
        <v>693</v>
      </c>
      <c r="J601" t="s">
        <v>704</v>
      </c>
      <c r="K601" t="s">
        <v>708</v>
      </c>
      <c r="L601" t="s">
        <v>718</v>
      </c>
      <c r="M601" t="s">
        <v>731</v>
      </c>
      <c r="N601" t="s">
        <v>2025</v>
      </c>
      <c r="O601" s="9">
        <v>985.45</v>
      </c>
      <c r="P601" s="9">
        <v>1802.44</v>
      </c>
      <c r="Q601" s="9">
        <v>1802.44</v>
      </c>
      <c r="R601" t="s">
        <v>2065</v>
      </c>
      <c r="S601" s="11">
        <v>8.9999999999999993E-3</v>
      </c>
      <c r="T601" t="s">
        <v>2065</v>
      </c>
      <c r="U601" s="13">
        <v>19</v>
      </c>
      <c r="V601" s="9">
        <f t="shared" si="36"/>
        <v>33938.142760000002</v>
      </c>
      <c r="W601" s="9">
        <f t="shared" si="37"/>
        <v>18723.55</v>
      </c>
      <c r="X601" s="9">
        <f t="shared" si="38"/>
        <v>15214.592760000003</v>
      </c>
      <c r="Y601" s="11">
        <f t="shared" si="39"/>
        <v>0.44830363486867486</v>
      </c>
    </row>
    <row r="602" spans="1:25" x14ac:dyDescent="0.3">
      <c r="A602" t="s">
        <v>615</v>
      </c>
      <c r="B602">
        <v>45523</v>
      </c>
      <c r="C602">
        <v>45537</v>
      </c>
      <c r="D602" t="s">
        <v>2064</v>
      </c>
      <c r="E602">
        <v>45537</v>
      </c>
      <c r="F602">
        <v>14</v>
      </c>
      <c r="G602" t="s">
        <v>648</v>
      </c>
      <c r="H602" t="s">
        <v>653</v>
      </c>
      <c r="I602" t="s">
        <v>667</v>
      </c>
      <c r="J602" t="s">
        <v>704</v>
      </c>
      <c r="K602" t="s">
        <v>710</v>
      </c>
      <c r="L602" t="s">
        <v>712</v>
      </c>
      <c r="M602" t="s">
        <v>728</v>
      </c>
      <c r="N602" t="s">
        <v>2026</v>
      </c>
      <c r="O602" s="9">
        <v>1337.01</v>
      </c>
      <c r="P602" s="9">
        <v>1269.78</v>
      </c>
      <c r="Q602" s="9">
        <v>1269.78</v>
      </c>
      <c r="R602" t="s">
        <v>2065</v>
      </c>
      <c r="S602" s="11">
        <v>0.16</v>
      </c>
      <c r="T602" t="s">
        <v>2065</v>
      </c>
      <c r="U602" s="13">
        <v>7</v>
      </c>
      <c r="V602" s="9">
        <f t="shared" si="36"/>
        <v>7466.3063999999986</v>
      </c>
      <c r="W602" s="9">
        <f t="shared" si="37"/>
        <v>9359.07</v>
      </c>
      <c r="X602" s="9">
        <f t="shared" si="38"/>
        <v>-1892.7636000000011</v>
      </c>
      <c r="Y602" s="11">
        <f t="shared" si="39"/>
        <v>-0.25350735672996244</v>
      </c>
    </row>
    <row r="603" spans="1:25" x14ac:dyDescent="0.3">
      <c r="A603" t="s">
        <v>616</v>
      </c>
      <c r="B603">
        <v>45880</v>
      </c>
      <c r="C603">
        <v>45897</v>
      </c>
      <c r="D603" t="s">
        <v>2064</v>
      </c>
      <c r="E603">
        <v>45897</v>
      </c>
      <c r="F603">
        <v>17</v>
      </c>
      <c r="G603" t="s">
        <v>649</v>
      </c>
      <c r="H603" t="s">
        <v>657</v>
      </c>
      <c r="I603" t="s">
        <v>690</v>
      </c>
      <c r="J603" t="s">
        <v>702</v>
      </c>
      <c r="K603" t="s">
        <v>708</v>
      </c>
      <c r="L603" t="s">
        <v>721</v>
      </c>
      <c r="M603" t="s">
        <v>729</v>
      </c>
      <c r="N603" t="s">
        <v>2027</v>
      </c>
      <c r="O603" s="9">
        <v>416.16</v>
      </c>
      <c r="P603" s="9">
        <v>571.9</v>
      </c>
      <c r="Q603" s="9">
        <v>571.9</v>
      </c>
      <c r="R603" t="s">
        <v>2065</v>
      </c>
      <c r="S603" s="11">
        <v>7.0999999999999994E-2</v>
      </c>
      <c r="T603" t="s">
        <v>2065</v>
      </c>
      <c r="U603" s="13">
        <v>2</v>
      </c>
      <c r="V603" s="9">
        <f t="shared" si="36"/>
        <v>1062.5902000000001</v>
      </c>
      <c r="W603" s="9">
        <f t="shared" si="37"/>
        <v>832.32</v>
      </c>
      <c r="X603" s="9">
        <f t="shared" si="38"/>
        <v>230.27020000000005</v>
      </c>
      <c r="Y603" s="11">
        <f t="shared" si="39"/>
        <v>0.21670649701079497</v>
      </c>
    </row>
    <row r="604" spans="1:25" x14ac:dyDescent="0.3">
      <c r="A604" t="s">
        <v>617</v>
      </c>
      <c r="B604">
        <v>45793</v>
      </c>
      <c r="C604">
        <v>45795</v>
      </c>
      <c r="D604" t="s">
        <v>2064</v>
      </c>
      <c r="E604">
        <v>45795</v>
      </c>
      <c r="F604">
        <v>2</v>
      </c>
      <c r="G604" t="s">
        <v>647</v>
      </c>
      <c r="H604" t="s">
        <v>652</v>
      </c>
      <c r="I604" t="s">
        <v>689</v>
      </c>
      <c r="J604" t="s">
        <v>706</v>
      </c>
      <c r="K604" t="s">
        <v>707</v>
      </c>
      <c r="L604" t="s">
        <v>713</v>
      </c>
      <c r="M604" t="s">
        <v>728</v>
      </c>
      <c r="N604" t="s">
        <v>2028</v>
      </c>
      <c r="O604" s="9">
        <v>1144.3800000000001</v>
      </c>
      <c r="P604" s="9">
        <v>2755.04</v>
      </c>
      <c r="Q604" s="9">
        <v>2755.04</v>
      </c>
      <c r="R604" t="s">
        <v>2065</v>
      </c>
      <c r="S604" s="11">
        <v>0.15</v>
      </c>
      <c r="T604" t="s">
        <v>2065</v>
      </c>
      <c r="U604" s="13">
        <v>17</v>
      </c>
      <c r="V604" s="9">
        <f t="shared" si="36"/>
        <v>39810.328000000001</v>
      </c>
      <c r="W604" s="9">
        <f t="shared" si="37"/>
        <v>19454.460000000003</v>
      </c>
      <c r="X604" s="9">
        <f t="shared" si="38"/>
        <v>20355.867999999999</v>
      </c>
      <c r="Y604" s="11">
        <f t="shared" si="39"/>
        <v>0.51132128326096682</v>
      </c>
    </row>
    <row r="605" spans="1:25" x14ac:dyDescent="0.3">
      <c r="A605" t="s">
        <v>618</v>
      </c>
      <c r="B605">
        <v>45026</v>
      </c>
      <c r="C605">
        <v>45041</v>
      </c>
      <c r="D605" t="s">
        <v>2064</v>
      </c>
      <c r="E605">
        <v>45041</v>
      </c>
      <c r="F605">
        <v>15</v>
      </c>
      <c r="G605" t="s">
        <v>649</v>
      </c>
      <c r="H605" t="s">
        <v>658</v>
      </c>
      <c r="I605" t="s">
        <v>683</v>
      </c>
      <c r="J605" t="s">
        <v>705</v>
      </c>
      <c r="K605" t="s">
        <v>707</v>
      </c>
      <c r="L605" t="s">
        <v>726</v>
      </c>
      <c r="M605" t="s">
        <v>728</v>
      </c>
      <c r="N605" t="s">
        <v>2029</v>
      </c>
      <c r="O605" s="9">
        <v>405.66</v>
      </c>
      <c r="P605" s="9">
        <v>962.51</v>
      </c>
      <c r="Q605" s="9">
        <v>962.51</v>
      </c>
      <c r="R605" t="s">
        <v>2065</v>
      </c>
      <c r="S605" s="11">
        <v>0.19</v>
      </c>
      <c r="T605" t="s">
        <v>2065</v>
      </c>
      <c r="U605" s="13">
        <v>7</v>
      </c>
      <c r="V605" s="9">
        <f t="shared" si="36"/>
        <v>5457.4317000000001</v>
      </c>
      <c r="W605" s="9">
        <f t="shared" si="37"/>
        <v>2839.6200000000003</v>
      </c>
      <c r="X605" s="9">
        <f t="shared" si="38"/>
        <v>2617.8116999999997</v>
      </c>
      <c r="Y605" s="11">
        <f t="shared" si="39"/>
        <v>0.47967832561239376</v>
      </c>
    </row>
    <row r="606" spans="1:25" x14ac:dyDescent="0.3">
      <c r="A606" t="s">
        <v>619</v>
      </c>
      <c r="B606">
        <v>45186</v>
      </c>
      <c r="C606">
        <v>45201</v>
      </c>
      <c r="D606" t="s">
        <v>2064</v>
      </c>
      <c r="E606">
        <v>45201</v>
      </c>
      <c r="F606">
        <v>15</v>
      </c>
      <c r="G606" t="s">
        <v>648</v>
      </c>
      <c r="H606" t="s">
        <v>655</v>
      </c>
      <c r="I606" t="s">
        <v>1426</v>
      </c>
      <c r="J606" t="s">
        <v>705</v>
      </c>
      <c r="K606" t="s">
        <v>707</v>
      </c>
      <c r="L606" t="s">
        <v>717</v>
      </c>
      <c r="M606" t="s">
        <v>731</v>
      </c>
      <c r="N606" t="s">
        <v>2030</v>
      </c>
      <c r="O606" s="9">
        <v>689.33</v>
      </c>
      <c r="P606" s="9">
        <v>668.27</v>
      </c>
      <c r="Q606" s="9">
        <v>668.27</v>
      </c>
      <c r="R606" t="s">
        <v>2065</v>
      </c>
      <c r="S606" s="11">
        <v>0.186</v>
      </c>
      <c r="T606" t="s">
        <v>2065</v>
      </c>
      <c r="U606" s="13">
        <v>13</v>
      </c>
      <c r="V606" s="9">
        <f t="shared" si="36"/>
        <v>7071.6331400000008</v>
      </c>
      <c r="W606" s="9">
        <f t="shared" si="37"/>
        <v>8961.2900000000009</v>
      </c>
      <c r="X606" s="9">
        <f t="shared" si="38"/>
        <v>-1889.6568600000001</v>
      </c>
      <c r="Y606" s="11">
        <f t="shared" si="39"/>
        <v>-0.26721647214861033</v>
      </c>
    </row>
    <row r="607" spans="1:25" x14ac:dyDescent="0.3">
      <c r="A607" t="s">
        <v>620</v>
      </c>
      <c r="B607">
        <v>45038</v>
      </c>
      <c r="C607">
        <v>45060</v>
      </c>
      <c r="D607" t="s">
        <v>2064</v>
      </c>
      <c r="E607">
        <v>45060</v>
      </c>
      <c r="F607">
        <v>22</v>
      </c>
      <c r="G607" t="s">
        <v>647</v>
      </c>
      <c r="H607" t="s">
        <v>652</v>
      </c>
      <c r="I607" t="s">
        <v>694</v>
      </c>
      <c r="J607" t="s">
        <v>706</v>
      </c>
      <c r="K607" t="s">
        <v>707</v>
      </c>
      <c r="L607" t="s">
        <v>720</v>
      </c>
      <c r="M607" t="s">
        <v>733</v>
      </c>
      <c r="N607" t="s">
        <v>2031</v>
      </c>
      <c r="O607" s="9">
        <v>1209.22</v>
      </c>
      <c r="P607" s="9">
        <v>1404.33</v>
      </c>
      <c r="Q607" s="9">
        <v>1404.33</v>
      </c>
      <c r="R607" t="s">
        <v>2065</v>
      </c>
      <c r="S607" s="11">
        <v>0.10299999999999999</v>
      </c>
      <c r="T607" t="s">
        <v>2065</v>
      </c>
      <c r="U607" s="13">
        <v>11</v>
      </c>
      <c r="V607" s="9">
        <f t="shared" si="36"/>
        <v>13856.52411</v>
      </c>
      <c r="W607" s="9">
        <f t="shared" si="37"/>
        <v>13301.42</v>
      </c>
      <c r="X607" s="9">
        <f t="shared" si="38"/>
        <v>555.10411000000022</v>
      </c>
      <c r="Y607" s="11">
        <f t="shared" si="39"/>
        <v>4.0060848275751328E-2</v>
      </c>
    </row>
    <row r="608" spans="1:25" x14ac:dyDescent="0.3">
      <c r="A608" t="s">
        <v>621</v>
      </c>
      <c r="B608">
        <v>45827</v>
      </c>
      <c r="C608">
        <v>45829</v>
      </c>
      <c r="D608" t="s">
        <v>2064</v>
      </c>
      <c r="E608">
        <v>45829</v>
      </c>
      <c r="F608">
        <v>2</v>
      </c>
      <c r="G608" t="s">
        <v>646</v>
      </c>
      <c r="H608" t="s">
        <v>661</v>
      </c>
      <c r="I608" t="s">
        <v>682</v>
      </c>
      <c r="J608" t="s">
        <v>705</v>
      </c>
      <c r="K608" t="s">
        <v>2057</v>
      </c>
      <c r="L608" t="s">
        <v>722</v>
      </c>
      <c r="M608" t="s">
        <v>730</v>
      </c>
      <c r="N608" t="s">
        <v>2032</v>
      </c>
      <c r="O608" s="9">
        <v>1466.27</v>
      </c>
      <c r="P608" s="9">
        <v>3589.89</v>
      </c>
      <c r="Q608" s="9">
        <v>3589.89</v>
      </c>
      <c r="R608" t="s">
        <v>2065</v>
      </c>
      <c r="S608" s="11">
        <v>9.7000000000000003E-2</v>
      </c>
      <c r="T608" t="s">
        <v>2065</v>
      </c>
      <c r="U608" s="13">
        <v>9</v>
      </c>
      <c r="V608" s="9">
        <f t="shared" si="36"/>
        <v>29175.036029999999</v>
      </c>
      <c r="W608" s="9">
        <f t="shared" si="37"/>
        <v>13196.43</v>
      </c>
      <c r="X608" s="9">
        <f t="shared" si="38"/>
        <v>15978.606029999999</v>
      </c>
      <c r="Y608" s="11">
        <f t="shared" si="39"/>
        <v>0.54768076425234147</v>
      </c>
    </row>
    <row r="609" spans="1:25" x14ac:dyDescent="0.3">
      <c r="A609" t="s">
        <v>622</v>
      </c>
      <c r="B609">
        <v>45623</v>
      </c>
      <c r="C609">
        <v>45650</v>
      </c>
      <c r="D609" t="s">
        <v>2064</v>
      </c>
      <c r="E609">
        <v>45650</v>
      </c>
      <c r="F609">
        <v>27</v>
      </c>
      <c r="G609" t="s">
        <v>646</v>
      </c>
      <c r="H609" t="s">
        <v>650</v>
      </c>
      <c r="I609" t="s">
        <v>675</v>
      </c>
      <c r="J609" t="s">
        <v>701</v>
      </c>
      <c r="K609" t="s">
        <v>710</v>
      </c>
      <c r="L609" t="s">
        <v>717</v>
      </c>
      <c r="M609" t="s">
        <v>728</v>
      </c>
      <c r="N609" t="s">
        <v>2033</v>
      </c>
      <c r="O609" s="9">
        <v>143.33000000000001</v>
      </c>
      <c r="P609" s="9">
        <v>233.51</v>
      </c>
      <c r="Q609" s="9">
        <v>233.51</v>
      </c>
      <c r="R609" t="s">
        <v>2065</v>
      </c>
      <c r="S609" s="11">
        <v>0.16300000000000001</v>
      </c>
      <c r="T609" t="s">
        <v>2065</v>
      </c>
      <c r="U609" s="13">
        <v>14</v>
      </c>
      <c r="V609" s="9">
        <f t="shared" si="36"/>
        <v>2736.27018</v>
      </c>
      <c r="W609" s="9">
        <f t="shared" si="37"/>
        <v>2006.6200000000001</v>
      </c>
      <c r="X609" s="9">
        <f t="shared" si="38"/>
        <v>729.65017999999986</v>
      </c>
      <c r="Y609" s="11">
        <f t="shared" si="39"/>
        <v>0.26665867476580835</v>
      </c>
    </row>
    <row r="610" spans="1:25" x14ac:dyDescent="0.3">
      <c r="A610" t="s">
        <v>623</v>
      </c>
      <c r="B610">
        <v>45319</v>
      </c>
      <c r="C610">
        <v>45318</v>
      </c>
      <c r="D610" t="s">
        <v>2066</v>
      </c>
      <c r="E610">
        <v>45319</v>
      </c>
      <c r="F610">
        <v>0</v>
      </c>
      <c r="G610" t="s">
        <v>646</v>
      </c>
      <c r="H610" t="s">
        <v>661</v>
      </c>
      <c r="I610" t="s">
        <v>695</v>
      </c>
      <c r="J610" t="s">
        <v>706</v>
      </c>
      <c r="K610" t="s">
        <v>711</v>
      </c>
      <c r="L610" t="s">
        <v>719</v>
      </c>
      <c r="M610" t="s">
        <v>727</v>
      </c>
      <c r="N610" t="s">
        <v>2034</v>
      </c>
      <c r="O610" s="9">
        <v>109.75</v>
      </c>
      <c r="P610" s="9">
        <v>124.25</v>
      </c>
      <c r="Q610" s="9">
        <v>124.25</v>
      </c>
      <c r="R610" t="s">
        <v>2065</v>
      </c>
      <c r="S610" s="11">
        <v>0.12</v>
      </c>
      <c r="T610" t="s">
        <v>2065</v>
      </c>
      <c r="U610" s="13">
        <v>19</v>
      </c>
      <c r="V610" s="9">
        <f t="shared" si="36"/>
        <v>2077.46</v>
      </c>
      <c r="W610" s="9">
        <f t="shared" si="37"/>
        <v>2085.25</v>
      </c>
      <c r="X610" s="9">
        <f t="shared" si="38"/>
        <v>-7.7899999999999636</v>
      </c>
      <c r="Y610" s="11">
        <f t="shared" si="39"/>
        <v>-3.7497713554051405E-3</v>
      </c>
    </row>
    <row r="611" spans="1:25" x14ac:dyDescent="0.3">
      <c r="A611" t="s">
        <v>624</v>
      </c>
      <c r="B611">
        <v>45032</v>
      </c>
      <c r="C611">
        <v>45039</v>
      </c>
      <c r="D611" t="s">
        <v>2064</v>
      </c>
      <c r="E611">
        <v>45039</v>
      </c>
      <c r="F611">
        <v>7</v>
      </c>
      <c r="G611" t="s">
        <v>648</v>
      </c>
      <c r="H611" t="s">
        <v>1425</v>
      </c>
      <c r="I611" t="s">
        <v>697</v>
      </c>
      <c r="J611" t="s">
        <v>701</v>
      </c>
      <c r="K611" t="s">
        <v>710</v>
      </c>
      <c r="L611" t="s">
        <v>719</v>
      </c>
      <c r="M611" t="s">
        <v>728</v>
      </c>
      <c r="N611" t="s">
        <v>2035</v>
      </c>
      <c r="O611" s="9">
        <v>1099.1500000000001</v>
      </c>
      <c r="P611" s="9">
        <v>1431.37</v>
      </c>
      <c r="Q611" s="9">
        <v>1431.37</v>
      </c>
      <c r="R611" t="s">
        <v>2065</v>
      </c>
      <c r="S611" s="11">
        <v>0.104</v>
      </c>
      <c r="T611" t="s">
        <v>2065</v>
      </c>
      <c r="U611" s="13">
        <v>8</v>
      </c>
      <c r="V611" s="9">
        <f t="shared" si="36"/>
        <v>10260.060159999999</v>
      </c>
      <c r="W611" s="9">
        <f t="shared" si="37"/>
        <v>8793.2000000000007</v>
      </c>
      <c r="X611" s="9">
        <f t="shared" si="38"/>
        <v>1466.8601599999984</v>
      </c>
      <c r="Y611" s="11">
        <f t="shared" si="39"/>
        <v>0.14296798821109433</v>
      </c>
    </row>
    <row r="612" spans="1:25" x14ac:dyDescent="0.3">
      <c r="A612" t="s">
        <v>625</v>
      </c>
      <c r="B612">
        <v>45323</v>
      </c>
      <c r="C612">
        <v>45323</v>
      </c>
      <c r="D612" t="s">
        <v>2064</v>
      </c>
      <c r="E612">
        <v>45323</v>
      </c>
      <c r="F612">
        <v>0</v>
      </c>
      <c r="G612" t="s">
        <v>648</v>
      </c>
      <c r="H612" t="s">
        <v>1425</v>
      </c>
      <c r="I612" t="s">
        <v>697</v>
      </c>
      <c r="J612" t="s">
        <v>704</v>
      </c>
      <c r="K612" t="s">
        <v>710</v>
      </c>
      <c r="L612" t="s">
        <v>722</v>
      </c>
      <c r="M612" t="s">
        <v>728</v>
      </c>
      <c r="N612" t="s">
        <v>2036</v>
      </c>
      <c r="O612" s="9">
        <v>714.43</v>
      </c>
      <c r="P612" s="9">
        <v>1595.52</v>
      </c>
      <c r="Q612" s="9">
        <v>1595.52</v>
      </c>
      <c r="R612" t="s">
        <v>2065</v>
      </c>
      <c r="S612" s="11">
        <v>0.19400000000000001</v>
      </c>
      <c r="T612" t="s">
        <v>2065</v>
      </c>
      <c r="U612" s="13">
        <v>14</v>
      </c>
      <c r="V612" s="9">
        <f t="shared" si="36"/>
        <v>18003.847679999999</v>
      </c>
      <c r="W612" s="9">
        <f t="shared" si="37"/>
        <v>10002.019999999999</v>
      </c>
      <c r="X612" s="9">
        <f t="shared" si="38"/>
        <v>8001.8276800000003</v>
      </c>
      <c r="Y612" s="11">
        <f t="shared" si="39"/>
        <v>0.44445097638151093</v>
      </c>
    </row>
    <row r="613" spans="1:25" x14ac:dyDescent="0.3">
      <c r="A613" t="s">
        <v>626</v>
      </c>
      <c r="B613">
        <v>45584</v>
      </c>
      <c r="C613">
        <v>45602</v>
      </c>
      <c r="D613" t="s">
        <v>2064</v>
      </c>
      <c r="E613">
        <v>45602</v>
      </c>
      <c r="F613">
        <v>18</v>
      </c>
      <c r="G613" t="s">
        <v>648</v>
      </c>
      <c r="H613" t="s">
        <v>1425</v>
      </c>
      <c r="I613" t="s">
        <v>677</v>
      </c>
      <c r="J613" t="s">
        <v>702</v>
      </c>
      <c r="K613" t="s">
        <v>2057</v>
      </c>
      <c r="L613" t="s">
        <v>712</v>
      </c>
      <c r="M613" t="s">
        <v>732</v>
      </c>
      <c r="N613" t="s">
        <v>2037</v>
      </c>
      <c r="O613" s="9">
        <v>942.02</v>
      </c>
      <c r="P613" s="9">
        <v>1028.46</v>
      </c>
      <c r="Q613" s="9">
        <v>1028.46</v>
      </c>
      <c r="R613" t="s">
        <v>2065</v>
      </c>
      <c r="S613" s="11">
        <v>0</v>
      </c>
      <c r="T613" t="s">
        <v>2065</v>
      </c>
      <c r="U613" s="13">
        <v>9</v>
      </c>
      <c r="V613" s="9">
        <f t="shared" si="36"/>
        <v>9256.14</v>
      </c>
      <c r="W613" s="9">
        <f t="shared" si="37"/>
        <v>8478.18</v>
      </c>
      <c r="X613" s="9">
        <f t="shared" si="38"/>
        <v>777.95999999999913</v>
      </c>
      <c r="Y613" s="11">
        <f t="shared" si="39"/>
        <v>8.4047994088248354E-2</v>
      </c>
    </row>
    <row r="614" spans="1:25" x14ac:dyDescent="0.3">
      <c r="A614" t="s">
        <v>627</v>
      </c>
      <c r="B614">
        <v>45468</v>
      </c>
      <c r="C614">
        <v>45473</v>
      </c>
      <c r="D614" t="s">
        <v>2064</v>
      </c>
      <c r="E614">
        <v>45473</v>
      </c>
      <c r="F614">
        <v>5</v>
      </c>
      <c r="G614" t="s">
        <v>646</v>
      </c>
      <c r="H614" t="s">
        <v>650</v>
      </c>
      <c r="I614" t="s">
        <v>662</v>
      </c>
      <c r="J614" t="s">
        <v>702</v>
      </c>
      <c r="K614" t="s">
        <v>711</v>
      </c>
      <c r="L614" t="s">
        <v>724</v>
      </c>
      <c r="M614" t="s">
        <v>729</v>
      </c>
      <c r="N614" t="s">
        <v>2038</v>
      </c>
      <c r="O614" s="9">
        <v>1323.55</v>
      </c>
      <c r="P614" s="9">
        <v>3230.35</v>
      </c>
      <c r="Q614" s="9">
        <v>3230.35</v>
      </c>
      <c r="R614" t="s">
        <v>2065</v>
      </c>
      <c r="S614" s="11">
        <v>2.1999999999999999E-2</v>
      </c>
      <c r="T614" t="s">
        <v>2065</v>
      </c>
      <c r="U614" s="13">
        <v>26</v>
      </c>
      <c r="V614" s="9">
        <f t="shared" si="36"/>
        <v>82141.339799999987</v>
      </c>
      <c r="W614" s="9">
        <f t="shared" si="37"/>
        <v>34412.299999999996</v>
      </c>
      <c r="X614" s="9">
        <f t="shared" si="38"/>
        <v>47729.039799999991</v>
      </c>
      <c r="Y614" s="11">
        <f t="shared" si="39"/>
        <v>0.58105991351263542</v>
      </c>
    </row>
    <row r="615" spans="1:25" x14ac:dyDescent="0.3">
      <c r="A615" t="s">
        <v>628</v>
      </c>
      <c r="B615">
        <v>45137</v>
      </c>
      <c r="C615">
        <v>45157</v>
      </c>
      <c r="D615" t="s">
        <v>2064</v>
      </c>
      <c r="E615">
        <v>45157</v>
      </c>
      <c r="F615">
        <v>20</v>
      </c>
      <c r="G615" t="s">
        <v>649</v>
      </c>
      <c r="H615" t="s">
        <v>657</v>
      </c>
      <c r="I615" t="s">
        <v>690</v>
      </c>
      <c r="J615" t="s">
        <v>706</v>
      </c>
      <c r="K615" t="s">
        <v>709</v>
      </c>
      <c r="L615" t="s">
        <v>715</v>
      </c>
      <c r="M615" t="s">
        <v>729</v>
      </c>
      <c r="N615" t="s">
        <v>2039</v>
      </c>
      <c r="O615" s="9">
        <v>1418.51</v>
      </c>
      <c r="P615" s="9">
        <v>2789.61</v>
      </c>
      <c r="Q615" s="9">
        <v>2789.61</v>
      </c>
      <c r="R615" t="s">
        <v>2065</v>
      </c>
      <c r="S615" s="11">
        <v>0.17100000000000001</v>
      </c>
      <c r="T615" t="s">
        <v>2065</v>
      </c>
      <c r="U615" s="13">
        <v>8</v>
      </c>
      <c r="V615" s="9">
        <f t="shared" si="36"/>
        <v>18500.693520000001</v>
      </c>
      <c r="W615" s="9">
        <f t="shared" si="37"/>
        <v>11348.08</v>
      </c>
      <c r="X615" s="9">
        <f t="shared" si="38"/>
        <v>7152.6135200000008</v>
      </c>
      <c r="Y615" s="11">
        <f t="shared" si="39"/>
        <v>0.38661326464695689</v>
      </c>
    </row>
    <row r="616" spans="1:25" x14ac:dyDescent="0.3">
      <c r="A616" t="s">
        <v>629</v>
      </c>
      <c r="B616">
        <v>45727</v>
      </c>
      <c r="C616">
        <v>45743</v>
      </c>
      <c r="D616" t="s">
        <v>2064</v>
      </c>
      <c r="E616">
        <v>45743</v>
      </c>
      <c r="F616">
        <v>16</v>
      </c>
      <c r="G616" t="s">
        <v>647</v>
      </c>
      <c r="H616" t="s">
        <v>652</v>
      </c>
      <c r="I616" t="s">
        <v>689</v>
      </c>
      <c r="J616" t="s">
        <v>706</v>
      </c>
      <c r="K616" t="s">
        <v>710</v>
      </c>
      <c r="L616" t="s">
        <v>717</v>
      </c>
      <c r="M616" t="s">
        <v>728</v>
      </c>
      <c r="N616" t="s">
        <v>2040</v>
      </c>
      <c r="O616" s="9">
        <v>1317.58</v>
      </c>
      <c r="P616" s="9">
        <v>1897.74</v>
      </c>
      <c r="Q616" s="9">
        <v>1897.74</v>
      </c>
      <c r="R616" t="s">
        <v>2065</v>
      </c>
      <c r="S616" s="11">
        <v>8.1000000000000003E-2</v>
      </c>
      <c r="T616" t="s">
        <v>2065</v>
      </c>
      <c r="U616" s="13">
        <v>6</v>
      </c>
      <c r="V616" s="9">
        <f t="shared" si="36"/>
        <v>10464.138360000001</v>
      </c>
      <c r="W616" s="9">
        <f t="shared" si="37"/>
        <v>7905.48</v>
      </c>
      <c r="X616" s="9">
        <f t="shared" si="38"/>
        <v>2558.6583600000013</v>
      </c>
      <c r="Y616" s="11">
        <f t="shared" si="39"/>
        <v>0.24451687009230266</v>
      </c>
    </row>
    <row r="617" spans="1:25" x14ac:dyDescent="0.3">
      <c r="A617" t="s">
        <v>630</v>
      </c>
      <c r="B617">
        <v>45208</v>
      </c>
      <c r="C617">
        <v>45210</v>
      </c>
      <c r="D617" t="s">
        <v>2064</v>
      </c>
      <c r="E617">
        <v>45210</v>
      </c>
      <c r="F617">
        <v>2</v>
      </c>
      <c r="G617" t="s">
        <v>646</v>
      </c>
      <c r="H617" t="s">
        <v>651</v>
      </c>
      <c r="I617" t="s">
        <v>663</v>
      </c>
      <c r="J617" t="s">
        <v>702</v>
      </c>
      <c r="K617" t="s">
        <v>709</v>
      </c>
      <c r="L617" t="s">
        <v>723</v>
      </c>
      <c r="M617" t="s">
        <v>729</v>
      </c>
      <c r="N617" t="s">
        <v>2041</v>
      </c>
      <c r="O617" s="9">
        <v>391.16</v>
      </c>
      <c r="P617" s="9">
        <v>902.47</v>
      </c>
      <c r="Q617" s="9">
        <v>902.47</v>
      </c>
      <c r="R617" t="s">
        <v>2065</v>
      </c>
      <c r="S617" s="11">
        <v>4.0000000000000001E-3</v>
      </c>
      <c r="T617" t="s">
        <v>2065</v>
      </c>
      <c r="U617" s="13">
        <v>12</v>
      </c>
      <c r="V617" s="9">
        <f t="shared" si="36"/>
        <v>10786.32144</v>
      </c>
      <c r="W617" s="9">
        <f t="shared" si="37"/>
        <v>4693.92</v>
      </c>
      <c r="X617" s="9">
        <f t="shared" si="38"/>
        <v>6092.4014399999996</v>
      </c>
      <c r="Y617" s="11">
        <f t="shared" si="39"/>
        <v>0.56482661618139207</v>
      </c>
    </row>
    <row r="618" spans="1:25" x14ac:dyDescent="0.3">
      <c r="A618" t="s">
        <v>631</v>
      </c>
      <c r="B618">
        <v>45643</v>
      </c>
      <c r="C618">
        <v>45673</v>
      </c>
      <c r="D618" t="s">
        <v>2064</v>
      </c>
      <c r="E618">
        <v>45673</v>
      </c>
      <c r="F618">
        <v>30</v>
      </c>
      <c r="G618" t="s">
        <v>649</v>
      </c>
      <c r="H618" t="s">
        <v>658</v>
      </c>
      <c r="I618" t="s">
        <v>693</v>
      </c>
      <c r="J618" t="s">
        <v>701</v>
      </c>
      <c r="K618" t="s">
        <v>707</v>
      </c>
      <c r="L618" t="s">
        <v>726</v>
      </c>
      <c r="M618" t="s">
        <v>732</v>
      </c>
      <c r="N618" t="s">
        <v>2042</v>
      </c>
      <c r="O618" s="9">
        <v>722.87</v>
      </c>
      <c r="P618" s="9">
        <v>-33.659999999999997</v>
      </c>
      <c r="Q618" s="9">
        <v>33.659999999999997</v>
      </c>
      <c r="R618" t="s">
        <v>2067</v>
      </c>
      <c r="S618" s="11">
        <v>0.10199999999999999</v>
      </c>
      <c r="T618" t="s">
        <v>2065</v>
      </c>
      <c r="U618" s="13">
        <v>28</v>
      </c>
      <c r="V618" s="9">
        <f t="shared" si="36"/>
        <v>846.34703999999988</v>
      </c>
      <c r="W618" s="9">
        <f t="shared" si="37"/>
        <v>20240.36</v>
      </c>
      <c r="X618" s="9">
        <f t="shared" si="38"/>
        <v>-19394.01296</v>
      </c>
      <c r="Y618" s="11">
        <f t="shared" si="39"/>
        <v>-22.914965189693348</v>
      </c>
    </row>
    <row r="619" spans="1:25" x14ac:dyDescent="0.3">
      <c r="A619" t="s">
        <v>632</v>
      </c>
      <c r="B619">
        <v>45849</v>
      </c>
      <c r="C619">
        <v>45854</v>
      </c>
      <c r="D619" t="s">
        <v>2064</v>
      </c>
      <c r="E619">
        <v>45854</v>
      </c>
      <c r="F619">
        <v>5</v>
      </c>
      <c r="G619" t="s">
        <v>649</v>
      </c>
      <c r="H619" t="s">
        <v>658</v>
      </c>
      <c r="I619" t="s">
        <v>683</v>
      </c>
      <c r="J619" t="s">
        <v>706</v>
      </c>
      <c r="K619" t="s">
        <v>708</v>
      </c>
      <c r="L619" t="s">
        <v>723</v>
      </c>
      <c r="M619" t="s">
        <v>728</v>
      </c>
      <c r="N619" t="s">
        <v>2043</v>
      </c>
      <c r="O619" s="9">
        <v>930.03</v>
      </c>
      <c r="P619" s="9">
        <v>1086.68</v>
      </c>
      <c r="Q619" s="9">
        <v>1086.68</v>
      </c>
      <c r="R619" t="s">
        <v>2065</v>
      </c>
      <c r="S619" s="11">
        <v>0.109</v>
      </c>
      <c r="T619" t="s">
        <v>2065</v>
      </c>
      <c r="U619" s="13">
        <v>26</v>
      </c>
      <c r="V619" s="9">
        <f t="shared" si="36"/>
        <v>25174.028880000002</v>
      </c>
      <c r="W619" s="9">
        <f t="shared" si="37"/>
        <v>24180.78</v>
      </c>
      <c r="X619" s="9">
        <f t="shared" si="38"/>
        <v>993.24888000000283</v>
      </c>
      <c r="Y619" s="11">
        <f t="shared" si="39"/>
        <v>3.9455300728168656E-2</v>
      </c>
    </row>
    <row r="620" spans="1:25" x14ac:dyDescent="0.3">
      <c r="A620" t="s">
        <v>633</v>
      </c>
      <c r="B620">
        <v>45578</v>
      </c>
      <c r="C620">
        <v>45589</v>
      </c>
      <c r="D620" t="s">
        <v>2064</v>
      </c>
      <c r="E620">
        <v>45589</v>
      </c>
      <c r="F620">
        <v>11</v>
      </c>
      <c r="G620" t="s">
        <v>649</v>
      </c>
      <c r="H620" t="s">
        <v>657</v>
      </c>
      <c r="I620" t="s">
        <v>690</v>
      </c>
      <c r="J620" t="s">
        <v>702</v>
      </c>
      <c r="K620" t="s">
        <v>710</v>
      </c>
      <c r="L620" t="s">
        <v>721</v>
      </c>
      <c r="M620" t="s">
        <v>727</v>
      </c>
      <c r="N620" t="s">
        <v>2044</v>
      </c>
      <c r="O620" s="9">
        <v>816.7</v>
      </c>
      <c r="P620" s="9">
        <v>1010.75</v>
      </c>
      <c r="Q620" s="9">
        <v>1010.75</v>
      </c>
      <c r="R620" t="s">
        <v>2065</v>
      </c>
      <c r="S620" s="11">
        <v>4.7E-2</v>
      </c>
      <c r="T620" t="s">
        <v>2065</v>
      </c>
      <c r="U620" s="13">
        <v>43</v>
      </c>
      <c r="V620" s="9">
        <f t="shared" si="36"/>
        <v>41419.524249999995</v>
      </c>
      <c r="W620" s="9">
        <f t="shared" si="37"/>
        <v>35118.1</v>
      </c>
      <c r="X620" s="9">
        <f t="shared" si="38"/>
        <v>6301.4242499999964</v>
      </c>
      <c r="Y620" s="11">
        <f t="shared" si="39"/>
        <v>0.15213656757537472</v>
      </c>
    </row>
    <row r="621" spans="1:25" x14ac:dyDescent="0.3">
      <c r="A621" t="s">
        <v>634</v>
      </c>
      <c r="B621">
        <v>45177</v>
      </c>
      <c r="C621">
        <v>45183</v>
      </c>
      <c r="D621" t="s">
        <v>2064</v>
      </c>
      <c r="E621">
        <v>45183</v>
      </c>
      <c r="F621">
        <v>6</v>
      </c>
      <c r="G621" t="s">
        <v>646</v>
      </c>
      <c r="H621" t="s">
        <v>650</v>
      </c>
      <c r="I621" t="s">
        <v>678</v>
      </c>
      <c r="J621" t="s">
        <v>702</v>
      </c>
      <c r="K621" t="s">
        <v>711</v>
      </c>
      <c r="L621" t="s">
        <v>714</v>
      </c>
      <c r="M621" t="s">
        <v>733</v>
      </c>
      <c r="N621" t="s">
        <v>2045</v>
      </c>
      <c r="O621" s="9">
        <v>251.03</v>
      </c>
      <c r="P621" s="9">
        <v>411.48</v>
      </c>
      <c r="Q621" s="9">
        <v>411.48</v>
      </c>
      <c r="R621" t="s">
        <v>2065</v>
      </c>
      <c r="S621" s="11">
        <v>0.16500000000000001</v>
      </c>
      <c r="T621" t="s">
        <v>2065</v>
      </c>
      <c r="U621" s="13">
        <v>3</v>
      </c>
      <c r="V621" s="9">
        <f t="shared" si="36"/>
        <v>1030.7574</v>
      </c>
      <c r="W621" s="9">
        <f t="shared" si="37"/>
        <v>753.09</v>
      </c>
      <c r="X621" s="9">
        <f t="shared" si="38"/>
        <v>277.66739999999993</v>
      </c>
      <c r="Y621" s="11">
        <f t="shared" si="39"/>
        <v>0.26938191275658069</v>
      </c>
    </row>
    <row r="622" spans="1:25" x14ac:dyDescent="0.3">
      <c r="A622" t="s">
        <v>635</v>
      </c>
      <c r="B622">
        <v>45764</v>
      </c>
      <c r="C622">
        <v>45780</v>
      </c>
      <c r="D622" t="s">
        <v>2064</v>
      </c>
      <c r="E622">
        <v>45780</v>
      </c>
      <c r="F622">
        <v>16</v>
      </c>
      <c r="G622" t="s">
        <v>648</v>
      </c>
      <c r="H622" t="s">
        <v>655</v>
      </c>
      <c r="I622" t="s">
        <v>1426</v>
      </c>
      <c r="J622" t="s">
        <v>704</v>
      </c>
      <c r="K622" t="s">
        <v>709</v>
      </c>
      <c r="L622" t="s">
        <v>713</v>
      </c>
      <c r="M622" t="s">
        <v>729</v>
      </c>
      <c r="N622" t="s">
        <v>2046</v>
      </c>
      <c r="O622" s="9">
        <v>168.68</v>
      </c>
      <c r="P622" s="9">
        <v>413.34</v>
      </c>
      <c r="Q622" s="9">
        <v>413.34</v>
      </c>
      <c r="R622" t="s">
        <v>2065</v>
      </c>
      <c r="S622" s="11">
        <v>0.186</v>
      </c>
      <c r="T622" t="s">
        <v>2065</v>
      </c>
      <c r="U622" s="13">
        <v>7</v>
      </c>
      <c r="V622" s="9">
        <f t="shared" si="36"/>
        <v>2355.2113199999999</v>
      </c>
      <c r="W622" s="9">
        <f t="shared" si="37"/>
        <v>1180.76</v>
      </c>
      <c r="X622" s="9">
        <f t="shared" si="38"/>
        <v>1174.4513199999999</v>
      </c>
      <c r="Y622" s="11">
        <f t="shared" si="39"/>
        <v>0.49866069767361682</v>
      </c>
    </row>
    <row r="623" spans="1:25" x14ac:dyDescent="0.3">
      <c r="A623" t="s">
        <v>636</v>
      </c>
      <c r="B623">
        <v>45501</v>
      </c>
      <c r="C623">
        <v>45527</v>
      </c>
      <c r="D623" t="s">
        <v>2064</v>
      </c>
      <c r="E623">
        <v>45527</v>
      </c>
      <c r="F623">
        <v>26</v>
      </c>
      <c r="G623" t="s">
        <v>647</v>
      </c>
      <c r="H623" t="s">
        <v>654</v>
      </c>
      <c r="I623" t="s">
        <v>696</v>
      </c>
      <c r="J623" t="s">
        <v>701</v>
      </c>
      <c r="K623" t="s">
        <v>707</v>
      </c>
      <c r="L623" t="s">
        <v>713</v>
      </c>
      <c r="M623" t="s">
        <v>729</v>
      </c>
      <c r="N623" t="s">
        <v>2047</v>
      </c>
      <c r="O623" s="9">
        <v>1339.24</v>
      </c>
      <c r="P623" s="9">
        <v>1558.89</v>
      </c>
      <c r="Q623" s="9">
        <v>1558.89</v>
      </c>
      <c r="R623" t="s">
        <v>2065</v>
      </c>
      <c r="S623" s="11">
        <v>0.192</v>
      </c>
      <c r="T623" t="s">
        <v>2065</v>
      </c>
      <c r="U623" s="13">
        <v>24</v>
      </c>
      <c r="V623" s="9">
        <f t="shared" si="36"/>
        <v>30229.994880000002</v>
      </c>
      <c r="W623" s="9">
        <f t="shared" si="37"/>
        <v>32141.760000000002</v>
      </c>
      <c r="X623" s="9">
        <f t="shared" si="38"/>
        <v>-1911.76512</v>
      </c>
      <c r="Y623" s="11">
        <f t="shared" si="39"/>
        <v>-6.3240669659021781E-2</v>
      </c>
    </row>
    <row r="624" spans="1:25" x14ac:dyDescent="0.3">
      <c r="A624" t="s">
        <v>637</v>
      </c>
      <c r="B624">
        <v>45857</v>
      </c>
      <c r="C624">
        <v>45869</v>
      </c>
      <c r="D624" t="s">
        <v>2064</v>
      </c>
      <c r="E624">
        <v>45869</v>
      </c>
      <c r="F624">
        <v>12</v>
      </c>
      <c r="G624" t="s">
        <v>646</v>
      </c>
      <c r="H624" t="s">
        <v>650</v>
      </c>
      <c r="I624" t="s">
        <v>664</v>
      </c>
      <c r="J624" t="s">
        <v>705</v>
      </c>
      <c r="K624" t="s">
        <v>709</v>
      </c>
      <c r="L624" t="s">
        <v>719</v>
      </c>
      <c r="M624" t="s">
        <v>733</v>
      </c>
      <c r="N624" t="s">
        <v>2048</v>
      </c>
      <c r="O624" s="9">
        <v>619.64</v>
      </c>
      <c r="P624" s="9">
        <v>861.16</v>
      </c>
      <c r="Q624" s="9">
        <v>861.16</v>
      </c>
      <c r="R624" t="s">
        <v>2065</v>
      </c>
      <c r="S624" s="11">
        <v>0.113</v>
      </c>
      <c r="T624" t="s">
        <v>2065</v>
      </c>
      <c r="U624" s="13">
        <v>14</v>
      </c>
      <c r="V624" s="9">
        <f t="shared" si="36"/>
        <v>10693.88488</v>
      </c>
      <c r="W624" s="9">
        <f t="shared" si="37"/>
        <v>8674.9599999999991</v>
      </c>
      <c r="X624" s="9">
        <f t="shared" si="38"/>
        <v>2018.9248800000005</v>
      </c>
      <c r="Y624" s="11">
        <f t="shared" si="39"/>
        <v>0.18879246435276761</v>
      </c>
    </row>
    <row r="625" spans="1:25" x14ac:dyDescent="0.3">
      <c r="A625" t="s">
        <v>638</v>
      </c>
      <c r="B625">
        <v>45141</v>
      </c>
      <c r="C625">
        <v>45140</v>
      </c>
      <c r="D625" t="s">
        <v>2066</v>
      </c>
      <c r="E625">
        <v>45141</v>
      </c>
      <c r="F625">
        <v>0</v>
      </c>
      <c r="G625" t="s">
        <v>647</v>
      </c>
      <c r="H625" t="s">
        <v>659</v>
      </c>
      <c r="I625" t="s">
        <v>685</v>
      </c>
      <c r="J625" t="s">
        <v>703</v>
      </c>
      <c r="K625" t="s">
        <v>711</v>
      </c>
      <c r="L625" t="s">
        <v>713</v>
      </c>
      <c r="M625" t="s">
        <v>729</v>
      </c>
      <c r="N625" t="s">
        <v>2049</v>
      </c>
      <c r="O625" s="9">
        <v>1021.97</v>
      </c>
      <c r="P625" s="9">
        <v>2296.25</v>
      </c>
      <c r="Q625" s="9">
        <v>2296.25</v>
      </c>
      <c r="R625" t="s">
        <v>2065</v>
      </c>
      <c r="S625" s="11">
        <v>0.161</v>
      </c>
      <c r="T625" t="s">
        <v>2065</v>
      </c>
      <c r="U625" s="13">
        <v>26</v>
      </c>
      <c r="V625" s="9">
        <f t="shared" si="36"/>
        <v>50090.397499999999</v>
      </c>
      <c r="W625" s="9">
        <f t="shared" si="37"/>
        <v>26571.22</v>
      </c>
      <c r="X625" s="9">
        <f t="shared" si="38"/>
        <v>23519.177499999998</v>
      </c>
      <c r="Y625" s="11">
        <f t="shared" si="39"/>
        <v>0.46953465482081669</v>
      </c>
    </row>
    <row r="626" spans="1:25" x14ac:dyDescent="0.3">
      <c r="A626" t="s">
        <v>639</v>
      </c>
      <c r="B626">
        <v>45249</v>
      </c>
      <c r="C626">
        <v>45272</v>
      </c>
      <c r="D626" t="s">
        <v>2064</v>
      </c>
      <c r="E626">
        <v>45272</v>
      </c>
      <c r="F626">
        <v>23</v>
      </c>
      <c r="G626" t="s">
        <v>647</v>
      </c>
      <c r="H626" t="s">
        <v>654</v>
      </c>
      <c r="I626" t="s">
        <v>680</v>
      </c>
      <c r="J626" t="s">
        <v>705</v>
      </c>
      <c r="K626" t="s">
        <v>711</v>
      </c>
      <c r="L626" t="s">
        <v>712</v>
      </c>
      <c r="M626" t="s">
        <v>729</v>
      </c>
      <c r="N626" t="s">
        <v>2050</v>
      </c>
      <c r="O626" s="9">
        <v>1349.04</v>
      </c>
      <c r="P626" s="9">
        <v>2636.6</v>
      </c>
      <c r="Q626" s="9">
        <v>2636.6</v>
      </c>
      <c r="R626" t="s">
        <v>2065</v>
      </c>
      <c r="S626" s="11">
        <v>0.114</v>
      </c>
      <c r="T626" t="s">
        <v>2065</v>
      </c>
      <c r="U626" s="13">
        <v>14</v>
      </c>
      <c r="V626" s="9">
        <f t="shared" si="36"/>
        <v>32704.386400000003</v>
      </c>
      <c r="W626" s="9">
        <f t="shared" si="37"/>
        <v>18886.559999999998</v>
      </c>
      <c r="X626" s="9">
        <f t="shared" si="38"/>
        <v>13817.826400000005</v>
      </c>
      <c r="Y626" s="11">
        <f t="shared" si="39"/>
        <v>0.42250682312143928</v>
      </c>
    </row>
    <row r="627" spans="1:25" x14ac:dyDescent="0.3">
      <c r="A627" t="s">
        <v>640</v>
      </c>
      <c r="B627">
        <v>45282</v>
      </c>
      <c r="C627">
        <v>45307</v>
      </c>
      <c r="D627" t="s">
        <v>2064</v>
      </c>
      <c r="E627">
        <v>45307</v>
      </c>
      <c r="F627">
        <v>25</v>
      </c>
      <c r="G627" t="s">
        <v>647</v>
      </c>
      <c r="H627" t="s">
        <v>654</v>
      </c>
      <c r="I627" t="s">
        <v>696</v>
      </c>
      <c r="J627" t="s">
        <v>705</v>
      </c>
      <c r="K627" t="s">
        <v>707</v>
      </c>
      <c r="L627" t="s">
        <v>720</v>
      </c>
      <c r="M627" t="s">
        <v>727</v>
      </c>
      <c r="N627" t="s">
        <v>2051</v>
      </c>
      <c r="O627" s="9">
        <v>1346.81</v>
      </c>
      <c r="P627" s="9">
        <v>978.09</v>
      </c>
      <c r="Q627" s="9">
        <v>978.09</v>
      </c>
      <c r="R627" t="s">
        <v>2065</v>
      </c>
      <c r="S627" s="11">
        <v>0.159</v>
      </c>
      <c r="T627" t="s">
        <v>2065</v>
      </c>
      <c r="U627" s="13">
        <v>17</v>
      </c>
      <c r="V627" s="9">
        <f t="shared" si="36"/>
        <v>13983.752729999998</v>
      </c>
      <c r="W627" s="9">
        <f t="shared" si="37"/>
        <v>22895.77</v>
      </c>
      <c r="X627" s="9">
        <f t="shared" si="38"/>
        <v>-8912.0172700000021</v>
      </c>
      <c r="Y627" s="11">
        <f t="shared" si="39"/>
        <v>-0.6373122753293996</v>
      </c>
    </row>
    <row r="628" spans="1:25" x14ac:dyDescent="0.3">
      <c r="A628" t="s">
        <v>641</v>
      </c>
      <c r="B628">
        <v>45141</v>
      </c>
      <c r="C628">
        <v>45168</v>
      </c>
      <c r="D628" t="s">
        <v>2064</v>
      </c>
      <c r="E628">
        <v>45168</v>
      </c>
      <c r="F628">
        <v>27</v>
      </c>
      <c r="G628" t="s">
        <v>647</v>
      </c>
      <c r="H628" t="s">
        <v>659</v>
      </c>
      <c r="I628" t="s">
        <v>685</v>
      </c>
      <c r="J628" t="s">
        <v>704</v>
      </c>
      <c r="K628" t="s">
        <v>710</v>
      </c>
      <c r="L628" t="s">
        <v>725</v>
      </c>
      <c r="M628" t="s">
        <v>732</v>
      </c>
      <c r="N628" t="s">
        <v>2052</v>
      </c>
      <c r="O628" s="9">
        <v>226.04</v>
      </c>
      <c r="P628" s="9">
        <v>545.72</v>
      </c>
      <c r="Q628" s="9">
        <v>545.72</v>
      </c>
      <c r="R628" t="s">
        <v>2065</v>
      </c>
      <c r="S628" s="11">
        <v>0.151</v>
      </c>
      <c r="T628" t="s">
        <v>2065</v>
      </c>
      <c r="U628" s="13">
        <v>11</v>
      </c>
      <c r="V628" s="9">
        <f t="shared" si="36"/>
        <v>5096.4790800000001</v>
      </c>
      <c r="W628" s="9">
        <f t="shared" si="37"/>
        <v>2486.44</v>
      </c>
      <c r="X628" s="9">
        <f t="shared" si="38"/>
        <v>2610.03908</v>
      </c>
      <c r="Y628" s="11">
        <f t="shared" si="39"/>
        <v>0.51212592831834014</v>
      </c>
    </row>
    <row r="629" spans="1:25" x14ac:dyDescent="0.3">
      <c r="A629" t="s">
        <v>642</v>
      </c>
      <c r="B629">
        <v>45100</v>
      </c>
      <c r="C629">
        <v>45125</v>
      </c>
      <c r="D629" t="s">
        <v>2064</v>
      </c>
      <c r="E629">
        <v>45125</v>
      </c>
      <c r="F629">
        <v>25</v>
      </c>
      <c r="G629" t="s">
        <v>648</v>
      </c>
      <c r="H629" t="s">
        <v>653</v>
      </c>
      <c r="I629" t="s">
        <v>688</v>
      </c>
      <c r="J629" t="s">
        <v>706</v>
      </c>
      <c r="K629" t="s">
        <v>708</v>
      </c>
      <c r="L629" t="s">
        <v>725</v>
      </c>
      <c r="M629" t="s">
        <v>730</v>
      </c>
      <c r="N629" t="s">
        <v>2053</v>
      </c>
      <c r="O629" s="9">
        <v>807.02</v>
      </c>
      <c r="P629" s="9">
        <v>1435.54</v>
      </c>
      <c r="Q629" s="9">
        <v>1435.54</v>
      </c>
      <c r="R629" t="s">
        <v>2065</v>
      </c>
      <c r="S629" s="11">
        <v>0</v>
      </c>
      <c r="T629" t="s">
        <v>2065</v>
      </c>
      <c r="U629" s="13">
        <v>23</v>
      </c>
      <c r="V629" s="9">
        <f t="shared" si="36"/>
        <v>33017.42</v>
      </c>
      <c r="W629" s="9">
        <f t="shared" si="37"/>
        <v>18561.46</v>
      </c>
      <c r="X629" s="9">
        <f t="shared" si="38"/>
        <v>14455.96</v>
      </c>
      <c r="Y629" s="11">
        <f t="shared" si="39"/>
        <v>0.43782827368098415</v>
      </c>
    </row>
    <row r="630" spans="1:25" x14ac:dyDescent="0.3">
      <c r="A630" t="s">
        <v>643</v>
      </c>
      <c r="B630">
        <v>45267</v>
      </c>
      <c r="C630">
        <v>45293</v>
      </c>
      <c r="D630" t="s">
        <v>2064</v>
      </c>
      <c r="E630">
        <v>45293</v>
      </c>
      <c r="F630">
        <v>26</v>
      </c>
      <c r="G630" t="s">
        <v>649</v>
      </c>
      <c r="H630" t="s">
        <v>656</v>
      </c>
      <c r="I630" t="s">
        <v>698</v>
      </c>
      <c r="J630" t="s">
        <v>706</v>
      </c>
      <c r="K630" t="s">
        <v>710</v>
      </c>
      <c r="L630" t="s">
        <v>718</v>
      </c>
      <c r="M630" t="s">
        <v>727</v>
      </c>
      <c r="N630" t="s">
        <v>2054</v>
      </c>
      <c r="O630" s="9">
        <v>1071.99</v>
      </c>
      <c r="P630" s="9">
        <v>2397.3000000000002</v>
      </c>
      <c r="Q630" s="9">
        <v>2397.3000000000002</v>
      </c>
      <c r="R630" t="s">
        <v>2065</v>
      </c>
      <c r="S630" s="11">
        <v>6.2E-2</v>
      </c>
      <c r="T630" t="s">
        <v>2065</v>
      </c>
      <c r="U630" s="13">
        <v>18</v>
      </c>
      <c r="V630" s="9">
        <f t="shared" si="36"/>
        <v>40476.013200000001</v>
      </c>
      <c r="W630" s="9">
        <f t="shared" si="37"/>
        <v>19295.82</v>
      </c>
      <c r="X630" s="9">
        <f t="shared" si="38"/>
        <v>21180.193200000002</v>
      </c>
      <c r="Y630" s="11">
        <f t="shared" si="39"/>
        <v>0.52327765324476183</v>
      </c>
    </row>
    <row r="631" spans="1:25" x14ac:dyDescent="0.3">
      <c r="A631" t="s">
        <v>644</v>
      </c>
      <c r="B631">
        <v>45249</v>
      </c>
      <c r="C631">
        <v>45279</v>
      </c>
      <c r="D631" t="s">
        <v>2064</v>
      </c>
      <c r="E631">
        <v>45279</v>
      </c>
      <c r="F631">
        <v>30</v>
      </c>
      <c r="G631" t="s">
        <v>647</v>
      </c>
      <c r="H631" t="s">
        <v>652</v>
      </c>
      <c r="I631" t="s">
        <v>694</v>
      </c>
      <c r="J631" t="s">
        <v>704</v>
      </c>
      <c r="K631" t="s">
        <v>707</v>
      </c>
      <c r="L631" t="s">
        <v>2057</v>
      </c>
      <c r="M631" t="s">
        <v>730</v>
      </c>
      <c r="N631" t="s">
        <v>2055</v>
      </c>
      <c r="O631" s="9">
        <v>807.11</v>
      </c>
      <c r="P631" s="9">
        <v>1853.86</v>
      </c>
      <c r="Q631" s="9">
        <v>1853.86</v>
      </c>
      <c r="R631" t="s">
        <v>2065</v>
      </c>
      <c r="S631" s="11">
        <v>0.13900000000000001</v>
      </c>
      <c r="T631" t="s">
        <v>2065</v>
      </c>
      <c r="U631" s="13">
        <v>8</v>
      </c>
      <c r="V631" s="9">
        <f t="shared" si="36"/>
        <v>12769.38768</v>
      </c>
      <c r="W631" s="9">
        <f t="shared" si="37"/>
        <v>6456.88</v>
      </c>
      <c r="X631" s="9">
        <f t="shared" si="38"/>
        <v>6312.5076799999997</v>
      </c>
      <c r="Y631" s="11">
        <f t="shared" si="39"/>
        <v>0.49434693645388639</v>
      </c>
    </row>
    <row r="632" spans="1:25" x14ac:dyDescent="0.3">
      <c r="A632" t="s">
        <v>645</v>
      </c>
      <c r="B632">
        <v>45716</v>
      </c>
      <c r="C632">
        <v>45726</v>
      </c>
      <c r="D632" t="s">
        <v>2064</v>
      </c>
      <c r="E632">
        <v>45726</v>
      </c>
      <c r="F632">
        <v>10</v>
      </c>
      <c r="G632" t="s">
        <v>647</v>
      </c>
      <c r="H632" t="s">
        <v>652</v>
      </c>
      <c r="I632" t="s">
        <v>666</v>
      </c>
      <c r="J632" t="s">
        <v>702</v>
      </c>
      <c r="K632" t="s">
        <v>710</v>
      </c>
      <c r="L632" t="s">
        <v>725</v>
      </c>
      <c r="M632" t="s">
        <v>731</v>
      </c>
      <c r="N632" t="s">
        <v>2056</v>
      </c>
      <c r="O632" s="9">
        <v>51.86</v>
      </c>
      <c r="P632" s="9">
        <v>45.98</v>
      </c>
      <c r="Q632" s="9">
        <v>45.98</v>
      </c>
      <c r="R632" t="s">
        <v>2065</v>
      </c>
      <c r="S632" s="11">
        <v>0.17299999999999999</v>
      </c>
      <c r="T632" t="s">
        <v>2065</v>
      </c>
      <c r="U632" s="13">
        <v>7</v>
      </c>
      <c r="V632" s="9">
        <f t="shared" si="36"/>
        <v>266.17821999999995</v>
      </c>
      <c r="W632" s="9">
        <f t="shared" si="37"/>
        <v>363.02</v>
      </c>
      <c r="X632" s="9">
        <f t="shared" si="38"/>
        <v>-96.841780000000028</v>
      </c>
      <c r="Y632" s="11">
        <f t="shared" si="39"/>
        <v>-0.3638230806412337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8C35C-2647-4180-9AC2-6E85BE62A387}">
  <dimension ref="A1:AE632"/>
  <sheetViews>
    <sheetView topLeftCell="R162" workbookViewId="0">
      <selection activeCell="S4" sqref="A1:AE632"/>
    </sheetView>
  </sheetViews>
  <sheetFormatPr defaultRowHeight="14.4" x14ac:dyDescent="0.3"/>
  <cols>
    <col min="1" max="1" width="16.109375" bestFit="1" customWidth="1"/>
    <col min="2" max="2" width="10.5546875" style="4" bestFit="1" customWidth="1"/>
    <col min="3" max="3" width="9.21875" style="4" bestFit="1" customWidth="1"/>
    <col min="4" max="4" width="8.21875" style="4" bestFit="1" customWidth="1"/>
    <col min="5" max="5" width="12.44140625" style="4" bestFit="1" customWidth="1"/>
    <col min="6" max="6" width="10.21875" bestFit="1" customWidth="1"/>
    <col min="7" max="7" width="17.6640625" style="4" bestFit="1" customWidth="1"/>
    <col min="8" max="8" width="13.21875" style="13" bestFit="1" customWidth="1"/>
    <col min="9" max="9" width="8.44140625" style="7" bestFit="1" customWidth="1"/>
    <col min="10" max="10" width="14" style="7" bestFit="1" customWidth="1"/>
    <col min="11" max="11" width="12.6640625" style="7" bestFit="1" customWidth="1"/>
    <col min="12" max="12" width="29.5546875" style="7" bestFit="1" customWidth="1"/>
    <col min="13" max="13" width="16.6640625" style="7" bestFit="1" customWidth="1"/>
    <col min="14" max="15" width="11.6640625" style="7" bestFit="1" customWidth="1"/>
    <col min="16" max="16" width="15.33203125" style="7" bestFit="1" customWidth="1"/>
    <col min="17" max="17" width="9.44140625" style="7" bestFit="1" customWidth="1"/>
    <col min="18" max="19" width="9" bestFit="1" customWidth="1"/>
    <col min="20" max="20" width="10.5546875" bestFit="1" customWidth="1"/>
    <col min="21" max="21" width="14.21875" bestFit="1" customWidth="1"/>
    <col min="22" max="22" width="13.6640625" bestFit="1" customWidth="1"/>
    <col min="23" max="23" width="9.44140625" bestFit="1" customWidth="1"/>
    <col min="24" max="24" width="5.109375" bestFit="1" customWidth="1"/>
    <col min="25" max="25" width="11" bestFit="1" customWidth="1"/>
    <col min="26" max="26" width="7.5546875" bestFit="1" customWidth="1"/>
    <col min="27" max="27" width="8.33203125" bestFit="1" customWidth="1"/>
    <col min="28" max="28" width="12.88671875" bestFit="1" customWidth="1"/>
    <col min="29" max="29" width="12" bestFit="1" customWidth="1"/>
    <col min="30" max="31" width="10.6640625" bestFit="1" customWidth="1"/>
  </cols>
  <sheetData>
    <row r="1" spans="1:31" s="2" customFormat="1" x14ac:dyDescent="0.3">
      <c r="A1" s="2" t="s">
        <v>0</v>
      </c>
      <c r="B1" s="16" t="s">
        <v>1</v>
      </c>
      <c r="C1" s="16" t="s">
        <v>2072</v>
      </c>
      <c r="D1" s="16" t="s">
        <v>2073</v>
      </c>
      <c r="E1" s="16" t="s">
        <v>2</v>
      </c>
      <c r="F1" s="2" t="s">
        <v>2061</v>
      </c>
      <c r="G1" s="16" t="s">
        <v>2062</v>
      </c>
      <c r="H1" s="24" t="s">
        <v>2063</v>
      </c>
      <c r="I1" s="15" t="s">
        <v>3</v>
      </c>
      <c r="J1" s="15" t="s">
        <v>4</v>
      </c>
      <c r="K1" s="15" t="s">
        <v>5</v>
      </c>
      <c r="L1" s="15" t="s">
        <v>2074</v>
      </c>
      <c r="M1" s="15" t="s">
        <v>6</v>
      </c>
      <c r="N1" s="15" t="s">
        <v>7</v>
      </c>
      <c r="O1" s="15" t="s">
        <v>1427</v>
      </c>
      <c r="P1" s="15" t="s">
        <v>9</v>
      </c>
      <c r="Q1" s="15" t="s">
        <v>10</v>
      </c>
      <c r="R1" s="17" t="s">
        <v>11</v>
      </c>
      <c r="S1" s="17" t="s">
        <v>12</v>
      </c>
      <c r="T1" s="17" t="s">
        <v>2059</v>
      </c>
      <c r="U1" s="17" t="s">
        <v>2075</v>
      </c>
      <c r="V1" s="17" t="s">
        <v>2076</v>
      </c>
      <c r="W1" s="17" t="s">
        <v>2077</v>
      </c>
      <c r="X1" s="2" t="s">
        <v>2058</v>
      </c>
      <c r="Y1" s="18" t="s">
        <v>13</v>
      </c>
      <c r="Z1" s="2" t="s">
        <v>2060</v>
      </c>
      <c r="AA1" s="24" t="s">
        <v>14</v>
      </c>
      <c r="AB1" s="17" t="s">
        <v>2068</v>
      </c>
      <c r="AC1" s="2" t="s">
        <v>2069</v>
      </c>
      <c r="AD1" s="2" t="s">
        <v>2070</v>
      </c>
      <c r="AE1" s="18" t="s">
        <v>2071</v>
      </c>
    </row>
    <row r="2" spans="1:31" x14ac:dyDescent="0.3">
      <c r="A2" t="s">
        <v>15</v>
      </c>
      <c r="B2" s="4">
        <v>45362</v>
      </c>
      <c r="C2" s="4" t="str">
        <f>TEXT(B2,"MMM-YYYY")</f>
        <v>Mar-2024</v>
      </c>
      <c r="D2" s="4" t="str">
        <f>"Q" &amp; INT((MONTH(B2)-1)/3)+1 &amp; "-" &amp; YEAR(B2)</f>
        <v>Q1-2024</v>
      </c>
      <c r="E2" s="4">
        <v>45388</v>
      </c>
      <c r="F2" t="s">
        <v>2064</v>
      </c>
      <c r="G2" s="4">
        <v>45388</v>
      </c>
      <c r="H2" s="13">
        <v>26</v>
      </c>
      <c r="I2" s="7" t="s">
        <v>646</v>
      </c>
      <c r="J2" s="7" t="s">
        <v>650</v>
      </c>
      <c r="K2" s="7" t="s">
        <v>662</v>
      </c>
      <c r="L2" s="7" t="s">
        <v>2078</v>
      </c>
      <c r="M2" s="7" t="s">
        <v>701</v>
      </c>
      <c r="N2" s="7" t="s">
        <v>707</v>
      </c>
      <c r="O2" s="7" t="s">
        <v>712</v>
      </c>
      <c r="P2" s="7" t="s">
        <v>727</v>
      </c>
      <c r="Q2" s="7" t="s">
        <v>1428</v>
      </c>
      <c r="R2" s="9">
        <v>279.24</v>
      </c>
      <c r="S2" s="9">
        <v>608.9</v>
      </c>
      <c r="T2" s="9">
        <v>608.9</v>
      </c>
      <c r="U2" s="9">
        <f>'PART A 3'!U6</f>
        <v>824.57899999999995</v>
      </c>
      <c r="V2" s="9">
        <f>_xlfn.PERCENTILE.INC(T2:T632,0.66)</f>
        <v>1620.05</v>
      </c>
      <c r="W2" s="9" t="str">
        <f>IF(T2&lt;=U2,"Low",IF(T2&lt;=V2,"Medium","High"))</f>
        <v>Low</v>
      </c>
      <c r="X2" t="s">
        <v>2065</v>
      </c>
      <c r="Y2" s="11">
        <v>0.112</v>
      </c>
      <c r="Z2" t="s">
        <v>2065</v>
      </c>
      <c r="AA2" s="13">
        <v>9</v>
      </c>
      <c r="AB2" s="9">
        <v>4866.3287999999993</v>
      </c>
      <c r="AC2" s="9">
        <v>2513.16</v>
      </c>
      <c r="AD2" s="9">
        <v>2353.1687999999995</v>
      </c>
      <c r="AE2" s="11">
        <v>0.48356140670149533</v>
      </c>
    </row>
    <row r="3" spans="1:31" x14ac:dyDescent="0.3">
      <c r="A3" t="s">
        <v>16</v>
      </c>
      <c r="B3" s="4">
        <v>45588</v>
      </c>
      <c r="C3" s="4" t="str">
        <f t="shared" ref="C3:C66" si="0">TEXT(B3,"MMM-YYYY")</f>
        <v>Oct-2024</v>
      </c>
      <c r="D3" s="4" t="str">
        <f t="shared" ref="D3:D66" si="1">"Q" &amp; INT((MONTH(B3)-1)/3)+1 &amp; "-" &amp; YEAR(B3)</f>
        <v>Q4-2024</v>
      </c>
      <c r="E3" s="4">
        <v>45587</v>
      </c>
      <c r="F3" t="s">
        <v>2066</v>
      </c>
      <c r="G3" s="4">
        <v>45588</v>
      </c>
      <c r="H3" s="13">
        <v>0</v>
      </c>
      <c r="I3" s="7" t="s">
        <v>646</v>
      </c>
      <c r="J3" s="7" t="s">
        <v>651</v>
      </c>
      <c r="K3" s="7" t="s">
        <v>663</v>
      </c>
      <c r="M3" s="7" t="s">
        <v>702</v>
      </c>
      <c r="N3" s="7" t="s">
        <v>708</v>
      </c>
      <c r="O3" s="7" t="s">
        <v>713</v>
      </c>
      <c r="P3" s="7" t="s">
        <v>728</v>
      </c>
      <c r="Q3" s="7" t="s">
        <v>1429</v>
      </c>
      <c r="R3" s="9">
        <v>1084.3900000000001</v>
      </c>
      <c r="S3" s="9">
        <v>759.33</v>
      </c>
      <c r="T3" s="9">
        <v>759.33</v>
      </c>
      <c r="U3" s="9">
        <f>_xlfn.PERCENTILE.INC(T3:T633,0.33)</f>
        <v>817.3959000000001</v>
      </c>
      <c r="V3" s="9">
        <f t="shared" ref="V3:V66" si="2">_xlfn.PERCENTILE.INC(T3:T633,0.66)</f>
        <v>1621.1698000000001</v>
      </c>
      <c r="W3" s="9" t="str">
        <f t="shared" ref="W3:W66" si="3">IF(T3&lt;=U3,"Low",IF(T3&lt;=V3,"Medium","High"))</f>
        <v>Low</v>
      </c>
      <c r="X3" t="s">
        <v>2065</v>
      </c>
      <c r="Y3" s="11">
        <v>0.23699999999999999</v>
      </c>
      <c r="Z3" t="s">
        <v>2065</v>
      </c>
      <c r="AA3" s="13">
        <v>31</v>
      </c>
      <c r="AB3" s="9">
        <v>17960.432489999999</v>
      </c>
      <c r="AC3" s="9">
        <v>33616.090000000004</v>
      </c>
      <c r="AD3" s="9">
        <v>-15655.657510000005</v>
      </c>
      <c r="AE3" s="11">
        <v>-0.87167486187856302</v>
      </c>
    </row>
    <row r="4" spans="1:31" x14ac:dyDescent="0.3">
      <c r="A4" t="s">
        <v>17</v>
      </c>
      <c r="B4" s="4">
        <v>44985</v>
      </c>
      <c r="C4" s="4" t="str">
        <f t="shared" si="0"/>
        <v>Feb-2023</v>
      </c>
      <c r="D4" s="4" t="str">
        <f t="shared" si="1"/>
        <v>Q1-2023</v>
      </c>
      <c r="E4" s="4">
        <v>45010</v>
      </c>
      <c r="F4" t="s">
        <v>2064</v>
      </c>
      <c r="G4" s="4">
        <v>45010</v>
      </c>
      <c r="H4" s="13">
        <v>25</v>
      </c>
      <c r="I4" s="7" t="s">
        <v>646</v>
      </c>
      <c r="J4" s="7" t="s">
        <v>650</v>
      </c>
      <c r="K4" s="7" t="s">
        <v>664</v>
      </c>
      <c r="M4" s="7" t="s">
        <v>701</v>
      </c>
      <c r="N4" s="7" t="s">
        <v>707</v>
      </c>
      <c r="O4" s="7" t="s">
        <v>714</v>
      </c>
      <c r="P4" s="7" t="s">
        <v>729</v>
      </c>
      <c r="Q4" s="7" t="s">
        <v>1430</v>
      </c>
      <c r="R4" s="9">
        <v>1460.76</v>
      </c>
      <c r="S4" s="9">
        <v>-30.66</v>
      </c>
      <c r="T4" s="9">
        <v>30.66</v>
      </c>
      <c r="U4" s="9">
        <f>_xlfn.PERCENTILE.INC(T4:T634,0.33)</f>
        <v>820.30799999999999</v>
      </c>
      <c r="V4" s="9">
        <f t="shared" si="2"/>
        <v>1622.5536</v>
      </c>
      <c r="W4" s="9" t="str">
        <f t="shared" si="3"/>
        <v>Low</v>
      </c>
      <c r="X4" t="s">
        <v>2067</v>
      </c>
      <c r="Y4" s="11">
        <v>0.13100000000000001</v>
      </c>
      <c r="Z4" t="s">
        <v>2065</v>
      </c>
      <c r="AA4" s="13">
        <v>12</v>
      </c>
      <c r="AB4" s="9">
        <v>319.72248000000002</v>
      </c>
      <c r="AC4" s="9">
        <v>17529.12</v>
      </c>
      <c r="AD4" s="9">
        <v>-17209.397519999999</v>
      </c>
      <c r="AE4" s="11">
        <v>-53.826047890032626</v>
      </c>
    </row>
    <row r="5" spans="1:31" x14ac:dyDescent="0.3">
      <c r="A5" t="s">
        <v>18</v>
      </c>
      <c r="B5" s="4">
        <v>45745</v>
      </c>
      <c r="C5" s="4" t="str">
        <f t="shared" si="0"/>
        <v>Mar-2025</v>
      </c>
      <c r="D5" s="4" t="str">
        <f t="shared" si="1"/>
        <v>Q1-2025</v>
      </c>
      <c r="E5" s="4">
        <v>45749</v>
      </c>
      <c r="F5" t="s">
        <v>2064</v>
      </c>
      <c r="G5" s="4">
        <v>45749</v>
      </c>
      <c r="H5" s="13">
        <v>4</v>
      </c>
      <c r="I5" s="7" t="s">
        <v>646</v>
      </c>
      <c r="J5" s="7" t="s">
        <v>651</v>
      </c>
      <c r="K5" s="7" t="s">
        <v>665</v>
      </c>
      <c r="M5" s="7" t="s">
        <v>703</v>
      </c>
      <c r="N5" s="7" t="s">
        <v>709</v>
      </c>
      <c r="O5" s="7" t="s">
        <v>715</v>
      </c>
      <c r="P5" s="7" t="s">
        <v>730</v>
      </c>
      <c r="Q5" s="7" t="s">
        <v>1431</v>
      </c>
      <c r="R5" s="9">
        <v>259.93</v>
      </c>
      <c r="S5" s="9">
        <v>255.94</v>
      </c>
      <c r="T5" s="9">
        <v>255.94</v>
      </c>
      <c r="U5" s="9">
        <f>_xlfn.PERCENTILE.INC(T5:T635,0.33)</f>
        <v>823.79199999999992</v>
      </c>
      <c r="V5" s="9">
        <f t="shared" si="2"/>
        <v>1623.9374</v>
      </c>
      <c r="W5" s="9" t="str">
        <f t="shared" si="3"/>
        <v>Low</v>
      </c>
      <c r="X5" t="s">
        <v>2065</v>
      </c>
      <c r="Y5" s="11">
        <v>7.1999999999999995E-2</v>
      </c>
      <c r="Z5" t="s">
        <v>2065</v>
      </c>
      <c r="AA5" s="13">
        <v>22</v>
      </c>
      <c r="AB5" s="9">
        <v>5225.2710400000005</v>
      </c>
      <c r="AC5" s="9">
        <v>5718.46</v>
      </c>
      <c r="AD5" s="9">
        <v>-493.1889599999995</v>
      </c>
      <c r="AE5" s="11">
        <v>-9.4385335463861311E-2</v>
      </c>
    </row>
    <row r="6" spans="1:31" x14ac:dyDescent="0.3">
      <c r="A6" t="s">
        <v>19</v>
      </c>
      <c r="B6" s="4">
        <v>45266</v>
      </c>
      <c r="C6" s="4" t="str">
        <f t="shared" si="0"/>
        <v>Dec-2023</v>
      </c>
      <c r="D6" s="4" t="str">
        <f t="shared" si="1"/>
        <v>Q4-2023</v>
      </c>
      <c r="E6" s="4">
        <v>45291</v>
      </c>
      <c r="F6" t="s">
        <v>2064</v>
      </c>
      <c r="G6" s="4">
        <v>45291</v>
      </c>
      <c r="H6" s="13">
        <v>25</v>
      </c>
      <c r="I6" s="7" t="s">
        <v>647</v>
      </c>
      <c r="J6" s="7" t="s">
        <v>652</v>
      </c>
      <c r="K6" s="7" t="s">
        <v>666</v>
      </c>
      <c r="M6" s="7" t="s">
        <v>704</v>
      </c>
      <c r="N6" s="7" t="s">
        <v>707</v>
      </c>
      <c r="O6" s="7" t="s">
        <v>716</v>
      </c>
      <c r="P6" s="7" t="s">
        <v>728</v>
      </c>
      <c r="Q6" s="7" t="s">
        <v>1432</v>
      </c>
      <c r="R6" s="9">
        <v>663.03</v>
      </c>
      <c r="S6" s="9">
        <v>813.51</v>
      </c>
      <c r="T6" s="9">
        <v>813.51</v>
      </c>
      <c r="U6" s="9">
        <f>_xlfn.PERCENTILE.INC(T6:T636,0.33)</f>
        <v>824.57899999999995</v>
      </c>
      <c r="V6" s="9">
        <f t="shared" si="2"/>
        <v>1624.7900000000002</v>
      </c>
      <c r="W6" s="9" t="str">
        <f t="shared" si="3"/>
        <v>Low</v>
      </c>
      <c r="X6" t="s">
        <v>2065</v>
      </c>
      <c r="Y6" s="11">
        <v>0.10199999999999999</v>
      </c>
      <c r="Z6" t="s">
        <v>2065</v>
      </c>
      <c r="AA6" s="13">
        <v>15</v>
      </c>
      <c r="AB6" s="9">
        <v>10957.9797</v>
      </c>
      <c r="AC6" s="9">
        <v>9945.4499999999989</v>
      </c>
      <c r="AD6" s="9">
        <v>1012.529700000001</v>
      </c>
      <c r="AE6" s="11">
        <v>9.2401129379715952E-2</v>
      </c>
    </row>
    <row r="7" spans="1:31" x14ac:dyDescent="0.3">
      <c r="A7" t="s">
        <v>20</v>
      </c>
      <c r="B7" s="4">
        <v>44928</v>
      </c>
      <c r="C7" s="4" t="str">
        <f t="shared" si="0"/>
        <v>Jan-2023</v>
      </c>
      <c r="D7" s="4" t="str">
        <f t="shared" si="1"/>
        <v>Q1-2023</v>
      </c>
      <c r="E7" s="4">
        <v>44931</v>
      </c>
      <c r="F7" t="s">
        <v>2064</v>
      </c>
      <c r="G7" s="4">
        <v>44931</v>
      </c>
      <c r="H7" s="13">
        <v>3</v>
      </c>
      <c r="I7" s="7" t="s">
        <v>648</v>
      </c>
      <c r="J7" s="7" t="s">
        <v>653</v>
      </c>
      <c r="K7" s="7" t="s">
        <v>667</v>
      </c>
      <c r="M7" s="7" t="s">
        <v>701</v>
      </c>
      <c r="N7" s="7" t="s">
        <v>710</v>
      </c>
      <c r="O7" s="7" t="s">
        <v>717</v>
      </c>
      <c r="P7" s="7" t="s">
        <v>731</v>
      </c>
      <c r="Q7" s="7" t="s">
        <v>1433</v>
      </c>
      <c r="R7" s="9">
        <v>315.87</v>
      </c>
      <c r="S7" s="9">
        <v>591.67999999999995</v>
      </c>
      <c r="T7" s="9">
        <v>591.67999999999995</v>
      </c>
      <c r="U7" s="9">
        <f t="shared" ref="U7:U70" si="4">_xlfn.PERCENTILE.INC(T7:T637,0.33)</f>
        <v>825.22499999999991</v>
      </c>
      <c r="V7" s="9">
        <f t="shared" si="2"/>
        <v>1625.0450000000001</v>
      </c>
      <c r="W7" s="9" t="str">
        <f t="shared" si="3"/>
        <v>Low</v>
      </c>
      <c r="X7" t="s">
        <v>2065</v>
      </c>
      <c r="Y7" s="11">
        <v>0</v>
      </c>
      <c r="Z7" t="s">
        <v>2065</v>
      </c>
      <c r="AA7" s="13">
        <v>7</v>
      </c>
      <c r="AB7" s="9">
        <v>4141.7599999999993</v>
      </c>
      <c r="AC7" s="9">
        <v>2211.09</v>
      </c>
      <c r="AD7" s="9">
        <v>1930.6699999999992</v>
      </c>
      <c r="AE7" s="11">
        <v>0.46614724175229844</v>
      </c>
    </row>
    <row r="8" spans="1:31" x14ac:dyDescent="0.3">
      <c r="A8" t="s">
        <v>21</v>
      </c>
      <c r="B8" s="4">
        <v>45653</v>
      </c>
      <c r="C8" s="4" t="str">
        <f t="shared" si="0"/>
        <v>Dec-2024</v>
      </c>
      <c r="D8" s="4" t="str">
        <f t="shared" si="1"/>
        <v>Q4-2024</v>
      </c>
      <c r="E8" s="4">
        <v>45671</v>
      </c>
      <c r="F8" t="s">
        <v>2064</v>
      </c>
      <c r="G8" s="4">
        <v>45671</v>
      </c>
      <c r="H8" s="13">
        <v>18</v>
      </c>
      <c r="I8" s="7" t="s">
        <v>647</v>
      </c>
      <c r="J8" s="7" t="s">
        <v>654</v>
      </c>
      <c r="K8" s="7" t="s">
        <v>668</v>
      </c>
      <c r="M8" s="7" t="s">
        <v>705</v>
      </c>
      <c r="N8" s="7" t="s">
        <v>709</v>
      </c>
      <c r="O8" s="7" t="s">
        <v>718</v>
      </c>
      <c r="P8" s="7" t="s">
        <v>732</v>
      </c>
      <c r="Q8" s="7" t="s">
        <v>1434</v>
      </c>
      <c r="R8" s="9">
        <v>586.07000000000005</v>
      </c>
      <c r="S8" s="9">
        <v>845.97</v>
      </c>
      <c r="T8" s="9">
        <v>845.97</v>
      </c>
      <c r="U8" s="9">
        <f t="shared" si="4"/>
        <v>826.33720000000005</v>
      </c>
      <c r="V8" s="9">
        <f t="shared" si="2"/>
        <v>1625.3000000000002</v>
      </c>
      <c r="W8" s="9" t="str">
        <f t="shared" si="3"/>
        <v>Medium</v>
      </c>
      <c r="X8" t="s">
        <v>2065</v>
      </c>
      <c r="Y8" s="11">
        <v>0.14699999999999999</v>
      </c>
      <c r="Z8" t="s">
        <v>2065</v>
      </c>
      <c r="AA8" s="13">
        <v>4</v>
      </c>
      <c r="AB8" s="9">
        <v>2886.4496399999998</v>
      </c>
      <c r="AC8" s="9">
        <v>2344.2800000000002</v>
      </c>
      <c r="AD8" s="9">
        <v>542.16963999999962</v>
      </c>
      <c r="AE8" s="11">
        <v>0.18783270370862928</v>
      </c>
    </row>
    <row r="9" spans="1:31" x14ac:dyDescent="0.3">
      <c r="A9" t="s">
        <v>22</v>
      </c>
      <c r="B9" s="4">
        <v>44941</v>
      </c>
      <c r="C9" s="4" t="str">
        <f t="shared" si="0"/>
        <v>Jan-2023</v>
      </c>
      <c r="D9" s="4" t="str">
        <f t="shared" si="1"/>
        <v>Q1-2023</v>
      </c>
      <c r="E9" s="4">
        <v>44939</v>
      </c>
      <c r="F9" t="s">
        <v>2066</v>
      </c>
      <c r="G9" s="4">
        <v>44941</v>
      </c>
      <c r="H9" s="13">
        <v>0</v>
      </c>
      <c r="I9" s="7" t="s">
        <v>646</v>
      </c>
      <c r="J9" s="7" t="s">
        <v>651</v>
      </c>
      <c r="K9" s="7" t="s">
        <v>669</v>
      </c>
      <c r="M9" s="7" t="s">
        <v>702</v>
      </c>
      <c r="N9" s="7" t="s">
        <v>708</v>
      </c>
      <c r="O9" s="7" t="s">
        <v>719</v>
      </c>
      <c r="P9" s="7" t="s">
        <v>728</v>
      </c>
      <c r="Q9" s="7" t="s">
        <v>1435</v>
      </c>
      <c r="R9" s="9">
        <v>28.38</v>
      </c>
      <c r="S9" s="9">
        <v>47.22</v>
      </c>
      <c r="T9" s="9">
        <v>47.22</v>
      </c>
      <c r="U9" s="9">
        <f t="shared" si="4"/>
        <v>825.7894</v>
      </c>
      <c r="V9" s="9">
        <f t="shared" si="2"/>
        <v>1626.3146000000002</v>
      </c>
      <c r="W9" s="9" t="str">
        <f t="shared" si="3"/>
        <v>Low</v>
      </c>
      <c r="X9" t="s">
        <v>2065</v>
      </c>
      <c r="Y9" s="11">
        <v>0.19400000000000001</v>
      </c>
      <c r="Z9" t="s">
        <v>2065</v>
      </c>
      <c r="AA9" s="13">
        <v>18</v>
      </c>
      <c r="AB9" s="9">
        <v>685.06776000000002</v>
      </c>
      <c r="AC9" s="9">
        <v>510.84</v>
      </c>
      <c r="AD9" s="9">
        <v>174.22776000000005</v>
      </c>
      <c r="AE9" s="11">
        <v>0.25432193743871417</v>
      </c>
    </row>
    <row r="10" spans="1:31" x14ac:dyDescent="0.3">
      <c r="A10" t="s">
        <v>23</v>
      </c>
      <c r="B10" s="4">
        <v>45416</v>
      </c>
      <c r="C10" s="4" t="str">
        <f t="shared" si="0"/>
        <v>May-2024</v>
      </c>
      <c r="D10" s="4" t="str">
        <f t="shared" si="1"/>
        <v>Q2-2024</v>
      </c>
      <c r="E10" s="4">
        <v>45441</v>
      </c>
      <c r="F10" t="s">
        <v>2064</v>
      </c>
      <c r="G10" s="4">
        <v>45441</v>
      </c>
      <c r="H10" s="13">
        <v>25</v>
      </c>
      <c r="I10" s="7" t="s">
        <v>646</v>
      </c>
      <c r="J10" s="7" t="s">
        <v>651</v>
      </c>
      <c r="K10" s="7" t="s">
        <v>669</v>
      </c>
      <c r="M10" s="7" t="s">
        <v>703</v>
      </c>
      <c r="N10" s="7" t="s">
        <v>709</v>
      </c>
      <c r="O10" s="7" t="s">
        <v>719</v>
      </c>
      <c r="P10" s="7" t="s">
        <v>732</v>
      </c>
      <c r="Q10" s="7" t="s">
        <v>1436</v>
      </c>
      <c r="R10" s="9">
        <v>1295.3399999999999</v>
      </c>
      <c r="S10" s="9">
        <v>2530.81</v>
      </c>
      <c r="T10" s="9">
        <v>2530.81</v>
      </c>
      <c r="U10" s="9">
        <f t="shared" si="4"/>
        <v>828.34720000000016</v>
      </c>
      <c r="V10" s="9">
        <f t="shared" si="2"/>
        <v>1628.0044000000003</v>
      </c>
      <c r="W10" s="9" t="str">
        <f t="shared" si="3"/>
        <v>High</v>
      </c>
      <c r="X10" t="s">
        <v>2065</v>
      </c>
      <c r="Y10" s="11">
        <v>3.1E-2</v>
      </c>
      <c r="Z10" t="s">
        <v>2065</v>
      </c>
      <c r="AA10" s="13">
        <v>6</v>
      </c>
      <c r="AB10" s="9">
        <v>14714.12934</v>
      </c>
      <c r="AC10" s="9">
        <v>7772.0399999999991</v>
      </c>
      <c r="AD10" s="9">
        <v>6942.0893400000004</v>
      </c>
      <c r="AE10" s="11">
        <v>0.4717974933880798</v>
      </c>
    </row>
    <row r="11" spans="1:31" x14ac:dyDescent="0.3">
      <c r="A11" t="s">
        <v>24</v>
      </c>
      <c r="B11" s="4">
        <v>45798</v>
      </c>
      <c r="C11" s="4" t="str">
        <f t="shared" si="0"/>
        <v>May-2025</v>
      </c>
      <c r="D11" s="4" t="str">
        <f t="shared" si="1"/>
        <v>Q2-2025</v>
      </c>
      <c r="E11" s="4">
        <v>45817</v>
      </c>
      <c r="F11" t="s">
        <v>2064</v>
      </c>
      <c r="G11" s="4">
        <v>45817</v>
      </c>
      <c r="H11" s="13">
        <v>19</v>
      </c>
      <c r="I11" s="7" t="s">
        <v>648</v>
      </c>
      <c r="J11" s="7" t="s">
        <v>655</v>
      </c>
      <c r="K11" s="7" t="s">
        <v>670</v>
      </c>
      <c r="M11" s="7" t="s">
        <v>703</v>
      </c>
      <c r="N11" s="7" t="s">
        <v>708</v>
      </c>
      <c r="O11" s="7" t="s">
        <v>720</v>
      </c>
      <c r="P11" s="7" t="s">
        <v>727</v>
      </c>
      <c r="Q11" s="7" t="s">
        <v>1437</v>
      </c>
      <c r="R11" s="9">
        <v>1331.38</v>
      </c>
      <c r="S11" s="9">
        <v>2309.56</v>
      </c>
      <c r="T11" s="9">
        <v>2309.56</v>
      </c>
      <c r="U11" s="9">
        <f t="shared" si="4"/>
        <v>826.35379999999998</v>
      </c>
      <c r="V11" s="9">
        <f t="shared" si="2"/>
        <v>1625.3150000000001</v>
      </c>
      <c r="W11" s="9" t="str">
        <f t="shared" si="3"/>
        <v>High</v>
      </c>
      <c r="X11" t="s">
        <v>2065</v>
      </c>
      <c r="Y11" s="11">
        <v>0.14899999999999999</v>
      </c>
      <c r="Z11" t="s">
        <v>2065</v>
      </c>
      <c r="AA11" s="13">
        <v>31</v>
      </c>
      <c r="AB11" s="9">
        <v>60928.502359999999</v>
      </c>
      <c r="AC11" s="9">
        <v>41272.780000000006</v>
      </c>
      <c r="AD11" s="9">
        <v>19655.722359999992</v>
      </c>
      <c r="AE11" s="11">
        <v>0.32260307735553528</v>
      </c>
    </row>
    <row r="12" spans="1:31" x14ac:dyDescent="0.3">
      <c r="A12" t="s">
        <v>25</v>
      </c>
      <c r="B12" s="4">
        <v>45319</v>
      </c>
      <c r="C12" s="4" t="str">
        <f t="shared" si="0"/>
        <v>Jan-2024</v>
      </c>
      <c r="D12" s="4" t="str">
        <f t="shared" si="1"/>
        <v>Q1-2024</v>
      </c>
      <c r="E12" s="4">
        <v>45331</v>
      </c>
      <c r="F12" t="s">
        <v>2064</v>
      </c>
      <c r="G12" s="4">
        <v>45331</v>
      </c>
      <c r="H12" s="13">
        <v>12</v>
      </c>
      <c r="I12" s="7" t="s">
        <v>649</v>
      </c>
      <c r="J12" s="7" t="s">
        <v>656</v>
      </c>
      <c r="K12" s="7" t="s">
        <v>671</v>
      </c>
      <c r="M12" s="7" t="s">
        <v>701</v>
      </c>
      <c r="N12" s="7" t="s">
        <v>708</v>
      </c>
      <c r="O12" s="7" t="s">
        <v>715</v>
      </c>
      <c r="P12" s="7" t="s">
        <v>733</v>
      </c>
      <c r="Q12" s="7" t="s">
        <v>1438</v>
      </c>
      <c r="R12" s="9">
        <v>644.16999999999996</v>
      </c>
      <c r="S12" s="9">
        <v>700.12</v>
      </c>
      <c r="T12" s="9">
        <v>700.12</v>
      </c>
      <c r="U12" s="9">
        <f t="shared" si="4"/>
        <v>825.80600000000004</v>
      </c>
      <c r="V12" s="9">
        <f t="shared" si="2"/>
        <v>1624.8200000000002</v>
      </c>
      <c r="W12" s="9" t="str">
        <f t="shared" si="3"/>
        <v>Low</v>
      </c>
      <c r="X12" t="s">
        <v>2065</v>
      </c>
      <c r="Y12" s="11">
        <v>6.0000000000000001E-3</v>
      </c>
      <c r="Z12" t="s">
        <v>2065</v>
      </c>
      <c r="AA12" s="13">
        <v>23</v>
      </c>
      <c r="AB12" s="9">
        <v>16006.14344</v>
      </c>
      <c r="AC12" s="9">
        <v>14815.91</v>
      </c>
      <c r="AD12" s="9">
        <v>1190.23344</v>
      </c>
      <c r="AE12" s="11">
        <v>7.436103796405813E-2</v>
      </c>
    </row>
    <row r="13" spans="1:31" x14ac:dyDescent="0.3">
      <c r="A13" t="s">
        <v>26</v>
      </c>
      <c r="B13" s="4">
        <v>45660</v>
      </c>
      <c r="C13" s="4" t="str">
        <f t="shared" si="0"/>
        <v>Jan-2025</v>
      </c>
      <c r="D13" s="4" t="str">
        <f t="shared" si="1"/>
        <v>Q1-2025</v>
      </c>
      <c r="E13" s="4">
        <v>45680</v>
      </c>
      <c r="F13" t="s">
        <v>2064</v>
      </c>
      <c r="G13" s="4">
        <v>45680</v>
      </c>
      <c r="H13" s="13">
        <v>20</v>
      </c>
      <c r="I13" s="7" t="s">
        <v>647</v>
      </c>
      <c r="J13" s="7" t="s">
        <v>652</v>
      </c>
      <c r="K13" s="7" t="s">
        <v>666</v>
      </c>
      <c r="M13" s="7" t="s">
        <v>701</v>
      </c>
      <c r="N13" s="7" t="s">
        <v>710</v>
      </c>
      <c r="O13" s="7" t="s">
        <v>721</v>
      </c>
      <c r="P13" s="7" t="s">
        <v>730</v>
      </c>
      <c r="Q13" s="7" t="s">
        <v>1439</v>
      </c>
      <c r="R13" s="9">
        <v>908.6</v>
      </c>
      <c r="S13" s="9">
        <v>691.37</v>
      </c>
      <c r="T13" s="9">
        <v>691.37</v>
      </c>
      <c r="U13" s="9">
        <f t="shared" si="4"/>
        <v>828.41940000000011</v>
      </c>
      <c r="V13" s="9">
        <f t="shared" si="2"/>
        <v>1625.075</v>
      </c>
      <c r="W13" s="9" t="str">
        <f t="shared" si="3"/>
        <v>Low</v>
      </c>
      <c r="X13" t="s">
        <v>2065</v>
      </c>
      <c r="Y13" s="11">
        <v>0.25</v>
      </c>
      <c r="Z13" t="s">
        <v>2065</v>
      </c>
      <c r="AA13" s="13">
        <v>20</v>
      </c>
      <c r="AB13" s="9">
        <v>10370.549999999999</v>
      </c>
      <c r="AC13" s="9">
        <v>18172</v>
      </c>
      <c r="AD13" s="9">
        <v>-7801.4500000000007</v>
      </c>
      <c r="AE13" s="11">
        <v>-0.75226964818645115</v>
      </c>
    </row>
    <row r="14" spans="1:31" x14ac:dyDescent="0.3">
      <c r="A14" t="s">
        <v>27</v>
      </c>
      <c r="B14" s="4">
        <v>45722</v>
      </c>
      <c r="C14" s="4" t="str">
        <f t="shared" si="0"/>
        <v>Mar-2025</v>
      </c>
      <c r="D14" s="4" t="str">
        <f t="shared" si="1"/>
        <v>Q1-2025</v>
      </c>
      <c r="E14" s="4">
        <v>45747</v>
      </c>
      <c r="F14" t="s">
        <v>2064</v>
      </c>
      <c r="G14" s="4">
        <v>45747</v>
      </c>
      <c r="H14" s="13">
        <v>25</v>
      </c>
      <c r="I14" s="7" t="s">
        <v>648</v>
      </c>
      <c r="J14" s="7" t="s">
        <v>655</v>
      </c>
      <c r="K14" s="7" t="s">
        <v>672</v>
      </c>
      <c r="M14" s="7" t="s">
        <v>703</v>
      </c>
      <c r="N14" s="7" t="s">
        <v>708</v>
      </c>
      <c r="O14" s="7" t="s">
        <v>713</v>
      </c>
      <c r="P14" s="7" t="s">
        <v>727</v>
      </c>
      <c r="Q14" s="7" t="s">
        <v>1440</v>
      </c>
      <c r="R14" s="9">
        <v>331.57</v>
      </c>
      <c r="S14" s="9">
        <v>548.4</v>
      </c>
      <c r="T14" s="9">
        <v>548.4</v>
      </c>
      <c r="U14" s="9">
        <f t="shared" si="4"/>
        <v>833.2568</v>
      </c>
      <c r="V14" s="9">
        <f t="shared" si="2"/>
        <v>1625.3300000000002</v>
      </c>
      <c r="W14" s="9" t="str">
        <f t="shared" si="3"/>
        <v>Low</v>
      </c>
      <c r="X14" t="s">
        <v>2065</v>
      </c>
      <c r="Y14" s="11">
        <v>9.4E-2</v>
      </c>
      <c r="Z14" t="s">
        <v>2065</v>
      </c>
      <c r="AA14" s="13">
        <v>10</v>
      </c>
      <c r="AB14" s="9">
        <v>4968.5039999999999</v>
      </c>
      <c r="AC14" s="9">
        <v>3315.7</v>
      </c>
      <c r="AD14" s="9">
        <v>1652.8040000000001</v>
      </c>
      <c r="AE14" s="11">
        <v>0.33265626836568918</v>
      </c>
    </row>
    <row r="15" spans="1:31" x14ac:dyDescent="0.3">
      <c r="A15" t="s">
        <v>28</v>
      </c>
      <c r="B15" s="4">
        <v>45311</v>
      </c>
      <c r="C15" s="4" t="str">
        <f t="shared" si="0"/>
        <v>Jan-2024</v>
      </c>
      <c r="D15" s="4" t="str">
        <f t="shared" si="1"/>
        <v>Q1-2024</v>
      </c>
      <c r="E15" s="4">
        <v>45335</v>
      </c>
      <c r="F15" t="s">
        <v>2064</v>
      </c>
      <c r="G15" s="4">
        <v>45335</v>
      </c>
      <c r="H15" s="13">
        <v>24</v>
      </c>
      <c r="I15" s="7" t="s">
        <v>649</v>
      </c>
      <c r="J15" s="7" t="s">
        <v>657</v>
      </c>
      <c r="K15" s="7" t="s">
        <v>673</v>
      </c>
      <c r="M15" s="7" t="s">
        <v>701</v>
      </c>
      <c r="N15" s="7" t="s">
        <v>707</v>
      </c>
      <c r="O15" s="7" t="s">
        <v>722</v>
      </c>
      <c r="P15" s="7" t="s">
        <v>728</v>
      </c>
      <c r="Q15" s="7" t="s">
        <v>1441</v>
      </c>
      <c r="R15" s="9">
        <v>643.53</v>
      </c>
      <c r="S15" s="9">
        <v>1439.01</v>
      </c>
      <c r="T15" s="9">
        <v>1439.01</v>
      </c>
      <c r="U15" s="9">
        <f t="shared" si="4"/>
        <v>836.95350000000008</v>
      </c>
      <c r="V15" s="9">
        <f t="shared" si="2"/>
        <v>1626.5134000000003</v>
      </c>
      <c r="W15" s="9" t="str">
        <f t="shared" si="3"/>
        <v>Medium</v>
      </c>
      <c r="X15" t="s">
        <v>2065</v>
      </c>
      <c r="Y15" s="11">
        <v>0</v>
      </c>
      <c r="Z15" t="s">
        <v>2065</v>
      </c>
      <c r="AA15" s="13">
        <v>15</v>
      </c>
      <c r="AB15" s="9">
        <v>21585.15</v>
      </c>
      <c r="AC15" s="9">
        <v>9652.9499999999989</v>
      </c>
      <c r="AD15" s="9">
        <v>11932.200000000003</v>
      </c>
      <c r="AE15" s="11">
        <v>0.55279671440782208</v>
      </c>
    </row>
    <row r="16" spans="1:31" x14ac:dyDescent="0.3">
      <c r="A16" t="s">
        <v>29</v>
      </c>
      <c r="B16" s="4">
        <v>45901</v>
      </c>
      <c r="C16" s="4" t="str">
        <f t="shared" si="0"/>
        <v>Sep-2025</v>
      </c>
      <c r="D16" s="4" t="str">
        <f t="shared" si="1"/>
        <v>Q3-2025</v>
      </c>
      <c r="E16" s="4">
        <v>45930</v>
      </c>
      <c r="F16" t="s">
        <v>2064</v>
      </c>
      <c r="G16" s="4">
        <v>45930</v>
      </c>
      <c r="H16" s="13">
        <v>29</v>
      </c>
      <c r="I16" s="7" t="s">
        <v>648</v>
      </c>
      <c r="J16" s="7" t="s">
        <v>655</v>
      </c>
      <c r="K16" s="7" t="s">
        <v>672</v>
      </c>
      <c r="M16" s="7" t="s">
        <v>702</v>
      </c>
      <c r="N16" s="7" t="s">
        <v>707</v>
      </c>
      <c r="O16" s="7" t="s">
        <v>723</v>
      </c>
      <c r="P16" s="7" t="s">
        <v>733</v>
      </c>
      <c r="Q16" s="7" t="s">
        <v>1442</v>
      </c>
      <c r="R16" s="9">
        <v>780.59</v>
      </c>
      <c r="S16" s="9">
        <v>631.57000000000005</v>
      </c>
      <c r="T16" s="9">
        <v>631.57000000000005</v>
      </c>
      <c r="U16" s="9">
        <f t="shared" si="4"/>
        <v>835.18799999999999</v>
      </c>
      <c r="V16" s="9">
        <f t="shared" si="2"/>
        <v>1628.2032000000002</v>
      </c>
      <c r="W16" s="9" t="str">
        <f t="shared" si="3"/>
        <v>Low</v>
      </c>
      <c r="X16" t="s">
        <v>2065</v>
      </c>
      <c r="Y16" s="11">
        <v>0</v>
      </c>
      <c r="Z16" t="s">
        <v>2065</v>
      </c>
      <c r="AA16" s="13">
        <v>12</v>
      </c>
      <c r="AB16" s="9">
        <v>7578.84</v>
      </c>
      <c r="AC16" s="9">
        <v>9367.08</v>
      </c>
      <c r="AD16" s="9">
        <v>-1788.2399999999998</v>
      </c>
      <c r="AE16" s="11">
        <v>-0.23595167598207639</v>
      </c>
    </row>
    <row r="17" spans="1:31" x14ac:dyDescent="0.3">
      <c r="A17" t="s">
        <v>30</v>
      </c>
      <c r="B17" s="4">
        <v>45039</v>
      </c>
      <c r="C17" s="4" t="str">
        <f t="shared" si="0"/>
        <v>Apr-2023</v>
      </c>
      <c r="D17" s="4" t="str">
        <f t="shared" si="1"/>
        <v>Q2-2023</v>
      </c>
      <c r="E17" s="4">
        <v>45038</v>
      </c>
      <c r="F17" t="s">
        <v>2066</v>
      </c>
      <c r="G17" s="4">
        <v>45039</v>
      </c>
      <c r="H17" s="13">
        <v>0</v>
      </c>
      <c r="I17" s="7" t="s">
        <v>646</v>
      </c>
      <c r="J17" s="7" t="s">
        <v>650</v>
      </c>
      <c r="K17" s="7" t="s">
        <v>664</v>
      </c>
      <c r="M17" s="7" t="s">
        <v>705</v>
      </c>
      <c r="N17" s="7" t="s">
        <v>711</v>
      </c>
      <c r="O17" s="7" t="s">
        <v>718</v>
      </c>
      <c r="P17" s="7" t="s">
        <v>731</v>
      </c>
      <c r="Q17" s="7" t="s">
        <v>1443</v>
      </c>
      <c r="R17" s="9">
        <v>756.51</v>
      </c>
      <c r="S17" s="9">
        <v>850.8</v>
      </c>
      <c r="T17" s="9">
        <v>850.8</v>
      </c>
      <c r="U17" s="9">
        <f t="shared" si="4"/>
        <v>838.77250000000004</v>
      </c>
      <c r="V17" s="9">
        <f t="shared" si="2"/>
        <v>1629.8930000000003</v>
      </c>
      <c r="W17" s="9" t="str">
        <f t="shared" si="3"/>
        <v>Medium</v>
      </c>
      <c r="X17" t="s">
        <v>2065</v>
      </c>
      <c r="Y17" s="11">
        <v>7.3999999999999996E-2</v>
      </c>
      <c r="Z17" t="s">
        <v>2065</v>
      </c>
      <c r="AA17" s="13">
        <v>9</v>
      </c>
      <c r="AB17" s="9">
        <v>7090.5672000000004</v>
      </c>
      <c r="AC17" s="9">
        <v>6808.59</v>
      </c>
      <c r="AD17" s="9">
        <v>281.97720000000027</v>
      </c>
      <c r="AE17" s="11">
        <v>3.9767932810791252E-2</v>
      </c>
    </row>
    <row r="18" spans="1:31" x14ac:dyDescent="0.3">
      <c r="A18" t="s">
        <v>31</v>
      </c>
      <c r="B18" s="4">
        <v>45636</v>
      </c>
      <c r="C18" s="4" t="str">
        <f t="shared" si="0"/>
        <v>Dec-2024</v>
      </c>
      <c r="D18" s="4" t="str">
        <f t="shared" si="1"/>
        <v>Q4-2024</v>
      </c>
      <c r="E18" s="4">
        <v>45665</v>
      </c>
      <c r="F18" t="s">
        <v>2064</v>
      </c>
      <c r="G18" s="4">
        <v>45665</v>
      </c>
      <c r="H18" s="13">
        <v>29</v>
      </c>
      <c r="I18" s="7" t="s">
        <v>649</v>
      </c>
      <c r="J18" s="7" t="s">
        <v>657</v>
      </c>
      <c r="K18" s="7" t="s">
        <v>673</v>
      </c>
      <c r="M18" s="7" t="s">
        <v>705</v>
      </c>
      <c r="N18" s="7" t="s">
        <v>707</v>
      </c>
      <c r="O18" s="7" t="s">
        <v>723</v>
      </c>
      <c r="P18" s="7" t="s">
        <v>728</v>
      </c>
      <c r="Q18" s="7" t="s">
        <v>1444</v>
      </c>
      <c r="R18" s="9">
        <v>891.08</v>
      </c>
      <c r="S18" s="9">
        <v>1040.0999999999999</v>
      </c>
      <c r="T18" s="9">
        <v>1040.0999999999999</v>
      </c>
      <c r="U18" s="9">
        <f t="shared" si="4"/>
        <v>837.00700000000006</v>
      </c>
      <c r="V18" s="9">
        <f t="shared" si="2"/>
        <v>1630.546</v>
      </c>
      <c r="W18" s="9" t="str">
        <f t="shared" si="3"/>
        <v>Medium</v>
      </c>
      <c r="X18" t="s">
        <v>2065</v>
      </c>
      <c r="Y18" s="11">
        <v>0.109</v>
      </c>
      <c r="Z18" t="s">
        <v>2065</v>
      </c>
      <c r="AA18" s="13">
        <v>28</v>
      </c>
      <c r="AB18" s="9">
        <v>25948.414799999995</v>
      </c>
      <c r="AC18" s="9">
        <v>24950.240000000002</v>
      </c>
      <c r="AD18" s="9">
        <v>998.17479999999341</v>
      </c>
      <c r="AE18" s="11">
        <v>3.8467660074556598E-2</v>
      </c>
    </row>
    <row r="19" spans="1:31" x14ac:dyDescent="0.3">
      <c r="A19" t="s">
        <v>32</v>
      </c>
      <c r="B19" s="4">
        <v>45908</v>
      </c>
      <c r="C19" s="4" t="str">
        <f t="shared" si="0"/>
        <v>Sep-2025</v>
      </c>
      <c r="D19" s="4" t="str">
        <f t="shared" si="1"/>
        <v>Q3-2025</v>
      </c>
      <c r="E19" s="4">
        <v>45916</v>
      </c>
      <c r="F19" t="s">
        <v>2064</v>
      </c>
      <c r="G19" s="4">
        <v>45916</v>
      </c>
      <c r="H19" s="13">
        <v>8</v>
      </c>
      <c r="I19" s="7" t="s">
        <v>647</v>
      </c>
      <c r="J19" s="7" t="s">
        <v>652</v>
      </c>
      <c r="K19" s="7" t="s">
        <v>666</v>
      </c>
      <c r="M19" s="7" t="s">
        <v>701</v>
      </c>
      <c r="N19" s="7" t="s">
        <v>710</v>
      </c>
      <c r="O19" s="7" t="s">
        <v>712</v>
      </c>
      <c r="P19" s="7" t="s">
        <v>730</v>
      </c>
      <c r="Q19" s="7" t="s">
        <v>1445</v>
      </c>
      <c r="R19" s="9">
        <v>1225.57</v>
      </c>
      <c r="S19" s="9">
        <v>2705.57</v>
      </c>
      <c r="T19" s="9">
        <v>2705.57</v>
      </c>
      <c r="U19" s="9">
        <f t="shared" si="4"/>
        <v>835.24150000000009</v>
      </c>
      <c r="V19" s="9">
        <f t="shared" si="2"/>
        <v>1630.7670000000001</v>
      </c>
      <c r="W19" s="9" t="str">
        <f t="shared" si="3"/>
        <v>High</v>
      </c>
      <c r="X19" t="s">
        <v>2065</v>
      </c>
      <c r="Y19" s="11">
        <v>0.183</v>
      </c>
      <c r="Z19" t="s">
        <v>2065</v>
      </c>
      <c r="AA19" s="13">
        <v>16</v>
      </c>
      <c r="AB19" s="9">
        <v>35367.211040000002</v>
      </c>
      <c r="AC19" s="9">
        <v>19609.12</v>
      </c>
      <c r="AD19" s="9">
        <v>15758.091040000003</v>
      </c>
      <c r="AE19" s="11">
        <v>0.44555650775453404</v>
      </c>
    </row>
    <row r="20" spans="1:31" x14ac:dyDescent="0.3">
      <c r="A20" t="s">
        <v>33</v>
      </c>
      <c r="B20" s="4">
        <v>45858</v>
      </c>
      <c r="C20" s="4" t="str">
        <f t="shared" si="0"/>
        <v>Jul-2025</v>
      </c>
      <c r="D20" s="4" t="str">
        <f t="shared" si="1"/>
        <v>Q3-2025</v>
      </c>
      <c r="E20" s="4">
        <v>45874</v>
      </c>
      <c r="F20" t="s">
        <v>2064</v>
      </c>
      <c r="G20" s="4">
        <v>45874</v>
      </c>
      <c r="H20" s="13">
        <v>16</v>
      </c>
      <c r="I20" s="7" t="s">
        <v>648</v>
      </c>
      <c r="J20" s="7" t="s">
        <v>655</v>
      </c>
      <c r="K20" s="7" t="s">
        <v>672</v>
      </c>
      <c r="M20" s="7" t="s">
        <v>706</v>
      </c>
      <c r="N20" s="7" t="s">
        <v>709</v>
      </c>
      <c r="O20" s="7" t="s">
        <v>715</v>
      </c>
      <c r="P20" s="7" t="s">
        <v>733</v>
      </c>
      <c r="Q20" s="7" t="s">
        <v>1446</v>
      </c>
      <c r="R20" s="9">
        <v>1068.17</v>
      </c>
      <c r="S20" s="9">
        <v>2375.37</v>
      </c>
      <c r="T20" s="9">
        <v>2375.37</v>
      </c>
      <c r="U20" s="9">
        <f t="shared" si="4"/>
        <v>833.40120000000013</v>
      </c>
      <c r="V20" s="9">
        <f t="shared" si="2"/>
        <v>1629.9924000000001</v>
      </c>
      <c r="W20" s="9" t="str">
        <f t="shared" si="3"/>
        <v>High</v>
      </c>
      <c r="X20" t="s">
        <v>2065</v>
      </c>
      <c r="Y20" s="11">
        <v>0.109</v>
      </c>
      <c r="Z20" t="s">
        <v>2065</v>
      </c>
      <c r="AA20" s="13">
        <v>18</v>
      </c>
      <c r="AB20" s="9">
        <v>38096.18406</v>
      </c>
      <c r="AC20" s="9">
        <v>19227.060000000001</v>
      </c>
      <c r="AD20" s="9">
        <v>18869.124059999998</v>
      </c>
      <c r="AE20" s="11">
        <v>0.49530220744108822</v>
      </c>
    </row>
    <row r="21" spans="1:31" x14ac:dyDescent="0.3">
      <c r="A21" t="s">
        <v>34</v>
      </c>
      <c r="B21" s="4">
        <v>45798</v>
      </c>
      <c r="C21" s="4" t="str">
        <f t="shared" si="0"/>
        <v>May-2025</v>
      </c>
      <c r="D21" s="4" t="str">
        <f t="shared" si="1"/>
        <v>Q2-2025</v>
      </c>
      <c r="E21" s="4">
        <v>45796</v>
      </c>
      <c r="F21" t="s">
        <v>2066</v>
      </c>
      <c r="G21" s="4">
        <v>45798</v>
      </c>
      <c r="H21" s="13">
        <v>0</v>
      </c>
      <c r="I21" s="7" t="s">
        <v>649</v>
      </c>
      <c r="J21" s="7" t="s">
        <v>658</v>
      </c>
      <c r="K21" s="7" t="s">
        <v>674</v>
      </c>
      <c r="M21" s="7" t="s">
        <v>706</v>
      </c>
      <c r="N21" s="7" t="s">
        <v>708</v>
      </c>
      <c r="O21" s="7" t="s">
        <v>724</v>
      </c>
      <c r="P21" s="7" t="s">
        <v>731</v>
      </c>
      <c r="Q21" s="7" t="s">
        <v>1447</v>
      </c>
      <c r="R21" s="9">
        <v>1015.16</v>
      </c>
      <c r="S21" s="9">
        <v>2148.14</v>
      </c>
      <c r="T21" s="9">
        <v>2148.14</v>
      </c>
      <c r="U21" s="9">
        <f t="shared" si="4"/>
        <v>831.01859999999999</v>
      </c>
      <c r="V21" s="9">
        <f t="shared" si="2"/>
        <v>1626.7121999999999</v>
      </c>
      <c r="W21" s="9" t="str">
        <f t="shared" si="3"/>
        <v>High</v>
      </c>
      <c r="X21" t="s">
        <v>2065</v>
      </c>
      <c r="Y21" s="11">
        <v>3.7999999999999999E-2</v>
      </c>
      <c r="Z21" t="s">
        <v>2065</v>
      </c>
      <c r="AA21" s="13">
        <v>19</v>
      </c>
      <c r="AB21" s="9">
        <v>39263.702919999996</v>
      </c>
      <c r="AC21" s="9">
        <v>19288.04</v>
      </c>
      <c r="AD21" s="9">
        <v>19975.662919999995</v>
      </c>
      <c r="AE21" s="11">
        <v>0.50875647059322227</v>
      </c>
    </row>
    <row r="22" spans="1:31" x14ac:dyDescent="0.3">
      <c r="A22" t="s">
        <v>35</v>
      </c>
      <c r="B22" s="4">
        <v>45498</v>
      </c>
      <c r="C22" s="4" t="str">
        <f t="shared" si="0"/>
        <v>Jul-2024</v>
      </c>
      <c r="D22" s="4" t="str">
        <f t="shared" si="1"/>
        <v>Q3-2024</v>
      </c>
      <c r="E22" s="4">
        <v>45497</v>
      </c>
      <c r="F22" t="s">
        <v>2066</v>
      </c>
      <c r="G22" s="4">
        <v>45498</v>
      </c>
      <c r="H22" s="13">
        <v>0</v>
      </c>
      <c r="I22" s="7" t="s">
        <v>646</v>
      </c>
      <c r="J22" s="7" t="s">
        <v>650</v>
      </c>
      <c r="K22" s="7" t="s">
        <v>675</v>
      </c>
      <c r="M22" s="7" t="s">
        <v>703</v>
      </c>
      <c r="N22" s="7" t="s">
        <v>711</v>
      </c>
      <c r="O22" s="7" t="s">
        <v>713</v>
      </c>
      <c r="P22" s="7" t="s">
        <v>731</v>
      </c>
      <c r="Q22" s="7" t="s">
        <v>1448</v>
      </c>
      <c r="R22" s="9">
        <v>1494.4</v>
      </c>
      <c r="S22" s="9">
        <v>3661.07</v>
      </c>
      <c r="T22" s="9">
        <v>3661.07</v>
      </c>
      <c r="U22" s="9">
        <f t="shared" si="4"/>
        <v>828.63600000000008</v>
      </c>
      <c r="V22" s="9">
        <f t="shared" si="2"/>
        <v>1625.1200000000001</v>
      </c>
      <c r="W22" s="9" t="str">
        <f t="shared" si="3"/>
        <v>High</v>
      </c>
      <c r="X22" t="s">
        <v>2065</v>
      </c>
      <c r="Y22" s="11">
        <v>7.1999999999999995E-2</v>
      </c>
      <c r="Z22" t="s">
        <v>2065</v>
      </c>
      <c r="AA22" s="13">
        <v>7</v>
      </c>
      <c r="AB22" s="9">
        <v>23782.310720000001</v>
      </c>
      <c r="AC22" s="9">
        <v>10460.800000000001</v>
      </c>
      <c r="AD22" s="9">
        <v>13321.51072</v>
      </c>
      <c r="AE22" s="11">
        <v>0.56014366630897339</v>
      </c>
    </row>
    <row r="23" spans="1:31" x14ac:dyDescent="0.3">
      <c r="A23" t="s">
        <v>36</v>
      </c>
      <c r="B23" s="4">
        <v>45057</v>
      </c>
      <c r="C23" s="4" t="str">
        <f t="shared" si="0"/>
        <v>May-2023</v>
      </c>
      <c r="D23" s="4" t="str">
        <f t="shared" si="1"/>
        <v>Q2-2023</v>
      </c>
      <c r="E23" s="4">
        <v>45074</v>
      </c>
      <c r="F23" t="s">
        <v>2064</v>
      </c>
      <c r="G23" s="4">
        <v>45074</v>
      </c>
      <c r="H23" s="13">
        <v>17</v>
      </c>
      <c r="I23" s="7" t="s">
        <v>647</v>
      </c>
      <c r="J23" s="7" t="s">
        <v>659</v>
      </c>
      <c r="K23" s="7" t="s">
        <v>676</v>
      </c>
      <c r="M23" s="7" t="s">
        <v>706</v>
      </c>
      <c r="N23" s="7" t="s">
        <v>709</v>
      </c>
      <c r="O23" s="7" t="s">
        <v>718</v>
      </c>
      <c r="P23" s="7" t="s">
        <v>729</v>
      </c>
      <c r="Q23" s="7" t="s">
        <v>1449</v>
      </c>
      <c r="R23" s="9">
        <v>1331.19</v>
      </c>
      <c r="S23" s="9">
        <v>2903.09</v>
      </c>
      <c r="T23" s="9">
        <v>2903.09</v>
      </c>
      <c r="U23" s="9">
        <f t="shared" si="4"/>
        <v>826.42020000000002</v>
      </c>
      <c r="V23" s="9">
        <f t="shared" si="2"/>
        <v>1624.4258</v>
      </c>
      <c r="W23" s="9" t="str">
        <f t="shared" si="3"/>
        <v>High</v>
      </c>
      <c r="X23" t="s">
        <v>2065</v>
      </c>
      <c r="Y23" s="11">
        <v>0.14299999999999999</v>
      </c>
      <c r="Z23" t="s">
        <v>2065</v>
      </c>
      <c r="AA23" s="13">
        <v>8</v>
      </c>
      <c r="AB23" s="9">
        <v>19903.585040000002</v>
      </c>
      <c r="AC23" s="9">
        <v>10649.52</v>
      </c>
      <c r="AD23" s="9">
        <v>9254.0650400000013</v>
      </c>
      <c r="AE23" s="11">
        <v>0.46494463290920784</v>
      </c>
    </row>
    <row r="24" spans="1:31" x14ac:dyDescent="0.3">
      <c r="A24" t="s">
        <v>37</v>
      </c>
      <c r="B24" s="4">
        <v>45822</v>
      </c>
      <c r="C24" s="4" t="str">
        <f t="shared" si="0"/>
        <v>Jun-2025</v>
      </c>
      <c r="D24" s="4" t="str">
        <f t="shared" si="1"/>
        <v>Q2-2025</v>
      </c>
      <c r="E24" s="4">
        <v>45837</v>
      </c>
      <c r="F24" t="s">
        <v>2064</v>
      </c>
      <c r="G24" s="4">
        <v>45837</v>
      </c>
      <c r="H24" s="13">
        <v>15</v>
      </c>
      <c r="I24" s="7" t="s">
        <v>646</v>
      </c>
      <c r="J24" s="7" t="s">
        <v>651</v>
      </c>
      <c r="K24" s="7" t="s">
        <v>663</v>
      </c>
      <c r="M24" s="7" t="s">
        <v>704</v>
      </c>
      <c r="N24" s="7" t="s">
        <v>709</v>
      </c>
      <c r="O24" s="7" t="s">
        <v>724</v>
      </c>
      <c r="P24" s="7" t="s">
        <v>733</v>
      </c>
      <c r="Q24" s="7" t="s">
        <v>1450</v>
      </c>
      <c r="R24" s="9">
        <v>730.99</v>
      </c>
      <c r="S24" s="9">
        <v>1242.8399999999999</v>
      </c>
      <c r="T24" s="9">
        <v>1242.8399999999999</v>
      </c>
      <c r="U24" s="9">
        <f t="shared" si="4"/>
        <v>825.87239999999997</v>
      </c>
      <c r="V24" s="9">
        <f t="shared" si="2"/>
        <v>1621.7396000000001</v>
      </c>
      <c r="W24" s="9" t="str">
        <f t="shared" si="3"/>
        <v>Medium</v>
      </c>
      <c r="X24" t="s">
        <v>2065</v>
      </c>
      <c r="Y24" s="11">
        <v>0.12</v>
      </c>
      <c r="Z24" t="s">
        <v>2065</v>
      </c>
      <c r="AA24" s="13">
        <v>10</v>
      </c>
      <c r="AB24" s="9">
        <v>10936.992</v>
      </c>
      <c r="AC24" s="9">
        <v>7309.9</v>
      </c>
      <c r="AD24" s="9">
        <v>3627.0920000000006</v>
      </c>
      <c r="AE24" s="11">
        <v>0.33163524303574515</v>
      </c>
    </row>
    <row r="25" spans="1:31" x14ac:dyDescent="0.3">
      <c r="A25" t="s">
        <v>38</v>
      </c>
      <c r="B25" s="4">
        <v>45430</v>
      </c>
      <c r="C25" s="4" t="str">
        <f t="shared" si="0"/>
        <v>May-2024</v>
      </c>
      <c r="D25" s="4" t="str">
        <f t="shared" si="1"/>
        <v>Q2-2024</v>
      </c>
      <c r="E25" s="4">
        <v>45435</v>
      </c>
      <c r="F25" t="s">
        <v>2064</v>
      </c>
      <c r="G25" s="4">
        <v>45435</v>
      </c>
      <c r="H25" s="13">
        <v>5</v>
      </c>
      <c r="I25" s="7" t="s">
        <v>648</v>
      </c>
      <c r="J25" s="7" t="s">
        <v>1425</v>
      </c>
      <c r="K25" s="7" t="s">
        <v>677</v>
      </c>
      <c r="M25" s="7" t="s">
        <v>706</v>
      </c>
      <c r="N25" s="7" t="s">
        <v>707</v>
      </c>
      <c r="O25" s="7" t="s">
        <v>722</v>
      </c>
      <c r="P25" s="7" t="s">
        <v>731</v>
      </c>
      <c r="Q25" s="7" t="s">
        <v>1451</v>
      </c>
      <c r="R25" s="9">
        <v>1274.5899999999999</v>
      </c>
      <c r="S25" s="9">
        <v>2553.69</v>
      </c>
      <c r="T25" s="9">
        <v>2553.69</v>
      </c>
      <c r="U25" s="9">
        <f t="shared" si="4"/>
        <v>825.32459999999992</v>
      </c>
      <c r="V25" s="9">
        <f t="shared" si="2"/>
        <v>1623.1233999999999</v>
      </c>
      <c r="W25" s="9" t="str">
        <f t="shared" si="3"/>
        <v>High</v>
      </c>
      <c r="X25" t="s">
        <v>2065</v>
      </c>
      <c r="Y25" s="11">
        <v>0.01</v>
      </c>
      <c r="Z25" t="s">
        <v>2065</v>
      </c>
      <c r="AA25" s="13">
        <v>8</v>
      </c>
      <c r="AB25" s="9">
        <v>20225.2248</v>
      </c>
      <c r="AC25" s="9">
        <v>10196.719999999999</v>
      </c>
      <c r="AD25" s="9">
        <v>10028.504800000001</v>
      </c>
      <c r="AE25" s="11">
        <v>0.49584145042481803</v>
      </c>
    </row>
    <row r="26" spans="1:31" x14ac:dyDescent="0.3">
      <c r="A26" t="s">
        <v>39</v>
      </c>
      <c r="B26" s="4">
        <v>44964</v>
      </c>
      <c r="C26" s="4" t="str">
        <f t="shared" si="0"/>
        <v>Feb-2023</v>
      </c>
      <c r="D26" s="4" t="str">
        <f t="shared" si="1"/>
        <v>Q1-2023</v>
      </c>
      <c r="E26" s="4">
        <v>44969</v>
      </c>
      <c r="F26" t="s">
        <v>2064</v>
      </c>
      <c r="G26" s="4">
        <v>44969</v>
      </c>
      <c r="H26" s="13">
        <v>5</v>
      </c>
      <c r="I26" s="7" t="s">
        <v>648</v>
      </c>
      <c r="J26" s="7" t="s">
        <v>655</v>
      </c>
      <c r="K26" s="7" t="s">
        <v>670</v>
      </c>
      <c r="M26" s="7" t="s">
        <v>702</v>
      </c>
      <c r="N26" s="7" t="s">
        <v>708</v>
      </c>
      <c r="O26" s="7" t="s">
        <v>725</v>
      </c>
      <c r="P26" s="7" t="s">
        <v>727</v>
      </c>
      <c r="Q26" s="7" t="s">
        <v>1452</v>
      </c>
      <c r="R26" s="9">
        <v>948.55</v>
      </c>
      <c r="S26" s="9">
        <v>2089.16</v>
      </c>
      <c r="T26" s="9">
        <v>2089.16</v>
      </c>
      <c r="U26" s="9">
        <f t="shared" si="4"/>
        <v>824.79899999999998</v>
      </c>
      <c r="V26" s="9">
        <f t="shared" si="2"/>
        <v>1620.49</v>
      </c>
      <c r="W26" s="9" t="str">
        <f t="shared" si="3"/>
        <v>High</v>
      </c>
      <c r="X26" t="s">
        <v>2065</v>
      </c>
      <c r="Y26" s="11">
        <v>7.0000000000000001E-3</v>
      </c>
      <c r="Z26" t="s">
        <v>2065</v>
      </c>
      <c r="AA26" s="13">
        <v>12</v>
      </c>
      <c r="AB26" s="9">
        <v>24894.430559999997</v>
      </c>
      <c r="AC26" s="9">
        <v>11382.599999999999</v>
      </c>
      <c r="AD26" s="9">
        <v>13511.830559999999</v>
      </c>
      <c r="AE26" s="11">
        <v>0.54276519912492427</v>
      </c>
    </row>
    <row r="27" spans="1:31" x14ac:dyDescent="0.3">
      <c r="A27" t="s">
        <v>40</v>
      </c>
      <c r="B27" s="4">
        <v>45473</v>
      </c>
      <c r="C27" s="4" t="str">
        <f t="shared" si="0"/>
        <v>Jun-2024</v>
      </c>
      <c r="D27" s="4" t="str">
        <f t="shared" si="1"/>
        <v>Q2-2024</v>
      </c>
      <c r="E27" s="4">
        <v>45487</v>
      </c>
      <c r="F27" t="s">
        <v>2064</v>
      </c>
      <c r="G27" s="4">
        <v>45487</v>
      </c>
      <c r="H27" s="13">
        <v>14</v>
      </c>
      <c r="I27" s="7" t="s">
        <v>648</v>
      </c>
      <c r="J27" s="7" t="s">
        <v>655</v>
      </c>
      <c r="K27" s="7" t="s">
        <v>672</v>
      </c>
      <c r="M27" s="7" t="s">
        <v>702</v>
      </c>
      <c r="N27" s="7" t="s">
        <v>707</v>
      </c>
      <c r="O27" s="7" t="s">
        <v>712</v>
      </c>
      <c r="P27" s="7" t="s">
        <v>733</v>
      </c>
      <c r="Q27" s="7" t="s">
        <v>1453</v>
      </c>
      <c r="R27" s="9">
        <v>1491.85</v>
      </c>
      <c r="S27" s="9">
        <v>2583.02</v>
      </c>
      <c r="T27" s="9">
        <v>2583.02</v>
      </c>
      <c r="U27" s="9">
        <f t="shared" si="4"/>
        <v>824.61749999999995</v>
      </c>
      <c r="V27" s="9">
        <f t="shared" si="2"/>
        <v>1618.675</v>
      </c>
      <c r="W27" s="9" t="str">
        <f t="shared" si="3"/>
        <v>High</v>
      </c>
      <c r="X27" t="s">
        <v>2065</v>
      </c>
      <c r="Y27" s="11">
        <v>0.16800000000000001</v>
      </c>
      <c r="Z27" t="s">
        <v>2065</v>
      </c>
      <c r="AA27" s="13">
        <v>4</v>
      </c>
      <c r="AB27" s="9">
        <v>8596.2905599999995</v>
      </c>
      <c r="AC27" s="9">
        <v>5967.4</v>
      </c>
      <c r="AD27" s="9">
        <v>2628.8905599999998</v>
      </c>
      <c r="AE27" s="11">
        <v>0.30581685689321325</v>
      </c>
    </row>
    <row r="28" spans="1:31" x14ac:dyDescent="0.3">
      <c r="A28" t="s">
        <v>41</v>
      </c>
      <c r="B28" s="4">
        <v>45626</v>
      </c>
      <c r="C28" s="4" t="str">
        <f t="shared" si="0"/>
        <v>Nov-2024</v>
      </c>
      <c r="D28" s="4" t="str">
        <f t="shared" si="1"/>
        <v>Q4-2024</v>
      </c>
      <c r="E28" s="4">
        <v>45656</v>
      </c>
      <c r="F28" t="s">
        <v>2064</v>
      </c>
      <c r="G28" s="4">
        <v>45656</v>
      </c>
      <c r="H28" s="13">
        <v>30</v>
      </c>
      <c r="I28" s="7" t="s">
        <v>649</v>
      </c>
      <c r="J28" s="7" t="s">
        <v>657</v>
      </c>
      <c r="K28" s="7" t="s">
        <v>673</v>
      </c>
      <c r="M28" s="7" t="s">
        <v>704</v>
      </c>
      <c r="N28" s="7" t="s">
        <v>709</v>
      </c>
      <c r="O28" s="7" t="s">
        <v>721</v>
      </c>
      <c r="P28" s="7" t="s">
        <v>728</v>
      </c>
      <c r="Q28" s="7" t="s">
        <v>1454</v>
      </c>
      <c r="R28" s="9">
        <v>117.64</v>
      </c>
      <c r="S28" s="9">
        <v>175.67</v>
      </c>
      <c r="T28" s="9">
        <v>175.67</v>
      </c>
      <c r="U28" s="9">
        <f t="shared" si="4"/>
        <v>824.43600000000004</v>
      </c>
      <c r="V28" s="9">
        <f t="shared" si="2"/>
        <v>1609.811200000001</v>
      </c>
      <c r="W28" s="9" t="str">
        <f t="shared" si="3"/>
        <v>Low</v>
      </c>
      <c r="X28" t="s">
        <v>2065</v>
      </c>
      <c r="Y28" s="11">
        <v>0</v>
      </c>
      <c r="Z28" t="s">
        <v>2065</v>
      </c>
      <c r="AA28" s="13">
        <v>10</v>
      </c>
      <c r="AB28" s="9">
        <v>1756.6999999999998</v>
      </c>
      <c r="AC28" s="9">
        <v>1176.4000000000001</v>
      </c>
      <c r="AD28" s="9">
        <v>580.29999999999973</v>
      </c>
      <c r="AE28" s="11">
        <v>0.33033528775545046</v>
      </c>
    </row>
    <row r="29" spans="1:31" x14ac:dyDescent="0.3">
      <c r="A29" t="s">
        <v>42</v>
      </c>
      <c r="B29" s="4">
        <v>45492</v>
      </c>
      <c r="C29" s="4" t="str">
        <f t="shared" si="0"/>
        <v>Jul-2024</v>
      </c>
      <c r="D29" s="4" t="str">
        <f t="shared" si="1"/>
        <v>Q3-2024</v>
      </c>
      <c r="E29" s="4">
        <v>45492</v>
      </c>
      <c r="F29" t="s">
        <v>2064</v>
      </c>
      <c r="G29" s="4">
        <v>45492</v>
      </c>
      <c r="H29" s="13">
        <v>0</v>
      </c>
      <c r="I29" s="7" t="s">
        <v>646</v>
      </c>
      <c r="J29" s="7" t="s">
        <v>650</v>
      </c>
      <c r="K29" s="7" t="s">
        <v>662</v>
      </c>
      <c r="M29" s="7" t="s">
        <v>705</v>
      </c>
      <c r="N29" s="7" t="s">
        <v>707</v>
      </c>
      <c r="O29" s="7" t="s">
        <v>720</v>
      </c>
      <c r="P29" s="7" t="s">
        <v>730</v>
      </c>
      <c r="Q29" s="7" t="s">
        <v>1455</v>
      </c>
      <c r="R29" s="9">
        <v>857.24</v>
      </c>
      <c r="S29" s="9">
        <v>758.23</v>
      </c>
      <c r="T29" s="9">
        <v>758.23</v>
      </c>
      <c r="U29" s="9">
        <f t="shared" si="4"/>
        <v>824.80449999999996</v>
      </c>
      <c r="V29" s="9">
        <f t="shared" si="2"/>
        <v>1617.4034000000004</v>
      </c>
      <c r="W29" s="9" t="str">
        <f t="shared" si="3"/>
        <v>Low</v>
      </c>
      <c r="X29" t="s">
        <v>2065</v>
      </c>
      <c r="Y29" s="11">
        <v>0.125</v>
      </c>
      <c r="Z29" t="s">
        <v>2065</v>
      </c>
      <c r="AA29" s="13">
        <v>6</v>
      </c>
      <c r="AB29" s="9">
        <v>3980.7075</v>
      </c>
      <c r="AC29" s="9">
        <v>5143.4400000000005</v>
      </c>
      <c r="AD29" s="9">
        <v>-1162.7325000000005</v>
      </c>
      <c r="AE29" s="11">
        <v>-0.29209192084572921</v>
      </c>
    </row>
    <row r="30" spans="1:31" x14ac:dyDescent="0.3">
      <c r="A30" t="s">
        <v>43</v>
      </c>
      <c r="B30" s="4">
        <v>45030</v>
      </c>
      <c r="C30" s="4" t="str">
        <f t="shared" si="0"/>
        <v>Apr-2023</v>
      </c>
      <c r="D30" s="4" t="str">
        <f t="shared" si="1"/>
        <v>Q2-2023</v>
      </c>
      <c r="E30" s="4">
        <v>45060</v>
      </c>
      <c r="F30" t="s">
        <v>2064</v>
      </c>
      <c r="G30" s="4">
        <v>45060</v>
      </c>
      <c r="H30" s="13">
        <v>30</v>
      </c>
      <c r="I30" s="7" t="s">
        <v>646</v>
      </c>
      <c r="J30" s="7" t="s">
        <v>650</v>
      </c>
      <c r="K30" s="7" t="s">
        <v>678</v>
      </c>
      <c r="M30" s="7" t="s">
        <v>704</v>
      </c>
      <c r="N30" s="7" t="s">
        <v>709</v>
      </c>
      <c r="O30" s="7" t="s">
        <v>724</v>
      </c>
      <c r="P30" s="7" t="s">
        <v>730</v>
      </c>
      <c r="Q30" s="7" t="s">
        <v>1456</v>
      </c>
      <c r="R30" s="9">
        <v>209.25</v>
      </c>
      <c r="S30" s="9">
        <v>434.8</v>
      </c>
      <c r="T30" s="9">
        <v>434.8</v>
      </c>
      <c r="U30" s="9">
        <f t="shared" si="4"/>
        <v>825.90560000000005</v>
      </c>
      <c r="V30" s="9">
        <f t="shared" si="2"/>
        <v>1618.7299999999998</v>
      </c>
      <c r="W30" s="9" t="str">
        <f t="shared" si="3"/>
        <v>Low</v>
      </c>
      <c r="X30" t="s">
        <v>2065</v>
      </c>
      <c r="Y30" s="11">
        <v>0</v>
      </c>
      <c r="Z30" t="s">
        <v>2065</v>
      </c>
      <c r="AA30" s="13">
        <v>9</v>
      </c>
      <c r="AB30" s="9">
        <v>3913.2000000000003</v>
      </c>
      <c r="AC30" s="9">
        <v>1883.25</v>
      </c>
      <c r="AD30" s="9">
        <v>2029.9500000000003</v>
      </c>
      <c r="AE30" s="11">
        <v>0.51874425022999082</v>
      </c>
    </row>
    <row r="31" spans="1:31" x14ac:dyDescent="0.3">
      <c r="A31" t="s">
        <v>44</v>
      </c>
      <c r="B31" s="4">
        <v>45754</v>
      </c>
      <c r="C31" s="4" t="str">
        <f t="shared" si="0"/>
        <v>Apr-2025</v>
      </c>
      <c r="D31" s="4" t="str">
        <f t="shared" si="1"/>
        <v>Q2-2025</v>
      </c>
      <c r="E31" s="4">
        <v>45758</v>
      </c>
      <c r="F31" t="s">
        <v>2064</v>
      </c>
      <c r="G31" s="4">
        <v>45758</v>
      </c>
      <c r="H31" s="13">
        <v>4</v>
      </c>
      <c r="I31" s="7" t="s">
        <v>649</v>
      </c>
      <c r="J31" s="7" t="s">
        <v>657</v>
      </c>
      <c r="K31" s="7" t="s">
        <v>679</v>
      </c>
      <c r="M31" s="7" t="s">
        <v>702</v>
      </c>
      <c r="N31" s="7" t="s">
        <v>707</v>
      </c>
      <c r="O31" s="7" t="s">
        <v>718</v>
      </c>
      <c r="P31" s="7" t="s">
        <v>729</v>
      </c>
      <c r="Q31" s="7" t="s">
        <v>1457</v>
      </c>
      <c r="R31" s="9">
        <v>754.77</v>
      </c>
      <c r="S31" s="9">
        <v>1666.18</v>
      </c>
      <c r="T31" s="9">
        <v>1666.18</v>
      </c>
      <c r="U31" s="9">
        <f t="shared" si="4"/>
        <v>828.85260000000017</v>
      </c>
      <c r="V31" s="9">
        <f t="shared" si="2"/>
        <v>1619.665</v>
      </c>
      <c r="W31" s="9" t="str">
        <f t="shared" si="3"/>
        <v>High</v>
      </c>
      <c r="X31" t="s">
        <v>2065</v>
      </c>
      <c r="Y31" s="11">
        <v>0.13900000000000001</v>
      </c>
      <c r="Z31" t="s">
        <v>2065</v>
      </c>
      <c r="AA31" s="13">
        <v>14</v>
      </c>
      <c r="AB31" s="9">
        <v>20084.133720000002</v>
      </c>
      <c r="AC31" s="9">
        <v>10566.779999999999</v>
      </c>
      <c r="AD31" s="9">
        <v>9517.3537200000028</v>
      </c>
      <c r="AE31" s="11">
        <v>0.47387424584424653</v>
      </c>
    </row>
    <row r="32" spans="1:31" x14ac:dyDescent="0.3">
      <c r="A32" t="s">
        <v>45</v>
      </c>
      <c r="B32" s="4">
        <v>45653</v>
      </c>
      <c r="C32" s="4" t="str">
        <f t="shared" si="0"/>
        <v>Dec-2024</v>
      </c>
      <c r="D32" s="4" t="str">
        <f t="shared" si="1"/>
        <v>Q4-2024</v>
      </c>
      <c r="E32" s="4">
        <v>45672</v>
      </c>
      <c r="F32" t="s">
        <v>2064</v>
      </c>
      <c r="G32" s="4">
        <v>45672</v>
      </c>
      <c r="H32" s="13">
        <v>19</v>
      </c>
      <c r="I32" s="7" t="s">
        <v>647</v>
      </c>
      <c r="J32" s="7" t="s">
        <v>654</v>
      </c>
      <c r="K32" s="7" t="s">
        <v>680</v>
      </c>
      <c r="M32" s="7" t="s">
        <v>703</v>
      </c>
      <c r="N32" s="7" t="s">
        <v>710</v>
      </c>
      <c r="O32" s="7" t="s">
        <v>715</v>
      </c>
      <c r="P32" s="7" t="s">
        <v>727</v>
      </c>
      <c r="Q32" s="7" t="s">
        <v>1458</v>
      </c>
      <c r="R32" s="9">
        <v>495.59</v>
      </c>
      <c r="S32" s="9">
        <v>631.78</v>
      </c>
      <c r="T32" s="9">
        <v>631.78</v>
      </c>
      <c r="U32" s="9">
        <f t="shared" si="4"/>
        <v>826.47</v>
      </c>
      <c r="V32" s="9">
        <f t="shared" si="2"/>
        <v>1617.85</v>
      </c>
      <c r="W32" s="9" t="str">
        <f t="shared" si="3"/>
        <v>Low</v>
      </c>
      <c r="X32" t="s">
        <v>2065</v>
      </c>
      <c r="Y32" s="11">
        <v>8.6999999999999994E-2</v>
      </c>
      <c r="Z32" t="s">
        <v>2065</v>
      </c>
      <c r="AA32" s="13">
        <v>17</v>
      </c>
      <c r="AB32" s="9">
        <v>9805.8573800000013</v>
      </c>
      <c r="AC32" s="9">
        <v>8425.0299999999988</v>
      </c>
      <c r="AD32" s="9">
        <v>1380.8273800000024</v>
      </c>
      <c r="AE32" s="11">
        <v>0.14081658813601899</v>
      </c>
    </row>
    <row r="33" spans="1:31" x14ac:dyDescent="0.3">
      <c r="A33" t="s">
        <v>46</v>
      </c>
      <c r="B33" s="4">
        <v>44980</v>
      </c>
      <c r="C33" s="4" t="str">
        <f t="shared" si="0"/>
        <v>Feb-2023</v>
      </c>
      <c r="D33" s="4" t="str">
        <f t="shared" si="1"/>
        <v>Q1-2023</v>
      </c>
      <c r="E33" s="4">
        <v>45010</v>
      </c>
      <c r="F33" t="s">
        <v>2064</v>
      </c>
      <c r="G33" s="4">
        <v>45010</v>
      </c>
      <c r="H33" s="13">
        <v>30</v>
      </c>
      <c r="I33" s="7" t="s">
        <v>648</v>
      </c>
      <c r="J33" s="7" t="s">
        <v>653</v>
      </c>
      <c r="K33" s="7" t="s">
        <v>681</v>
      </c>
      <c r="M33" s="7" t="s">
        <v>706</v>
      </c>
      <c r="N33" s="7" t="s">
        <v>708</v>
      </c>
      <c r="O33" s="7" t="s">
        <v>726</v>
      </c>
      <c r="P33" s="7" t="s">
        <v>730</v>
      </c>
      <c r="Q33" s="7" t="s">
        <v>1459</v>
      </c>
      <c r="R33" s="9">
        <v>1242.6600000000001</v>
      </c>
      <c r="S33" s="9">
        <v>1794.07</v>
      </c>
      <c r="T33" s="9">
        <v>1794.07</v>
      </c>
      <c r="U33" s="9">
        <f t="shared" si="4"/>
        <v>831.30740000000014</v>
      </c>
      <c r="V33" s="9">
        <f t="shared" si="2"/>
        <v>1618.7850000000001</v>
      </c>
      <c r="W33" s="9" t="str">
        <f t="shared" si="3"/>
        <v>High</v>
      </c>
      <c r="X33" t="s">
        <v>2065</v>
      </c>
      <c r="Y33" s="11">
        <v>8.8999999999999996E-2</v>
      </c>
      <c r="Z33" t="s">
        <v>2065</v>
      </c>
      <c r="AA33" s="13">
        <v>16</v>
      </c>
      <c r="AB33" s="9">
        <v>26150.364320000001</v>
      </c>
      <c r="AC33" s="9">
        <v>19882.560000000001</v>
      </c>
      <c r="AD33" s="9">
        <v>6267.8043199999993</v>
      </c>
      <c r="AE33" s="11">
        <v>0.23968325042440553</v>
      </c>
    </row>
    <row r="34" spans="1:31" x14ac:dyDescent="0.3">
      <c r="A34" t="s">
        <v>47</v>
      </c>
      <c r="B34" s="4">
        <v>45862</v>
      </c>
      <c r="C34" s="4" t="str">
        <f t="shared" si="0"/>
        <v>Jul-2025</v>
      </c>
      <c r="D34" s="4" t="str">
        <f t="shared" si="1"/>
        <v>Q3-2025</v>
      </c>
      <c r="E34" s="4">
        <v>45875</v>
      </c>
      <c r="F34" t="s">
        <v>2064</v>
      </c>
      <c r="G34" s="4">
        <v>45875</v>
      </c>
      <c r="H34" s="13">
        <v>13</v>
      </c>
      <c r="I34" s="7" t="s">
        <v>646</v>
      </c>
      <c r="J34" s="7" t="s">
        <v>661</v>
      </c>
      <c r="K34" s="7" t="s">
        <v>682</v>
      </c>
      <c r="M34" s="7" t="s">
        <v>702</v>
      </c>
      <c r="N34" s="7" t="s">
        <v>709</v>
      </c>
      <c r="O34" s="7" t="s">
        <v>726</v>
      </c>
      <c r="P34" s="7" t="s">
        <v>729</v>
      </c>
      <c r="Q34" s="7" t="s">
        <v>1460</v>
      </c>
      <c r="R34" s="9">
        <v>1463.9</v>
      </c>
      <c r="S34" s="9">
        <v>2633.02</v>
      </c>
      <c r="T34" s="9">
        <v>2633.02</v>
      </c>
      <c r="U34" s="9">
        <f t="shared" si="4"/>
        <v>828.9248</v>
      </c>
      <c r="V34" s="9">
        <f t="shared" si="2"/>
        <v>1610.7044000000001</v>
      </c>
      <c r="W34" s="9" t="str">
        <f t="shared" si="3"/>
        <v>High</v>
      </c>
      <c r="X34" t="s">
        <v>2065</v>
      </c>
      <c r="Y34" s="11">
        <v>8.4000000000000005E-2</v>
      </c>
      <c r="Z34" t="s">
        <v>2065</v>
      </c>
      <c r="AA34" s="13">
        <v>4</v>
      </c>
      <c r="AB34" s="9">
        <v>9647.3852800000004</v>
      </c>
      <c r="AC34" s="9">
        <v>5855.6</v>
      </c>
      <c r="AD34" s="9">
        <v>3791.7852800000001</v>
      </c>
      <c r="AE34" s="11">
        <v>0.39303761277791527</v>
      </c>
    </row>
    <row r="35" spans="1:31" x14ac:dyDescent="0.3">
      <c r="A35" t="s">
        <v>48</v>
      </c>
      <c r="B35" s="4">
        <v>45400</v>
      </c>
      <c r="C35" s="4" t="str">
        <f t="shared" si="0"/>
        <v>Apr-2024</v>
      </c>
      <c r="D35" s="4" t="str">
        <f t="shared" si="1"/>
        <v>Q2-2024</v>
      </c>
      <c r="E35" s="4">
        <v>45420</v>
      </c>
      <c r="F35" t="s">
        <v>2064</v>
      </c>
      <c r="G35" s="4">
        <v>45420</v>
      </c>
      <c r="H35" s="13">
        <v>20</v>
      </c>
      <c r="I35" s="7" t="s">
        <v>649</v>
      </c>
      <c r="J35" s="7" t="s">
        <v>658</v>
      </c>
      <c r="K35" s="7" t="s">
        <v>683</v>
      </c>
      <c r="M35" s="7" t="s">
        <v>703</v>
      </c>
      <c r="N35" s="7" t="s">
        <v>2057</v>
      </c>
      <c r="O35" s="7" t="s">
        <v>726</v>
      </c>
      <c r="P35" s="7" t="s">
        <v>731</v>
      </c>
      <c r="Q35" s="7" t="s">
        <v>1461</v>
      </c>
      <c r="R35" s="9">
        <v>645.33000000000004</v>
      </c>
      <c r="S35" s="9">
        <v>1321.85</v>
      </c>
      <c r="T35" s="9">
        <v>1321.85</v>
      </c>
      <c r="U35" s="9">
        <f t="shared" si="4"/>
        <v>826.54220000000021</v>
      </c>
      <c r="V35" s="9">
        <f t="shared" si="2"/>
        <v>1595.9666000000009</v>
      </c>
      <c r="W35" s="9" t="str">
        <f t="shared" si="3"/>
        <v>Medium</v>
      </c>
      <c r="X35" t="s">
        <v>2065</v>
      </c>
      <c r="Y35" s="11">
        <v>0</v>
      </c>
      <c r="Z35" t="s">
        <v>2065</v>
      </c>
      <c r="AA35" s="13">
        <v>10</v>
      </c>
      <c r="AB35" s="9">
        <v>13218.5</v>
      </c>
      <c r="AC35" s="9">
        <v>6453.3</v>
      </c>
      <c r="AD35" s="9">
        <v>6765.2</v>
      </c>
      <c r="AE35" s="11">
        <v>0.51179785906116426</v>
      </c>
    </row>
    <row r="36" spans="1:31" x14ac:dyDescent="0.3">
      <c r="A36" t="s">
        <v>49</v>
      </c>
      <c r="B36" s="4">
        <v>45527</v>
      </c>
      <c r="C36" s="4" t="str">
        <f t="shared" si="0"/>
        <v>Aug-2024</v>
      </c>
      <c r="D36" s="4" t="str">
        <f t="shared" si="1"/>
        <v>Q3-2024</v>
      </c>
      <c r="E36" s="4">
        <v>45525</v>
      </c>
      <c r="F36" t="s">
        <v>2066</v>
      </c>
      <c r="G36" s="4">
        <v>45527</v>
      </c>
      <c r="H36" s="13">
        <v>0</v>
      </c>
      <c r="I36" s="7" t="s">
        <v>646</v>
      </c>
      <c r="J36" s="7" t="s">
        <v>661</v>
      </c>
      <c r="K36" s="7" t="s">
        <v>682</v>
      </c>
      <c r="M36" s="7" t="s">
        <v>702</v>
      </c>
      <c r="N36" s="7" t="s">
        <v>707</v>
      </c>
      <c r="O36" s="7" t="s">
        <v>718</v>
      </c>
      <c r="P36" s="7" t="s">
        <v>727</v>
      </c>
      <c r="Q36" s="7" t="s">
        <v>1462</v>
      </c>
      <c r="R36" s="9">
        <v>1432.52</v>
      </c>
      <c r="S36" s="9">
        <v>3036.87</v>
      </c>
      <c r="T36" s="9">
        <v>3036.87</v>
      </c>
      <c r="U36" s="9">
        <f t="shared" si="4"/>
        <v>825.93880000000001</v>
      </c>
      <c r="V36" s="9">
        <f t="shared" si="2"/>
        <v>1603.5588000000002</v>
      </c>
      <c r="W36" s="9" t="str">
        <f t="shared" si="3"/>
        <v>High</v>
      </c>
      <c r="X36" t="s">
        <v>2065</v>
      </c>
      <c r="Y36" s="11">
        <v>0</v>
      </c>
      <c r="Z36" t="s">
        <v>2065</v>
      </c>
      <c r="AA36" s="13">
        <v>9</v>
      </c>
      <c r="AB36" s="9">
        <v>27331.829999999998</v>
      </c>
      <c r="AC36" s="9">
        <v>12892.68</v>
      </c>
      <c r="AD36" s="9">
        <v>14439.149999999998</v>
      </c>
      <c r="AE36" s="11">
        <v>0.52829064135112791</v>
      </c>
    </row>
    <row r="37" spans="1:31" x14ac:dyDescent="0.3">
      <c r="A37" t="s">
        <v>50</v>
      </c>
      <c r="B37" s="4">
        <v>45012</v>
      </c>
      <c r="C37" s="4" t="str">
        <f t="shared" si="0"/>
        <v>Mar-2023</v>
      </c>
      <c r="D37" s="4" t="str">
        <f t="shared" si="1"/>
        <v>Q1-2023</v>
      </c>
      <c r="E37" s="4">
        <v>45038</v>
      </c>
      <c r="F37" t="s">
        <v>2064</v>
      </c>
      <c r="G37" s="4">
        <v>45038</v>
      </c>
      <c r="H37" s="13">
        <v>26</v>
      </c>
      <c r="I37" s="7" t="s">
        <v>647</v>
      </c>
      <c r="J37" s="7" t="s">
        <v>654</v>
      </c>
      <c r="K37" s="7" t="s">
        <v>680</v>
      </c>
      <c r="M37" s="7" t="s">
        <v>703</v>
      </c>
      <c r="N37" s="7" t="s">
        <v>709</v>
      </c>
      <c r="O37" s="7" t="s">
        <v>713</v>
      </c>
      <c r="P37" s="7" t="s">
        <v>728</v>
      </c>
      <c r="Q37" s="7" t="s">
        <v>1463</v>
      </c>
      <c r="R37" s="9">
        <v>178.53</v>
      </c>
      <c r="S37" s="9">
        <v>199.37</v>
      </c>
      <c r="T37" s="9">
        <v>199.37</v>
      </c>
      <c r="U37" s="9">
        <f t="shared" si="4"/>
        <v>825.39099999999996</v>
      </c>
      <c r="V37" s="9">
        <f t="shared" si="2"/>
        <v>1595.298</v>
      </c>
      <c r="W37" s="9" t="str">
        <f t="shared" si="3"/>
        <v>Low</v>
      </c>
      <c r="X37" t="s">
        <v>2065</v>
      </c>
      <c r="Y37" s="11">
        <v>0.10100000000000001</v>
      </c>
      <c r="Z37" t="s">
        <v>2065</v>
      </c>
      <c r="AA37" s="13">
        <v>37</v>
      </c>
      <c r="AB37" s="9">
        <v>6631.6443100000006</v>
      </c>
      <c r="AC37" s="9">
        <v>6605.61</v>
      </c>
      <c r="AD37" s="9">
        <v>26.034310000000914</v>
      </c>
      <c r="AE37" s="11">
        <v>3.9257699573457538E-3</v>
      </c>
    </row>
    <row r="38" spans="1:31" x14ac:dyDescent="0.3">
      <c r="A38" t="s">
        <v>51</v>
      </c>
      <c r="B38" s="4">
        <v>45358</v>
      </c>
      <c r="C38" s="4" t="str">
        <f t="shared" si="0"/>
        <v>Mar-2024</v>
      </c>
      <c r="D38" s="4" t="str">
        <f t="shared" si="1"/>
        <v>Q1-2024</v>
      </c>
      <c r="E38" s="4">
        <v>45376</v>
      </c>
      <c r="F38" t="s">
        <v>2064</v>
      </c>
      <c r="G38" s="4">
        <v>45376</v>
      </c>
      <c r="H38" s="13">
        <v>18</v>
      </c>
      <c r="I38" s="7" t="s">
        <v>649</v>
      </c>
      <c r="J38" s="7" t="s">
        <v>656</v>
      </c>
      <c r="K38" s="7" t="s">
        <v>684</v>
      </c>
      <c r="M38" s="7" t="s">
        <v>701</v>
      </c>
      <c r="N38" s="7" t="s">
        <v>708</v>
      </c>
      <c r="O38" s="7" t="s">
        <v>717</v>
      </c>
      <c r="P38" s="7" t="s">
        <v>727</v>
      </c>
      <c r="Q38" s="7" t="s">
        <v>1464</v>
      </c>
      <c r="R38" s="9">
        <v>712.84</v>
      </c>
      <c r="S38" s="9">
        <v>927.51</v>
      </c>
      <c r="T38" s="9">
        <v>927.51</v>
      </c>
      <c r="U38" s="9">
        <f t="shared" si="4"/>
        <v>826.61440000000005</v>
      </c>
      <c r="V38" s="9">
        <f t="shared" si="2"/>
        <v>1596.4132000000004</v>
      </c>
      <c r="W38" s="9" t="str">
        <f t="shared" si="3"/>
        <v>Medium</v>
      </c>
      <c r="X38" t="s">
        <v>2065</v>
      </c>
      <c r="Y38" s="11">
        <v>0.24299999999999999</v>
      </c>
      <c r="Z38" t="s">
        <v>2065</v>
      </c>
      <c r="AA38" s="13">
        <v>27</v>
      </c>
      <c r="AB38" s="9">
        <v>18957.37689</v>
      </c>
      <c r="AC38" s="9">
        <v>19246.68</v>
      </c>
      <c r="AD38" s="9">
        <v>-289.30311000000074</v>
      </c>
      <c r="AE38" s="11">
        <v>-1.5260714163076427E-2</v>
      </c>
    </row>
    <row r="39" spans="1:31" x14ac:dyDescent="0.3">
      <c r="A39" t="s">
        <v>52</v>
      </c>
      <c r="B39" s="4">
        <v>45832</v>
      </c>
      <c r="C39" s="4" t="str">
        <f t="shared" si="0"/>
        <v>Jun-2025</v>
      </c>
      <c r="D39" s="4" t="str">
        <f t="shared" si="1"/>
        <v>Q2-2025</v>
      </c>
      <c r="E39" s="4">
        <v>45848</v>
      </c>
      <c r="F39" t="s">
        <v>2064</v>
      </c>
      <c r="G39" s="4">
        <v>45848</v>
      </c>
      <c r="H39" s="13">
        <v>16</v>
      </c>
      <c r="I39" s="7" t="s">
        <v>647</v>
      </c>
      <c r="J39" s="7" t="s">
        <v>659</v>
      </c>
      <c r="K39" s="7" t="s">
        <v>685</v>
      </c>
      <c r="M39" s="7" t="s">
        <v>706</v>
      </c>
      <c r="N39" s="7" t="s">
        <v>711</v>
      </c>
      <c r="O39" s="7" t="s">
        <v>725</v>
      </c>
      <c r="P39" s="7" t="s">
        <v>727</v>
      </c>
      <c r="Q39" s="7" t="s">
        <v>1465</v>
      </c>
      <c r="R39" s="9">
        <v>757.19</v>
      </c>
      <c r="S39" s="9">
        <v>1735.41</v>
      </c>
      <c r="T39" s="9">
        <v>1735.41</v>
      </c>
      <c r="U39" s="9">
        <f t="shared" si="4"/>
        <v>825.95540000000005</v>
      </c>
      <c r="V39" s="9">
        <f t="shared" si="2"/>
        <v>1604.0053999999998</v>
      </c>
      <c r="W39" s="9" t="str">
        <f t="shared" si="3"/>
        <v>High</v>
      </c>
      <c r="X39" t="s">
        <v>2065</v>
      </c>
      <c r="Y39" s="11">
        <v>0.13600000000000001</v>
      </c>
      <c r="Z39" t="s">
        <v>2065</v>
      </c>
      <c r="AA39" s="13">
        <v>8</v>
      </c>
      <c r="AB39" s="9">
        <v>11995.153920000001</v>
      </c>
      <c r="AC39" s="9">
        <v>6057.52</v>
      </c>
      <c r="AD39" s="9">
        <v>5937.6339200000002</v>
      </c>
      <c r="AE39" s="11">
        <v>0.4950027285685718</v>
      </c>
    </row>
    <row r="40" spans="1:31" x14ac:dyDescent="0.3">
      <c r="A40" t="s">
        <v>53</v>
      </c>
      <c r="B40" s="4">
        <v>45401</v>
      </c>
      <c r="C40" s="4" t="str">
        <f t="shared" si="0"/>
        <v>Apr-2024</v>
      </c>
      <c r="D40" s="4" t="str">
        <f t="shared" si="1"/>
        <v>Q2-2024</v>
      </c>
      <c r="E40" s="4">
        <v>45418</v>
      </c>
      <c r="F40" t="s">
        <v>2064</v>
      </c>
      <c r="G40" s="4">
        <v>45418</v>
      </c>
      <c r="H40" s="13">
        <v>17</v>
      </c>
      <c r="I40" s="7" t="s">
        <v>646</v>
      </c>
      <c r="J40" s="7" t="s">
        <v>651</v>
      </c>
      <c r="K40" s="7" t="s">
        <v>663</v>
      </c>
      <c r="M40" s="7" t="s">
        <v>703</v>
      </c>
      <c r="N40" s="7" t="s">
        <v>708</v>
      </c>
      <c r="O40" s="7" t="s">
        <v>720</v>
      </c>
      <c r="P40" s="7" t="s">
        <v>728</v>
      </c>
      <c r="Q40" s="7" t="s">
        <v>1466</v>
      </c>
      <c r="R40" s="9">
        <v>865.33</v>
      </c>
      <c r="S40" s="9">
        <v>1395.64</v>
      </c>
      <c r="T40" s="9">
        <v>1395.64</v>
      </c>
      <c r="U40" s="9">
        <f t="shared" si="4"/>
        <v>825.4076</v>
      </c>
      <c r="V40" s="9">
        <f t="shared" si="2"/>
        <v>1595.3127999999999</v>
      </c>
      <c r="W40" s="9" t="str">
        <f t="shared" si="3"/>
        <v>Medium</v>
      </c>
      <c r="X40" t="s">
        <v>2065</v>
      </c>
      <c r="Y40" s="11">
        <v>0.17499999999999999</v>
      </c>
      <c r="Z40" t="s">
        <v>2065</v>
      </c>
      <c r="AA40" s="13">
        <v>13</v>
      </c>
      <c r="AB40" s="9">
        <v>14968.239</v>
      </c>
      <c r="AC40" s="9">
        <v>11249.29</v>
      </c>
      <c r="AD40" s="9">
        <v>3718.9489999999987</v>
      </c>
      <c r="AE40" s="11">
        <v>0.24845601409758347</v>
      </c>
    </row>
    <row r="41" spans="1:31" x14ac:dyDescent="0.3">
      <c r="A41" t="s">
        <v>54</v>
      </c>
      <c r="B41" s="4">
        <v>45094</v>
      </c>
      <c r="C41" s="4" t="str">
        <f t="shared" si="0"/>
        <v>Jun-2023</v>
      </c>
      <c r="D41" s="4" t="str">
        <f t="shared" si="1"/>
        <v>Q2-2023</v>
      </c>
      <c r="E41" s="4">
        <v>45101</v>
      </c>
      <c r="F41" t="s">
        <v>2064</v>
      </c>
      <c r="G41" s="4">
        <v>45101</v>
      </c>
      <c r="H41" s="13">
        <v>7</v>
      </c>
      <c r="I41" s="7" t="s">
        <v>648</v>
      </c>
      <c r="J41" s="7" t="s">
        <v>1425</v>
      </c>
      <c r="K41" s="7" t="s">
        <v>686</v>
      </c>
      <c r="M41" s="7" t="s">
        <v>701</v>
      </c>
      <c r="N41" s="7" t="s">
        <v>707</v>
      </c>
      <c r="O41" s="7" t="s">
        <v>714</v>
      </c>
      <c r="P41" s="7" t="s">
        <v>728</v>
      </c>
      <c r="Q41" s="7" t="s">
        <v>1467</v>
      </c>
      <c r="R41" s="9">
        <v>313.99</v>
      </c>
      <c r="S41" s="9">
        <v>454.42</v>
      </c>
      <c r="T41" s="9">
        <v>454.42</v>
      </c>
      <c r="U41" s="9">
        <f t="shared" si="4"/>
        <v>824.85979999999995</v>
      </c>
      <c r="V41" s="9">
        <f t="shared" si="2"/>
        <v>1596.8598</v>
      </c>
      <c r="W41" s="9" t="str">
        <f t="shared" si="3"/>
        <v>Low</v>
      </c>
      <c r="X41" t="s">
        <v>2065</v>
      </c>
      <c r="Y41" s="11">
        <v>0.129</v>
      </c>
      <c r="Z41" t="s">
        <v>2065</v>
      </c>
      <c r="AA41" s="13">
        <v>9</v>
      </c>
      <c r="AB41" s="9">
        <v>3562.1983800000003</v>
      </c>
      <c r="AC41" s="9">
        <v>2825.91</v>
      </c>
      <c r="AD41" s="9">
        <v>736.28838000000042</v>
      </c>
      <c r="AE41" s="11">
        <v>0.20669493988147858</v>
      </c>
    </row>
    <row r="42" spans="1:31" x14ac:dyDescent="0.3">
      <c r="A42" t="s">
        <v>55</v>
      </c>
      <c r="B42" s="4">
        <v>45531</v>
      </c>
      <c r="C42" s="4" t="str">
        <f t="shared" si="0"/>
        <v>Aug-2024</v>
      </c>
      <c r="D42" s="4" t="str">
        <f t="shared" si="1"/>
        <v>Q3-2024</v>
      </c>
      <c r="E42" s="4">
        <v>45554</v>
      </c>
      <c r="F42" t="s">
        <v>2064</v>
      </c>
      <c r="G42" s="4">
        <v>45554</v>
      </c>
      <c r="H42" s="13">
        <v>23</v>
      </c>
      <c r="I42" s="7" t="s">
        <v>649</v>
      </c>
      <c r="J42" s="7" t="s">
        <v>656</v>
      </c>
      <c r="K42" s="7" t="s">
        <v>671</v>
      </c>
      <c r="M42" s="7" t="s">
        <v>705</v>
      </c>
      <c r="N42" s="7" t="s">
        <v>711</v>
      </c>
      <c r="O42" s="7" t="s">
        <v>726</v>
      </c>
      <c r="P42" s="7" t="s">
        <v>732</v>
      </c>
      <c r="Q42" s="7" t="s">
        <v>1468</v>
      </c>
      <c r="R42" s="9">
        <v>1024.01</v>
      </c>
      <c r="S42" s="9">
        <v>1580.97</v>
      </c>
      <c r="T42" s="9">
        <v>1580.97</v>
      </c>
      <c r="U42" s="9">
        <f t="shared" si="4"/>
        <v>825.97199999999998</v>
      </c>
      <c r="V42" s="9">
        <f t="shared" si="2"/>
        <v>1604.4520000000007</v>
      </c>
      <c r="W42" s="9" t="str">
        <f t="shared" si="3"/>
        <v>Medium</v>
      </c>
      <c r="X42" t="s">
        <v>2065</v>
      </c>
      <c r="Y42" s="11">
        <v>3.6999999999999998E-2</v>
      </c>
      <c r="Z42" t="s">
        <v>2065</v>
      </c>
      <c r="AA42" s="13">
        <v>27</v>
      </c>
      <c r="AB42" s="9">
        <v>41106.800970000004</v>
      </c>
      <c r="AC42" s="9">
        <v>27648.27</v>
      </c>
      <c r="AD42" s="9">
        <v>13458.530970000003</v>
      </c>
      <c r="AE42" s="11">
        <v>0.3274039976942531</v>
      </c>
    </row>
    <row r="43" spans="1:31" x14ac:dyDescent="0.3">
      <c r="A43" t="s">
        <v>56</v>
      </c>
      <c r="B43" s="4">
        <v>45302</v>
      </c>
      <c r="C43" s="4" t="str">
        <f t="shared" si="0"/>
        <v>Jan-2024</v>
      </c>
      <c r="D43" s="4" t="str">
        <f t="shared" si="1"/>
        <v>Q1-2024</v>
      </c>
      <c r="E43" s="4">
        <v>45324</v>
      </c>
      <c r="F43" t="s">
        <v>2064</v>
      </c>
      <c r="G43" s="4">
        <v>45324</v>
      </c>
      <c r="H43" s="13">
        <v>22</v>
      </c>
      <c r="I43" s="7" t="s">
        <v>646</v>
      </c>
      <c r="J43" s="7" t="s">
        <v>661</v>
      </c>
      <c r="K43" s="7" t="s">
        <v>687</v>
      </c>
      <c r="M43" s="7" t="s">
        <v>704</v>
      </c>
      <c r="N43" s="7" t="s">
        <v>708</v>
      </c>
      <c r="O43" s="7" t="s">
        <v>723</v>
      </c>
      <c r="P43" s="7" t="s">
        <v>729</v>
      </c>
      <c r="Q43" s="7" t="s">
        <v>1469</v>
      </c>
      <c r="R43" s="9">
        <v>1206.2</v>
      </c>
      <c r="S43" s="9">
        <v>1759.79</v>
      </c>
      <c r="T43" s="9">
        <v>1759.79</v>
      </c>
      <c r="U43" s="9">
        <f t="shared" si="4"/>
        <v>825.42419999999993</v>
      </c>
      <c r="V43" s="9">
        <f t="shared" si="2"/>
        <v>1612.0442</v>
      </c>
      <c r="W43" s="9" t="str">
        <f t="shared" si="3"/>
        <v>High</v>
      </c>
      <c r="X43" t="s">
        <v>2065</v>
      </c>
      <c r="Y43" s="11">
        <v>0</v>
      </c>
      <c r="Z43" t="s">
        <v>2065</v>
      </c>
      <c r="AA43" s="13">
        <v>6</v>
      </c>
      <c r="AB43" s="9">
        <v>10558.74</v>
      </c>
      <c r="AC43" s="9">
        <v>7237.2000000000007</v>
      </c>
      <c r="AD43" s="9">
        <v>3321.5399999999991</v>
      </c>
      <c r="AE43" s="11">
        <v>0.31457730751964713</v>
      </c>
    </row>
    <row r="44" spans="1:31" x14ac:dyDescent="0.3">
      <c r="A44" t="s">
        <v>57</v>
      </c>
      <c r="B44" s="4">
        <v>45590</v>
      </c>
      <c r="C44" s="4" t="str">
        <f t="shared" si="0"/>
        <v>Oct-2024</v>
      </c>
      <c r="D44" s="4" t="str">
        <f t="shared" si="1"/>
        <v>Q4-2024</v>
      </c>
      <c r="E44" s="4">
        <v>45610</v>
      </c>
      <c r="F44" t="s">
        <v>2064</v>
      </c>
      <c r="G44" s="4">
        <v>45610</v>
      </c>
      <c r="H44" s="13">
        <v>20</v>
      </c>
      <c r="I44" s="7" t="s">
        <v>646</v>
      </c>
      <c r="J44" s="7" t="s">
        <v>650</v>
      </c>
      <c r="K44" s="7" t="s">
        <v>675</v>
      </c>
      <c r="M44" s="7" t="s">
        <v>701</v>
      </c>
      <c r="N44" s="7" t="s">
        <v>711</v>
      </c>
      <c r="O44" s="7" t="s">
        <v>722</v>
      </c>
      <c r="P44" s="7" t="s">
        <v>728</v>
      </c>
      <c r="Q44" s="7" t="s">
        <v>1470</v>
      </c>
      <c r="R44" s="9">
        <v>1396.48</v>
      </c>
      <c r="S44" s="9">
        <v>3204.5</v>
      </c>
      <c r="T44" s="9">
        <v>3204.5</v>
      </c>
      <c r="U44" s="9">
        <f t="shared" si="4"/>
        <v>824.87639999999999</v>
      </c>
      <c r="V44" s="9">
        <f t="shared" si="2"/>
        <v>1597.3064000000008</v>
      </c>
      <c r="W44" s="9" t="str">
        <f t="shared" si="3"/>
        <v>High</v>
      </c>
      <c r="X44" t="s">
        <v>2065</v>
      </c>
      <c r="Y44" s="11">
        <v>0.318</v>
      </c>
      <c r="Z44" t="s">
        <v>2067</v>
      </c>
      <c r="AA44" s="13">
        <v>14</v>
      </c>
      <c r="AB44" s="9">
        <v>30596.565999999999</v>
      </c>
      <c r="AC44" s="9">
        <v>19550.72</v>
      </c>
      <c r="AD44" s="9">
        <v>11045.845999999998</v>
      </c>
      <c r="AE44" s="11">
        <v>0.36101587348070363</v>
      </c>
    </row>
    <row r="45" spans="1:31" x14ac:dyDescent="0.3">
      <c r="A45" t="s">
        <v>58</v>
      </c>
      <c r="B45" s="4">
        <v>45806</v>
      </c>
      <c r="C45" s="4" t="str">
        <f t="shared" si="0"/>
        <v>May-2025</v>
      </c>
      <c r="D45" s="4" t="str">
        <f t="shared" si="1"/>
        <v>Q2-2025</v>
      </c>
      <c r="E45" s="4">
        <v>45828</v>
      </c>
      <c r="F45" t="s">
        <v>2064</v>
      </c>
      <c r="G45" s="4">
        <v>45828</v>
      </c>
      <c r="H45" s="13">
        <v>22</v>
      </c>
      <c r="I45" s="7" t="s">
        <v>649</v>
      </c>
      <c r="J45" s="7" t="s">
        <v>656</v>
      </c>
      <c r="K45" s="7" t="s">
        <v>671</v>
      </c>
      <c r="M45" s="7" t="s">
        <v>701</v>
      </c>
      <c r="N45" s="7" t="s">
        <v>711</v>
      </c>
      <c r="O45" s="7" t="s">
        <v>720</v>
      </c>
      <c r="P45" s="7" t="s">
        <v>728</v>
      </c>
      <c r="Q45" s="7" t="s">
        <v>1471</v>
      </c>
      <c r="R45" s="9">
        <v>483.47</v>
      </c>
      <c r="S45" s="9">
        <v>1135.43</v>
      </c>
      <c r="T45" s="9">
        <v>1135.43</v>
      </c>
      <c r="U45" s="9">
        <f t="shared" si="4"/>
        <v>824.65049999999997</v>
      </c>
      <c r="V45" s="9">
        <f t="shared" si="2"/>
        <v>1595.0907999999999</v>
      </c>
      <c r="W45" s="9" t="str">
        <f t="shared" si="3"/>
        <v>Medium</v>
      </c>
      <c r="X45" t="s">
        <v>2065</v>
      </c>
      <c r="Y45" s="11">
        <v>0.14599999999999999</v>
      </c>
      <c r="Z45" t="s">
        <v>2065</v>
      </c>
      <c r="AA45" s="13">
        <v>11</v>
      </c>
      <c r="AB45" s="9">
        <v>10666.229420000001</v>
      </c>
      <c r="AC45" s="9">
        <v>5318.17</v>
      </c>
      <c r="AD45" s="9">
        <v>5348.0594200000014</v>
      </c>
      <c r="AE45" s="11">
        <v>0.50140112399719983</v>
      </c>
    </row>
    <row r="46" spans="1:31" x14ac:dyDescent="0.3">
      <c r="A46" t="s">
        <v>59</v>
      </c>
      <c r="B46" s="4">
        <v>45432</v>
      </c>
      <c r="C46" s="4" t="str">
        <f t="shared" si="0"/>
        <v>May-2024</v>
      </c>
      <c r="D46" s="4" t="str">
        <f t="shared" si="1"/>
        <v>Q2-2024</v>
      </c>
      <c r="E46" s="4">
        <v>45445</v>
      </c>
      <c r="F46" t="s">
        <v>2064</v>
      </c>
      <c r="G46" s="4">
        <v>45445</v>
      </c>
      <c r="H46" s="13">
        <v>13</v>
      </c>
      <c r="I46" s="7" t="s">
        <v>648</v>
      </c>
      <c r="J46" s="7" t="s">
        <v>653</v>
      </c>
      <c r="K46" s="7" t="s">
        <v>688</v>
      </c>
      <c r="M46" s="7" t="s">
        <v>706</v>
      </c>
      <c r="N46" s="7" t="s">
        <v>709</v>
      </c>
      <c r="O46" s="7" t="s">
        <v>723</v>
      </c>
      <c r="P46" s="7" t="s">
        <v>727</v>
      </c>
      <c r="Q46" s="7" t="s">
        <v>1472</v>
      </c>
      <c r="R46" s="9">
        <v>675.43</v>
      </c>
      <c r="S46" s="9">
        <v>996.36</v>
      </c>
      <c r="T46" s="9">
        <v>996.36</v>
      </c>
      <c r="U46" s="9">
        <f t="shared" si="4"/>
        <v>824.46899999999994</v>
      </c>
      <c r="V46" s="9">
        <f t="shared" si="2"/>
        <v>1595.3424</v>
      </c>
      <c r="W46" s="9" t="str">
        <f t="shared" si="3"/>
        <v>Medium</v>
      </c>
      <c r="X46" t="s">
        <v>2065</v>
      </c>
      <c r="Y46" s="11">
        <v>0.182</v>
      </c>
      <c r="Z46" t="s">
        <v>2065</v>
      </c>
      <c r="AA46" s="13">
        <v>22</v>
      </c>
      <c r="AB46" s="9">
        <v>17930.494560000003</v>
      </c>
      <c r="AC46" s="9">
        <v>14859.46</v>
      </c>
      <c r="AD46" s="9">
        <v>3071.0345600000037</v>
      </c>
      <c r="AE46" s="11">
        <v>0.17127439233332575</v>
      </c>
    </row>
    <row r="47" spans="1:31" x14ac:dyDescent="0.3">
      <c r="A47" t="s">
        <v>60</v>
      </c>
      <c r="B47" s="4">
        <v>45035</v>
      </c>
      <c r="C47" s="4" t="str">
        <f t="shared" si="0"/>
        <v>Apr-2023</v>
      </c>
      <c r="D47" s="4" t="str">
        <f t="shared" si="1"/>
        <v>Q2-2023</v>
      </c>
      <c r="E47" s="4">
        <v>45046</v>
      </c>
      <c r="F47" t="s">
        <v>2064</v>
      </c>
      <c r="G47" s="4">
        <v>45046</v>
      </c>
      <c r="H47" s="13">
        <v>11</v>
      </c>
      <c r="I47" s="7" t="s">
        <v>647</v>
      </c>
      <c r="J47" s="7" t="s">
        <v>654</v>
      </c>
      <c r="K47" s="7" t="s">
        <v>680</v>
      </c>
      <c r="M47" s="7" t="s">
        <v>705</v>
      </c>
      <c r="N47" s="7" t="s">
        <v>707</v>
      </c>
      <c r="O47" s="7" t="s">
        <v>720</v>
      </c>
      <c r="P47" s="7" t="s">
        <v>729</v>
      </c>
      <c r="Q47" s="7" t="s">
        <v>1473</v>
      </c>
      <c r="R47" s="9">
        <v>826.55</v>
      </c>
      <c r="S47" s="9">
        <v>1397.05</v>
      </c>
      <c r="T47" s="9">
        <v>1397.05</v>
      </c>
      <c r="U47" s="9">
        <f t="shared" si="4"/>
        <v>824.28750000000002</v>
      </c>
      <c r="V47" s="9">
        <f t="shared" si="2"/>
        <v>1597.7530000000004</v>
      </c>
      <c r="W47" s="9" t="str">
        <f t="shared" si="3"/>
        <v>Medium</v>
      </c>
      <c r="X47" t="s">
        <v>2065</v>
      </c>
      <c r="Y47" s="11">
        <v>0.16900000000000001</v>
      </c>
      <c r="Z47" t="s">
        <v>2065</v>
      </c>
      <c r="AA47" s="13">
        <v>28</v>
      </c>
      <c r="AB47" s="9">
        <v>32506.559399999998</v>
      </c>
      <c r="AC47" s="9">
        <v>23143.399999999998</v>
      </c>
      <c r="AD47" s="9">
        <v>9363.1594000000005</v>
      </c>
      <c r="AE47" s="11">
        <v>0.28803907804527601</v>
      </c>
    </row>
    <row r="48" spans="1:31" x14ac:dyDescent="0.3">
      <c r="A48" t="s">
        <v>61</v>
      </c>
      <c r="B48" s="4">
        <v>45100</v>
      </c>
      <c r="C48" s="4" t="str">
        <f t="shared" si="0"/>
        <v>Jun-2023</v>
      </c>
      <c r="D48" s="4" t="str">
        <f t="shared" si="1"/>
        <v>Q2-2023</v>
      </c>
      <c r="E48" s="4">
        <v>45110</v>
      </c>
      <c r="F48" t="s">
        <v>2064</v>
      </c>
      <c r="G48" s="4">
        <v>45110</v>
      </c>
      <c r="H48" s="13">
        <v>10</v>
      </c>
      <c r="I48" s="7" t="s">
        <v>646</v>
      </c>
      <c r="J48" s="7" t="s">
        <v>651</v>
      </c>
      <c r="K48" s="7" t="s">
        <v>669</v>
      </c>
      <c r="M48" s="7" t="s">
        <v>704</v>
      </c>
      <c r="N48" s="7" t="s">
        <v>708</v>
      </c>
      <c r="O48" s="7" t="s">
        <v>713</v>
      </c>
      <c r="P48" s="7" t="s">
        <v>728</v>
      </c>
      <c r="Q48" s="7" t="s">
        <v>1474</v>
      </c>
      <c r="R48" s="9">
        <v>337.75</v>
      </c>
      <c r="S48" s="9">
        <v>548.89</v>
      </c>
      <c r="T48" s="9">
        <v>548.89</v>
      </c>
      <c r="U48" s="9">
        <f t="shared" si="4"/>
        <v>822.80399999999997</v>
      </c>
      <c r="V48" s="9">
        <f t="shared" si="2"/>
        <v>1605.3452</v>
      </c>
      <c r="W48" s="9" t="str">
        <f t="shared" si="3"/>
        <v>Low</v>
      </c>
      <c r="X48" t="s">
        <v>2065</v>
      </c>
      <c r="Y48" s="11">
        <v>0</v>
      </c>
      <c r="Z48" t="s">
        <v>2065</v>
      </c>
      <c r="AA48" s="13">
        <v>13</v>
      </c>
      <c r="AB48" s="9">
        <v>7135.57</v>
      </c>
      <c r="AC48" s="9">
        <v>4390.75</v>
      </c>
      <c r="AD48" s="9">
        <v>2744.8199999999997</v>
      </c>
      <c r="AE48" s="11">
        <v>0.38466723751571352</v>
      </c>
    </row>
    <row r="49" spans="1:31" x14ac:dyDescent="0.3">
      <c r="A49" t="s">
        <v>62</v>
      </c>
      <c r="B49" s="4">
        <v>45426</v>
      </c>
      <c r="C49" s="4" t="str">
        <f t="shared" si="0"/>
        <v>May-2024</v>
      </c>
      <c r="D49" s="4" t="str">
        <f t="shared" si="1"/>
        <v>Q2-2024</v>
      </c>
      <c r="E49" s="4">
        <v>45440</v>
      </c>
      <c r="F49" t="s">
        <v>2064</v>
      </c>
      <c r="G49" s="4">
        <v>45440</v>
      </c>
      <c r="H49" s="13">
        <v>14</v>
      </c>
      <c r="I49" s="7" t="s">
        <v>649</v>
      </c>
      <c r="J49" s="7" t="s">
        <v>658</v>
      </c>
      <c r="K49" s="7" t="s">
        <v>674</v>
      </c>
      <c r="M49" s="7" t="s">
        <v>704</v>
      </c>
      <c r="N49" s="7" t="s">
        <v>707</v>
      </c>
      <c r="O49" s="7" t="s">
        <v>717</v>
      </c>
      <c r="P49" s="7" t="s">
        <v>729</v>
      </c>
      <c r="Q49" s="7" t="s">
        <v>1475</v>
      </c>
      <c r="R49" s="9">
        <v>1421.14</v>
      </c>
      <c r="S49" s="9">
        <v>3524</v>
      </c>
      <c r="T49" s="9">
        <v>3524</v>
      </c>
      <c r="U49" s="9">
        <f t="shared" si="4"/>
        <v>824.47450000000003</v>
      </c>
      <c r="V49" s="9">
        <f t="shared" si="2"/>
        <v>1612.9374000000005</v>
      </c>
      <c r="W49" s="9" t="str">
        <f t="shared" si="3"/>
        <v>High</v>
      </c>
      <c r="X49" t="s">
        <v>2065</v>
      </c>
      <c r="Y49" s="11">
        <v>0</v>
      </c>
      <c r="Z49" t="s">
        <v>2065</v>
      </c>
      <c r="AA49" s="13">
        <v>31</v>
      </c>
      <c r="AB49" s="9">
        <v>109244</v>
      </c>
      <c r="AC49" s="9">
        <v>44055.340000000004</v>
      </c>
      <c r="AD49" s="9">
        <v>65188.659999999996</v>
      </c>
      <c r="AE49" s="11">
        <v>0.59672531214528945</v>
      </c>
    </row>
    <row r="50" spans="1:31" x14ac:dyDescent="0.3">
      <c r="A50" t="s">
        <v>63</v>
      </c>
      <c r="B50" s="4">
        <v>45579</v>
      </c>
      <c r="C50" s="4" t="str">
        <f t="shared" si="0"/>
        <v>Oct-2024</v>
      </c>
      <c r="D50" s="4" t="str">
        <f t="shared" si="1"/>
        <v>Q4-2024</v>
      </c>
      <c r="E50" s="4">
        <v>45604</v>
      </c>
      <c r="F50" t="s">
        <v>2064</v>
      </c>
      <c r="G50" s="4">
        <v>45604</v>
      </c>
      <c r="H50" s="13">
        <v>25</v>
      </c>
      <c r="I50" s="7" t="s">
        <v>646</v>
      </c>
      <c r="J50" s="7" t="s">
        <v>651</v>
      </c>
      <c r="K50" s="7" t="s">
        <v>665</v>
      </c>
      <c r="M50" s="7" t="s">
        <v>706</v>
      </c>
      <c r="N50" s="7" t="s">
        <v>708</v>
      </c>
      <c r="O50" s="7" t="s">
        <v>719</v>
      </c>
      <c r="P50" s="7" t="s">
        <v>729</v>
      </c>
      <c r="Q50" s="7" t="s">
        <v>1476</v>
      </c>
      <c r="R50" s="9">
        <v>859.35</v>
      </c>
      <c r="S50" s="9">
        <v>1825.61</v>
      </c>
      <c r="T50" s="9">
        <v>1825.61</v>
      </c>
      <c r="U50" s="9">
        <f t="shared" si="4"/>
        <v>824.29300000000001</v>
      </c>
      <c r="V50" s="9">
        <f t="shared" si="2"/>
        <v>1598.1996000000001</v>
      </c>
      <c r="W50" s="9" t="str">
        <f t="shared" si="3"/>
        <v>High</v>
      </c>
      <c r="X50" t="s">
        <v>2065</v>
      </c>
      <c r="Y50" s="11">
        <v>0.187</v>
      </c>
      <c r="Z50" t="s">
        <v>2065</v>
      </c>
      <c r="AA50" s="13">
        <v>24</v>
      </c>
      <c r="AB50" s="9">
        <v>35621.302319999995</v>
      </c>
      <c r="AC50" s="9">
        <v>20624.400000000001</v>
      </c>
      <c r="AD50" s="9">
        <v>14996.902319999994</v>
      </c>
      <c r="AE50" s="11">
        <v>0.42100937762681989</v>
      </c>
    </row>
    <row r="51" spans="1:31" x14ac:dyDescent="0.3">
      <c r="A51" t="s">
        <v>64</v>
      </c>
      <c r="B51" s="4">
        <v>45117</v>
      </c>
      <c r="C51" s="4" t="str">
        <f t="shared" si="0"/>
        <v>Jul-2023</v>
      </c>
      <c r="D51" s="4" t="str">
        <f t="shared" si="1"/>
        <v>Q3-2023</v>
      </c>
      <c r="E51" s="4">
        <v>45139</v>
      </c>
      <c r="F51" t="s">
        <v>2064</v>
      </c>
      <c r="G51" s="4">
        <v>45139</v>
      </c>
      <c r="H51" s="13">
        <v>22</v>
      </c>
      <c r="I51" s="7" t="s">
        <v>649</v>
      </c>
      <c r="J51" s="7" t="s">
        <v>657</v>
      </c>
      <c r="K51" s="7" t="s">
        <v>673</v>
      </c>
      <c r="M51" s="7" t="s">
        <v>704</v>
      </c>
      <c r="N51" s="7" t="s">
        <v>709</v>
      </c>
      <c r="O51" s="7" t="s">
        <v>717</v>
      </c>
      <c r="P51" s="7" t="s">
        <v>728</v>
      </c>
      <c r="Q51" s="7" t="s">
        <v>1477</v>
      </c>
      <c r="R51" s="9">
        <v>1303.56</v>
      </c>
      <c r="S51" s="9">
        <v>1791.37</v>
      </c>
      <c r="T51" s="9">
        <v>1791.37</v>
      </c>
      <c r="U51" s="9">
        <f t="shared" si="4"/>
        <v>822.85600000000011</v>
      </c>
      <c r="V51" s="9">
        <f t="shared" si="2"/>
        <v>1595.1204</v>
      </c>
      <c r="W51" s="9" t="str">
        <f t="shared" si="3"/>
        <v>High</v>
      </c>
      <c r="X51" t="s">
        <v>2065</v>
      </c>
      <c r="Y51" s="11">
        <v>0.126</v>
      </c>
      <c r="Z51" t="s">
        <v>2065</v>
      </c>
      <c r="AA51" s="13">
        <v>22</v>
      </c>
      <c r="AB51" s="9">
        <v>34444.462359999998</v>
      </c>
      <c r="AC51" s="9">
        <v>28678.32</v>
      </c>
      <c r="AD51" s="9">
        <v>5766.142359999998</v>
      </c>
      <c r="AE51" s="11">
        <v>0.16740404596055358</v>
      </c>
    </row>
    <row r="52" spans="1:31" x14ac:dyDescent="0.3">
      <c r="A52" t="s">
        <v>65</v>
      </c>
      <c r="B52" s="4">
        <v>45602</v>
      </c>
      <c r="C52" s="4" t="str">
        <f t="shared" si="0"/>
        <v>Nov-2024</v>
      </c>
      <c r="D52" s="4" t="str">
        <f t="shared" si="1"/>
        <v>Q4-2024</v>
      </c>
      <c r="E52" s="4">
        <v>45618</v>
      </c>
      <c r="F52" t="s">
        <v>2064</v>
      </c>
      <c r="G52" s="4">
        <v>45618</v>
      </c>
      <c r="H52" s="13">
        <v>16</v>
      </c>
      <c r="I52" s="7" t="s">
        <v>648</v>
      </c>
      <c r="J52" s="7" t="s">
        <v>653</v>
      </c>
      <c r="K52" s="7" t="s">
        <v>667</v>
      </c>
      <c r="M52" s="7" t="s">
        <v>703</v>
      </c>
      <c r="N52" s="7" t="s">
        <v>710</v>
      </c>
      <c r="O52" s="7" t="s">
        <v>726</v>
      </c>
      <c r="P52" s="7" t="s">
        <v>733</v>
      </c>
      <c r="Q52" s="7" t="s">
        <v>1478</v>
      </c>
      <c r="R52" s="9">
        <v>1454.11</v>
      </c>
      <c r="S52" s="9">
        <v>2629.75</v>
      </c>
      <c r="T52" s="9">
        <v>2629.75</v>
      </c>
      <c r="U52" s="9">
        <f t="shared" si="4"/>
        <v>821.14</v>
      </c>
      <c r="V52" s="9">
        <f t="shared" si="2"/>
        <v>1594.2280000000001</v>
      </c>
      <c r="W52" s="9" t="str">
        <f t="shared" si="3"/>
        <v>High</v>
      </c>
      <c r="X52" t="s">
        <v>2065</v>
      </c>
      <c r="Y52" s="11">
        <v>0.29199999999999998</v>
      </c>
      <c r="Z52" t="s">
        <v>2065</v>
      </c>
      <c r="AA52" s="13">
        <v>8</v>
      </c>
      <c r="AB52" s="9">
        <v>14894.903999999999</v>
      </c>
      <c r="AC52" s="9">
        <v>11632.88</v>
      </c>
      <c r="AD52" s="9">
        <v>3262.0239999999994</v>
      </c>
      <c r="AE52" s="11">
        <v>0.21900268709351867</v>
      </c>
    </row>
    <row r="53" spans="1:31" x14ac:dyDescent="0.3">
      <c r="A53" t="s">
        <v>66</v>
      </c>
      <c r="B53" s="4">
        <v>45582</v>
      </c>
      <c r="C53" s="4" t="str">
        <f t="shared" si="0"/>
        <v>Oct-2024</v>
      </c>
      <c r="D53" s="4" t="str">
        <f t="shared" si="1"/>
        <v>Q4-2024</v>
      </c>
      <c r="E53" s="4">
        <v>45602</v>
      </c>
      <c r="F53" t="s">
        <v>2064</v>
      </c>
      <c r="G53" s="4">
        <v>45602</v>
      </c>
      <c r="H53" s="13">
        <v>20</v>
      </c>
      <c r="I53" s="7" t="s">
        <v>647</v>
      </c>
      <c r="J53" s="7" t="s">
        <v>654</v>
      </c>
      <c r="K53" s="7" t="s">
        <v>668</v>
      </c>
      <c r="M53" s="7" t="s">
        <v>706</v>
      </c>
      <c r="N53" s="7" t="s">
        <v>710</v>
      </c>
      <c r="O53" s="7" t="s">
        <v>719</v>
      </c>
      <c r="P53" s="7" t="s">
        <v>732</v>
      </c>
      <c r="Q53" s="7" t="s">
        <v>1479</v>
      </c>
      <c r="R53" s="9">
        <v>72.94</v>
      </c>
      <c r="S53" s="9">
        <v>106.3</v>
      </c>
      <c r="T53" s="9">
        <v>106.3</v>
      </c>
      <c r="U53" s="9">
        <f t="shared" si="4"/>
        <v>819.42400000000009</v>
      </c>
      <c r="V53" s="9">
        <f t="shared" si="2"/>
        <v>1592.4064000000001</v>
      </c>
      <c r="W53" s="9" t="str">
        <f t="shared" si="3"/>
        <v>Low</v>
      </c>
      <c r="X53" t="s">
        <v>2065</v>
      </c>
      <c r="Y53" s="11">
        <v>0.29499999999999998</v>
      </c>
      <c r="Z53" t="s">
        <v>2065</v>
      </c>
      <c r="AA53" s="13">
        <v>8</v>
      </c>
      <c r="AB53" s="9">
        <v>599.53200000000004</v>
      </c>
      <c r="AC53" s="9">
        <v>583.52</v>
      </c>
      <c r="AD53" s="9">
        <v>16.012000000000057</v>
      </c>
      <c r="AE53" s="11">
        <v>2.6707498515508857E-2</v>
      </c>
    </row>
    <row r="54" spans="1:31" x14ac:dyDescent="0.3">
      <c r="A54" t="s">
        <v>67</v>
      </c>
      <c r="B54" s="4">
        <v>45016</v>
      </c>
      <c r="C54" s="4" t="str">
        <f t="shared" si="0"/>
        <v>Mar-2023</v>
      </c>
      <c r="D54" s="4" t="str">
        <f t="shared" si="1"/>
        <v>Q1-2023</v>
      </c>
      <c r="E54" s="4">
        <v>45021</v>
      </c>
      <c r="F54" t="s">
        <v>2064</v>
      </c>
      <c r="G54" s="4">
        <v>45021</v>
      </c>
      <c r="H54" s="13">
        <v>5</v>
      </c>
      <c r="I54" s="7" t="s">
        <v>646</v>
      </c>
      <c r="J54" s="7" t="s">
        <v>650</v>
      </c>
      <c r="K54" s="7" t="s">
        <v>678</v>
      </c>
      <c r="M54" s="7" t="s">
        <v>702</v>
      </c>
      <c r="N54" s="7" t="s">
        <v>709</v>
      </c>
      <c r="O54" s="7" t="s">
        <v>717</v>
      </c>
      <c r="P54" s="7" t="s">
        <v>731</v>
      </c>
      <c r="Q54" s="7" t="s">
        <v>1480</v>
      </c>
      <c r="R54" s="9">
        <v>533.26</v>
      </c>
      <c r="S54" s="9">
        <v>385.72</v>
      </c>
      <c r="T54" s="9">
        <v>385.72</v>
      </c>
      <c r="U54" s="9">
        <f t="shared" si="4"/>
        <v>822.90800000000002</v>
      </c>
      <c r="V54" s="9">
        <f t="shared" si="2"/>
        <v>1593.3448000000001</v>
      </c>
      <c r="W54" s="9" t="str">
        <f t="shared" si="3"/>
        <v>Low</v>
      </c>
      <c r="X54" t="s">
        <v>2065</v>
      </c>
      <c r="Y54" s="11">
        <v>0</v>
      </c>
      <c r="Z54" t="s">
        <v>2065</v>
      </c>
      <c r="AA54" s="13">
        <v>15</v>
      </c>
      <c r="AB54" s="9">
        <v>5785.8</v>
      </c>
      <c r="AC54" s="9">
        <v>7998.9</v>
      </c>
      <c r="AD54" s="9">
        <v>-2213.0999999999995</v>
      </c>
      <c r="AE54" s="11">
        <v>-0.38250544436378708</v>
      </c>
    </row>
    <row r="55" spans="1:31" x14ac:dyDescent="0.3">
      <c r="A55" t="s">
        <v>68</v>
      </c>
      <c r="B55" s="4">
        <v>45678</v>
      </c>
      <c r="C55" s="4" t="str">
        <f t="shared" si="0"/>
        <v>Jan-2025</v>
      </c>
      <c r="D55" s="4" t="str">
        <f t="shared" si="1"/>
        <v>Q1-2025</v>
      </c>
      <c r="E55" s="4">
        <v>45704</v>
      </c>
      <c r="F55" t="s">
        <v>2064</v>
      </c>
      <c r="G55" s="4">
        <v>45704</v>
      </c>
      <c r="H55" s="13">
        <v>26</v>
      </c>
      <c r="I55" s="7" t="s">
        <v>649</v>
      </c>
      <c r="J55" s="7" t="s">
        <v>657</v>
      </c>
      <c r="K55" s="7" t="s">
        <v>679</v>
      </c>
      <c r="M55" s="7" t="s">
        <v>701</v>
      </c>
      <c r="N55" s="7" t="s">
        <v>710</v>
      </c>
      <c r="O55" s="7" t="s">
        <v>719</v>
      </c>
      <c r="P55" s="7" t="s">
        <v>731</v>
      </c>
      <c r="Q55" s="7" t="s">
        <v>1481</v>
      </c>
      <c r="R55" s="9">
        <v>204.11</v>
      </c>
      <c r="S55" s="9">
        <v>236.87</v>
      </c>
      <c r="T55" s="9">
        <v>236.87</v>
      </c>
      <c r="U55" s="9">
        <f t="shared" si="4"/>
        <v>824.4855</v>
      </c>
      <c r="V55" s="9">
        <f t="shared" si="2"/>
        <v>1594.2831999999999</v>
      </c>
      <c r="W55" s="9" t="str">
        <f t="shared" si="3"/>
        <v>Low</v>
      </c>
      <c r="X55" t="s">
        <v>2065</v>
      </c>
      <c r="Y55" s="11">
        <v>0.182</v>
      </c>
      <c r="Z55" t="s">
        <v>2065</v>
      </c>
      <c r="AA55" s="13">
        <v>13</v>
      </c>
      <c r="AB55" s="9">
        <v>2518.8755800000004</v>
      </c>
      <c r="AC55" s="9">
        <v>2653.4300000000003</v>
      </c>
      <c r="AD55" s="9">
        <v>-134.55441999999994</v>
      </c>
      <c r="AE55" s="11">
        <v>-5.3418446337075494E-2</v>
      </c>
    </row>
    <row r="56" spans="1:31" x14ac:dyDescent="0.3">
      <c r="A56" t="s">
        <v>69</v>
      </c>
      <c r="B56" s="4">
        <v>45168</v>
      </c>
      <c r="C56" s="4" t="str">
        <f t="shared" si="0"/>
        <v>Aug-2023</v>
      </c>
      <c r="D56" s="4" t="str">
        <f t="shared" si="1"/>
        <v>Q3-2023</v>
      </c>
      <c r="E56" s="4">
        <v>45170</v>
      </c>
      <c r="F56" t="s">
        <v>2064</v>
      </c>
      <c r="G56" s="4">
        <v>45170</v>
      </c>
      <c r="H56" s="13">
        <v>2</v>
      </c>
      <c r="I56" s="7" t="s">
        <v>649</v>
      </c>
      <c r="J56" s="7" t="s">
        <v>656</v>
      </c>
      <c r="K56" s="7" t="s">
        <v>684</v>
      </c>
      <c r="M56" s="7" t="s">
        <v>701</v>
      </c>
      <c r="N56" s="7" t="s">
        <v>711</v>
      </c>
      <c r="O56" s="7" t="s">
        <v>725</v>
      </c>
      <c r="P56" s="7" t="s">
        <v>729</v>
      </c>
      <c r="Q56" s="7" t="s">
        <v>1482</v>
      </c>
      <c r="R56" s="9">
        <v>44.42</v>
      </c>
      <c r="S56" s="9">
        <v>41.9</v>
      </c>
      <c r="T56" s="9">
        <v>41.9</v>
      </c>
      <c r="U56" s="9">
        <f t="shared" si="4"/>
        <v>824.94279999999992</v>
      </c>
      <c r="V56" s="9">
        <f t="shared" si="2"/>
        <v>1594.8984</v>
      </c>
      <c r="W56" s="9" t="str">
        <f t="shared" si="3"/>
        <v>Low</v>
      </c>
      <c r="X56" t="s">
        <v>2065</v>
      </c>
      <c r="Y56" s="11">
        <v>0.14399999999999999</v>
      </c>
      <c r="Z56" t="s">
        <v>2065</v>
      </c>
      <c r="AA56" s="13">
        <v>6</v>
      </c>
      <c r="AB56" s="9">
        <v>215.19839999999996</v>
      </c>
      <c r="AC56" s="9">
        <v>266.52</v>
      </c>
      <c r="AD56" s="9">
        <v>-51.321600000000018</v>
      </c>
      <c r="AE56" s="11">
        <v>-0.23848504449847224</v>
      </c>
    </row>
    <row r="57" spans="1:31" x14ac:dyDescent="0.3">
      <c r="A57" t="s">
        <v>70</v>
      </c>
      <c r="B57" s="4">
        <v>45753</v>
      </c>
      <c r="C57" s="4" t="str">
        <f t="shared" si="0"/>
        <v>Apr-2025</v>
      </c>
      <c r="D57" s="4" t="str">
        <f t="shared" si="1"/>
        <v>Q2-2025</v>
      </c>
      <c r="E57" s="4">
        <v>45777</v>
      </c>
      <c r="F57" t="s">
        <v>2064</v>
      </c>
      <c r="G57" s="4">
        <v>45777</v>
      </c>
      <c r="H57" s="13">
        <v>24</v>
      </c>
      <c r="I57" s="7" t="s">
        <v>648</v>
      </c>
      <c r="J57" s="7" t="s">
        <v>655</v>
      </c>
      <c r="K57" s="7" t="s">
        <v>672</v>
      </c>
      <c r="M57" s="7" t="s">
        <v>702</v>
      </c>
      <c r="N57" s="7" t="s">
        <v>708</v>
      </c>
      <c r="O57" s="7" t="s">
        <v>723</v>
      </c>
      <c r="P57" s="7" t="s">
        <v>732</v>
      </c>
      <c r="Q57" s="7" t="s">
        <v>1483</v>
      </c>
      <c r="R57" s="9">
        <v>855.78</v>
      </c>
      <c r="S57" s="9">
        <v>977.38</v>
      </c>
      <c r="T57" s="9">
        <v>977.38</v>
      </c>
      <c r="U57" s="9">
        <f t="shared" si="4"/>
        <v>826.05500000000006</v>
      </c>
      <c r="V57" s="9">
        <f t="shared" si="2"/>
        <v>1595.15</v>
      </c>
      <c r="W57" s="9" t="str">
        <f t="shared" si="3"/>
        <v>Medium</v>
      </c>
      <c r="X57" t="s">
        <v>2065</v>
      </c>
      <c r="Y57" s="11">
        <v>0.14699999999999999</v>
      </c>
      <c r="Z57" t="s">
        <v>2065</v>
      </c>
      <c r="AA57" s="13">
        <v>38</v>
      </c>
      <c r="AB57" s="9">
        <v>31680.795320000001</v>
      </c>
      <c r="AC57" s="9">
        <v>32519.64</v>
      </c>
      <c r="AD57" s="9">
        <v>-838.84467999999833</v>
      </c>
      <c r="AE57" s="11">
        <v>-2.6478018355506307E-2</v>
      </c>
    </row>
    <row r="58" spans="1:31" x14ac:dyDescent="0.3">
      <c r="A58" t="s">
        <v>71</v>
      </c>
      <c r="B58" s="4">
        <v>45697</v>
      </c>
      <c r="C58" s="4" t="str">
        <f t="shared" si="0"/>
        <v>Feb-2025</v>
      </c>
      <c r="D58" s="4" t="str">
        <f t="shared" si="1"/>
        <v>Q1-2025</v>
      </c>
      <c r="E58" s="4">
        <v>45717</v>
      </c>
      <c r="F58" t="s">
        <v>2064</v>
      </c>
      <c r="G58" s="4">
        <v>45717</v>
      </c>
      <c r="H58" s="13">
        <v>20</v>
      </c>
      <c r="I58" s="7" t="s">
        <v>648</v>
      </c>
      <c r="J58" s="7" t="s">
        <v>655</v>
      </c>
      <c r="K58" s="7" t="s">
        <v>670</v>
      </c>
      <c r="M58" s="7" t="s">
        <v>701</v>
      </c>
      <c r="N58" s="7" t="s">
        <v>710</v>
      </c>
      <c r="O58" s="7" t="s">
        <v>717</v>
      </c>
      <c r="P58" s="7" t="s">
        <v>731</v>
      </c>
      <c r="Q58" s="7" t="s">
        <v>1484</v>
      </c>
      <c r="R58" s="9">
        <v>1154.6400000000001</v>
      </c>
      <c r="S58" s="9">
        <v>2794.13</v>
      </c>
      <c r="T58" s="9">
        <v>2794.13</v>
      </c>
      <c r="U58" s="9">
        <f t="shared" si="4"/>
        <v>825.50720000000001</v>
      </c>
      <c r="V58" s="9">
        <f t="shared" si="2"/>
        <v>1595.4015999999999</v>
      </c>
      <c r="W58" s="9" t="str">
        <f t="shared" si="3"/>
        <v>High</v>
      </c>
      <c r="X58" t="s">
        <v>2065</v>
      </c>
      <c r="Y58" s="11">
        <v>3.5000000000000003E-2</v>
      </c>
      <c r="Z58" t="s">
        <v>2065</v>
      </c>
      <c r="AA58" s="13">
        <v>11</v>
      </c>
      <c r="AB58" s="9">
        <v>29659.68995</v>
      </c>
      <c r="AC58" s="9">
        <v>12701.04</v>
      </c>
      <c r="AD58" s="9">
        <v>16958.649949999999</v>
      </c>
      <c r="AE58" s="11">
        <v>0.57177435025749479</v>
      </c>
    </row>
    <row r="59" spans="1:31" x14ac:dyDescent="0.3">
      <c r="A59" t="s">
        <v>72</v>
      </c>
      <c r="B59" s="4">
        <v>45643</v>
      </c>
      <c r="C59" s="4" t="str">
        <f t="shared" si="0"/>
        <v>Dec-2024</v>
      </c>
      <c r="D59" s="4" t="str">
        <f t="shared" si="1"/>
        <v>Q4-2024</v>
      </c>
      <c r="E59" s="4">
        <v>45644</v>
      </c>
      <c r="F59" t="s">
        <v>2064</v>
      </c>
      <c r="G59" s="4">
        <v>45644</v>
      </c>
      <c r="H59" s="13">
        <v>1</v>
      </c>
      <c r="I59" s="7" t="s">
        <v>649</v>
      </c>
      <c r="J59" s="7" t="s">
        <v>656</v>
      </c>
      <c r="K59" s="7" t="s">
        <v>684</v>
      </c>
      <c r="M59" s="7" t="s">
        <v>702</v>
      </c>
      <c r="N59" s="7" t="s">
        <v>707</v>
      </c>
      <c r="O59" s="7" t="s">
        <v>716</v>
      </c>
      <c r="P59" s="7" t="s">
        <v>733</v>
      </c>
      <c r="Q59" s="7" t="s">
        <v>1485</v>
      </c>
      <c r="R59" s="9">
        <v>346.82</v>
      </c>
      <c r="S59" s="9">
        <v>701.95</v>
      </c>
      <c r="T59" s="9">
        <v>701.95</v>
      </c>
      <c r="U59" s="9">
        <f t="shared" si="4"/>
        <v>824.95939999999996</v>
      </c>
      <c r="V59" s="9">
        <f t="shared" si="2"/>
        <v>1594.9132</v>
      </c>
      <c r="W59" s="9" t="str">
        <f t="shared" si="3"/>
        <v>Low</v>
      </c>
      <c r="X59" t="s">
        <v>2065</v>
      </c>
      <c r="Y59" s="11">
        <v>0.14699999999999999</v>
      </c>
      <c r="Z59" t="s">
        <v>2065</v>
      </c>
      <c r="AA59" s="13">
        <v>8</v>
      </c>
      <c r="AB59" s="9">
        <v>4790.1068000000005</v>
      </c>
      <c r="AC59" s="9">
        <v>2774.56</v>
      </c>
      <c r="AD59" s="9">
        <v>2015.5468000000005</v>
      </c>
      <c r="AE59" s="11">
        <v>0.42077283120284509</v>
      </c>
    </row>
    <row r="60" spans="1:31" x14ac:dyDescent="0.3">
      <c r="A60" t="s">
        <v>73</v>
      </c>
      <c r="B60" s="4">
        <v>45817</v>
      </c>
      <c r="C60" s="4" t="str">
        <f t="shared" si="0"/>
        <v>Jun-2025</v>
      </c>
      <c r="D60" s="4" t="str">
        <f t="shared" si="1"/>
        <v>Q2-2025</v>
      </c>
      <c r="E60" s="4">
        <v>45826</v>
      </c>
      <c r="F60" t="s">
        <v>2064</v>
      </c>
      <c r="G60" s="4">
        <v>45826</v>
      </c>
      <c r="H60" s="13">
        <v>9</v>
      </c>
      <c r="I60" s="7" t="s">
        <v>649</v>
      </c>
      <c r="J60" s="7" t="s">
        <v>657</v>
      </c>
      <c r="K60" s="7" t="s">
        <v>673</v>
      </c>
      <c r="M60" s="7" t="s">
        <v>705</v>
      </c>
      <c r="N60" s="7" t="s">
        <v>709</v>
      </c>
      <c r="O60" s="7" t="s">
        <v>722</v>
      </c>
      <c r="P60" s="7" t="s">
        <v>733</v>
      </c>
      <c r="Q60" s="7" t="s">
        <v>1486</v>
      </c>
      <c r="R60" s="9">
        <v>1225.5</v>
      </c>
      <c r="S60" s="9">
        <v>-5.27</v>
      </c>
      <c r="T60" s="9">
        <v>5.27</v>
      </c>
      <c r="U60" s="9">
        <f t="shared" si="4"/>
        <v>826.07159999999999</v>
      </c>
      <c r="V60" s="9">
        <f t="shared" si="2"/>
        <v>1595.1648</v>
      </c>
      <c r="W60" s="9" t="str">
        <f t="shared" si="3"/>
        <v>Low</v>
      </c>
      <c r="X60" t="s">
        <v>2067</v>
      </c>
      <c r="Y60" s="11">
        <v>7.4999999999999997E-2</v>
      </c>
      <c r="Z60" t="s">
        <v>2065</v>
      </c>
      <c r="AA60" s="13">
        <v>56</v>
      </c>
      <c r="AB60" s="9">
        <v>272.98599999999999</v>
      </c>
      <c r="AC60" s="9">
        <v>68628</v>
      </c>
      <c r="AD60" s="9">
        <v>-68355.013999999996</v>
      </c>
      <c r="AE60" s="11">
        <v>-250.39750756449047</v>
      </c>
    </row>
    <row r="61" spans="1:31" x14ac:dyDescent="0.3">
      <c r="A61" t="s">
        <v>74</v>
      </c>
      <c r="B61" s="4">
        <v>45779</v>
      </c>
      <c r="C61" s="4" t="str">
        <f t="shared" si="0"/>
        <v>May-2025</v>
      </c>
      <c r="D61" s="4" t="str">
        <f t="shared" si="1"/>
        <v>Q2-2025</v>
      </c>
      <c r="E61" s="4">
        <v>45790</v>
      </c>
      <c r="F61" t="s">
        <v>2064</v>
      </c>
      <c r="G61" s="4">
        <v>45790</v>
      </c>
      <c r="H61" s="13">
        <v>11</v>
      </c>
      <c r="I61" s="7" t="s">
        <v>646</v>
      </c>
      <c r="J61" s="7" t="s">
        <v>650</v>
      </c>
      <c r="K61" s="7" t="s">
        <v>678</v>
      </c>
      <c r="M61" s="7" t="s">
        <v>705</v>
      </c>
      <c r="N61" s="7" t="s">
        <v>708</v>
      </c>
      <c r="O61" s="7" t="s">
        <v>720</v>
      </c>
      <c r="P61" s="7" t="s">
        <v>733</v>
      </c>
      <c r="Q61" s="7" t="s">
        <v>1487</v>
      </c>
      <c r="R61" s="9">
        <v>1057.5999999999999</v>
      </c>
      <c r="S61" s="9">
        <v>1437.06</v>
      </c>
      <c r="T61" s="9">
        <v>1437.06</v>
      </c>
      <c r="U61" s="9">
        <f t="shared" si="4"/>
        <v>829.57460000000003</v>
      </c>
      <c r="V61" s="9">
        <f t="shared" si="2"/>
        <v>1595.4164000000001</v>
      </c>
      <c r="W61" s="9" t="str">
        <f t="shared" si="3"/>
        <v>Medium</v>
      </c>
      <c r="X61" t="s">
        <v>2065</v>
      </c>
      <c r="Y61" s="11">
        <v>0.20499999999999999</v>
      </c>
      <c r="Z61" t="s">
        <v>2065</v>
      </c>
      <c r="AA61" s="13">
        <v>4</v>
      </c>
      <c r="AB61" s="9">
        <v>4569.8508000000002</v>
      </c>
      <c r="AC61" s="9">
        <v>4230.3999999999996</v>
      </c>
      <c r="AD61" s="9">
        <v>339.45080000000053</v>
      </c>
      <c r="AE61" s="11">
        <v>7.4280499485891424E-2</v>
      </c>
    </row>
    <row r="62" spans="1:31" x14ac:dyDescent="0.3">
      <c r="A62" t="s">
        <v>75</v>
      </c>
      <c r="B62" s="4">
        <v>45361</v>
      </c>
      <c r="C62" s="4" t="str">
        <f t="shared" si="0"/>
        <v>Mar-2024</v>
      </c>
      <c r="D62" s="4" t="str">
        <f t="shared" si="1"/>
        <v>Q1-2024</v>
      </c>
      <c r="E62" s="4">
        <v>45391</v>
      </c>
      <c r="F62" t="s">
        <v>2064</v>
      </c>
      <c r="G62" s="4">
        <v>45391</v>
      </c>
      <c r="H62" s="13">
        <v>30</v>
      </c>
      <c r="I62" s="7" t="s">
        <v>649</v>
      </c>
      <c r="J62" s="7" t="s">
        <v>657</v>
      </c>
      <c r="K62" s="7" t="s">
        <v>679</v>
      </c>
      <c r="M62" s="7" t="s">
        <v>701</v>
      </c>
      <c r="N62" s="7" t="s">
        <v>711</v>
      </c>
      <c r="O62" s="7" t="s">
        <v>714</v>
      </c>
      <c r="P62" s="7" t="s">
        <v>727</v>
      </c>
      <c r="Q62" s="7" t="s">
        <v>1488</v>
      </c>
      <c r="R62" s="9">
        <v>1176.56</v>
      </c>
      <c r="S62" s="9">
        <v>1911.89</v>
      </c>
      <c r="T62" s="9">
        <v>1911.89</v>
      </c>
      <c r="U62" s="9">
        <f t="shared" si="4"/>
        <v>827.19200000000023</v>
      </c>
      <c r="V62" s="9">
        <f t="shared" si="2"/>
        <v>1599.986000000001</v>
      </c>
      <c r="W62" s="9" t="str">
        <f t="shared" si="3"/>
        <v>High</v>
      </c>
      <c r="X62" t="s">
        <v>2065</v>
      </c>
      <c r="Y62" s="11">
        <v>0.11899999999999999</v>
      </c>
      <c r="Z62" t="s">
        <v>2065</v>
      </c>
      <c r="AA62" s="13">
        <v>20</v>
      </c>
      <c r="AB62" s="9">
        <v>33687.501800000005</v>
      </c>
      <c r="AC62" s="9">
        <v>23531.199999999997</v>
      </c>
      <c r="AD62" s="9">
        <v>10156.301800000008</v>
      </c>
      <c r="AE62" s="11">
        <v>0.30148575160892477</v>
      </c>
    </row>
    <row r="63" spans="1:31" x14ac:dyDescent="0.3">
      <c r="A63" t="s">
        <v>76</v>
      </c>
      <c r="B63" s="4">
        <v>45910</v>
      </c>
      <c r="C63" s="4" t="str">
        <f t="shared" si="0"/>
        <v>Sep-2025</v>
      </c>
      <c r="D63" s="4" t="str">
        <f t="shared" si="1"/>
        <v>Q3-2025</v>
      </c>
      <c r="E63" s="4">
        <v>45912</v>
      </c>
      <c r="F63" t="s">
        <v>2064</v>
      </c>
      <c r="G63" s="4">
        <v>45912</v>
      </c>
      <c r="H63" s="13">
        <v>2</v>
      </c>
      <c r="I63" s="7" t="s">
        <v>647</v>
      </c>
      <c r="J63" s="7" t="s">
        <v>652</v>
      </c>
      <c r="K63" s="7" t="s">
        <v>689</v>
      </c>
      <c r="M63" s="7" t="s">
        <v>704</v>
      </c>
      <c r="N63" s="7" t="s">
        <v>708</v>
      </c>
      <c r="O63" s="7" t="s">
        <v>719</v>
      </c>
      <c r="P63" s="7" t="s">
        <v>727</v>
      </c>
      <c r="Q63" s="7" t="s">
        <v>1489</v>
      </c>
      <c r="R63" s="9">
        <v>1470.15</v>
      </c>
      <c r="S63" s="9">
        <v>2593.7800000000002</v>
      </c>
      <c r="T63" s="9">
        <v>2593.7800000000002</v>
      </c>
      <c r="U63" s="9">
        <f t="shared" si="4"/>
        <v>826.08820000000003</v>
      </c>
      <c r="V63" s="9">
        <f t="shared" si="2"/>
        <v>1595.1795999999999</v>
      </c>
      <c r="W63" s="9" t="str">
        <f t="shared" si="3"/>
        <v>High</v>
      </c>
      <c r="X63" t="s">
        <v>2065</v>
      </c>
      <c r="Y63" s="11">
        <v>0.11</v>
      </c>
      <c r="Z63" t="s">
        <v>2065</v>
      </c>
      <c r="AA63" s="13">
        <v>12</v>
      </c>
      <c r="AB63" s="9">
        <v>27701.570400000001</v>
      </c>
      <c r="AC63" s="9">
        <v>17641.800000000003</v>
      </c>
      <c r="AD63" s="9">
        <v>10059.770399999998</v>
      </c>
      <c r="AE63" s="11">
        <v>0.36314801849645306</v>
      </c>
    </row>
    <row r="64" spans="1:31" x14ac:dyDescent="0.3">
      <c r="A64" t="s">
        <v>77</v>
      </c>
      <c r="B64" s="4">
        <v>45774</v>
      </c>
      <c r="C64" s="4" t="str">
        <f t="shared" si="0"/>
        <v>Apr-2025</v>
      </c>
      <c r="D64" s="4" t="str">
        <f t="shared" si="1"/>
        <v>Q2-2025</v>
      </c>
      <c r="E64" s="4">
        <v>45802</v>
      </c>
      <c r="F64" t="s">
        <v>2064</v>
      </c>
      <c r="G64" s="4">
        <v>45802</v>
      </c>
      <c r="H64" s="13">
        <v>28</v>
      </c>
      <c r="I64" s="7" t="s">
        <v>649</v>
      </c>
      <c r="J64" s="7" t="s">
        <v>657</v>
      </c>
      <c r="K64" s="7" t="s">
        <v>690</v>
      </c>
      <c r="M64" s="7" t="s">
        <v>705</v>
      </c>
      <c r="N64" s="7" t="s">
        <v>709</v>
      </c>
      <c r="O64" s="7" t="s">
        <v>714</v>
      </c>
      <c r="P64" s="7" t="s">
        <v>730</v>
      </c>
      <c r="Q64" s="7" t="s">
        <v>1490</v>
      </c>
      <c r="R64" s="9">
        <v>603.45000000000005</v>
      </c>
      <c r="S64" s="9">
        <v>1244.08</v>
      </c>
      <c r="T64" s="9">
        <v>1244.08</v>
      </c>
      <c r="U64" s="9">
        <f t="shared" si="4"/>
        <v>825.54039999999998</v>
      </c>
      <c r="V64" s="9">
        <f t="shared" si="2"/>
        <v>1594.4487999999999</v>
      </c>
      <c r="W64" s="9" t="str">
        <f t="shared" si="3"/>
        <v>Medium</v>
      </c>
      <c r="X64" t="s">
        <v>2065</v>
      </c>
      <c r="Y64" s="11">
        <v>0.2</v>
      </c>
      <c r="Z64" t="s">
        <v>2065</v>
      </c>
      <c r="AA64" s="13">
        <v>11</v>
      </c>
      <c r="AB64" s="9">
        <v>10947.904</v>
      </c>
      <c r="AC64" s="9">
        <v>6637.9500000000007</v>
      </c>
      <c r="AD64" s="9">
        <v>4309.9539999999997</v>
      </c>
      <c r="AE64" s="11">
        <v>0.39367846119220623</v>
      </c>
    </row>
    <row r="65" spans="1:31" x14ac:dyDescent="0.3">
      <c r="A65" t="s">
        <v>78</v>
      </c>
      <c r="B65" s="4">
        <v>45598</v>
      </c>
      <c r="C65" s="4" t="str">
        <f t="shared" si="0"/>
        <v>Nov-2024</v>
      </c>
      <c r="D65" s="4" t="str">
        <f t="shared" si="1"/>
        <v>Q4-2024</v>
      </c>
      <c r="E65" s="4">
        <v>45614</v>
      </c>
      <c r="F65" t="s">
        <v>2064</v>
      </c>
      <c r="G65" s="4">
        <v>45614</v>
      </c>
      <c r="H65" s="13">
        <v>16</v>
      </c>
      <c r="I65" s="7" t="s">
        <v>647</v>
      </c>
      <c r="J65" s="7" t="s">
        <v>654</v>
      </c>
      <c r="K65" s="7" t="s">
        <v>691</v>
      </c>
      <c r="M65" s="7" t="s">
        <v>705</v>
      </c>
      <c r="N65" s="7" t="s">
        <v>710</v>
      </c>
      <c r="O65" s="7" t="s">
        <v>719</v>
      </c>
      <c r="P65" s="7" t="s">
        <v>732</v>
      </c>
      <c r="Q65" s="7" t="s">
        <v>1491</v>
      </c>
      <c r="R65" s="9">
        <v>1233.58</v>
      </c>
      <c r="S65" s="9">
        <v>1912.51</v>
      </c>
      <c r="T65" s="9">
        <v>1912.51</v>
      </c>
      <c r="U65" s="9">
        <f t="shared" si="4"/>
        <v>824.99259999999992</v>
      </c>
      <c r="V65" s="9">
        <f t="shared" si="2"/>
        <v>1594.9428</v>
      </c>
      <c r="W65" s="9" t="str">
        <f t="shared" si="3"/>
        <v>High</v>
      </c>
      <c r="X65" t="s">
        <v>2065</v>
      </c>
      <c r="Y65" s="11">
        <v>0.255</v>
      </c>
      <c r="Z65" t="s">
        <v>2065</v>
      </c>
      <c r="AA65" s="13">
        <v>51</v>
      </c>
      <c r="AB65" s="9">
        <v>72665.817450000002</v>
      </c>
      <c r="AC65" s="9">
        <v>62912.579999999994</v>
      </c>
      <c r="AD65" s="9">
        <v>9753.2374500000078</v>
      </c>
      <c r="AE65" s="11">
        <v>0.134220432553601</v>
      </c>
    </row>
    <row r="66" spans="1:31" x14ac:dyDescent="0.3">
      <c r="A66" t="s">
        <v>79</v>
      </c>
      <c r="B66" s="4">
        <v>44972</v>
      </c>
      <c r="C66" s="4" t="str">
        <f t="shared" si="0"/>
        <v>Feb-2023</v>
      </c>
      <c r="D66" s="4" t="str">
        <f t="shared" si="1"/>
        <v>Q1-2023</v>
      </c>
      <c r="E66" s="4">
        <v>44983</v>
      </c>
      <c r="F66" t="s">
        <v>2064</v>
      </c>
      <c r="G66" s="4">
        <v>44983</v>
      </c>
      <c r="H66" s="13">
        <v>11</v>
      </c>
      <c r="I66" s="7" t="s">
        <v>646</v>
      </c>
      <c r="J66" s="7" t="s">
        <v>661</v>
      </c>
      <c r="K66" s="7" t="s">
        <v>682</v>
      </c>
      <c r="M66" s="7" t="s">
        <v>703</v>
      </c>
      <c r="N66" s="7" t="s">
        <v>707</v>
      </c>
      <c r="O66" s="7" t="s">
        <v>723</v>
      </c>
      <c r="P66" s="7" t="s">
        <v>731</v>
      </c>
      <c r="Q66" s="7" t="s">
        <v>1492</v>
      </c>
      <c r="R66" s="9">
        <v>498.5</v>
      </c>
      <c r="S66" s="9">
        <v>755.87</v>
      </c>
      <c r="T66" s="9">
        <v>755.87</v>
      </c>
      <c r="U66" s="9">
        <f t="shared" si="4"/>
        <v>824.68899999999996</v>
      </c>
      <c r="V66" s="9">
        <f t="shared" si="2"/>
        <v>1593.5655999999999</v>
      </c>
      <c r="W66" s="9" t="str">
        <f t="shared" si="3"/>
        <v>Low</v>
      </c>
      <c r="X66" t="s">
        <v>2065</v>
      </c>
      <c r="Y66" s="11">
        <v>0.13</v>
      </c>
      <c r="Z66" t="s">
        <v>2065</v>
      </c>
      <c r="AA66" s="13">
        <v>40</v>
      </c>
      <c r="AB66" s="9">
        <v>26304.275999999998</v>
      </c>
      <c r="AC66" s="9">
        <v>19940</v>
      </c>
      <c r="AD66" s="9">
        <v>6364.275999999998</v>
      </c>
      <c r="AE66" s="11">
        <v>0.24194834330357537</v>
      </c>
    </row>
    <row r="67" spans="1:31" x14ac:dyDescent="0.3">
      <c r="A67" t="s">
        <v>80</v>
      </c>
      <c r="B67" s="4">
        <v>45263</v>
      </c>
      <c r="C67" s="4" t="str">
        <f t="shared" ref="C67:C130" si="5">TEXT(B67,"MMM-YYYY")</f>
        <v>Dec-2023</v>
      </c>
      <c r="D67" s="4" t="str">
        <f t="shared" ref="D67:D130" si="6">"Q" &amp; INT((MONTH(B67)-1)/3)+1 &amp; "-" &amp; YEAR(B67)</f>
        <v>Q4-2023</v>
      </c>
      <c r="E67" s="4">
        <v>45286</v>
      </c>
      <c r="F67" t="s">
        <v>2064</v>
      </c>
      <c r="G67" s="4">
        <v>45286</v>
      </c>
      <c r="H67" s="13">
        <v>23</v>
      </c>
      <c r="I67" s="7" t="s">
        <v>648</v>
      </c>
      <c r="J67" s="7" t="s">
        <v>655</v>
      </c>
      <c r="K67" s="7" t="s">
        <v>1426</v>
      </c>
      <c r="M67" s="7" t="s">
        <v>702</v>
      </c>
      <c r="N67" s="7" t="s">
        <v>707</v>
      </c>
      <c r="O67" s="7" t="s">
        <v>719</v>
      </c>
      <c r="P67" s="7" t="s">
        <v>730</v>
      </c>
      <c r="Q67" s="7" t="s">
        <v>1493</v>
      </c>
      <c r="R67" s="9">
        <v>1303.1099999999999</v>
      </c>
      <c r="S67" s="9">
        <v>1145.67</v>
      </c>
      <c r="T67" s="9">
        <v>1145.67</v>
      </c>
      <c r="U67" s="9">
        <f t="shared" si="4"/>
        <v>825.55700000000002</v>
      </c>
      <c r="V67" s="9">
        <f t="shared" ref="V67:V130" si="7">_xlfn.PERCENTILE.INC(T67:T697,0.66)</f>
        <v>1594.5040000000001</v>
      </c>
      <c r="W67" s="9" t="str">
        <f t="shared" ref="W67:W130" si="8">IF(T67&lt;=U67,"Low",IF(T67&lt;=V67,"Medium","High"))</f>
        <v>Medium</v>
      </c>
      <c r="X67" t="s">
        <v>2065</v>
      </c>
      <c r="Y67" s="11">
        <v>0.184</v>
      </c>
      <c r="Z67" t="s">
        <v>2065</v>
      </c>
      <c r="AA67" s="13">
        <v>13</v>
      </c>
      <c r="AB67" s="9">
        <v>12153.267360000002</v>
      </c>
      <c r="AC67" s="9">
        <v>16940.43</v>
      </c>
      <c r="AD67" s="9">
        <v>-4787.1626399999986</v>
      </c>
      <c r="AE67" s="11">
        <v>-0.39389922875851208</v>
      </c>
    </row>
    <row r="68" spans="1:31" x14ac:dyDescent="0.3">
      <c r="A68" t="s">
        <v>81</v>
      </c>
      <c r="B68" s="4">
        <v>45004</v>
      </c>
      <c r="C68" s="4" t="str">
        <f t="shared" si="5"/>
        <v>Mar-2023</v>
      </c>
      <c r="D68" s="4" t="str">
        <f t="shared" si="6"/>
        <v>Q1-2023</v>
      </c>
      <c r="E68" s="4">
        <v>45025</v>
      </c>
      <c r="F68" t="s">
        <v>2064</v>
      </c>
      <c r="G68" s="4">
        <v>45025</v>
      </c>
      <c r="H68" s="13">
        <v>21</v>
      </c>
      <c r="I68" s="7" t="s">
        <v>649</v>
      </c>
      <c r="J68" s="7" t="s">
        <v>658</v>
      </c>
      <c r="K68" s="7" t="s">
        <v>693</v>
      </c>
      <c r="M68" s="7" t="s">
        <v>704</v>
      </c>
      <c r="N68" s="7" t="s">
        <v>707</v>
      </c>
      <c r="O68" s="7" t="s">
        <v>716</v>
      </c>
      <c r="P68" s="7" t="s">
        <v>733</v>
      </c>
      <c r="Q68" s="7" t="s">
        <v>1494</v>
      </c>
      <c r="R68" s="9">
        <v>1082.17</v>
      </c>
      <c r="S68" s="9">
        <v>1234.0999999999999</v>
      </c>
      <c r="T68" s="9">
        <v>1234.0999999999999</v>
      </c>
      <c r="U68" s="9">
        <f t="shared" si="4"/>
        <v>825.00919999999996</v>
      </c>
      <c r="V68" s="9">
        <f t="shared" si="7"/>
        <v>1594.9576</v>
      </c>
      <c r="W68" s="9" t="str">
        <f t="shared" si="8"/>
        <v>Medium</v>
      </c>
      <c r="X68" t="s">
        <v>2065</v>
      </c>
      <c r="Y68" s="11">
        <v>0.189</v>
      </c>
      <c r="Z68" t="s">
        <v>2065</v>
      </c>
      <c r="AA68" s="13">
        <v>16</v>
      </c>
      <c r="AB68" s="9">
        <v>16013.681599999998</v>
      </c>
      <c r="AC68" s="9">
        <v>17314.72</v>
      </c>
      <c r="AD68" s="9">
        <v>-1301.0384000000031</v>
      </c>
      <c r="AE68" s="11">
        <v>-8.124542703534228E-2</v>
      </c>
    </row>
    <row r="69" spans="1:31" x14ac:dyDescent="0.3">
      <c r="A69" t="s">
        <v>82</v>
      </c>
      <c r="B69" s="4">
        <v>45434</v>
      </c>
      <c r="C69" s="4" t="str">
        <f t="shared" si="5"/>
        <v>May-2024</v>
      </c>
      <c r="D69" s="4" t="str">
        <f t="shared" si="6"/>
        <v>Q2-2024</v>
      </c>
      <c r="E69" s="4">
        <v>45449</v>
      </c>
      <c r="F69" t="s">
        <v>2064</v>
      </c>
      <c r="G69" s="4">
        <v>45449</v>
      </c>
      <c r="H69" s="13">
        <v>15</v>
      </c>
      <c r="I69" s="7" t="s">
        <v>647</v>
      </c>
      <c r="J69" s="7" t="s">
        <v>652</v>
      </c>
      <c r="K69" s="7" t="s">
        <v>694</v>
      </c>
      <c r="M69" s="7" t="s">
        <v>701</v>
      </c>
      <c r="N69" s="7" t="s">
        <v>710</v>
      </c>
      <c r="O69" s="7" t="s">
        <v>712</v>
      </c>
      <c r="P69" s="7" t="s">
        <v>732</v>
      </c>
      <c r="Q69" s="7" t="s">
        <v>1495</v>
      </c>
      <c r="R69" s="9">
        <v>673.88</v>
      </c>
      <c r="S69" s="9">
        <v>1228.01</v>
      </c>
      <c r="T69" s="9">
        <v>1228.01</v>
      </c>
      <c r="U69" s="9">
        <f t="shared" si="4"/>
        <v>824.69449999999995</v>
      </c>
      <c r="V69" s="9">
        <f t="shared" si="7"/>
        <v>1595.2092</v>
      </c>
      <c r="W69" s="9" t="str">
        <f t="shared" si="8"/>
        <v>Medium</v>
      </c>
      <c r="X69" t="s">
        <v>2065</v>
      </c>
      <c r="Y69" s="11">
        <v>0.105</v>
      </c>
      <c r="Z69" t="s">
        <v>2065</v>
      </c>
      <c r="AA69" s="13">
        <v>13</v>
      </c>
      <c r="AB69" s="9">
        <v>14287.896349999999</v>
      </c>
      <c r="AC69" s="9">
        <v>8760.44</v>
      </c>
      <c r="AD69" s="9">
        <v>5527.4563499999986</v>
      </c>
      <c r="AE69" s="11">
        <v>0.38686285332689996</v>
      </c>
    </row>
    <row r="70" spans="1:31" x14ac:dyDescent="0.3">
      <c r="A70" t="s">
        <v>83</v>
      </c>
      <c r="B70" s="4">
        <v>45157</v>
      </c>
      <c r="C70" s="4" t="str">
        <f t="shared" si="5"/>
        <v>Aug-2023</v>
      </c>
      <c r="D70" s="4" t="str">
        <f t="shared" si="6"/>
        <v>Q3-2023</v>
      </c>
      <c r="E70" s="4">
        <v>45176</v>
      </c>
      <c r="F70" t="s">
        <v>2064</v>
      </c>
      <c r="G70" s="4">
        <v>45176</v>
      </c>
      <c r="H70" s="13">
        <v>19</v>
      </c>
      <c r="I70" s="7" t="s">
        <v>646</v>
      </c>
      <c r="J70" s="7" t="s">
        <v>661</v>
      </c>
      <c r="K70" s="7" t="s">
        <v>682</v>
      </c>
      <c r="M70" s="7" t="s">
        <v>706</v>
      </c>
      <c r="N70" s="7" t="s">
        <v>707</v>
      </c>
      <c r="O70" s="7" t="s">
        <v>726</v>
      </c>
      <c r="P70" s="7" t="s">
        <v>732</v>
      </c>
      <c r="Q70" s="7" t="s">
        <v>1496</v>
      </c>
      <c r="R70" s="9">
        <v>494.61</v>
      </c>
      <c r="S70" s="9">
        <v>605.23</v>
      </c>
      <c r="T70" s="9">
        <v>605.23</v>
      </c>
      <c r="U70" s="9">
        <f t="shared" si="4"/>
        <v>824.51299999999992</v>
      </c>
      <c r="V70" s="9">
        <f t="shared" si="7"/>
        <v>1595.4608000000001</v>
      </c>
      <c r="W70" s="9" t="str">
        <f t="shared" si="8"/>
        <v>Low</v>
      </c>
      <c r="X70" t="s">
        <v>2065</v>
      </c>
      <c r="Y70" s="11">
        <v>0.20399999999999999</v>
      </c>
      <c r="Z70" t="s">
        <v>2065</v>
      </c>
      <c r="AA70" s="13">
        <v>18</v>
      </c>
      <c r="AB70" s="9">
        <v>8671.7354400000004</v>
      </c>
      <c r="AC70" s="9">
        <v>8902.98</v>
      </c>
      <c r="AD70" s="9">
        <v>-231.24455999999918</v>
      </c>
      <c r="AE70" s="11">
        <v>-2.6666468505639647E-2</v>
      </c>
    </row>
    <row r="71" spans="1:31" x14ac:dyDescent="0.3">
      <c r="A71" t="s">
        <v>84</v>
      </c>
      <c r="B71" s="4">
        <v>45037</v>
      </c>
      <c r="C71" s="4" t="str">
        <f t="shared" si="5"/>
        <v>Apr-2023</v>
      </c>
      <c r="D71" s="4" t="str">
        <f t="shared" si="6"/>
        <v>Q2-2023</v>
      </c>
      <c r="E71" s="4">
        <v>45056</v>
      </c>
      <c r="F71" t="s">
        <v>2064</v>
      </c>
      <c r="G71" s="4">
        <v>45056</v>
      </c>
      <c r="H71" s="13">
        <v>19</v>
      </c>
      <c r="I71" s="7" t="s">
        <v>647</v>
      </c>
      <c r="J71" s="7" t="s">
        <v>659</v>
      </c>
      <c r="K71" s="7" t="s">
        <v>685</v>
      </c>
      <c r="M71" s="7" t="s">
        <v>701</v>
      </c>
      <c r="N71" s="7" t="s">
        <v>707</v>
      </c>
      <c r="O71" s="7" t="s">
        <v>720</v>
      </c>
      <c r="P71" s="7" t="s">
        <v>727</v>
      </c>
      <c r="Q71" s="7" t="s">
        <v>1497</v>
      </c>
      <c r="R71" s="9">
        <v>882.33</v>
      </c>
      <c r="S71" s="9">
        <v>1880.15</v>
      </c>
      <c r="T71" s="9">
        <v>1880.15</v>
      </c>
      <c r="U71" s="9">
        <f t="shared" ref="U71:U134" si="9">_xlfn.PERCENTILE.INC(T71:T701,0.33)</f>
        <v>825.0258</v>
      </c>
      <c r="V71" s="9">
        <f t="shared" si="7"/>
        <v>1601.3257999999998</v>
      </c>
      <c r="W71" s="9" t="str">
        <f t="shared" si="8"/>
        <v>High</v>
      </c>
      <c r="X71" t="s">
        <v>2065</v>
      </c>
      <c r="Y71" s="11">
        <v>0.05</v>
      </c>
      <c r="Z71" t="s">
        <v>2065</v>
      </c>
      <c r="AA71" s="13">
        <v>5</v>
      </c>
      <c r="AB71" s="9">
        <v>8930.7124999999996</v>
      </c>
      <c r="AC71" s="9">
        <v>4411.6500000000005</v>
      </c>
      <c r="AD71" s="9">
        <v>4519.0624999999991</v>
      </c>
      <c r="AE71" s="11">
        <v>0.50601365792482955</v>
      </c>
    </row>
    <row r="72" spans="1:31" x14ac:dyDescent="0.3">
      <c r="A72" t="s">
        <v>85</v>
      </c>
      <c r="B72" s="4">
        <v>45369</v>
      </c>
      <c r="C72" s="4" t="str">
        <f t="shared" si="5"/>
        <v>Mar-2024</v>
      </c>
      <c r="D72" s="4" t="str">
        <f t="shared" si="6"/>
        <v>Q1-2024</v>
      </c>
      <c r="E72" s="4">
        <v>45372</v>
      </c>
      <c r="F72" t="s">
        <v>2064</v>
      </c>
      <c r="G72" s="4">
        <v>45372</v>
      </c>
      <c r="H72" s="13">
        <v>3</v>
      </c>
      <c r="I72" s="7" t="s">
        <v>649</v>
      </c>
      <c r="J72" s="7" t="s">
        <v>656</v>
      </c>
      <c r="K72" s="7" t="s">
        <v>684</v>
      </c>
      <c r="M72" s="7" t="s">
        <v>705</v>
      </c>
      <c r="N72" s="7" t="s">
        <v>708</v>
      </c>
      <c r="O72" s="7" t="s">
        <v>724</v>
      </c>
      <c r="P72" s="7" t="s">
        <v>733</v>
      </c>
      <c r="Q72" s="7" t="s">
        <v>1498</v>
      </c>
      <c r="R72" s="9">
        <v>910.63</v>
      </c>
      <c r="S72" s="9">
        <v>1269.4000000000001</v>
      </c>
      <c r="T72" s="9">
        <v>1269.4000000000001</v>
      </c>
      <c r="U72" s="9">
        <f t="shared" si="9"/>
        <v>824.69999999999993</v>
      </c>
      <c r="V72" s="9">
        <f t="shared" si="7"/>
        <v>1595.2239999999999</v>
      </c>
      <c r="W72" s="9" t="str">
        <f t="shared" si="8"/>
        <v>Medium</v>
      </c>
      <c r="X72" t="s">
        <v>2065</v>
      </c>
      <c r="Y72" s="11">
        <v>6.8000000000000005E-2</v>
      </c>
      <c r="Z72" t="s">
        <v>2065</v>
      </c>
      <c r="AA72" s="13">
        <v>9</v>
      </c>
      <c r="AB72" s="9">
        <v>10647.727199999999</v>
      </c>
      <c r="AC72" s="9">
        <v>8195.67</v>
      </c>
      <c r="AD72" s="9">
        <v>2452.0571999999993</v>
      </c>
      <c r="AE72" s="11">
        <v>0.23028925834989455</v>
      </c>
    </row>
    <row r="73" spans="1:31" x14ac:dyDescent="0.3">
      <c r="A73" t="s">
        <v>86</v>
      </c>
      <c r="B73" s="4">
        <v>45756</v>
      </c>
      <c r="C73" s="4" t="str">
        <f t="shared" si="5"/>
        <v>Apr-2025</v>
      </c>
      <c r="D73" s="4" t="str">
        <f t="shared" si="6"/>
        <v>Q2-2025</v>
      </c>
      <c r="E73" s="4">
        <v>45783</v>
      </c>
      <c r="F73" t="s">
        <v>2064</v>
      </c>
      <c r="G73" s="4">
        <v>45783</v>
      </c>
      <c r="H73" s="13">
        <v>27</v>
      </c>
      <c r="I73" s="7" t="s">
        <v>648</v>
      </c>
      <c r="J73" s="7" t="s">
        <v>655</v>
      </c>
      <c r="K73" s="7" t="s">
        <v>672</v>
      </c>
      <c r="M73" s="7" t="s">
        <v>706</v>
      </c>
      <c r="N73" s="7" t="s">
        <v>709</v>
      </c>
      <c r="O73" s="7" t="s">
        <v>721</v>
      </c>
      <c r="P73" s="7" t="s">
        <v>731</v>
      </c>
      <c r="Q73" s="7" t="s">
        <v>1499</v>
      </c>
      <c r="R73" s="9">
        <v>264.19</v>
      </c>
      <c r="S73" s="9">
        <v>620.92999999999995</v>
      </c>
      <c r="T73" s="9">
        <v>620.92999999999995</v>
      </c>
      <c r="U73" s="9">
        <f t="shared" si="9"/>
        <v>824.51850000000002</v>
      </c>
      <c r="V73" s="9">
        <f t="shared" si="7"/>
        <v>1595.4756</v>
      </c>
      <c r="W73" s="9" t="str">
        <f t="shared" si="8"/>
        <v>Low</v>
      </c>
      <c r="X73" t="s">
        <v>2065</v>
      </c>
      <c r="Y73" s="11">
        <v>0.14199999999999999</v>
      </c>
      <c r="Z73" t="s">
        <v>2065</v>
      </c>
      <c r="AA73" s="13">
        <v>12</v>
      </c>
      <c r="AB73" s="9">
        <v>6393.0952799999995</v>
      </c>
      <c r="AC73" s="9">
        <v>3170.2799999999997</v>
      </c>
      <c r="AD73" s="9">
        <v>3222.8152799999998</v>
      </c>
      <c r="AE73" s="11">
        <v>0.50410875152794532</v>
      </c>
    </row>
    <row r="74" spans="1:31" x14ac:dyDescent="0.3">
      <c r="A74" t="s">
        <v>87</v>
      </c>
      <c r="B74" s="4">
        <v>45394</v>
      </c>
      <c r="C74" s="4" t="str">
        <f t="shared" si="5"/>
        <v>Apr-2024</v>
      </c>
      <c r="D74" s="4" t="str">
        <f t="shared" si="6"/>
        <v>Q2-2024</v>
      </c>
      <c r="E74" s="4">
        <v>45419</v>
      </c>
      <c r="F74" t="s">
        <v>2064</v>
      </c>
      <c r="G74" s="4">
        <v>45419</v>
      </c>
      <c r="H74" s="13">
        <v>25</v>
      </c>
      <c r="I74" s="7" t="s">
        <v>646</v>
      </c>
      <c r="J74" s="7" t="s">
        <v>661</v>
      </c>
      <c r="K74" s="7" t="s">
        <v>682</v>
      </c>
      <c r="M74" s="7" t="s">
        <v>702</v>
      </c>
      <c r="N74" s="7" t="s">
        <v>710</v>
      </c>
      <c r="O74" s="7" t="s">
        <v>720</v>
      </c>
      <c r="P74" s="7" t="s">
        <v>731</v>
      </c>
      <c r="Q74" s="7" t="s">
        <v>1500</v>
      </c>
      <c r="R74" s="9">
        <v>1376.51</v>
      </c>
      <c r="S74" s="9">
        <v>1455.91</v>
      </c>
      <c r="T74" s="9">
        <v>1455.91</v>
      </c>
      <c r="U74" s="9">
        <f t="shared" si="9"/>
        <v>825.04239999999993</v>
      </c>
      <c r="V74" s="9">
        <f t="shared" si="7"/>
        <v>1601.7724000000005</v>
      </c>
      <c r="W74" s="9" t="str">
        <f t="shared" si="8"/>
        <v>Medium</v>
      </c>
      <c r="X74" t="s">
        <v>2065</v>
      </c>
      <c r="Y74" s="11">
        <v>0.185</v>
      </c>
      <c r="Z74" t="s">
        <v>2065</v>
      </c>
      <c r="AA74" s="13">
        <v>17</v>
      </c>
      <c r="AB74" s="9">
        <v>20171.63305</v>
      </c>
      <c r="AC74" s="9">
        <v>23400.67</v>
      </c>
      <c r="AD74" s="9">
        <v>-3229.0369499999979</v>
      </c>
      <c r="AE74" s="11">
        <v>-0.1600781127634085</v>
      </c>
    </row>
    <row r="75" spans="1:31" x14ac:dyDescent="0.3">
      <c r="A75" t="s">
        <v>88</v>
      </c>
      <c r="B75" s="4">
        <v>45641</v>
      </c>
      <c r="C75" s="4" t="str">
        <f t="shared" si="5"/>
        <v>Dec-2024</v>
      </c>
      <c r="D75" s="4" t="str">
        <f t="shared" si="6"/>
        <v>Q4-2024</v>
      </c>
      <c r="E75" s="4">
        <v>45646</v>
      </c>
      <c r="F75" t="s">
        <v>2064</v>
      </c>
      <c r="G75" s="4">
        <v>45646</v>
      </c>
      <c r="H75" s="13">
        <v>5</v>
      </c>
      <c r="I75" s="7" t="s">
        <v>647</v>
      </c>
      <c r="J75" s="7" t="s">
        <v>659</v>
      </c>
      <c r="K75" s="7" t="s">
        <v>676</v>
      </c>
      <c r="M75" s="7" t="s">
        <v>705</v>
      </c>
      <c r="N75" s="7" t="s">
        <v>711</v>
      </c>
      <c r="O75" s="7" t="s">
        <v>713</v>
      </c>
      <c r="P75" s="7" t="s">
        <v>729</v>
      </c>
      <c r="Q75" s="7" t="s">
        <v>1501</v>
      </c>
      <c r="R75" s="9">
        <v>717.55</v>
      </c>
      <c r="S75" s="9">
        <v>546.42999999999995</v>
      </c>
      <c r="T75" s="9">
        <v>546.42999999999995</v>
      </c>
      <c r="U75" s="9">
        <f t="shared" si="9"/>
        <v>824.70549999999992</v>
      </c>
      <c r="V75" s="9">
        <f t="shared" si="7"/>
        <v>1609.3646000000001</v>
      </c>
      <c r="W75" s="9" t="str">
        <f t="shared" si="8"/>
        <v>Low</v>
      </c>
      <c r="X75" t="s">
        <v>2065</v>
      </c>
      <c r="Y75" s="11">
        <v>4.7E-2</v>
      </c>
      <c r="Z75" t="s">
        <v>2065</v>
      </c>
      <c r="AA75" s="13">
        <v>18</v>
      </c>
      <c r="AB75" s="9">
        <v>9373.460219999999</v>
      </c>
      <c r="AC75" s="9">
        <v>12915.9</v>
      </c>
      <c r="AD75" s="9">
        <v>-3542.4397800000006</v>
      </c>
      <c r="AE75" s="11">
        <v>-0.37792231437026369</v>
      </c>
    </row>
    <row r="76" spans="1:31" x14ac:dyDescent="0.3">
      <c r="A76" t="s">
        <v>89</v>
      </c>
      <c r="B76" s="4">
        <v>45066</v>
      </c>
      <c r="C76" s="4" t="str">
        <f t="shared" si="5"/>
        <v>May-2023</v>
      </c>
      <c r="D76" s="4" t="str">
        <f t="shared" si="6"/>
        <v>Q2-2023</v>
      </c>
      <c r="E76" s="4">
        <v>45064</v>
      </c>
      <c r="F76" t="s">
        <v>2066</v>
      </c>
      <c r="G76" s="4">
        <v>45066</v>
      </c>
      <c r="H76" s="13">
        <v>0</v>
      </c>
      <c r="I76" s="7" t="s">
        <v>646</v>
      </c>
      <c r="J76" s="7" t="s">
        <v>661</v>
      </c>
      <c r="K76" s="7" t="s">
        <v>687</v>
      </c>
      <c r="M76" s="7" t="s">
        <v>701</v>
      </c>
      <c r="N76" s="7" t="s">
        <v>710</v>
      </c>
      <c r="O76" s="7" t="s">
        <v>720</v>
      </c>
      <c r="P76" s="7" t="s">
        <v>727</v>
      </c>
      <c r="Q76" s="7" t="s">
        <v>1502</v>
      </c>
      <c r="R76" s="9">
        <v>917.88</v>
      </c>
      <c r="S76" s="9">
        <v>1347.92</v>
      </c>
      <c r="T76" s="9">
        <v>1347.92</v>
      </c>
      <c r="U76" s="9">
        <f t="shared" si="9"/>
        <v>825.60680000000002</v>
      </c>
      <c r="V76" s="9">
        <f t="shared" si="7"/>
        <v>1616.9568000000008</v>
      </c>
      <c r="W76" s="9" t="str">
        <f t="shared" si="8"/>
        <v>Medium</v>
      </c>
      <c r="X76" t="s">
        <v>2065</v>
      </c>
      <c r="Y76" s="11">
        <v>0.34300000000000003</v>
      </c>
      <c r="Z76" t="s">
        <v>2067</v>
      </c>
      <c r="AA76" s="13">
        <v>5</v>
      </c>
      <c r="AB76" s="9">
        <v>4427.9172000000008</v>
      </c>
      <c r="AC76" s="9">
        <v>4589.3999999999996</v>
      </c>
      <c r="AD76" s="9">
        <v>-161.48279999999886</v>
      </c>
      <c r="AE76" s="11">
        <v>-3.6469245630880096E-2</v>
      </c>
    </row>
    <row r="77" spans="1:31" x14ac:dyDescent="0.3">
      <c r="A77" t="s">
        <v>90</v>
      </c>
      <c r="B77" s="4">
        <v>45187</v>
      </c>
      <c r="C77" s="4" t="str">
        <f t="shared" si="5"/>
        <v>Sep-2023</v>
      </c>
      <c r="D77" s="4" t="str">
        <f t="shared" si="6"/>
        <v>Q3-2023</v>
      </c>
      <c r="E77" s="4">
        <v>45207</v>
      </c>
      <c r="F77" t="s">
        <v>2064</v>
      </c>
      <c r="G77" s="4">
        <v>45207</v>
      </c>
      <c r="H77" s="13">
        <v>20</v>
      </c>
      <c r="I77" s="7" t="s">
        <v>647</v>
      </c>
      <c r="J77" s="7" t="s">
        <v>654</v>
      </c>
      <c r="K77" s="7" t="s">
        <v>680</v>
      </c>
      <c r="M77" s="7" t="s">
        <v>705</v>
      </c>
      <c r="N77" s="7" t="s">
        <v>711</v>
      </c>
      <c r="O77" s="7" t="s">
        <v>717</v>
      </c>
      <c r="P77" s="7" t="s">
        <v>727</v>
      </c>
      <c r="Q77" s="7" t="s">
        <v>1503</v>
      </c>
      <c r="R77" s="9">
        <v>825.64</v>
      </c>
      <c r="S77" s="9">
        <v>1108.43</v>
      </c>
      <c r="T77" s="9">
        <v>1108.43</v>
      </c>
      <c r="U77" s="9">
        <f t="shared" si="9"/>
        <v>825.05899999999997</v>
      </c>
      <c r="V77" s="9">
        <f t="shared" si="7"/>
        <v>1618.675</v>
      </c>
      <c r="W77" s="9" t="str">
        <f t="shared" si="8"/>
        <v>Medium</v>
      </c>
      <c r="X77" t="s">
        <v>2065</v>
      </c>
      <c r="Y77" s="11">
        <v>0.114</v>
      </c>
      <c r="Z77" t="s">
        <v>2065</v>
      </c>
      <c r="AA77" s="13">
        <v>7</v>
      </c>
      <c r="AB77" s="9">
        <v>6874.4828600000001</v>
      </c>
      <c r="AC77" s="9">
        <v>5779.48</v>
      </c>
      <c r="AD77" s="9">
        <v>1095.0028600000005</v>
      </c>
      <c r="AE77" s="11">
        <v>0.15928512475773349</v>
      </c>
    </row>
    <row r="78" spans="1:31" x14ac:dyDescent="0.3">
      <c r="A78" t="s">
        <v>91</v>
      </c>
      <c r="B78" s="4">
        <v>45532</v>
      </c>
      <c r="C78" s="4" t="str">
        <f t="shared" si="5"/>
        <v>Aug-2024</v>
      </c>
      <c r="D78" s="4" t="str">
        <f t="shared" si="6"/>
        <v>Q3-2024</v>
      </c>
      <c r="E78" s="4">
        <v>45560</v>
      </c>
      <c r="F78" t="s">
        <v>2064</v>
      </c>
      <c r="G78" s="4">
        <v>45560</v>
      </c>
      <c r="H78" s="13">
        <v>28</v>
      </c>
      <c r="I78" s="7" t="s">
        <v>648</v>
      </c>
      <c r="J78" s="7" t="s">
        <v>655</v>
      </c>
      <c r="K78" s="7" t="s">
        <v>1426</v>
      </c>
      <c r="M78" s="7" t="s">
        <v>703</v>
      </c>
      <c r="N78" s="7" t="s">
        <v>708</v>
      </c>
      <c r="O78" s="7" t="s">
        <v>2057</v>
      </c>
      <c r="P78" s="7" t="s">
        <v>733</v>
      </c>
      <c r="Q78" s="7" t="s">
        <v>1504</v>
      </c>
      <c r="R78" s="9">
        <v>1394.65</v>
      </c>
      <c r="S78" s="9">
        <v>3144.1</v>
      </c>
      <c r="T78" s="9">
        <v>3144.1</v>
      </c>
      <c r="U78" s="9">
        <f t="shared" si="9"/>
        <v>824.71100000000001</v>
      </c>
      <c r="V78" s="9">
        <f t="shared" si="7"/>
        <v>1619.6100000000001</v>
      </c>
      <c r="W78" s="9" t="str">
        <f t="shared" si="8"/>
        <v>High</v>
      </c>
      <c r="X78" t="s">
        <v>2065</v>
      </c>
      <c r="Y78" s="11">
        <v>0.13400000000000001</v>
      </c>
      <c r="Z78" t="s">
        <v>2065</v>
      </c>
      <c r="AA78" s="13">
        <v>13</v>
      </c>
      <c r="AB78" s="9">
        <v>35396.277799999996</v>
      </c>
      <c r="AC78" s="9">
        <v>18130.45</v>
      </c>
      <c r="AD78" s="9">
        <v>17265.827799999995</v>
      </c>
      <c r="AE78" s="11">
        <v>0.4877865378263021</v>
      </c>
    </row>
    <row r="79" spans="1:31" x14ac:dyDescent="0.3">
      <c r="A79" t="s">
        <v>92</v>
      </c>
      <c r="B79" s="4">
        <v>45473</v>
      </c>
      <c r="C79" s="4" t="str">
        <f t="shared" si="5"/>
        <v>Jun-2024</v>
      </c>
      <c r="D79" s="4" t="str">
        <f t="shared" si="6"/>
        <v>Q2-2024</v>
      </c>
      <c r="E79" s="4">
        <v>45471</v>
      </c>
      <c r="F79" t="s">
        <v>2066</v>
      </c>
      <c r="G79" s="4">
        <v>45473</v>
      </c>
      <c r="H79" s="13">
        <v>0</v>
      </c>
      <c r="I79" s="7" t="s">
        <v>648</v>
      </c>
      <c r="J79" s="7" t="s">
        <v>655</v>
      </c>
      <c r="K79" s="7" t="s">
        <v>1426</v>
      </c>
      <c r="M79" s="7" t="s">
        <v>705</v>
      </c>
      <c r="N79" s="7" t="s">
        <v>711</v>
      </c>
      <c r="O79" s="7" t="s">
        <v>716</v>
      </c>
      <c r="P79" s="7" t="s">
        <v>733</v>
      </c>
      <c r="Q79" s="7" t="s">
        <v>1505</v>
      </c>
      <c r="R79" s="9">
        <v>1112.98</v>
      </c>
      <c r="S79" s="9">
        <v>2095.73</v>
      </c>
      <c r="T79" s="9">
        <v>2095.73</v>
      </c>
      <c r="U79" s="9">
        <f t="shared" si="9"/>
        <v>824.52949999999998</v>
      </c>
      <c r="V79" s="9">
        <f t="shared" si="7"/>
        <v>1617.4034000000004</v>
      </c>
      <c r="W79" s="9" t="str">
        <f t="shared" si="8"/>
        <v>High</v>
      </c>
      <c r="X79" t="s">
        <v>2065</v>
      </c>
      <c r="Y79" s="11">
        <v>7.1999999999999995E-2</v>
      </c>
      <c r="Z79" t="s">
        <v>2065</v>
      </c>
      <c r="AA79" s="13">
        <v>17</v>
      </c>
      <c r="AB79" s="9">
        <v>33062.236480000007</v>
      </c>
      <c r="AC79" s="9">
        <v>18920.66</v>
      </c>
      <c r="AD79" s="9">
        <v>14141.576480000007</v>
      </c>
      <c r="AE79" s="11">
        <v>0.42772594916724777</v>
      </c>
    </row>
    <row r="80" spans="1:31" x14ac:dyDescent="0.3">
      <c r="A80" t="s">
        <v>93</v>
      </c>
      <c r="B80" s="4">
        <v>45091</v>
      </c>
      <c r="C80" s="4" t="str">
        <f t="shared" si="5"/>
        <v>Jun-2023</v>
      </c>
      <c r="D80" s="4" t="str">
        <f t="shared" si="6"/>
        <v>Q2-2023</v>
      </c>
      <c r="E80" s="4">
        <v>45093</v>
      </c>
      <c r="F80" t="s">
        <v>2064</v>
      </c>
      <c r="G80" s="4">
        <v>45093</v>
      </c>
      <c r="H80" s="13">
        <v>2</v>
      </c>
      <c r="I80" s="7" t="s">
        <v>649</v>
      </c>
      <c r="J80" s="7" t="s">
        <v>658</v>
      </c>
      <c r="K80" s="7" t="s">
        <v>693</v>
      </c>
      <c r="M80" s="7" t="s">
        <v>703</v>
      </c>
      <c r="N80" s="7" t="s">
        <v>711</v>
      </c>
      <c r="O80" s="7" t="s">
        <v>723</v>
      </c>
      <c r="P80" s="7" t="s">
        <v>727</v>
      </c>
      <c r="Q80" s="7" t="s">
        <v>1506</v>
      </c>
      <c r="R80" s="9">
        <v>357.36</v>
      </c>
      <c r="S80" s="9">
        <v>703.62</v>
      </c>
      <c r="T80" s="9">
        <v>703.62</v>
      </c>
      <c r="U80" s="9">
        <f t="shared" si="9"/>
        <v>824.34799999999996</v>
      </c>
      <c r="V80" s="9">
        <f t="shared" si="7"/>
        <v>1602.6655999999998</v>
      </c>
      <c r="W80" s="9" t="str">
        <f t="shared" si="8"/>
        <v>Low</v>
      </c>
      <c r="X80" t="s">
        <v>2065</v>
      </c>
      <c r="Y80" s="11">
        <v>0.25700000000000001</v>
      </c>
      <c r="Z80" t="s">
        <v>2065</v>
      </c>
      <c r="AA80" s="13">
        <v>20</v>
      </c>
      <c r="AB80" s="9">
        <v>10455.7932</v>
      </c>
      <c r="AC80" s="9">
        <v>7147.2000000000007</v>
      </c>
      <c r="AD80" s="9">
        <v>3308.5931999999993</v>
      </c>
      <c r="AE80" s="11">
        <v>0.31643636563125593</v>
      </c>
    </row>
    <row r="81" spans="1:31" x14ac:dyDescent="0.3">
      <c r="A81" t="s">
        <v>94</v>
      </c>
      <c r="B81" s="4">
        <v>45617</v>
      </c>
      <c r="C81" s="4" t="str">
        <f t="shared" si="5"/>
        <v>Nov-2024</v>
      </c>
      <c r="D81" s="4" t="str">
        <f t="shared" si="6"/>
        <v>Q4-2024</v>
      </c>
      <c r="E81" s="4">
        <v>45647</v>
      </c>
      <c r="F81" t="s">
        <v>2064</v>
      </c>
      <c r="G81" s="4">
        <v>45647</v>
      </c>
      <c r="H81" s="13">
        <v>30</v>
      </c>
      <c r="I81" s="7" t="s">
        <v>649</v>
      </c>
      <c r="J81" s="7" t="s">
        <v>657</v>
      </c>
      <c r="K81" s="7" t="s">
        <v>673</v>
      </c>
      <c r="M81" s="7" t="s">
        <v>705</v>
      </c>
      <c r="N81" s="7" t="s">
        <v>711</v>
      </c>
      <c r="O81" s="7" t="s">
        <v>714</v>
      </c>
      <c r="P81" s="7" t="s">
        <v>732</v>
      </c>
      <c r="Q81" s="7" t="s">
        <v>1507</v>
      </c>
      <c r="R81" s="9">
        <v>1122.68</v>
      </c>
      <c r="S81" s="9">
        <v>1997.19</v>
      </c>
      <c r="T81" s="9">
        <v>1997.19</v>
      </c>
      <c r="U81" s="9">
        <f t="shared" si="9"/>
        <v>824.7165</v>
      </c>
      <c r="V81" s="9">
        <f t="shared" si="7"/>
        <v>1610.2578000000005</v>
      </c>
      <c r="W81" s="9" t="str">
        <f t="shared" si="8"/>
        <v>High</v>
      </c>
      <c r="X81" t="s">
        <v>2065</v>
      </c>
      <c r="Y81" s="11">
        <v>0.186</v>
      </c>
      <c r="Z81" t="s">
        <v>2065</v>
      </c>
      <c r="AA81" s="13">
        <v>3</v>
      </c>
      <c r="AB81" s="9">
        <v>4877.1379800000004</v>
      </c>
      <c r="AC81" s="9">
        <v>3368.04</v>
      </c>
      <c r="AD81" s="9">
        <v>1509.0979800000005</v>
      </c>
      <c r="AE81" s="11">
        <v>0.30942285951073306</v>
      </c>
    </row>
    <row r="82" spans="1:31" x14ac:dyDescent="0.3">
      <c r="A82" t="s">
        <v>95</v>
      </c>
      <c r="B82" s="4">
        <v>44965</v>
      </c>
      <c r="C82" s="4" t="str">
        <f t="shared" si="5"/>
        <v>Feb-2023</v>
      </c>
      <c r="D82" s="4" t="str">
        <f t="shared" si="6"/>
        <v>Q1-2023</v>
      </c>
      <c r="E82" s="4">
        <v>44968</v>
      </c>
      <c r="F82" t="s">
        <v>2064</v>
      </c>
      <c r="G82" s="4">
        <v>44968</v>
      </c>
      <c r="H82" s="13">
        <v>3</v>
      </c>
      <c r="I82" s="7" t="s">
        <v>646</v>
      </c>
      <c r="J82" s="7" t="s">
        <v>661</v>
      </c>
      <c r="K82" s="7" t="s">
        <v>695</v>
      </c>
      <c r="M82" s="7" t="s">
        <v>701</v>
      </c>
      <c r="N82" s="7" t="s">
        <v>711</v>
      </c>
      <c r="O82" s="7" t="s">
        <v>724</v>
      </c>
      <c r="P82" s="7" t="s">
        <v>729</v>
      </c>
      <c r="Q82" s="7" t="s">
        <v>1508</v>
      </c>
      <c r="R82" s="9">
        <v>1410.05</v>
      </c>
      <c r="S82" s="9">
        <v>2763.95</v>
      </c>
      <c r="T82" s="9">
        <v>2763.95</v>
      </c>
      <c r="U82" s="9">
        <f t="shared" si="9"/>
        <v>824.53499999999997</v>
      </c>
      <c r="V82" s="9">
        <f t="shared" si="7"/>
        <v>1595.52</v>
      </c>
      <c r="W82" s="9" t="str">
        <f t="shared" si="8"/>
        <v>High</v>
      </c>
      <c r="X82" t="s">
        <v>2065</v>
      </c>
      <c r="Y82" s="11">
        <v>0.161</v>
      </c>
      <c r="Z82" t="s">
        <v>2065</v>
      </c>
      <c r="AA82" s="13">
        <v>26</v>
      </c>
      <c r="AB82" s="9">
        <v>60292.805299999993</v>
      </c>
      <c r="AC82" s="9">
        <v>36661.299999999996</v>
      </c>
      <c r="AD82" s="9">
        <v>23631.505299999997</v>
      </c>
      <c r="AE82" s="11">
        <v>0.39194569206750779</v>
      </c>
    </row>
    <row r="83" spans="1:31" x14ac:dyDescent="0.3">
      <c r="A83" t="s">
        <v>96</v>
      </c>
      <c r="B83" s="4">
        <v>45157</v>
      </c>
      <c r="C83" s="4" t="str">
        <f t="shared" si="5"/>
        <v>Aug-2023</v>
      </c>
      <c r="D83" s="4" t="str">
        <f t="shared" si="6"/>
        <v>Q3-2023</v>
      </c>
      <c r="E83" s="4">
        <v>45181</v>
      </c>
      <c r="F83" t="s">
        <v>2064</v>
      </c>
      <c r="G83" s="4">
        <v>45181</v>
      </c>
      <c r="H83" s="13">
        <v>24</v>
      </c>
      <c r="I83" s="7" t="s">
        <v>648</v>
      </c>
      <c r="J83" s="7" t="s">
        <v>653</v>
      </c>
      <c r="K83" s="7" t="s">
        <v>688</v>
      </c>
      <c r="M83" s="7" t="s">
        <v>706</v>
      </c>
      <c r="N83" s="7" t="s">
        <v>707</v>
      </c>
      <c r="O83" s="7" t="s">
        <v>714</v>
      </c>
      <c r="P83" s="7" t="s">
        <v>728</v>
      </c>
      <c r="Q83" s="7" t="s">
        <v>1509</v>
      </c>
      <c r="R83" s="9">
        <v>1183.95</v>
      </c>
      <c r="S83" s="9">
        <v>1503.53</v>
      </c>
      <c r="T83" s="9">
        <v>1503.53</v>
      </c>
      <c r="U83" s="9">
        <f t="shared" si="9"/>
        <v>824.35349999999994</v>
      </c>
      <c r="V83" s="9">
        <f t="shared" si="7"/>
        <v>1595.0316</v>
      </c>
      <c r="W83" s="9" t="str">
        <f t="shared" si="8"/>
        <v>Medium</v>
      </c>
      <c r="X83" t="s">
        <v>2065</v>
      </c>
      <c r="Y83" s="11">
        <v>0.24099999999999999</v>
      </c>
      <c r="Z83" t="s">
        <v>2065</v>
      </c>
      <c r="AA83" s="13">
        <v>16</v>
      </c>
      <c r="AB83" s="9">
        <v>18258.868320000001</v>
      </c>
      <c r="AC83" s="9">
        <v>18943.2</v>
      </c>
      <c r="AD83" s="9">
        <v>-684.33167999999932</v>
      </c>
      <c r="AE83" s="11">
        <v>-3.7479413729623705E-2</v>
      </c>
    </row>
    <row r="84" spans="1:31" x14ac:dyDescent="0.3">
      <c r="A84" t="s">
        <v>97</v>
      </c>
      <c r="B84" s="4">
        <v>45791</v>
      </c>
      <c r="C84" s="4" t="str">
        <f t="shared" si="5"/>
        <v>May-2025</v>
      </c>
      <c r="D84" s="4" t="str">
        <f t="shared" si="6"/>
        <v>Q2-2025</v>
      </c>
      <c r="E84" s="4">
        <v>45801</v>
      </c>
      <c r="F84" t="s">
        <v>2064</v>
      </c>
      <c r="G84" s="4">
        <v>45801</v>
      </c>
      <c r="H84" s="13">
        <v>10</v>
      </c>
      <c r="I84" s="7" t="s">
        <v>649</v>
      </c>
      <c r="J84" s="7" t="s">
        <v>657</v>
      </c>
      <c r="K84" s="7" t="s">
        <v>690</v>
      </c>
      <c r="M84" s="7" t="s">
        <v>705</v>
      </c>
      <c r="N84" s="7" t="s">
        <v>709</v>
      </c>
      <c r="O84" s="7" t="s">
        <v>723</v>
      </c>
      <c r="P84" s="7" t="s">
        <v>727</v>
      </c>
      <c r="Q84" s="7" t="s">
        <v>1510</v>
      </c>
      <c r="R84" s="9">
        <v>170.39</v>
      </c>
      <c r="S84" s="9">
        <v>388.04</v>
      </c>
      <c r="T84" s="9">
        <v>388.04</v>
      </c>
      <c r="U84" s="9">
        <f t="shared" si="9"/>
        <v>823.428</v>
      </c>
      <c r="V84" s="9">
        <f t="shared" si="7"/>
        <v>1595.2832000000001</v>
      </c>
      <c r="W84" s="9" t="str">
        <f t="shared" si="8"/>
        <v>Low</v>
      </c>
      <c r="X84" t="s">
        <v>2065</v>
      </c>
      <c r="Y84" s="11">
        <v>8.4000000000000005E-2</v>
      </c>
      <c r="Z84" t="s">
        <v>2065</v>
      </c>
      <c r="AA84" s="13">
        <v>15</v>
      </c>
      <c r="AB84" s="9">
        <v>5331.6696000000002</v>
      </c>
      <c r="AC84" s="9">
        <v>2555.85</v>
      </c>
      <c r="AD84" s="9">
        <v>2775.8196000000003</v>
      </c>
      <c r="AE84" s="11">
        <v>0.52062858508711796</v>
      </c>
    </row>
    <row r="85" spans="1:31" x14ac:dyDescent="0.3">
      <c r="A85" t="s">
        <v>98</v>
      </c>
      <c r="B85" s="4">
        <v>45770</v>
      </c>
      <c r="C85" s="4" t="str">
        <f t="shared" si="5"/>
        <v>Apr-2025</v>
      </c>
      <c r="D85" s="4" t="str">
        <f t="shared" si="6"/>
        <v>Q2-2025</v>
      </c>
      <c r="E85" s="4">
        <v>45769</v>
      </c>
      <c r="F85" t="s">
        <v>2066</v>
      </c>
      <c r="G85" s="4">
        <v>45770</v>
      </c>
      <c r="H85" s="13">
        <v>0</v>
      </c>
      <c r="I85" s="7" t="s">
        <v>648</v>
      </c>
      <c r="J85" s="7" t="s">
        <v>1425</v>
      </c>
      <c r="K85" s="7" t="s">
        <v>686</v>
      </c>
      <c r="M85" s="7" t="s">
        <v>703</v>
      </c>
      <c r="N85" s="7" t="s">
        <v>710</v>
      </c>
      <c r="O85" s="7" t="s">
        <v>726</v>
      </c>
      <c r="P85" s="7" t="s">
        <v>732</v>
      </c>
      <c r="Q85" s="7" t="s">
        <v>1511</v>
      </c>
      <c r="R85" s="9">
        <v>23.24</v>
      </c>
      <c r="S85" s="9">
        <v>44.57</v>
      </c>
      <c r="T85" s="9">
        <v>44.57</v>
      </c>
      <c r="U85" s="9">
        <f t="shared" si="9"/>
        <v>824.54049999999995</v>
      </c>
      <c r="V85" s="9">
        <f t="shared" si="7"/>
        <v>1595.9666000000009</v>
      </c>
      <c r="W85" s="9" t="str">
        <f t="shared" si="8"/>
        <v>Low</v>
      </c>
      <c r="X85" t="s">
        <v>2065</v>
      </c>
      <c r="Y85" s="11">
        <v>0.215</v>
      </c>
      <c r="Z85" t="s">
        <v>2065</v>
      </c>
      <c r="AA85" s="13">
        <v>15</v>
      </c>
      <c r="AB85" s="9">
        <v>524.81174999999996</v>
      </c>
      <c r="AC85" s="9">
        <v>348.59999999999997</v>
      </c>
      <c r="AD85" s="9">
        <v>176.21174999999999</v>
      </c>
      <c r="AE85" s="11">
        <v>0.33576182316802167</v>
      </c>
    </row>
    <row r="86" spans="1:31" x14ac:dyDescent="0.3">
      <c r="A86" t="s">
        <v>99</v>
      </c>
      <c r="B86" s="4">
        <v>45741</v>
      </c>
      <c r="C86" s="4" t="str">
        <f t="shared" si="5"/>
        <v>Mar-2025</v>
      </c>
      <c r="D86" s="4" t="str">
        <f t="shared" si="6"/>
        <v>Q1-2025</v>
      </c>
      <c r="E86" s="4">
        <v>45764</v>
      </c>
      <c r="F86" t="s">
        <v>2064</v>
      </c>
      <c r="G86" s="4">
        <v>45764</v>
      </c>
      <c r="H86" s="13">
        <v>23</v>
      </c>
      <c r="I86" s="7" t="s">
        <v>649</v>
      </c>
      <c r="J86" s="7" t="s">
        <v>658</v>
      </c>
      <c r="K86" s="7" t="s">
        <v>683</v>
      </c>
      <c r="M86" s="7" t="s">
        <v>704</v>
      </c>
      <c r="N86" s="7" t="s">
        <v>707</v>
      </c>
      <c r="O86" s="7" t="s">
        <v>722</v>
      </c>
      <c r="P86" s="7" t="s">
        <v>729</v>
      </c>
      <c r="Q86" s="7" t="s">
        <v>1512</v>
      </c>
      <c r="R86" s="9">
        <v>1421.19</v>
      </c>
      <c r="S86" s="9">
        <v>1808.26</v>
      </c>
      <c r="T86" s="9">
        <v>1808.26</v>
      </c>
      <c r="U86" s="9">
        <f t="shared" si="9"/>
        <v>825.10879999999997</v>
      </c>
      <c r="V86" s="9">
        <f t="shared" si="7"/>
        <v>1603.5588000000002</v>
      </c>
      <c r="W86" s="9" t="str">
        <f t="shared" si="8"/>
        <v>High</v>
      </c>
      <c r="X86" t="s">
        <v>2065</v>
      </c>
      <c r="Y86" s="11">
        <v>0.104</v>
      </c>
      <c r="Z86" t="s">
        <v>2065</v>
      </c>
      <c r="AA86" s="13">
        <v>13</v>
      </c>
      <c r="AB86" s="9">
        <v>21062.61248</v>
      </c>
      <c r="AC86" s="9">
        <v>18475.47</v>
      </c>
      <c r="AD86" s="9">
        <v>2587.1424799999986</v>
      </c>
      <c r="AE86" s="11">
        <v>0.12283103449093123</v>
      </c>
    </row>
    <row r="87" spans="1:31" x14ac:dyDescent="0.3">
      <c r="A87" t="s">
        <v>100</v>
      </c>
      <c r="B87" s="4">
        <v>45282</v>
      </c>
      <c r="C87" s="4" t="str">
        <f t="shared" si="5"/>
        <v>Dec-2023</v>
      </c>
      <c r="D87" s="4" t="str">
        <f t="shared" si="6"/>
        <v>Q4-2023</v>
      </c>
      <c r="E87" s="4">
        <v>45283</v>
      </c>
      <c r="F87" t="s">
        <v>2064</v>
      </c>
      <c r="G87" s="4">
        <v>45283</v>
      </c>
      <c r="H87" s="13">
        <v>1</v>
      </c>
      <c r="I87" s="7" t="s">
        <v>646</v>
      </c>
      <c r="J87" s="7" t="s">
        <v>661</v>
      </c>
      <c r="K87" s="7" t="s">
        <v>695</v>
      </c>
      <c r="M87" s="7" t="s">
        <v>703</v>
      </c>
      <c r="N87" s="7" t="s">
        <v>709</v>
      </c>
      <c r="O87" s="7" t="s">
        <v>726</v>
      </c>
      <c r="P87" s="7" t="s">
        <v>727</v>
      </c>
      <c r="Q87" s="7" t="s">
        <v>1513</v>
      </c>
      <c r="R87" s="9">
        <v>1186.18</v>
      </c>
      <c r="S87" s="9">
        <v>1285.0899999999999</v>
      </c>
      <c r="T87" s="9">
        <v>1285.0899999999999</v>
      </c>
      <c r="U87" s="9">
        <f t="shared" si="9"/>
        <v>824.72749999999996</v>
      </c>
      <c r="V87" s="9">
        <f t="shared" si="7"/>
        <v>1595.298</v>
      </c>
      <c r="W87" s="9" t="str">
        <f t="shared" si="8"/>
        <v>Medium</v>
      </c>
      <c r="X87" t="s">
        <v>2065</v>
      </c>
      <c r="Y87" s="11">
        <v>7.0000000000000007E-2</v>
      </c>
      <c r="Z87" t="s">
        <v>2065</v>
      </c>
      <c r="AA87" s="13">
        <v>11</v>
      </c>
      <c r="AB87" s="9">
        <v>13146.470699999998</v>
      </c>
      <c r="AC87" s="9">
        <v>13047.980000000001</v>
      </c>
      <c r="AD87" s="9">
        <v>98.49069999999665</v>
      </c>
      <c r="AE87" s="11">
        <v>7.4917977796121861E-3</v>
      </c>
    </row>
    <row r="88" spans="1:31" x14ac:dyDescent="0.3">
      <c r="A88" t="s">
        <v>101</v>
      </c>
      <c r="B88" s="4">
        <v>45388</v>
      </c>
      <c r="C88" s="4" t="str">
        <f t="shared" si="5"/>
        <v>Apr-2024</v>
      </c>
      <c r="D88" s="4" t="str">
        <f t="shared" si="6"/>
        <v>Q2-2024</v>
      </c>
      <c r="E88" s="4">
        <v>45407</v>
      </c>
      <c r="F88" t="s">
        <v>2064</v>
      </c>
      <c r="G88" s="4">
        <v>45407</v>
      </c>
      <c r="H88" s="13">
        <v>19</v>
      </c>
      <c r="I88" s="7" t="s">
        <v>647</v>
      </c>
      <c r="J88" s="7" t="s">
        <v>659</v>
      </c>
      <c r="K88" s="7" t="s">
        <v>685</v>
      </c>
      <c r="M88" s="7" t="s">
        <v>701</v>
      </c>
      <c r="N88" s="7" t="s">
        <v>707</v>
      </c>
      <c r="O88" s="7" t="s">
        <v>723</v>
      </c>
      <c r="P88" s="7" t="s">
        <v>727</v>
      </c>
      <c r="Q88" s="7" t="s">
        <v>1514</v>
      </c>
      <c r="R88" s="9">
        <v>1366.48</v>
      </c>
      <c r="S88" s="9">
        <v>1678.14</v>
      </c>
      <c r="T88" s="9">
        <v>1678.14</v>
      </c>
      <c r="U88" s="9">
        <f t="shared" si="9"/>
        <v>824.54599999999994</v>
      </c>
      <c r="V88" s="9">
        <f t="shared" si="7"/>
        <v>1596.4132000000004</v>
      </c>
      <c r="W88" s="9" t="str">
        <f t="shared" si="8"/>
        <v>High</v>
      </c>
      <c r="X88" t="s">
        <v>2065</v>
      </c>
      <c r="Y88" s="11">
        <v>0.154</v>
      </c>
      <c r="Z88" t="s">
        <v>2065</v>
      </c>
      <c r="AA88" s="13">
        <v>10</v>
      </c>
      <c r="AB88" s="9">
        <v>14197.064400000001</v>
      </c>
      <c r="AC88" s="9">
        <v>13664.8</v>
      </c>
      <c r="AD88" s="9">
        <v>532.26440000000184</v>
      </c>
      <c r="AE88" s="11">
        <v>3.7491159087790132E-2</v>
      </c>
    </row>
    <row r="89" spans="1:31" x14ac:dyDescent="0.3">
      <c r="A89" t="s">
        <v>102</v>
      </c>
      <c r="B89" s="4">
        <v>45876</v>
      </c>
      <c r="C89" s="4" t="str">
        <f t="shared" si="5"/>
        <v>Aug-2025</v>
      </c>
      <c r="D89" s="4" t="str">
        <f t="shared" si="6"/>
        <v>Q3-2025</v>
      </c>
      <c r="E89" s="4">
        <v>45888</v>
      </c>
      <c r="F89" t="s">
        <v>2064</v>
      </c>
      <c r="G89" s="4">
        <v>45888</v>
      </c>
      <c r="H89" s="13">
        <v>12</v>
      </c>
      <c r="I89" s="7" t="s">
        <v>646</v>
      </c>
      <c r="J89" s="7" t="s">
        <v>650</v>
      </c>
      <c r="K89" s="7" t="s">
        <v>678</v>
      </c>
      <c r="M89" s="7" t="s">
        <v>701</v>
      </c>
      <c r="N89" s="7" t="s">
        <v>2057</v>
      </c>
      <c r="O89" s="7" t="s">
        <v>724</v>
      </c>
      <c r="P89" s="7" t="s">
        <v>727</v>
      </c>
      <c r="Q89" s="7" t="s">
        <v>1515</v>
      </c>
      <c r="R89" s="9">
        <v>601.51</v>
      </c>
      <c r="S89" s="9">
        <v>679.35</v>
      </c>
      <c r="T89" s="9">
        <v>679.35</v>
      </c>
      <c r="U89" s="9">
        <f t="shared" si="9"/>
        <v>824.36450000000002</v>
      </c>
      <c r="V89" s="9">
        <f t="shared" si="7"/>
        <v>1595.0611999999999</v>
      </c>
      <c r="W89" s="9" t="str">
        <f t="shared" si="8"/>
        <v>Low</v>
      </c>
      <c r="X89" t="s">
        <v>2065</v>
      </c>
      <c r="Y89" s="11">
        <v>0.188</v>
      </c>
      <c r="Z89" t="s">
        <v>2065</v>
      </c>
      <c r="AA89" s="13">
        <v>3</v>
      </c>
      <c r="AB89" s="9">
        <v>1654.8966000000003</v>
      </c>
      <c r="AC89" s="9">
        <v>1804.53</v>
      </c>
      <c r="AD89" s="9">
        <v>-149.63339999999971</v>
      </c>
      <c r="AE89" s="11">
        <v>-9.0418579626062243E-2</v>
      </c>
    </row>
    <row r="90" spans="1:31" x14ac:dyDescent="0.3">
      <c r="A90" t="s">
        <v>103</v>
      </c>
      <c r="B90" s="4">
        <v>45312</v>
      </c>
      <c r="C90" s="4" t="str">
        <f t="shared" si="5"/>
        <v>Jan-2024</v>
      </c>
      <c r="D90" s="4" t="str">
        <f t="shared" si="6"/>
        <v>Q1-2024</v>
      </c>
      <c r="E90" s="4">
        <v>45316</v>
      </c>
      <c r="F90" t="s">
        <v>2064</v>
      </c>
      <c r="G90" s="4">
        <v>45316</v>
      </c>
      <c r="H90" s="13">
        <v>4</v>
      </c>
      <c r="I90" s="7" t="s">
        <v>647</v>
      </c>
      <c r="J90" s="7" t="s">
        <v>654</v>
      </c>
      <c r="K90" s="7" t="s">
        <v>680</v>
      </c>
      <c r="M90" s="7" t="s">
        <v>704</v>
      </c>
      <c r="N90" s="7" t="s">
        <v>711</v>
      </c>
      <c r="O90" s="7" t="s">
        <v>712</v>
      </c>
      <c r="P90" s="7" t="s">
        <v>732</v>
      </c>
      <c r="Q90" s="7" t="s">
        <v>1516</v>
      </c>
      <c r="R90" s="9">
        <v>523.70000000000005</v>
      </c>
      <c r="S90" s="9">
        <v>1109.92</v>
      </c>
      <c r="T90" s="9">
        <v>1109.92</v>
      </c>
      <c r="U90" s="9">
        <f t="shared" si="9"/>
        <v>824.73299999999995</v>
      </c>
      <c r="V90" s="9">
        <f t="shared" si="7"/>
        <v>1595.3127999999999</v>
      </c>
      <c r="W90" s="9" t="str">
        <f t="shared" si="8"/>
        <v>Medium</v>
      </c>
      <c r="X90" t="s">
        <v>2065</v>
      </c>
      <c r="Y90" s="11">
        <v>0.03</v>
      </c>
      <c r="Z90" t="s">
        <v>2065</v>
      </c>
      <c r="AA90" s="13">
        <v>11</v>
      </c>
      <c r="AB90" s="9">
        <v>11842.8464</v>
      </c>
      <c r="AC90" s="9">
        <v>5760.7000000000007</v>
      </c>
      <c r="AD90" s="9">
        <v>6082.1463999999996</v>
      </c>
      <c r="AE90" s="11">
        <v>0.51357133197302973</v>
      </c>
    </row>
    <row r="91" spans="1:31" x14ac:dyDescent="0.3">
      <c r="A91" t="s">
        <v>104</v>
      </c>
      <c r="B91" s="4">
        <v>45106</v>
      </c>
      <c r="C91" s="4" t="str">
        <f t="shared" si="5"/>
        <v>Jun-2023</v>
      </c>
      <c r="D91" s="4" t="str">
        <f t="shared" si="6"/>
        <v>Q2-2023</v>
      </c>
      <c r="E91" s="4">
        <v>45109</v>
      </c>
      <c r="F91" t="s">
        <v>2064</v>
      </c>
      <c r="G91" s="4">
        <v>45109</v>
      </c>
      <c r="H91" s="13">
        <v>3</v>
      </c>
      <c r="I91" s="7" t="s">
        <v>647</v>
      </c>
      <c r="J91" s="7" t="s">
        <v>652</v>
      </c>
      <c r="K91" s="7" t="s">
        <v>694</v>
      </c>
      <c r="M91" s="7" t="s">
        <v>702</v>
      </c>
      <c r="N91" s="7" t="s">
        <v>709</v>
      </c>
      <c r="O91" s="7" t="s">
        <v>721</v>
      </c>
      <c r="P91" s="7" t="s">
        <v>732</v>
      </c>
      <c r="Q91" s="7" t="s">
        <v>1517</v>
      </c>
      <c r="R91" s="9">
        <v>55.65</v>
      </c>
      <c r="S91" s="9">
        <v>83.57</v>
      </c>
      <c r="T91" s="9">
        <v>83.57</v>
      </c>
      <c r="U91" s="9">
        <f t="shared" si="9"/>
        <v>824.55149999999992</v>
      </c>
      <c r="V91" s="9">
        <f t="shared" si="7"/>
        <v>1596.8598</v>
      </c>
      <c r="W91" s="9" t="str">
        <f t="shared" si="8"/>
        <v>Low</v>
      </c>
      <c r="X91" t="s">
        <v>2065</v>
      </c>
      <c r="Y91" s="11">
        <v>6.6000000000000003E-2</v>
      </c>
      <c r="Z91" t="s">
        <v>2065</v>
      </c>
      <c r="AA91" s="13">
        <v>8</v>
      </c>
      <c r="AB91" s="9">
        <v>624.43503999999996</v>
      </c>
      <c r="AC91" s="9">
        <v>445.2</v>
      </c>
      <c r="AD91" s="9">
        <v>179.23503999999997</v>
      </c>
      <c r="AE91" s="11">
        <v>0.2870355257449998</v>
      </c>
    </row>
    <row r="92" spans="1:31" x14ac:dyDescent="0.3">
      <c r="A92" t="s">
        <v>105</v>
      </c>
      <c r="B92" s="4">
        <v>45775</v>
      </c>
      <c r="C92" s="4" t="str">
        <f t="shared" si="5"/>
        <v>Apr-2025</v>
      </c>
      <c r="D92" s="4" t="str">
        <f t="shared" si="6"/>
        <v>Q2-2025</v>
      </c>
      <c r="E92" s="4">
        <v>45792</v>
      </c>
      <c r="F92" t="s">
        <v>2064</v>
      </c>
      <c r="G92" s="4">
        <v>45792</v>
      </c>
      <c r="H92" s="13">
        <v>17</v>
      </c>
      <c r="I92" s="7" t="s">
        <v>647</v>
      </c>
      <c r="J92" s="7" t="s">
        <v>652</v>
      </c>
      <c r="K92" s="7" t="s">
        <v>694</v>
      </c>
      <c r="M92" s="7" t="s">
        <v>702</v>
      </c>
      <c r="N92" s="7" t="s">
        <v>711</v>
      </c>
      <c r="O92" s="7" t="s">
        <v>725</v>
      </c>
      <c r="P92" s="7" t="s">
        <v>729</v>
      </c>
      <c r="Q92" s="7" t="s">
        <v>1518</v>
      </c>
      <c r="R92" s="9">
        <v>691.19</v>
      </c>
      <c r="S92" s="9">
        <v>1284.3</v>
      </c>
      <c r="T92" s="9">
        <v>1284.3</v>
      </c>
      <c r="U92" s="9">
        <f t="shared" si="9"/>
        <v>825.14199999999994</v>
      </c>
      <c r="V92" s="9">
        <f t="shared" si="7"/>
        <v>1604.4520000000007</v>
      </c>
      <c r="W92" s="9" t="str">
        <f t="shared" si="8"/>
        <v>Medium</v>
      </c>
      <c r="X92" t="s">
        <v>2065</v>
      </c>
      <c r="Y92" s="11">
        <v>7.3999999999999996E-2</v>
      </c>
      <c r="Z92" t="s">
        <v>2065</v>
      </c>
      <c r="AA92" s="13">
        <v>7</v>
      </c>
      <c r="AB92" s="9">
        <v>8324.8326000000015</v>
      </c>
      <c r="AC92" s="9">
        <v>4838.33</v>
      </c>
      <c r="AD92" s="9">
        <v>3486.5026000000016</v>
      </c>
      <c r="AE92" s="11">
        <v>0.41880753253825198</v>
      </c>
    </row>
    <row r="93" spans="1:31" x14ac:dyDescent="0.3">
      <c r="A93" t="s">
        <v>106</v>
      </c>
      <c r="B93" s="4">
        <v>45817</v>
      </c>
      <c r="C93" s="4" t="str">
        <f t="shared" si="5"/>
        <v>Jun-2025</v>
      </c>
      <c r="D93" s="4" t="str">
        <f t="shared" si="6"/>
        <v>Q2-2025</v>
      </c>
      <c r="E93" s="4">
        <v>45833</v>
      </c>
      <c r="F93" t="s">
        <v>2064</v>
      </c>
      <c r="G93" s="4">
        <v>45833</v>
      </c>
      <c r="H93" s="13">
        <v>16</v>
      </c>
      <c r="I93" s="7" t="s">
        <v>647</v>
      </c>
      <c r="J93" s="7" t="s">
        <v>654</v>
      </c>
      <c r="K93" s="7" t="s">
        <v>696</v>
      </c>
      <c r="M93" s="7" t="s">
        <v>706</v>
      </c>
      <c r="N93" s="7" t="s">
        <v>710</v>
      </c>
      <c r="O93" s="7" t="s">
        <v>724</v>
      </c>
      <c r="P93" s="7" t="s">
        <v>730</v>
      </c>
      <c r="Q93" s="7" t="s">
        <v>1519</v>
      </c>
      <c r="R93" s="9">
        <v>527.33000000000004</v>
      </c>
      <c r="S93" s="9">
        <v>911.72</v>
      </c>
      <c r="T93" s="9">
        <v>911.72</v>
      </c>
      <c r="U93" s="9">
        <f t="shared" si="9"/>
        <v>824.73849999999993</v>
      </c>
      <c r="V93" s="9">
        <f t="shared" si="7"/>
        <v>1612.0442</v>
      </c>
      <c r="W93" s="9" t="str">
        <f t="shared" si="8"/>
        <v>Medium</v>
      </c>
      <c r="X93" t="s">
        <v>2065</v>
      </c>
      <c r="Y93" s="11">
        <v>0.14399999999999999</v>
      </c>
      <c r="Z93" t="s">
        <v>2065</v>
      </c>
      <c r="AA93" s="13">
        <v>25</v>
      </c>
      <c r="AB93" s="9">
        <v>19510.808000000001</v>
      </c>
      <c r="AC93" s="9">
        <v>13183.250000000002</v>
      </c>
      <c r="AD93" s="9">
        <v>6327.5579999999991</v>
      </c>
      <c r="AE93" s="11">
        <v>0.32431040272652978</v>
      </c>
    </row>
    <row r="94" spans="1:31" x14ac:dyDescent="0.3">
      <c r="A94" t="s">
        <v>107</v>
      </c>
      <c r="B94" s="4">
        <v>45101</v>
      </c>
      <c r="C94" s="4" t="str">
        <f t="shared" si="5"/>
        <v>Jun-2023</v>
      </c>
      <c r="D94" s="4" t="str">
        <f t="shared" si="6"/>
        <v>Q2-2023</v>
      </c>
      <c r="E94" s="4">
        <v>45100</v>
      </c>
      <c r="F94" t="s">
        <v>2066</v>
      </c>
      <c r="G94" s="4">
        <v>45101</v>
      </c>
      <c r="H94" s="13">
        <v>0</v>
      </c>
      <c r="I94" s="7" t="s">
        <v>648</v>
      </c>
      <c r="J94" s="7" t="s">
        <v>655</v>
      </c>
      <c r="K94" s="7" t="s">
        <v>1426</v>
      </c>
      <c r="M94" s="7" t="s">
        <v>703</v>
      </c>
      <c r="N94" s="7" t="s">
        <v>707</v>
      </c>
      <c r="O94" s="7" t="s">
        <v>718</v>
      </c>
      <c r="P94" s="7" t="s">
        <v>728</v>
      </c>
      <c r="Q94" s="7" t="s">
        <v>1520</v>
      </c>
      <c r="R94" s="9">
        <v>804.01</v>
      </c>
      <c r="S94" s="9">
        <v>1405.07</v>
      </c>
      <c r="T94" s="9">
        <v>1405.07</v>
      </c>
      <c r="U94" s="9">
        <f t="shared" si="9"/>
        <v>824.55700000000002</v>
      </c>
      <c r="V94" s="9">
        <f t="shared" si="7"/>
        <v>1618.07</v>
      </c>
      <c r="W94" s="9" t="str">
        <f t="shared" si="8"/>
        <v>Medium</v>
      </c>
      <c r="X94" t="s">
        <v>2065</v>
      </c>
      <c r="Y94" s="11">
        <v>9.6000000000000002E-2</v>
      </c>
      <c r="Z94" t="s">
        <v>2065</v>
      </c>
      <c r="AA94" s="13">
        <v>8</v>
      </c>
      <c r="AB94" s="9">
        <v>10161.46624</v>
      </c>
      <c r="AC94" s="9">
        <v>6432.08</v>
      </c>
      <c r="AD94" s="9">
        <v>3729.3862399999998</v>
      </c>
      <c r="AE94" s="11">
        <v>0.36701260939287439</v>
      </c>
    </row>
    <row r="95" spans="1:31" x14ac:dyDescent="0.3">
      <c r="A95" t="s">
        <v>108</v>
      </c>
      <c r="B95" s="4">
        <v>45569</v>
      </c>
      <c r="C95" s="4" t="str">
        <f t="shared" si="5"/>
        <v>Oct-2024</v>
      </c>
      <c r="D95" s="4" t="str">
        <f t="shared" si="6"/>
        <v>Q4-2024</v>
      </c>
      <c r="E95" s="4">
        <v>45598</v>
      </c>
      <c r="F95" t="s">
        <v>2064</v>
      </c>
      <c r="G95" s="4">
        <v>45598</v>
      </c>
      <c r="H95" s="13">
        <v>29</v>
      </c>
      <c r="I95" s="7" t="s">
        <v>646</v>
      </c>
      <c r="J95" s="7" t="s">
        <v>651</v>
      </c>
      <c r="K95" s="7" t="s">
        <v>669</v>
      </c>
      <c r="M95" s="7" t="s">
        <v>701</v>
      </c>
      <c r="N95" s="7" t="s">
        <v>710</v>
      </c>
      <c r="O95" s="7" t="s">
        <v>721</v>
      </c>
      <c r="P95" s="7" t="s">
        <v>733</v>
      </c>
      <c r="Q95" s="7" t="s">
        <v>1521</v>
      </c>
      <c r="R95" s="9">
        <v>412.09</v>
      </c>
      <c r="S95" s="9">
        <v>968.94</v>
      </c>
      <c r="T95" s="9">
        <v>968.94</v>
      </c>
      <c r="U95" s="9">
        <f t="shared" si="9"/>
        <v>824.37549999999999</v>
      </c>
      <c r="V95" s="9">
        <f t="shared" si="7"/>
        <v>1619.0049999999999</v>
      </c>
      <c r="W95" s="9" t="str">
        <f t="shared" si="8"/>
        <v>Medium</v>
      </c>
      <c r="X95" t="s">
        <v>2065</v>
      </c>
      <c r="Y95" s="11">
        <v>9.9000000000000005E-2</v>
      </c>
      <c r="Z95" t="s">
        <v>2065</v>
      </c>
      <c r="AA95" s="13">
        <v>23</v>
      </c>
      <c r="AB95" s="9">
        <v>20079.343620000003</v>
      </c>
      <c r="AC95" s="9">
        <v>9478.07</v>
      </c>
      <c r="AD95" s="9">
        <v>10601.273620000004</v>
      </c>
      <c r="AE95" s="11">
        <v>0.52796913189137418</v>
      </c>
    </row>
    <row r="96" spans="1:31" x14ac:dyDescent="0.3">
      <c r="A96" t="s">
        <v>109</v>
      </c>
      <c r="B96" s="4">
        <v>45910</v>
      </c>
      <c r="C96" s="4" t="str">
        <f t="shared" si="5"/>
        <v>Sep-2025</v>
      </c>
      <c r="D96" s="4" t="str">
        <f t="shared" si="6"/>
        <v>Q3-2025</v>
      </c>
      <c r="E96" s="4">
        <v>45930</v>
      </c>
      <c r="F96" t="s">
        <v>2064</v>
      </c>
      <c r="G96" s="4">
        <v>45930</v>
      </c>
      <c r="H96" s="13">
        <v>20</v>
      </c>
      <c r="I96" s="7" t="s">
        <v>646</v>
      </c>
      <c r="J96" s="7" t="s">
        <v>650</v>
      </c>
      <c r="K96" s="7" t="s">
        <v>675</v>
      </c>
      <c r="M96" s="7" t="s">
        <v>701</v>
      </c>
      <c r="N96" s="7" t="s">
        <v>711</v>
      </c>
      <c r="O96" s="7" t="s">
        <v>716</v>
      </c>
      <c r="P96" s="7" t="s">
        <v>730</v>
      </c>
      <c r="Q96" s="7" t="s">
        <v>1522</v>
      </c>
      <c r="R96" s="9">
        <v>1009.48</v>
      </c>
      <c r="S96" s="9">
        <v>1088.81</v>
      </c>
      <c r="T96" s="9">
        <v>1088.81</v>
      </c>
      <c r="U96" s="9">
        <f t="shared" si="9"/>
        <v>823.63599999999997</v>
      </c>
      <c r="V96" s="9">
        <f t="shared" si="7"/>
        <v>1619.9399999999998</v>
      </c>
      <c r="W96" s="9" t="str">
        <f t="shared" si="8"/>
        <v>Medium</v>
      </c>
      <c r="X96" t="s">
        <v>2065</v>
      </c>
      <c r="Y96" s="11">
        <v>0.16</v>
      </c>
      <c r="Z96" t="s">
        <v>2065</v>
      </c>
      <c r="AA96" s="13">
        <v>6</v>
      </c>
      <c r="AB96" s="9">
        <v>5487.6023999999998</v>
      </c>
      <c r="AC96" s="9">
        <v>6056.88</v>
      </c>
      <c r="AD96" s="9">
        <v>-569.27760000000035</v>
      </c>
      <c r="AE96" s="11">
        <v>-0.10373885688219693</v>
      </c>
    </row>
    <row r="97" spans="1:31" x14ac:dyDescent="0.3">
      <c r="A97" t="s">
        <v>110</v>
      </c>
      <c r="B97" s="4">
        <v>45022</v>
      </c>
      <c r="C97" s="4" t="str">
        <f t="shared" si="5"/>
        <v>Apr-2023</v>
      </c>
      <c r="D97" s="4" t="str">
        <f t="shared" si="6"/>
        <v>Q2-2023</v>
      </c>
      <c r="E97" s="4">
        <v>45043</v>
      </c>
      <c r="F97" t="s">
        <v>2064</v>
      </c>
      <c r="G97" s="4">
        <v>45043</v>
      </c>
      <c r="H97" s="13">
        <v>21</v>
      </c>
      <c r="I97" s="7" t="s">
        <v>649</v>
      </c>
      <c r="J97" s="7" t="s">
        <v>658</v>
      </c>
      <c r="K97" s="7" t="s">
        <v>693</v>
      </c>
      <c r="M97" s="7" t="s">
        <v>706</v>
      </c>
      <c r="N97" s="7" t="s">
        <v>710</v>
      </c>
      <c r="O97" s="7" t="s">
        <v>714</v>
      </c>
      <c r="P97" s="7" t="s">
        <v>728</v>
      </c>
      <c r="Q97" s="7" t="s">
        <v>1523</v>
      </c>
      <c r="R97" s="9">
        <v>1084.79</v>
      </c>
      <c r="S97" s="9">
        <v>2484.9899999999998</v>
      </c>
      <c r="T97" s="9">
        <v>2484.9899999999998</v>
      </c>
      <c r="U97" s="9">
        <f t="shared" si="9"/>
        <v>821.92000000000007</v>
      </c>
      <c r="V97" s="9">
        <f t="shared" si="7"/>
        <v>1621.0070000000001</v>
      </c>
      <c r="W97" s="9" t="str">
        <f t="shared" si="8"/>
        <v>High</v>
      </c>
      <c r="X97" t="s">
        <v>2065</v>
      </c>
      <c r="Y97" s="11">
        <v>3.4000000000000002E-2</v>
      </c>
      <c r="Z97" t="s">
        <v>2065</v>
      </c>
      <c r="AA97" s="13">
        <v>18</v>
      </c>
      <c r="AB97" s="9">
        <v>43209.006119999991</v>
      </c>
      <c r="AC97" s="9">
        <v>19526.22</v>
      </c>
      <c r="AD97" s="9">
        <v>23682.78611999999</v>
      </c>
      <c r="AE97" s="11">
        <v>0.54809837685755114</v>
      </c>
    </row>
    <row r="98" spans="1:31" x14ac:dyDescent="0.3">
      <c r="A98" t="s">
        <v>111</v>
      </c>
      <c r="B98" s="4">
        <v>45870</v>
      </c>
      <c r="C98" s="4" t="str">
        <f t="shared" si="5"/>
        <v>Aug-2025</v>
      </c>
      <c r="D98" s="4" t="str">
        <f t="shared" si="6"/>
        <v>Q3-2025</v>
      </c>
      <c r="E98" s="4">
        <v>45885</v>
      </c>
      <c r="F98" t="s">
        <v>2064</v>
      </c>
      <c r="G98" s="4">
        <v>45885</v>
      </c>
      <c r="H98" s="13">
        <v>15</v>
      </c>
      <c r="I98" s="7" t="s">
        <v>647</v>
      </c>
      <c r="J98" s="7" t="s">
        <v>654</v>
      </c>
      <c r="K98" s="7" t="s">
        <v>2057</v>
      </c>
      <c r="M98" s="7" t="s">
        <v>706</v>
      </c>
      <c r="N98" s="7" t="s">
        <v>711</v>
      </c>
      <c r="O98" s="7" t="s">
        <v>719</v>
      </c>
      <c r="P98" s="7" t="s">
        <v>732</v>
      </c>
      <c r="Q98" s="7" t="s">
        <v>1524</v>
      </c>
      <c r="R98" s="9">
        <v>24.44</v>
      </c>
      <c r="S98" s="9">
        <v>28.69</v>
      </c>
      <c r="T98" s="9">
        <v>28.69</v>
      </c>
      <c r="U98" s="9">
        <f t="shared" si="9"/>
        <v>820.20399999999995</v>
      </c>
      <c r="V98" s="9">
        <f t="shared" si="7"/>
        <v>1619.06</v>
      </c>
      <c r="W98" s="9" t="str">
        <f t="shared" si="8"/>
        <v>Low</v>
      </c>
      <c r="X98" t="s">
        <v>2065</v>
      </c>
      <c r="Y98" s="11">
        <v>0.14599999999999999</v>
      </c>
      <c r="Z98" t="s">
        <v>2065</v>
      </c>
      <c r="AA98" s="13">
        <v>6</v>
      </c>
      <c r="AB98" s="9">
        <v>147.00756000000001</v>
      </c>
      <c r="AC98" s="9">
        <v>146.64000000000001</v>
      </c>
      <c r="AD98" s="9">
        <v>0.36755999999999744</v>
      </c>
      <c r="AE98" s="11">
        <v>2.5002795774584476E-3</v>
      </c>
    </row>
    <row r="99" spans="1:31" x14ac:dyDescent="0.3">
      <c r="A99" t="s">
        <v>112</v>
      </c>
      <c r="B99" s="4">
        <v>45440</v>
      </c>
      <c r="C99" s="4" t="str">
        <f t="shared" si="5"/>
        <v>May-2024</v>
      </c>
      <c r="D99" s="4" t="str">
        <f t="shared" si="6"/>
        <v>Q2-2024</v>
      </c>
      <c r="E99" s="4">
        <v>45438</v>
      </c>
      <c r="F99" t="s">
        <v>2066</v>
      </c>
      <c r="G99" s="4">
        <v>45440</v>
      </c>
      <c r="H99" s="13">
        <v>0</v>
      </c>
      <c r="I99" s="7" t="s">
        <v>646</v>
      </c>
      <c r="J99" s="7" t="s">
        <v>651</v>
      </c>
      <c r="K99" s="7" t="s">
        <v>669</v>
      </c>
      <c r="M99" s="7" t="s">
        <v>706</v>
      </c>
      <c r="N99" s="7" t="s">
        <v>708</v>
      </c>
      <c r="O99" s="7" t="s">
        <v>721</v>
      </c>
      <c r="P99" s="7" t="s">
        <v>733</v>
      </c>
      <c r="Q99" s="7" t="s">
        <v>1525</v>
      </c>
      <c r="R99" s="9">
        <v>1227.08</v>
      </c>
      <c r="S99" s="9">
        <v>1896.62</v>
      </c>
      <c r="T99" s="9">
        <v>1896.62</v>
      </c>
      <c r="U99" s="9">
        <f t="shared" si="9"/>
        <v>823.6880000000001</v>
      </c>
      <c r="V99" s="9">
        <f t="shared" si="7"/>
        <v>1619.9949999999999</v>
      </c>
      <c r="W99" s="9" t="str">
        <f t="shared" si="8"/>
        <v>High</v>
      </c>
      <c r="X99" t="s">
        <v>2065</v>
      </c>
      <c r="Y99" s="11">
        <v>0</v>
      </c>
      <c r="Z99" t="s">
        <v>2065</v>
      </c>
      <c r="AA99" s="13">
        <v>18</v>
      </c>
      <c r="AB99" s="9">
        <v>34139.159999999996</v>
      </c>
      <c r="AC99" s="9">
        <v>22087.439999999999</v>
      </c>
      <c r="AD99" s="9">
        <v>12051.719999999998</v>
      </c>
      <c r="AE99" s="11">
        <v>0.353017473189147</v>
      </c>
    </row>
    <row r="100" spans="1:31" x14ac:dyDescent="0.3">
      <c r="A100" t="s">
        <v>113</v>
      </c>
      <c r="B100" s="4">
        <v>45860</v>
      </c>
      <c r="C100" s="4" t="str">
        <f t="shared" si="5"/>
        <v>Jul-2025</v>
      </c>
      <c r="D100" s="4" t="str">
        <f t="shared" si="6"/>
        <v>Q3-2025</v>
      </c>
      <c r="E100" s="4">
        <v>45887</v>
      </c>
      <c r="F100" t="s">
        <v>2064</v>
      </c>
      <c r="G100" s="4">
        <v>45887</v>
      </c>
      <c r="H100" s="13">
        <v>27</v>
      </c>
      <c r="I100" s="7" t="s">
        <v>647</v>
      </c>
      <c r="J100" s="7" t="s">
        <v>659</v>
      </c>
      <c r="K100" s="7" t="s">
        <v>676</v>
      </c>
      <c r="M100" s="7" t="s">
        <v>703</v>
      </c>
      <c r="N100" s="7" t="s">
        <v>709</v>
      </c>
      <c r="O100" s="7" t="s">
        <v>724</v>
      </c>
      <c r="P100" s="7" t="s">
        <v>729</v>
      </c>
      <c r="Q100" s="7" t="s">
        <v>1526</v>
      </c>
      <c r="R100" s="9">
        <v>547.32000000000005</v>
      </c>
      <c r="S100" s="9">
        <v>419.17</v>
      </c>
      <c r="T100" s="9">
        <v>419.17</v>
      </c>
      <c r="U100" s="9">
        <f t="shared" si="9"/>
        <v>821.97199999999998</v>
      </c>
      <c r="V100" s="9">
        <f t="shared" si="7"/>
        <v>1618.1799999999998</v>
      </c>
      <c r="W100" s="9" t="str">
        <f t="shared" si="8"/>
        <v>Low</v>
      </c>
      <c r="X100" t="s">
        <v>2065</v>
      </c>
      <c r="Y100" s="11">
        <v>9.1999999999999998E-2</v>
      </c>
      <c r="Z100" t="s">
        <v>2065</v>
      </c>
      <c r="AA100" s="13">
        <v>14</v>
      </c>
      <c r="AB100" s="9">
        <v>5328.4890400000004</v>
      </c>
      <c r="AC100" s="9">
        <v>7662.4800000000005</v>
      </c>
      <c r="AD100" s="9">
        <v>-2333.9909600000001</v>
      </c>
      <c r="AE100" s="11">
        <v>-0.43802116181137907</v>
      </c>
    </row>
    <row r="101" spans="1:31" x14ac:dyDescent="0.3">
      <c r="A101" t="s">
        <v>114</v>
      </c>
      <c r="B101" s="4">
        <v>44985</v>
      </c>
      <c r="C101" s="4" t="str">
        <f t="shared" si="5"/>
        <v>Feb-2023</v>
      </c>
      <c r="D101" s="4" t="str">
        <f t="shared" si="6"/>
        <v>Q1-2023</v>
      </c>
      <c r="E101" s="4">
        <v>45005</v>
      </c>
      <c r="F101" t="s">
        <v>2064</v>
      </c>
      <c r="G101" s="4">
        <v>45005</v>
      </c>
      <c r="H101" s="13">
        <v>20</v>
      </c>
      <c r="I101" s="7" t="s">
        <v>649</v>
      </c>
      <c r="J101" s="7" t="s">
        <v>656</v>
      </c>
      <c r="K101" s="7" t="s">
        <v>671</v>
      </c>
      <c r="M101" s="7" t="s">
        <v>705</v>
      </c>
      <c r="N101" s="7" t="s">
        <v>711</v>
      </c>
      <c r="O101" s="7" t="s">
        <v>722</v>
      </c>
      <c r="P101" s="7" t="s">
        <v>731</v>
      </c>
      <c r="Q101" s="7" t="s">
        <v>1527</v>
      </c>
      <c r="R101" s="9">
        <v>1200.78</v>
      </c>
      <c r="S101" s="9">
        <v>2001.17</v>
      </c>
      <c r="T101" s="9">
        <v>2001.17</v>
      </c>
      <c r="U101" s="9">
        <f t="shared" si="9"/>
        <v>824.38649999999996</v>
      </c>
      <c r="V101" s="9">
        <f t="shared" si="7"/>
        <v>1619.115</v>
      </c>
      <c r="W101" s="9" t="str">
        <f t="shared" si="8"/>
        <v>High</v>
      </c>
      <c r="X101" t="s">
        <v>2065</v>
      </c>
      <c r="Y101" s="11">
        <v>0.29199999999999998</v>
      </c>
      <c r="Z101" t="s">
        <v>2065</v>
      </c>
      <c r="AA101" s="13">
        <v>18</v>
      </c>
      <c r="AB101" s="9">
        <v>25502.910479999999</v>
      </c>
      <c r="AC101" s="9">
        <v>21614.04</v>
      </c>
      <c r="AD101" s="9">
        <v>3888.8704799999978</v>
      </c>
      <c r="AE101" s="11">
        <v>0.15248732034132906</v>
      </c>
    </row>
    <row r="102" spans="1:31" x14ac:dyDescent="0.3">
      <c r="A102" t="s">
        <v>115</v>
      </c>
      <c r="B102" s="4">
        <v>45684</v>
      </c>
      <c r="C102" s="4" t="str">
        <f t="shared" si="5"/>
        <v>Jan-2025</v>
      </c>
      <c r="D102" s="4" t="str">
        <f t="shared" si="6"/>
        <v>Q1-2025</v>
      </c>
      <c r="E102" s="4">
        <v>45703</v>
      </c>
      <c r="F102" t="s">
        <v>2064</v>
      </c>
      <c r="G102" s="4">
        <v>45703</v>
      </c>
      <c r="H102" s="13">
        <v>19</v>
      </c>
      <c r="I102" s="7" t="s">
        <v>647</v>
      </c>
      <c r="J102" s="7" t="s">
        <v>659</v>
      </c>
      <c r="K102" s="7" t="s">
        <v>676</v>
      </c>
      <c r="M102" s="7" t="s">
        <v>703</v>
      </c>
      <c r="N102" s="7" t="s">
        <v>711</v>
      </c>
      <c r="O102" s="7" t="s">
        <v>716</v>
      </c>
      <c r="P102" s="7" t="s">
        <v>730</v>
      </c>
      <c r="Q102" s="7" t="s">
        <v>1528</v>
      </c>
      <c r="R102" s="9">
        <v>1253.22</v>
      </c>
      <c r="S102" s="9">
        <v>3104.71</v>
      </c>
      <c r="T102" s="9">
        <v>3104.71</v>
      </c>
      <c r="U102" s="9">
        <f t="shared" si="9"/>
        <v>823.74</v>
      </c>
      <c r="V102" s="9">
        <f t="shared" si="7"/>
        <v>1613.3840000000002</v>
      </c>
      <c r="W102" s="9" t="str">
        <f t="shared" si="8"/>
        <v>High</v>
      </c>
      <c r="X102" t="s">
        <v>2065</v>
      </c>
      <c r="Y102" s="11">
        <v>0</v>
      </c>
      <c r="Z102" t="s">
        <v>2065</v>
      </c>
      <c r="AA102" s="13">
        <v>17</v>
      </c>
      <c r="AB102" s="9">
        <v>52780.07</v>
      </c>
      <c r="AC102" s="9">
        <v>21304.74</v>
      </c>
      <c r="AD102" s="9">
        <v>31475.329999999998</v>
      </c>
      <c r="AE102" s="11">
        <v>0.59634877331538205</v>
      </c>
    </row>
    <row r="103" spans="1:31" x14ac:dyDescent="0.3">
      <c r="A103" t="s">
        <v>116</v>
      </c>
      <c r="B103" s="4">
        <v>45304</v>
      </c>
      <c r="C103" s="4" t="str">
        <f t="shared" si="5"/>
        <v>Jan-2024</v>
      </c>
      <c r="D103" s="4" t="str">
        <f t="shared" si="6"/>
        <v>Q1-2024</v>
      </c>
      <c r="E103" s="4">
        <v>45313</v>
      </c>
      <c r="F103" t="s">
        <v>2064</v>
      </c>
      <c r="G103" s="4">
        <v>45313</v>
      </c>
      <c r="H103" s="13">
        <v>9</v>
      </c>
      <c r="I103" s="7" t="s">
        <v>647</v>
      </c>
      <c r="J103" s="7" t="s">
        <v>654</v>
      </c>
      <c r="K103" s="7" t="s">
        <v>691</v>
      </c>
      <c r="M103" s="7" t="s">
        <v>706</v>
      </c>
      <c r="N103" s="7" t="s">
        <v>709</v>
      </c>
      <c r="O103" s="7" t="s">
        <v>713</v>
      </c>
      <c r="P103" s="7" t="s">
        <v>727</v>
      </c>
      <c r="Q103" s="7" t="s">
        <v>1529</v>
      </c>
      <c r="R103" s="9">
        <v>313.60000000000002</v>
      </c>
      <c r="S103" s="9">
        <v>334.28</v>
      </c>
      <c r="T103" s="9">
        <v>334.28</v>
      </c>
      <c r="U103" s="9">
        <f t="shared" si="9"/>
        <v>822.02400000000011</v>
      </c>
      <c r="V103" s="9">
        <f t="shared" si="7"/>
        <v>1598.646200000001</v>
      </c>
      <c r="W103" s="9" t="str">
        <f t="shared" si="8"/>
        <v>Low</v>
      </c>
      <c r="X103" t="s">
        <v>2065</v>
      </c>
      <c r="Y103" s="11">
        <v>0.14000000000000001</v>
      </c>
      <c r="Z103" t="s">
        <v>2065</v>
      </c>
      <c r="AA103" s="13">
        <v>22</v>
      </c>
      <c r="AB103" s="9">
        <v>6324.5775999999996</v>
      </c>
      <c r="AC103" s="9">
        <v>6899.2000000000007</v>
      </c>
      <c r="AD103" s="9">
        <v>-574.62240000000111</v>
      </c>
      <c r="AE103" s="11">
        <v>-9.0855458868905517E-2</v>
      </c>
    </row>
    <row r="104" spans="1:31" x14ac:dyDescent="0.3">
      <c r="A104" t="s">
        <v>117</v>
      </c>
      <c r="B104" s="4">
        <v>45747</v>
      </c>
      <c r="C104" s="4" t="str">
        <f t="shared" si="5"/>
        <v>Mar-2025</v>
      </c>
      <c r="D104" s="4" t="str">
        <f t="shared" si="6"/>
        <v>Q1-2025</v>
      </c>
      <c r="E104" s="4">
        <v>45751</v>
      </c>
      <c r="F104" t="s">
        <v>2064</v>
      </c>
      <c r="G104" s="4">
        <v>45751</v>
      </c>
      <c r="H104" s="13">
        <v>4</v>
      </c>
      <c r="I104" s="7" t="s">
        <v>646</v>
      </c>
      <c r="J104" s="7" t="s">
        <v>650</v>
      </c>
      <c r="K104" s="7" t="s">
        <v>678</v>
      </c>
      <c r="M104" s="7" t="s">
        <v>701</v>
      </c>
      <c r="N104" s="7" t="s">
        <v>711</v>
      </c>
      <c r="O104" s="7" t="s">
        <v>712</v>
      </c>
      <c r="P104" s="7" t="s">
        <v>731</v>
      </c>
      <c r="Q104" s="7" t="s">
        <v>1530</v>
      </c>
      <c r="R104" s="9">
        <v>862.08</v>
      </c>
      <c r="S104" s="9">
        <v>1952.83</v>
      </c>
      <c r="T104" s="9">
        <v>1952.83</v>
      </c>
      <c r="U104" s="9">
        <f t="shared" si="9"/>
        <v>824.39199999999994</v>
      </c>
      <c r="V104" s="9">
        <f t="shared" si="7"/>
        <v>1606.2384000000004</v>
      </c>
      <c r="W104" s="9" t="str">
        <f t="shared" si="8"/>
        <v>High</v>
      </c>
      <c r="X104" t="s">
        <v>2065</v>
      </c>
      <c r="Y104" s="11">
        <v>0</v>
      </c>
      <c r="Z104" t="s">
        <v>2065</v>
      </c>
      <c r="AA104" s="13">
        <v>7</v>
      </c>
      <c r="AB104" s="9">
        <v>13669.81</v>
      </c>
      <c r="AC104" s="9">
        <v>6034.56</v>
      </c>
      <c r="AD104" s="9">
        <v>7635.2499999999991</v>
      </c>
      <c r="AE104" s="11">
        <v>0.5585483631447693</v>
      </c>
    </row>
    <row r="105" spans="1:31" x14ac:dyDescent="0.3">
      <c r="A105" t="s">
        <v>118</v>
      </c>
      <c r="B105" s="4">
        <v>45631</v>
      </c>
      <c r="C105" s="4" t="str">
        <f t="shared" si="5"/>
        <v>Dec-2024</v>
      </c>
      <c r="D105" s="4" t="str">
        <f t="shared" si="6"/>
        <v>Q4-2024</v>
      </c>
      <c r="E105" s="4">
        <v>45654</v>
      </c>
      <c r="F105" t="s">
        <v>2064</v>
      </c>
      <c r="G105" s="4">
        <v>45654</v>
      </c>
      <c r="H105" s="13">
        <v>23</v>
      </c>
      <c r="I105" s="7" t="s">
        <v>648</v>
      </c>
      <c r="J105" s="7" t="s">
        <v>653</v>
      </c>
      <c r="K105" s="7" t="s">
        <v>688</v>
      </c>
      <c r="M105" s="7" t="s">
        <v>701</v>
      </c>
      <c r="N105" s="7" t="s">
        <v>711</v>
      </c>
      <c r="O105" s="7" t="s">
        <v>721</v>
      </c>
      <c r="P105" s="7" t="s">
        <v>733</v>
      </c>
      <c r="Q105" s="7" t="s">
        <v>1531</v>
      </c>
      <c r="R105" s="9">
        <v>107.03</v>
      </c>
      <c r="S105" s="9">
        <v>242.29</v>
      </c>
      <c r="T105" s="9">
        <v>242.29</v>
      </c>
      <c r="U105" s="9">
        <f t="shared" si="9"/>
        <v>823.79199999999992</v>
      </c>
      <c r="V105" s="9">
        <f t="shared" si="7"/>
        <v>1595.3868</v>
      </c>
      <c r="W105" s="9" t="str">
        <f t="shared" si="8"/>
        <v>Low</v>
      </c>
      <c r="X105" t="s">
        <v>2065</v>
      </c>
      <c r="Y105" s="11">
        <v>0.18</v>
      </c>
      <c r="Z105" t="s">
        <v>2065</v>
      </c>
      <c r="AA105" s="13">
        <v>30</v>
      </c>
      <c r="AB105" s="9">
        <v>5960.3340000000007</v>
      </c>
      <c r="AC105" s="9">
        <v>3210.9</v>
      </c>
      <c r="AD105" s="9">
        <v>2749.4340000000007</v>
      </c>
      <c r="AE105" s="11">
        <v>0.46128857879440988</v>
      </c>
    </row>
    <row r="106" spans="1:31" x14ac:dyDescent="0.3">
      <c r="A106" t="s">
        <v>119</v>
      </c>
      <c r="B106" s="4">
        <v>45549</v>
      </c>
      <c r="C106" s="4" t="str">
        <f t="shared" si="5"/>
        <v>Sep-2024</v>
      </c>
      <c r="D106" s="4" t="str">
        <f t="shared" si="6"/>
        <v>Q3-2024</v>
      </c>
      <c r="E106" s="4">
        <v>45570</v>
      </c>
      <c r="F106" t="s">
        <v>2064</v>
      </c>
      <c r="G106" s="4">
        <v>45570</v>
      </c>
      <c r="H106" s="13">
        <v>21</v>
      </c>
      <c r="I106" s="7" t="s">
        <v>647</v>
      </c>
      <c r="J106" s="7" t="s">
        <v>659</v>
      </c>
      <c r="K106" s="7" t="s">
        <v>685</v>
      </c>
      <c r="M106" s="7" t="s">
        <v>705</v>
      </c>
      <c r="N106" s="7" t="s">
        <v>708</v>
      </c>
      <c r="O106" s="7" t="s">
        <v>722</v>
      </c>
      <c r="P106" s="7" t="s">
        <v>731</v>
      </c>
      <c r="Q106" s="7" t="s">
        <v>1532</v>
      </c>
      <c r="R106" s="9">
        <v>1405.56</v>
      </c>
      <c r="S106" s="9">
        <v>2968.87</v>
      </c>
      <c r="T106" s="9">
        <v>2968.87</v>
      </c>
      <c r="U106" s="9">
        <f t="shared" si="9"/>
        <v>824.57899999999995</v>
      </c>
      <c r="V106" s="9">
        <f t="shared" si="7"/>
        <v>1599.0928000000006</v>
      </c>
      <c r="W106" s="9" t="str">
        <f t="shared" si="8"/>
        <v>High</v>
      </c>
      <c r="X106" t="s">
        <v>2065</v>
      </c>
      <c r="Y106" s="11">
        <v>0.16900000000000001</v>
      </c>
      <c r="Z106" t="s">
        <v>2065</v>
      </c>
      <c r="AA106" s="13">
        <v>5</v>
      </c>
      <c r="AB106" s="9">
        <v>12335.654849999999</v>
      </c>
      <c r="AC106" s="9">
        <v>7027.7999999999993</v>
      </c>
      <c r="AD106" s="9">
        <v>5307.8548499999997</v>
      </c>
      <c r="AE106" s="11">
        <v>0.4302856163327235</v>
      </c>
    </row>
    <row r="107" spans="1:31" x14ac:dyDescent="0.3">
      <c r="A107" t="s">
        <v>120</v>
      </c>
      <c r="B107" s="4">
        <v>45433</v>
      </c>
      <c r="C107" s="4" t="str">
        <f t="shared" si="5"/>
        <v>May-2024</v>
      </c>
      <c r="D107" s="4" t="str">
        <f t="shared" si="6"/>
        <v>Q2-2024</v>
      </c>
      <c r="E107" s="4">
        <v>45439</v>
      </c>
      <c r="F107" t="s">
        <v>2064</v>
      </c>
      <c r="G107" s="4">
        <v>45439</v>
      </c>
      <c r="H107" s="13">
        <v>6</v>
      </c>
      <c r="I107" s="7" t="s">
        <v>646</v>
      </c>
      <c r="J107" s="7" t="s">
        <v>661</v>
      </c>
      <c r="K107" s="7" t="s">
        <v>682</v>
      </c>
      <c r="M107" s="7" t="s">
        <v>703</v>
      </c>
      <c r="N107" s="7" t="s">
        <v>708</v>
      </c>
      <c r="O107" s="7" t="s">
        <v>724</v>
      </c>
      <c r="P107" s="7" t="s">
        <v>727</v>
      </c>
      <c r="Q107" s="7" t="s">
        <v>1533</v>
      </c>
      <c r="R107" s="9">
        <v>1157.51</v>
      </c>
      <c r="S107" s="9">
        <v>1394.3</v>
      </c>
      <c r="T107" s="9">
        <v>1394.3</v>
      </c>
      <c r="U107" s="9">
        <f t="shared" si="9"/>
        <v>824.39750000000004</v>
      </c>
      <c r="V107" s="9">
        <f t="shared" si="7"/>
        <v>1595.15</v>
      </c>
      <c r="W107" s="9" t="str">
        <f t="shared" si="8"/>
        <v>Medium</v>
      </c>
      <c r="X107" t="s">
        <v>2065</v>
      </c>
      <c r="Y107" s="11">
        <v>0.27800000000000002</v>
      </c>
      <c r="Z107" t="s">
        <v>2065</v>
      </c>
      <c r="AA107" s="13">
        <v>12</v>
      </c>
      <c r="AB107" s="9">
        <v>12080.215199999999</v>
      </c>
      <c r="AC107" s="9">
        <v>13890.119999999999</v>
      </c>
      <c r="AD107" s="9">
        <v>-1809.9048000000003</v>
      </c>
      <c r="AE107" s="11">
        <v>-0.14982388724333326</v>
      </c>
    </row>
    <row r="108" spans="1:31" x14ac:dyDescent="0.3">
      <c r="A108" t="s">
        <v>121</v>
      </c>
      <c r="B108" s="4">
        <v>45057</v>
      </c>
      <c r="C108" s="4" t="str">
        <f t="shared" si="5"/>
        <v>May-2023</v>
      </c>
      <c r="D108" s="4" t="str">
        <f t="shared" si="6"/>
        <v>Q2-2023</v>
      </c>
      <c r="E108" s="4">
        <v>45084</v>
      </c>
      <c r="F108" t="s">
        <v>2064</v>
      </c>
      <c r="G108" s="4">
        <v>45084</v>
      </c>
      <c r="H108" s="13">
        <v>27</v>
      </c>
      <c r="I108" s="7" t="s">
        <v>646</v>
      </c>
      <c r="J108" s="7" t="s">
        <v>650</v>
      </c>
      <c r="K108" s="7" t="s">
        <v>675</v>
      </c>
      <c r="M108" s="7" t="s">
        <v>701</v>
      </c>
      <c r="N108" s="7" t="s">
        <v>708</v>
      </c>
      <c r="O108" s="7" t="s">
        <v>713</v>
      </c>
      <c r="P108" s="7" t="s">
        <v>730</v>
      </c>
      <c r="Q108" s="7" t="s">
        <v>1534</v>
      </c>
      <c r="R108" s="9">
        <v>12.85</v>
      </c>
      <c r="S108" s="9">
        <v>15.41</v>
      </c>
      <c r="T108" s="9">
        <v>15.41</v>
      </c>
      <c r="U108" s="9">
        <f t="shared" si="9"/>
        <v>823.84400000000005</v>
      </c>
      <c r="V108" s="9">
        <f t="shared" si="7"/>
        <v>1595.4015999999999</v>
      </c>
      <c r="W108" s="9" t="str">
        <f t="shared" si="8"/>
        <v>Low</v>
      </c>
      <c r="X108" t="s">
        <v>2065</v>
      </c>
      <c r="Y108" s="11">
        <v>0.13700000000000001</v>
      </c>
      <c r="Z108" t="s">
        <v>2065</v>
      </c>
      <c r="AA108" s="13">
        <v>39</v>
      </c>
      <c r="AB108" s="9">
        <v>518.65436999999997</v>
      </c>
      <c r="AC108" s="9">
        <v>501.15</v>
      </c>
      <c r="AD108" s="9">
        <v>17.504369999999994</v>
      </c>
      <c r="AE108" s="11">
        <v>3.3749585489851353E-2</v>
      </c>
    </row>
    <row r="109" spans="1:31" x14ac:dyDescent="0.3">
      <c r="A109" t="s">
        <v>122</v>
      </c>
      <c r="B109" s="4">
        <v>45518</v>
      </c>
      <c r="C109" s="4" t="str">
        <f t="shared" si="5"/>
        <v>Aug-2024</v>
      </c>
      <c r="D109" s="4" t="str">
        <f t="shared" si="6"/>
        <v>Q3-2024</v>
      </c>
      <c r="E109" s="4">
        <v>45539</v>
      </c>
      <c r="F109" t="s">
        <v>2064</v>
      </c>
      <c r="G109" s="4">
        <v>45539</v>
      </c>
      <c r="H109" s="13">
        <v>21</v>
      </c>
      <c r="I109" s="7" t="s">
        <v>649</v>
      </c>
      <c r="J109" s="7" t="s">
        <v>658</v>
      </c>
      <c r="K109" s="7" t="s">
        <v>693</v>
      </c>
      <c r="M109" s="7" t="s">
        <v>703</v>
      </c>
      <c r="N109" s="7" t="s">
        <v>708</v>
      </c>
      <c r="O109" s="7" t="s">
        <v>713</v>
      </c>
      <c r="P109" s="7" t="s">
        <v>730</v>
      </c>
      <c r="Q109" s="7" t="s">
        <v>1535</v>
      </c>
      <c r="R109" s="9">
        <v>1138.8</v>
      </c>
      <c r="S109" s="9">
        <v>2250.81</v>
      </c>
      <c r="T109" s="9">
        <v>2250.81</v>
      </c>
      <c r="U109" s="9">
        <f t="shared" si="9"/>
        <v>824.58449999999993</v>
      </c>
      <c r="V109" s="9">
        <f t="shared" si="7"/>
        <v>1599.5394000000001</v>
      </c>
      <c r="W109" s="9" t="str">
        <f t="shared" si="8"/>
        <v>High</v>
      </c>
      <c r="X109" t="s">
        <v>2065</v>
      </c>
      <c r="Y109" s="11">
        <v>0.123</v>
      </c>
      <c r="Z109" t="s">
        <v>2065</v>
      </c>
      <c r="AA109" s="13">
        <v>12</v>
      </c>
      <c r="AB109" s="9">
        <v>23687.524440000001</v>
      </c>
      <c r="AC109" s="9">
        <v>13665.599999999999</v>
      </c>
      <c r="AD109" s="9">
        <v>10021.924440000003</v>
      </c>
      <c r="AE109" s="11">
        <v>0.42308872188756258</v>
      </c>
    </row>
    <row r="110" spans="1:31" x14ac:dyDescent="0.3">
      <c r="A110" t="s">
        <v>123</v>
      </c>
      <c r="B110" s="4">
        <v>45581</v>
      </c>
      <c r="C110" s="4" t="str">
        <f t="shared" si="5"/>
        <v>Oct-2024</v>
      </c>
      <c r="D110" s="4" t="str">
        <f t="shared" si="6"/>
        <v>Q4-2024</v>
      </c>
      <c r="E110" s="4">
        <v>45604</v>
      </c>
      <c r="F110" t="s">
        <v>2064</v>
      </c>
      <c r="G110" s="4">
        <v>45604</v>
      </c>
      <c r="H110" s="13">
        <v>23</v>
      </c>
      <c r="I110" s="7" t="s">
        <v>647</v>
      </c>
      <c r="J110" s="7" t="s">
        <v>652</v>
      </c>
      <c r="K110" s="7" t="s">
        <v>666</v>
      </c>
      <c r="M110" s="7" t="s">
        <v>705</v>
      </c>
      <c r="N110" s="7" t="s">
        <v>707</v>
      </c>
      <c r="O110" s="7" t="s">
        <v>713</v>
      </c>
      <c r="P110" s="7" t="s">
        <v>729</v>
      </c>
      <c r="Q110" s="7" t="s">
        <v>1536</v>
      </c>
      <c r="R110" s="9">
        <v>82.14</v>
      </c>
      <c r="S110" s="9">
        <v>166.04</v>
      </c>
      <c r="T110" s="9">
        <v>166.04</v>
      </c>
      <c r="U110" s="9">
        <f t="shared" si="9"/>
        <v>824.40300000000002</v>
      </c>
      <c r="V110" s="9">
        <f t="shared" si="7"/>
        <v>1595.1648</v>
      </c>
      <c r="W110" s="9" t="str">
        <f t="shared" si="8"/>
        <v>Low</v>
      </c>
      <c r="X110" t="s">
        <v>2065</v>
      </c>
      <c r="Y110" s="11">
        <v>0</v>
      </c>
      <c r="Z110" t="s">
        <v>2065</v>
      </c>
      <c r="AA110" s="13">
        <v>10</v>
      </c>
      <c r="AB110" s="9">
        <v>1660.3999999999999</v>
      </c>
      <c r="AC110" s="9">
        <v>821.4</v>
      </c>
      <c r="AD110" s="9">
        <v>838.99999999999989</v>
      </c>
      <c r="AE110" s="11">
        <v>0.50529992772825827</v>
      </c>
    </row>
    <row r="111" spans="1:31" x14ac:dyDescent="0.3">
      <c r="A111" t="s">
        <v>124</v>
      </c>
      <c r="B111" s="4">
        <v>45445</v>
      </c>
      <c r="C111" s="4" t="str">
        <f t="shared" si="5"/>
        <v>Jun-2024</v>
      </c>
      <c r="D111" s="4" t="str">
        <f t="shared" si="6"/>
        <v>Q2-2024</v>
      </c>
      <c r="E111" s="4">
        <v>45451</v>
      </c>
      <c r="F111" t="s">
        <v>2064</v>
      </c>
      <c r="G111" s="4">
        <v>45451</v>
      </c>
      <c r="H111" s="13">
        <v>6</v>
      </c>
      <c r="I111" s="7" t="s">
        <v>646</v>
      </c>
      <c r="J111" s="7" t="s">
        <v>650</v>
      </c>
      <c r="K111" s="7" t="s">
        <v>662</v>
      </c>
      <c r="M111" s="7" t="s">
        <v>704</v>
      </c>
      <c r="N111" s="7" t="s">
        <v>709</v>
      </c>
      <c r="O111" s="7" t="s">
        <v>720</v>
      </c>
      <c r="P111" s="7" t="s">
        <v>733</v>
      </c>
      <c r="Q111" s="7" t="s">
        <v>1537</v>
      </c>
      <c r="R111" s="9">
        <v>292.94</v>
      </c>
      <c r="S111" s="9">
        <v>356.55</v>
      </c>
      <c r="T111" s="9">
        <v>356.55</v>
      </c>
      <c r="U111" s="9">
        <f t="shared" si="9"/>
        <v>824.77149999999995</v>
      </c>
      <c r="V111" s="9">
        <f t="shared" si="7"/>
        <v>1595.4164000000001</v>
      </c>
      <c r="W111" s="9" t="str">
        <f t="shared" si="8"/>
        <v>Low</v>
      </c>
      <c r="X111" t="s">
        <v>2065</v>
      </c>
      <c r="Y111" s="11">
        <v>0.22900000000000001</v>
      </c>
      <c r="Z111" t="s">
        <v>2065</v>
      </c>
      <c r="AA111" s="13">
        <v>2</v>
      </c>
      <c r="AB111" s="9">
        <v>549.80010000000004</v>
      </c>
      <c r="AC111" s="9">
        <v>585.88</v>
      </c>
      <c r="AD111" s="9">
        <v>-36.079899999999952</v>
      </c>
      <c r="AE111" s="11">
        <v>-6.5623669402751925E-2</v>
      </c>
    </row>
    <row r="112" spans="1:31" x14ac:dyDescent="0.3">
      <c r="A112" t="s">
        <v>125</v>
      </c>
      <c r="B112" s="4">
        <v>45452</v>
      </c>
      <c r="C112" s="4" t="str">
        <f t="shared" si="5"/>
        <v>Jun-2024</v>
      </c>
      <c r="D112" s="4" t="str">
        <f t="shared" si="6"/>
        <v>Q2-2024</v>
      </c>
      <c r="E112" s="4">
        <v>45480</v>
      </c>
      <c r="F112" t="s">
        <v>2064</v>
      </c>
      <c r="G112" s="4">
        <v>45480</v>
      </c>
      <c r="H112" s="13">
        <v>28</v>
      </c>
      <c r="I112" s="7" t="s">
        <v>647</v>
      </c>
      <c r="J112" s="7" t="s">
        <v>659</v>
      </c>
      <c r="K112" s="7" t="s">
        <v>676</v>
      </c>
      <c r="M112" s="7" t="s">
        <v>701</v>
      </c>
      <c r="N112" s="7" t="s">
        <v>708</v>
      </c>
      <c r="O112" s="7" t="s">
        <v>713</v>
      </c>
      <c r="P112" s="7" t="s">
        <v>727</v>
      </c>
      <c r="Q112" s="7" t="s">
        <v>1538</v>
      </c>
      <c r="R112" s="9">
        <v>550.22</v>
      </c>
      <c r="S112" s="9">
        <v>1025.05</v>
      </c>
      <c r="T112" s="9">
        <v>1025.05</v>
      </c>
      <c r="U112" s="9">
        <f t="shared" si="9"/>
        <v>825.80600000000004</v>
      </c>
      <c r="V112" s="9">
        <f t="shared" si="7"/>
        <v>1599.9859999999996</v>
      </c>
      <c r="W112" s="9" t="str">
        <f t="shared" si="8"/>
        <v>Medium</v>
      </c>
      <c r="X112" t="s">
        <v>2065</v>
      </c>
      <c r="Y112" s="11">
        <v>0</v>
      </c>
      <c r="Z112" t="s">
        <v>2065</v>
      </c>
      <c r="AA112" s="13">
        <v>27</v>
      </c>
      <c r="AB112" s="9">
        <v>27676.35</v>
      </c>
      <c r="AC112" s="9">
        <v>14855.94</v>
      </c>
      <c r="AD112" s="9">
        <v>12820.409999999998</v>
      </c>
      <c r="AE112" s="11">
        <v>0.46322618408858102</v>
      </c>
    </row>
    <row r="113" spans="1:31" x14ac:dyDescent="0.3">
      <c r="A113" t="s">
        <v>126</v>
      </c>
      <c r="B113" s="4">
        <v>45453</v>
      </c>
      <c r="C113" s="4" t="str">
        <f t="shared" si="5"/>
        <v>Jun-2024</v>
      </c>
      <c r="D113" s="4" t="str">
        <f t="shared" si="6"/>
        <v>Q2-2024</v>
      </c>
      <c r="E113" s="4">
        <v>45454</v>
      </c>
      <c r="F113" t="s">
        <v>2064</v>
      </c>
      <c r="G113" s="4">
        <v>45454</v>
      </c>
      <c r="H113" s="13">
        <v>1</v>
      </c>
      <c r="I113" s="7" t="s">
        <v>649</v>
      </c>
      <c r="J113" s="7" t="s">
        <v>658</v>
      </c>
      <c r="K113" s="7" t="s">
        <v>674</v>
      </c>
      <c r="M113" s="7" t="s">
        <v>705</v>
      </c>
      <c r="N113" s="7" t="s">
        <v>709</v>
      </c>
      <c r="O113" s="7" t="s">
        <v>724</v>
      </c>
      <c r="P113" s="7" t="s">
        <v>731</v>
      </c>
      <c r="Q113" s="7" t="s">
        <v>1539</v>
      </c>
      <c r="R113" s="9">
        <v>1187.1300000000001</v>
      </c>
      <c r="S113" s="9">
        <v>1795.17</v>
      </c>
      <c r="T113" s="9">
        <v>1795.17</v>
      </c>
      <c r="U113" s="9">
        <f t="shared" si="9"/>
        <v>825.25819999999999</v>
      </c>
      <c r="V113" s="9">
        <f t="shared" si="7"/>
        <v>1607.5782000000004</v>
      </c>
      <c r="W113" s="9" t="str">
        <f t="shared" si="8"/>
        <v>High</v>
      </c>
      <c r="X113" t="s">
        <v>2065</v>
      </c>
      <c r="Y113" s="11">
        <v>1.2E-2</v>
      </c>
      <c r="Z113" t="s">
        <v>2065</v>
      </c>
      <c r="AA113" s="13">
        <v>17</v>
      </c>
      <c r="AB113" s="9">
        <v>30151.675319999998</v>
      </c>
      <c r="AC113" s="9">
        <v>20181.210000000003</v>
      </c>
      <c r="AD113" s="9">
        <v>9970.4653199999957</v>
      </c>
      <c r="AE113" s="11">
        <v>0.33067699271046663</v>
      </c>
    </row>
    <row r="114" spans="1:31" x14ac:dyDescent="0.3">
      <c r="A114" t="s">
        <v>127</v>
      </c>
      <c r="B114" s="4">
        <v>45472</v>
      </c>
      <c r="C114" s="4" t="str">
        <f t="shared" si="5"/>
        <v>Jun-2024</v>
      </c>
      <c r="D114" s="4" t="str">
        <f t="shared" si="6"/>
        <v>Q2-2024</v>
      </c>
      <c r="E114" s="4">
        <v>45499</v>
      </c>
      <c r="F114" t="s">
        <v>2064</v>
      </c>
      <c r="G114" s="4">
        <v>45499</v>
      </c>
      <c r="H114" s="13">
        <v>27</v>
      </c>
      <c r="I114" s="7" t="s">
        <v>646</v>
      </c>
      <c r="J114" s="7" t="s">
        <v>661</v>
      </c>
      <c r="K114" s="7" t="s">
        <v>687</v>
      </c>
      <c r="M114" s="7" t="s">
        <v>706</v>
      </c>
      <c r="N114" s="7" t="s">
        <v>710</v>
      </c>
      <c r="O114" s="7" t="s">
        <v>717</v>
      </c>
      <c r="P114" s="7" t="s">
        <v>729</v>
      </c>
      <c r="Q114" s="7" t="s">
        <v>1540</v>
      </c>
      <c r="R114" s="9">
        <v>5.36</v>
      </c>
      <c r="S114" s="9">
        <v>4.37</v>
      </c>
      <c r="T114" s="9">
        <v>4.37</v>
      </c>
      <c r="U114" s="9">
        <f t="shared" si="9"/>
        <v>824.77699999999993</v>
      </c>
      <c r="V114" s="9">
        <f t="shared" si="7"/>
        <v>1595.4312</v>
      </c>
      <c r="W114" s="9" t="str">
        <f t="shared" si="8"/>
        <v>Low</v>
      </c>
      <c r="X114" t="s">
        <v>2065</v>
      </c>
      <c r="Y114" s="11">
        <v>0.11799999999999999</v>
      </c>
      <c r="Z114" t="s">
        <v>2065</v>
      </c>
      <c r="AA114" s="13">
        <v>9</v>
      </c>
      <c r="AB114" s="9">
        <v>34.689059999999998</v>
      </c>
      <c r="AC114" s="9">
        <v>48.24</v>
      </c>
      <c r="AD114" s="9">
        <v>-13.550940000000004</v>
      </c>
      <c r="AE114" s="11">
        <v>-0.39064016148030545</v>
      </c>
    </row>
    <row r="115" spans="1:31" x14ac:dyDescent="0.3">
      <c r="A115" t="s">
        <v>128</v>
      </c>
      <c r="B115" s="4">
        <v>45674</v>
      </c>
      <c r="C115" s="4" t="str">
        <f t="shared" si="5"/>
        <v>Jan-2025</v>
      </c>
      <c r="D115" s="4" t="str">
        <f t="shared" si="6"/>
        <v>Q1-2025</v>
      </c>
      <c r="E115" s="4">
        <v>45681</v>
      </c>
      <c r="F115" t="s">
        <v>2064</v>
      </c>
      <c r="G115" s="4">
        <v>45681</v>
      </c>
      <c r="H115" s="13">
        <v>7</v>
      </c>
      <c r="I115" s="7" t="s">
        <v>648</v>
      </c>
      <c r="J115" s="7" t="s">
        <v>1425</v>
      </c>
      <c r="K115" s="7" t="s">
        <v>697</v>
      </c>
      <c r="M115" s="7" t="s">
        <v>706</v>
      </c>
      <c r="N115" s="7" t="s">
        <v>708</v>
      </c>
      <c r="O115" s="7" t="s">
        <v>715</v>
      </c>
      <c r="P115" s="7" t="s">
        <v>733</v>
      </c>
      <c r="Q115" s="7" t="s">
        <v>1541</v>
      </c>
      <c r="R115" s="9">
        <v>142.09</v>
      </c>
      <c r="S115" s="9">
        <v>218.5</v>
      </c>
      <c r="T115" s="9">
        <v>218.5</v>
      </c>
      <c r="U115" s="9">
        <f t="shared" si="9"/>
        <v>825.82259999999997</v>
      </c>
      <c r="V115" s="9">
        <f t="shared" si="7"/>
        <v>1600.4326000000005</v>
      </c>
      <c r="W115" s="9" t="str">
        <f t="shared" si="8"/>
        <v>Low</v>
      </c>
      <c r="X115" t="s">
        <v>2065</v>
      </c>
      <c r="Y115" s="11">
        <v>0.11899999999999999</v>
      </c>
      <c r="Z115" t="s">
        <v>2065</v>
      </c>
      <c r="AA115" s="13">
        <v>11</v>
      </c>
      <c r="AB115" s="9">
        <v>2117.4834999999998</v>
      </c>
      <c r="AC115" s="9">
        <v>1562.99</v>
      </c>
      <c r="AD115" s="9">
        <v>554.49349999999981</v>
      </c>
      <c r="AE115" s="11">
        <v>0.26186437816398561</v>
      </c>
    </row>
    <row r="116" spans="1:31" x14ac:dyDescent="0.3">
      <c r="A116" t="s">
        <v>129</v>
      </c>
      <c r="B116" s="4">
        <v>45250</v>
      </c>
      <c r="C116" s="4" t="str">
        <f t="shared" si="5"/>
        <v>Nov-2023</v>
      </c>
      <c r="D116" s="4" t="str">
        <f t="shared" si="6"/>
        <v>Q4-2023</v>
      </c>
      <c r="E116" s="4">
        <v>45265</v>
      </c>
      <c r="F116" t="s">
        <v>2064</v>
      </c>
      <c r="G116" s="4">
        <v>45265</v>
      </c>
      <c r="H116" s="13">
        <v>15</v>
      </c>
      <c r="I116" s="7" t="s">
        <v>647</v>
      </c>
      <c r="J116" s="7" t="s">
        <v>652</v>
      </c>
      <c r="K116" s="7" t="s">
        <v>689</v>
      </c>
      <c r="M116" s="7" t="s">
        <v>706</v>
      </c>
      <c r="N116" s="7" t="s">
        <v>707</v>
      </c>
      <c r="O116" s="7" t="s">
        <v>716</v>
      </c>
      <c r="P116" s="7" t="s">
        <v>729</v>
      </c>
      <c r="Q116" s="7" t="s">
        <v>1542</v>
      </c>
      <c r="R116" s="9">
        <v>354.24</v>
      </c>
      <c r="S116" s="9">
        <v>249.87</v>
      </c>
      <c r="T116" s="9">
        <v>249.87</v>
      </c>
      <c r="U116" s="9">
        <f t="shared" si="9"/>
        <v>828.49160000000006</v>
      </c>
      <c r="V116" s="9">
        <f t="shared" si="7"/>
        <v>1608.0247999999999</v>
      </c>
      <c r="W116" s="9" t="str">
        <f t="shared" si="8"/>
        <v>Low</v>
      </c>
      <c r="X116" t="s">
        <v>2065</v>
      </c>
      <c r="Y116" s="11">
        <v>0</v>
      </c>
      <c r="Z116" t="s">
        <v>2065</v>
      </c>
      <c r="AA116" s="13">
        <v>6</v>
      </c>
      <c r="AB116" s="9">
        <v>1499.22</v>
      </c>
      <c r="AC116" s="9">
        <v>2125.44</v>
      </c>
      <c r="AD116" s="9">
        <v>-626.22</v>
      </c>
      <c r="AE116" s="11">
        <v>-0.41769720254532355</v>
      </c>
    </row>
    <row r="117" spans="1:31" x14ac:dyDescent="0.3">
      <c r="A117" t="s">
        <v>130</v>
      </c>
      <c r="B117" s="4">
        <v>44987</v>
      </c>
      <c r="C117" s="4" t="str">
        <f t="shared" si="5"/>
        <v>Mar-2023</v>
      </c>
      <c r="D117" s="4" t="str">
        <f t="shared" si="6"/>
        <v>Q1-2023</v>
      </c>
      <c r="E117" s="4">
        <v>44990</v>
      </c>
      <c r="F117" t="s">
        <v>2064</v>
      </c>
      <c r="G117" s="4">
        <v>44990</v>
      </c>
      <c r="H117" s="13">
        <v>3</v>
      </c>
      <c r="I117" s="7" t="s">
        <v>648</v>
      </c>
      <c r="J117" s="7" t="s">
        <v>655</v>
      </c>
      <c r="K117" s="7" t="s">
        <v>672</v>
      </c>
      <c r="M117" s="7" t="s">
        <v>706</v>
      </c>
      <c r="N117" s="7" t="s">
        <v>711</v>
      </c>
      <c r="O117" s="7" t="s">
        <v>715</v>
      </c>
      <c r="P117" s="7" t="s">
        <v>732</v>
      </c>
      <c r="Q117" s="7" t="s">
        <v>1543</v>
      </c>
      <c r="R117" s="9">
        <v>1473.58</v>
      </c>
      <c r="S117" s="9">
        <v>3436.52</v>
      </c>
      <c r="T117" s="9">
        <v>3436.52</v>
      </c>
      <c r="U117" s="9">
        <f t="shared" si="9"/>
        <v>833.32900000000018</v>
      </c>
      <c r="V117" s="9">
        <f t="shared" si="7"/>
        <v>1615.6170000000006</v>
      </c>
      <c r="W117" s="9" t="str">
        <f t="shared" si="8"/>
        <v>High</v>
      </c>
      <c r="X117" t="s">
        <v>2065</v>
      </c>
      <c r="Y117" s="11">
        <v>0.108</v>
      </c>
      <c r="Z117" t="s">
        <v>2065</v>
      </c>
      <c r="AA117" s="13">
        <v>8</v>
      </c>
      <c r="AB117" s="9">
        <v>24523.006720000001</v>
      </c>
      <c r="AC117" s="9">
        <v>11788.64</v>
      </c>
      <c r="AD117" s="9">
        <v>12734.366720000002</v>
      </c>
      <c r="AE117" s="11">
        <v>0.51928243813652564</v>
      </c>
    </row>
    <row r="118" spans="1:31" x14ac:dyDescent="0.3">
      <c r="A118" t="s">
        <v>131</v>
      </c>
      <c r="B118" s="4">
        <v>45811</v>
      </c>
      <c r="C118" s="4" t="str">
        <f t="shared" si="5"/>
        <v>Jun-2025</v>
      </c>
      <c r="D118" s="4" t="str">
        <f t="shared" si="6"/>
        <v>Q2-2025</v>
      </c>
      <c r="E118" s="4">
        <v>45818</v>
      </c>
      <c r="F118" t="s">
        <v>2064</v>
      </c>
      <c r="G118" s="4">
        <v>45818</v>
      </c>
      <c r="H118" s="13">
        <v>7</v>
      </c>
      <c r="I118" s="7" t="s">
        <v>648</v>
      </c>
      <c r="J118" s="7" t="s">
        <v>653</v>
      </c>
      <c r="K118" s="7" t="s">
        <v>667</v>
      </c>
      <c r="M118" s="7" t="s">
        <v>704</v>
      </c>
      <c r="N118" s="7" t="s">
        <v>710</v>
      </c>
      <c r="O118" s="7" t="s">
        <v>719</v>
      </c>
      <c r="P118" s="7" t="s">
        <v>728</v>
      </c>
      <c r="Q118" s="7" t="s">
        <v>1544</v>
      </c>
      <c r="R118" s="9">
        <v>75.180000000000007</v>
      </c>
      <c r="S118" s="9">
        <v>53.45</v>
      </c>
      <c r="T118" s="9">
        <v>53.45</v>
      </c>
      <c r="U118" s="9">
        <f t="shared" si="9"/>
        <v>830.94640000000004</v>
      </c>
      <c r="V118" s="9">
        <f t="shared" si="7"/>
        <v>1600.8792000000001</v>
      </c>
      <c r="W118" s="9" t="str">
        <f t="shared" si="8"/>
        <v>Low</v>
      </c>
      <c r="X118" t="s">
        <v>2065</v>
      </c>
      <c r="Y118" s="11">
        <v>0.157</v>
      </c>
      <c r="Z118" t="s">
        <v>2065</v>
      </c>
      <c r="AA118" s="13">
        <v>17</v>
      </c>
      <c r="AB118" s="9">
        <v>765.99195000000009</v>
      </c>
      <c r="AC118" s="9">
        <v>1278.0600000000002</v>
      </c>
      <c r="AD118" s="9">
        <v>-512.06805000000008</v>
      </c>
      <c r="AE118" s="11">
        <v>-0.66850317421743144</v>
      </c>
    </row>
    <row r="119" spans="1:31" x14ac:dyDescent="0.3">
      <c r="A119" t="s">
        <v>132</v>
      </c>
      <c r="B119" s="4">
        <v>45653</v>
      </c>
      <c r="C119" s="4" t="str">
        <f t="shared" si="5"/>
        <v>Dec-2024</v>
      </c>
      <c r="D119" s="4" t="str">
        <f t="shared" si="6"/>
        <v>Q4-2024</v>
      </c>
      <c r="E119" s="4">
        <v>45659</v>
      </c>
      <c r="F119" t="s">
        <v>2064</v>
      </c>
      <c r="G119" s="4">
        <v>45659</v>
      </c>
      <c r="H119" s="13">
        <v>6</v>
      </c>
      <c r="I119" s="7" t="s">
        <v>649</v>
      </c>
      <c r="J119" s="7" t="s">
        <v>656</v>
      </c>
      <c r="K119" s="7" t="s">
        <v>698</v>
      </c>
      <c r="M119" s="7" t="s">
        <v>702</v>
      </c>
      <c r="N119" s="7" t="s">
        <v>711</v>
      </c>
      <c r="O119" s="7" t="s">
        <v>721</v>
      </c>
      <c r="P119" s="7" t="s">
        <v>731</v>
      </c>
      <c r="Q119" s="7" t="s">
        <v>1545</v>
      </c>
      <c r="R119" s="9">
        <v>1391.99</v>
      </c>
      <c r="S119" s="9">
        <v>3469.7</v>
      </c>
      <c r="T119" s="9">
        <v>3469.7</v>
      </c>
      <c r="U119" s="9">
        <f t="shared" si="9"/>
        <v>835.24150000000009</v>
      </c>
      <c r="V119" s="9">
        <f t="shared" si="7"/>
        <v>1608.4714000000008</v>
      </c>
      <c r="W119" s="9" t="str">
        <f t="shared" si="8"/>
        <v>High</v>
      </c>
      <c r="X119" t="s">
        <v>2065</v>
      </c>
      <c r="Y119" s="11">
        <v>0.184</v>
      </c>
      <c r="Z119" t="s">
        <v>2065</v>
      </c>
      <c r="AA119" s="13">
        <v>23</v>
      </c>
      <c r="AB119" s="9">
        <v>65119.329599999997</v>
      </c>
      <c r="AC119" s="9">
        <v>32015.77</v>
      </c>
      <c r="AD119" s="9">
        <v>33103.559599999993</v>
      </c>
      <c r="AE119" s="11">
        <v>0.50835227886006973</v>
      </c>
    </row>
    <row r="120" spans="1:31" x14ac:dyDescent="0.3">
      <c r="A120" t="s">
        <v>133</v>
      </c>
      <c r="B120" s="4">
        <v>45086</v>
      </c>
      <c r="C120" s="4" t="str">
        <f t="shared" si="5"/>
        <v>Jun-2023</v>
      </c>
      <c r="D120" s="4" t="str">
        <f t="shared" si="6"/>
        <v>Q2-2023</v>
      </c>
      <c r="E120" s="4">
        <v>45096</v>
      </c>
      <c r="F120" t="s">
        <v>2064</v>
      </c>
      <c r="G120" s="4">
        <v>45096</v>
      </c>
      <c r="H120" s="13">
        <v>10</v>
      </c>
      <c r="I120" s="7" t="s">
        <v>647</v>
      </c>
      <c r="J120" s="7" t="s">
        <v>659</v>
      </c>
      <c r="K120" s="7" t="s">
        <v>699</v>
      </c>
      <c r="M120" s="7" t="s">
        <v>706</v>
      </c>
      <c r="N120" s="7" t="s">
        <v>707</v>
      </c>
      <c r="O120" s="7" t="s">
        <v>721</v>
      </c>
      <c r="P120" s="7" t="s">
        <v>732</v>
      </c>
      <c r="Q120" s="7" t="s">
        <v>1546</v>
      </c>
      <c r="R120" s="9">
        <v>339.61</v>
      </c>
      <c r="S120" s="9">
        <v>621.02</v>
      </c>
      <c r="T120" s="9">
        <v>621.02</v>
      </c>
      <c r="U120" s="9">
        <f t="shared" si="9"/>
        <v>833.40120000000013</v>
      </c>
      <c r="V120" s="9">
        <f t="shared" si="7"/>
        <v>1595.4608000000001</v>
      </c>
      <c r="W120" s="9" t="str">
        <f t="shared" si="8"/>
        <v>Low</v>
      </c>
      <c r="X120" t="s">
        <v>2065</v>
      </c>
      <c r="Y120" s="11">
        <v>7.0999999999999994E-2</v>
      </c>
      <c r="Z120" t="s">
        <v>2065</v>
      </c>
      <c r="AA120" s="13">
        <v>10</v>
      </c>
      <c r="AB120" s="9">
        <v>5769.2758000000003</v>
      </c>
      <c r="AC120" s="9">
        <v>3396.1000000000004</v>
      </c>
      <c r="AD120" s="9">
        <v>2373.1758</v>
      </c>
      <c r="AE120" s="11">
        <v>0.41134726129750981</v>
      </c>
    </row>
    <row r="121" spans="1:31" x14ac:dyDescent="0.3">
      <c r="A121" t="s">
        <v>134</v>
      </c>
      <c r="B121" s="4">
        <v>45847</v>
      </c>
      <c r="C121" s="4" t="str">
        <f t="shared" si="5"/>
        <v>Jul-2025</v>
      </c>
      <c r="D121" s="4" t="str">
        <f t="shared" si="6"/>
        <v>Q3-2025</v>
      </c>
      <c r="E121" s="4">
        <v>45856</v>
      </c>
      <c r="F121" t="s">
        <v>2064</v>
      </c>
      <c r="G121" s="4">
        <v>45856</v>
      </c>
      <c r="H121" s="13">
        <v>9</v>
      </c>
      <c r="I121" s="7" t="s">
        <v>648</v>
      </c>
      <c r="J121" s="7" t="s">
        <v>653</v>
      </c>
      <c r="K121" s="7" t="s">
        <v>688</v>
      </c>
      <c r="M121" s="7" t="s">
        <v>702</v>
      </c>
      <c r="N121" s="7" t="s">
        <v>710</v>
      </c>
      <c r="O121" s="7" t="s">
        <v>714</v>
      </c>
      <c r="P121" s="7" t="s">
        <v>731</v>
      </c>
      <c r="Q121" s="7" t="s">
        <v>1547</v>
      </c>
      <c r="R121" s="9">
        <v>57.96</v>
      </c>
      <c r="S121" s="9">
        <v>88.51</v>
      </c>
      <c r="T121" s="9">
        <v>88.51</v>
      </c>
      <c r="U121" s="9">
        <f t="shared" si="9"/>
        <v>837.06049999999993</v>
      </c>
      <c r="V121" s="9">
        <f t="shared" si="7"/>
        <v>1601.3257999999998</v>
      </c>
      <c r="W121" s="9" t="str">
        <f t="shared" si="8"/>
        <v>Low</v>
      </c>
      <c r="X121" t="s">
        <v>2065</v>
      </c>
      <c r="Y121" s="11">
        <v>4.2999999999999997E-2</v>
      </c>
      <c r="Z121" t="s">
        <v>2065</v>
      </c>
      <c r="AA121" s="13">
        <v>7</v>
      </c>
      <c r="AB121" s="9">
        <v>592.92849000000001</v>
      </c>
      <c r="AC121" s="9">
        <v>405.72</v>
      </c>
      <c r="AD121" s="9">
        <v>187.20848999999998</v>
      </c>
      <c r="AE121" s="11">
        <v>0.3157353595877978</v>
      </c>
    </row>
    <row r="122" spans="1:31" x14ac:dyDescent="0.3">
      <c r="A122" t="s">
        <v>135</v>
      </c>
      <c r="B122" s="4">
        <v>45827</v>
      </c>
      <c r="C122" s="4" t="str">
        <f t="shared" si="5"/>
        <v>Jun-2025</v>
      </c>
      <c r="D122" s="4" t="str">
        <f t="shared" si="6"/>
        <v>Q2-2025</v>
      </c>
      <c r="E122" s="4">
        <v>45850</v>
      </c>
      <c r="F122" t="s">
        <v>2064</v>
      </c>
      <c r="G122" s="4">
        <v>45850</v>
      </c>
      <c r="H122" s="13">
        <v>23</v>
      </c>
      <c r="I122" s="7" t="s">
        <v>649</v>
      </c>
      <c r="J122" s="7" t="s">
        <v>658</v>
      </c>
      <c r="K122" s="7" t="s">
        <v>2057</v>
      </c>
      <c r="M122" s="7" t="s">
        <v>703</v>
      </c>
      <c r="N122" s="7" t="s">
        <v>711</v>
      </c>
      <c r="O122" s="7" t="s">
        <v>2057</v>
      </c>
      <c r="P122" s="7" t="s">
        <v>729</v>
      </c>
      <c r="Q122" s="7" t="s">
        <v>1548</v>
      </c>
      <c r="R122" s="9">
        <v>801.24</v>
      </c>
      <c r="S122" s="9">
        <v>1959.09</v>
      </c>
      <c r="T122" s="9">
        <v>1959.09</v>
      </c>
      <c r="U122" s="9">
        <f t="shared" si="9"/>
        <v>839.95500000000004</v>
      </c>
      <c r="V122" s="9">
        <f t="shared" si="7"/>
        <v>1608.9180000000003</v>
      </c>
      <c r="W122" s="9" t="str">
        <f t="shared" si="8"/>
        <v>High</v>
      </c>
      <c r="X122" t="s">
        <v>2065</v>
      </c>
      <c r="Y122" s="11">
        <v>0.123</v>
      </c>
      <c r="Z122" t="s">
        <v>2065</v>
      </c>
      <c r="AA122" s="13">
        <v>23</v>
      </c>
      <c r="AB122" s="9">
        <v>39516.804389999998</v>
      </c>
      <c r="AC122" s="9">
        <v>18428.52</v>
      </c>
      <c r="AD122" s="9">
        <v>21088.284389999997</v>
      </c>
      <c r="AE122" s="11">
        <v>0.53365358650651762</v>
      </c>
    </row>
    <row r="123" spans="1:31" x14ac:dyDescent="0.3">
      <c r="A123" t="s">
        <v>136</v>
      </c>
      <c r="B123" s="4">
        <v>45249</v>
      </c>
      <c r="C123" s="4" t="str">
        <f t="shared" si="5"/>
        <v>Nov-2023</v>
      </c>
      <c r="D123" s="4" t="str">
        <f t="shared" si="6"/>
        <v>Q4-2023</v>
      </c>
      <c r="E123" s="4">
        <v>45273</v>
      </c>
      <c r="F123" t="s">
        <v>2064</v>
      </c>
      <c r="G123" s="4">
        <v>45273</v>
      </c>
      <c r="H123" s="13">
        <v>24</v>
      </c>
      <c r="I123" s="7" t="s">
        <v>649</v>
      </c>
      <c r="J123" s="7" t="s">
        <v>657</v>
      </c>
      <c r="K123" s="7" t="s">
        <v>679</v>
      </c>
      <c r="M123" s="7" t="s">
        <v>703</v>
      </c>
      <c r="N123" s="7" t="s">
        <v>711</v>
      </c>
      <c r="O123" s="7" t="s">
        <v>722</v>
      </c>
      <c r="P123" s="7" t="s">
        <v>732</v>
      </c>
      <c r="Q123" s="7" t="s">
        <v>1549</v>
      </c>
      <c r="R123" s="9">
        <v>1297.42</v>
      </c>
      <c r="S123" s="9">
        <v>2742.97</v>
      </c>
      <c r="T123" s="9">
        <v>2742.97</v>
      </c>
      <c r="U123" s="9">
        <f t="shared" si="9"/>
        <v>838.87950000000001</v>
      </c>
      <c r="V123" s="9">
        <f t="shared" si="7"/>
        <v>1595.4756</v>
      </c>
      <c r="W123" s="9" t="str">
        <f t="shared" si="8"/>
        <v>High</v>
      </c>
      <c r="X123" t="s">
        <v>2065</v>
      </c>
      <c r="Y123" s="11">
        <v>6.9000000000000006E-2</v>
      </c>
      <c r="Z123" t="s">
        <v>2065</v>
      </c>
      <c r="AA123" s="13">
        <v>9</v>
      </c>
      <c r="AB123" s="9">
        <v>22983.34563</v>
      </c>
      <c r="AC123" s="9">
        <v>11676.78</v>
      </c>
      <c r="AD123" s="9">
        <v>11306.565629999999</v>
      </c>
      <c r="AE123" s="11">
        <v>0.49194602961727291</v>
      </c>
    </row>
    <row r="124" spans="1:31" x14ac:dyDescent="0.3">
      <c r="A124" t="s">
        <v>137</v>
      </c>
      <c r="B124" s="4">
        <v>45289</v>
      </c>
      <c r="C124" s="4" t="str">
        <f t="shared" si="5"/>
        <v>Dec-2023</v>
      </c>
      <c r="D124" s="4" t="str">
        <f t="shared" si="6"/>
        <v>Q4-2023</v>
      </c>
      <c r="E124" s="4">
        <v>45311</v>
      </c>
      <c r="F124" t="s">
        <v>2064</v>
      </c>
      <c r="G124" s="4">
        <v>45311</v>
      </c>
      <c r="H124" s="13">
        <v>22</v>
      </c>
      <c r="I124" s="7" t="s">
        <v>646</v>
      </c>
      <c r="J124" s="7" t="s">
        <v>650</v>
      </c>
      <c r="K124" s="7" t="s">
        <v>662</v>
      </c>
      <c r="M124" s="7" t="s">
        <v>701</v>
      </c>
      <c r="N124" s="7" t="s">
        <v>711</v>
      </c>
      <c r="O124" s="7" t="s">
        <v>716</v>
      </c>
      <c r="P124" s="7" t="s">
        <v>730</v>
      </c>
      <c r="Q124" s="7" t="s">
        <v>1550</v>
      </c>
      <c r="R124" s="9">
        <v>1395.49</v>
      </c>
      <c r="S124" s="9">
        <v>1679.42</v>
      </c>
      <c r="T124" s="9">
        <v>1679.42</v>
      </c>
      <c r="U124" s="9">
        <f t="shared" si="9"/>
        <v>837.11400000000003</v>
      </c>
      <c r="V124" s="9">
        <f t="shared" si="7"/>
        <v>1594.9872</v>
      </c>
      <c r="W124" s="9" t="str">
        <f t="shared" si="8"/>
        <v>High</v>
      </c>
      <c r="X124" t="s">
        <v>2065</v>
      </c>
      <c r="Y124" s="11">
        <v>0.20300000000000001</v>
      </c>
      <c r="Z124" t="s">
        <v>2065</v>
      </c>
      <c r="AA124" s="13">
        <v>12</v>
      </c>
      <c r="AB124" s="9">
        <v>16061.972879999999</v>
      </c>
      <c r="AC124" s="9">
        <v>16745.88</v>
      </c>
      <c r="AD124" s="9">
        <v>-683.90712000000167</v>
      </c>
      <c r="AE124" s="11">
        <v>-4.2579272490964493E-2</v>
      </c>
    </row>
    <row r="125" spans="1:31" x14ac:dyDescent="0.3">
      <c r="A125" t="s">
        <v>138</v>
      </c>
      <c r="B125" s="4">
        <v>45598</v>
      </c>
      <c r="C125" s="4" t="str">
        <f t="shared" si="5"/>
        <v>Nov-2024</v>
      </c>
      <c r="D125" s="4" t="str">
        <f t="shared" si="6"/>
        <v>Q4-2024</v>
      </c>
      <c r="E125" s="4">
        <v>45625</v>
      </c>
      <c r="F125" t="s">
        <v>2064</v>
      </c>
      <c r="G125" s="4">
        <v>45625</v>
      </c>
      <c r="H125" s="13">
        <v>27</v>
      </c>
      <c r="I125" s="7" t="s">
        <v>648</v>
      </c>
      <c r="J125" s="7" t="s">
        <v>655</v>
      </c>
      <c r="K125" s="7" t="s">
        <v>672</v>
      </c>
      <c r="M125" s="7" t="s">
        <v>705</v>
      </c>
      <c r="N125" s="7" t="s">
        <v>711</v>
      </c>
      <c r="O125" s="7" t="s">
        <v>714</v>
      </c>
      <c r="P125" s="7" t="s">
        <v>729</v>
      </c>
      <c r="Q125" s="7" t="s">
        <v>1551</v>
      </c>
      <c r="R125" s="9">
        <v>1363.51</v>
      </c>
      <c r="S125" s="9">
        <v>1433.9</v>
      </c>
      <c r="T125" s="9">
        <v>1433.9</v>
      </c>
      <c r="U125" s="9">
        <f t="shared" si="9"/>
        <v>835.34850000000006</v>
      </c>
      <c r="V125" s="9">
        <f t="shared" si="7"/>
        <v>1593.7311999999999</v>
      </c>
      <c r="W125" s="9" t="str">
        <f t="shared" si="8"/>
        <v>Medium</v>
      </c>
      <c r="X125" t="s">
        <v>2065</v>
      </c>
      <c r="Y125" s="11">
        <v>5.7000000000000002E-2</v>
      </c>
      <c r="Z125" t="s">
        <v>2065</v>
      </c>
      <c r="AA125" s="13">
        <v>8</v>
      </c>
      <c r="AB125" s="9">
        <v>10817.3416</v>
      </c>
      <c r="AC125" s="9">
        <v>10908.08</v>
      </c>
      <c r="AD125" s="9">
        <v>-90.738400000000183</v>
      </c>
      <c r="AE125" s="11">
        <v>-8.3882346842037592E-3</v>
      </c>
    </row>
    <row r="126" spans="1:31" x14ac:dyDescent="0.3">
      <c r="A126" t="s">
        <v>139</v>
      </c>
      <c r="B126" s="4">
        <v>45159</v>
      </c>
      <c r="C126" s="4" t="str">
        <f t="shared" si="5"/>
        <v>Aug-2023</v>
      </c>
      <c r="D126" s="4" t="str">
        <f t="shared" si="6"/>
        <v>Q3-2023</v>
      </c>
      <c r="E126" s="4">
        <v>45173</v>
      </c>
      <c r="F126" t="s">
        <v>2064</v>
      </c>
      <c r="G126" s="4">
        <v>45173</v>
      </c>
      <c r="H126" s="13">
        <v>14</v>
      </c>
      <c r="I126" s="7" t="s">
        <v>648</v>
      </c>
      <c r="J126" s="7" t="s">
        <v>653</v>
      </c>
      <c r="K126" s="7" t="s">
        <v>681</v>
      </c>
      <c r="M126" s="7" t="s">
        <v>702</v>
      </c>
      <c r="N126" s="7" t="s">
        <v>710</v>
      </c>
      <c r="O126" s="7" t="s">
        <v>721</v>
      </c>
      <c r="P126" s="7" t="s">
        <v>727</v>
      </c>
      <c r="Q126" s="7" t="s">
        <v>1552</v>
      </c>
      <c r="R126" s="9">
        <v>178.19</v>
      </c>
      <c r="S126" s="9">
        <v>284.43</v>
      </c>
      <c r="T126" s="9">
        <v>284.43</v>
      </c>
      <c r="U126" s="9">
        <f t="shared" si="9"/>
        <v>833.54560000000015</v>
      </c>
      <c r="V126" s="9">
        <f t="shared" si="7"/>
        <v>1594.6696000000002</v>
      </c>
      <c r="W126" s="9" t="str">
        <f t="shared" si="8"/>
        <v>Low</v>
      </c>
      <c r="X126" t="s">
        <v>2065</v>
      </c>
      <c r="Y126" s="11">
        <v>8.8999999999999996E-2</v>
      </c>
      <c r="Z126" t="s">
        <v>2065</v>
      </c>
      <c r="AA126" s="13">
        <v>8</v>
      </c>
      <c r="AB126" s="9">
        <v>2072.9258400000003</v>
      </c>
      <c r="AC126" s="9">
        <v>1425.52</v>
      </c>
      <c r="AD126" s="9">
        <v>647.40584000000035</v>
      </c>
      <c r="AE126" s="11">
        <v>0.31231500302972742</v>
      </c>
    </row>
    <row r="127" spans="1:31" x14ac:dyDescent="0.3">
      <c r="A127" t="s">
        <v>140</v>
      </c>
      <c r="B127" s="4">
        <v>45150</v>
      </c>
      <c r="C127" s="4" t="str">
        <f t="shared" si="5"/>
        <v>Aug-2023</v>
      </c>
      <c r="D127" s="4" t="str">
        <f t="shared" si="6"/>
        <v>Q3-2023</v>
      </c>
      <c r="E127" s="4">
        <v>45175</v>
      </c>
      <c r="F127" t="s">
        <v>2064</v>
      </c>
      <c r="G127" s="4">
        <v>45175</v>
      </c>
      <c r="H127" s="13">
        <v>25</v>
      </c>
      <c r="I127" s="7" t="s">
        <v>647</v>
      </c>
      <c r="J127" s="7" t="s">
        <v>659</v>
      </c>
      <c r="K127" s="7" t="s">
        <v>685</v>
      </c>
      <c r="M127" s="7" t="s">
        <v>705</v>
      </c>
      <c r="N127" s="7" t="s">
        <v>707</v>
      </c>
      <c r="O127" s="7" t="s">
        <v>717</v>
      </c>
      <c r="P127" s="7" t="s">
        <v>727</v>
      </c>
      <c r="Q127" s="7" t="s">
        <v>1553</v>
      </c>
      <c r="R127" s="9">
        <v>950.77</v>
      </c>
      <c r="S127" s="9">
        <v>694.78</v>
      </c>
      <c r="T127" s="9">
        <v>694.78</v>
      </c>
      <c r="U127" s="9">
        <f t="shared" si="9"/>
        <v>837.16750000000002</v>
      </c>
      <c r="V127" s="9">
        <f t="shared" si="7"/>
        <v>1595.002</v>
      </c>
      <c r="W127" s="9" t="str">
        <f t="shared" si="8"/>
        <v>Low</v>
      </c>
      <c r="X127" t="s">
        <v>2065</v>
      </c>
      <c r="Y127" s="11">
        <v>8.4000000000000005E-2</v>
      </c>
      <c r="Z127" t="s">
        <v>2065</v>
      </c>
      <c r="AA127" s="13">
        <v>14</v>
      </c>
      <c r="AB127" s="9">
        <v>8909.8587200000002</v>
      </c>
      <c r="AC127" s="9">
        <v>13310.779999999999</v>
      </c>
      <c r="AD127" s="9">
        <v>-4400.9212799999987</v>
      </c>
      <c r="AE127" s="11">
        <v>-0.49393839097821279</v>
      </c>
    </row>
    <row r="128" spans="1:31" x14ac:dyDescent="0.3">
      <c r="A128" t="s">
        <v>141</v>
      </c>
      <c r="B128" s="4">
        <v>45450</v>
      </c>
      <c r="C128" s="4" t="str">
        <f t="shared" si="5"/>
        <v>Jun-2024</v>
      </c>
      <c r="D128" s="4" t="str">
        <f t="shared" si="6"/>
        <v>Q2-2024</v>
      </c>
      <c r="E128" s="4">
        <v>45469</v>
      </c>
      <c r="F128" t="s">
        <v>2064</v>
      </c>
      <c r="G128" s="4">
        <v>45469</v>
      </c>
      <c r="H128" s="13">
        <v>19</v>
      </c>
      <c r="I128" s="7" t="s">
        <v>649</v>
      </c>
      <c r="J128" s="7" t="s">
        <v>656</v>
      </c>
      <c r="K128" s="7" t="s">
        <v>671</v>
      </c>
      <c r="M128" s="7" t="s">
        <v>703</v>
      </c>
      <c r="N128" s="7" t="s">
        <v>709</v>
      </c>
      <c r="O128" s="7" t="s">
        <v>724</v>
      </c>
      <c r="P128" s="7" t="s">
        <v>727</v>
      </c>
      <c r="Q128" s="7" t="s">
        <v>1554</v>
      </c>
      <c r="R128" s="9">
        <v>1064.32</v>
      </c>
      <c r="S128" s="9">
        <v>1848.39</v>
      </c>
      <c r="T128" s="9">
        <v>1848.39</v>
      </c>
      <c r="U128" s="9">
        <f t="shared" si="9"/>
        <v>840.01600000000008</v>
      </c>
      <c r="V128" s="9">
        <f t="shared" si="7"/>
        <v>1595.2536</v>
      </c>
      <c r="W128" s="9" t="str">
        <f t="shared" si="8"/>
        <v>High</v>
      </c>
      <c r="X128" t="s">
        <v>2065</v>
      </c>
      <c r="Y128" s="11">
        <v>7.2999999999999995E-2</v>
      </c>
      <c r="Z128" t="s">
        <v>2065</v>
      </c>
      <c r="AA128" s="13">
        <v>38</v>
      </c>
      <c r="AB128" s="9">
        <v>65111.38614000001</v>
      </c>
      <c r="AC128" s="9">
        <v>40444.159999999996</v>
      </c>
      <c r="AD128" s="9">
        <v>24667.226140000013</v>
      </c>
      <c r="AE128" s="11">
        <v>0.3788465827921631</v>
      </c>
    </row>
    <row r="129" spans="1:31" x14ac:dyDescent="0.3">
      <c r="A129" t="s">
        <v>142</v>
      </c>
      <c r="B129" s="4">
        <v>45874</v>
      </c>
      <c r="C129" s="4" t="str">
        <f t="shared" si="5"/>
        <v>Aug-2025</v>
      </c>
      <c r="D129" s="4" t="str">
        <f t="shared" si="6"/>
        <v>Q3-2025</v>
      </c>
      <c r="E129" s="4">
        <v>45883</v>
      </c>
      <c r="F129" t="s">
        <v>2064</v>
      </c>
      <c r="G129" s="4">
        <v>45883</v>
      </c>
      <c r="H129" s="13">
        <v>9</v>
      </c>
      <c r="I129" s="7" t="s">
        <v>649</v>
      </c>
      <c r="J129" s="7" t="s">
        <v>658</v>
      </c>
      <c r="K129" s="7" t="s">
        <v>683</v>
      </c>
      <c r="M129" s="7" t="s">
        <v>703</v>
      </c>
      <c r="N129" s="7" t="s">
        <v>711</v>
      </c>
      <c r="O129" s="7" t="s">
        <v>718</v>
      </c>
      <c r="P129" s="7" t="s">
        <v>727</v>
      </c>
      <c r="Q129" s="7" t="s">
        <v>1555</v>
      </c>
      <c r="R129" s="9">
        <v>41.76</v>
      </c>
      <c r="S129" s="9">
        <v>45.19</v>
      </c>
      <c r="T129" s="9">
        <v>45.19</v>
      </c>
      <c r="U129" s="9">
        <f t="shared" si="9"/>
        <v>838.98649999999998</v>
      </c>
      <c r="V129" s="9">
        <f t="shared" si="7"/>
        <v>1594.7248</v>
      </c>
      <c r="W129" s="9" t="str">
        <f t="shared" si="8"/>
        <v>Low</v>
      </c>
      <c r="X129" t="s">
        <v>2065</v>
      </c>
      <c r="Y129" s="11">
        <v>0.17899999999999999</v>
      </c>
      <c r="Z129" t="s">
        <v>2065</v>
      </c>
      <c r="AA129" s="13">
        <v>23</v>
      </c>
      <c r="AB129" s="9">
        <v>853.32276999999988</v>
      </c>
      <c r="AC129" s="9">
        <v>960.4799999999999</v>
      </c>
      <c r="AD129" s="9">
        <v>-107.15723000000003</v>
      </c>
      <c r="AE129" s="11">
        <v>-0.12557643340514638</v>
      </c>
    </row>
    <row r="130" spans="1:31" x14ac:dyDescent="0.3">
      <c r="A130" t="s">
        <v>143</v>
      </c>
      <c r="B130" s="4">
        <v>45442</v>
      </c>
      <c r="C130" s="4" t="str">
        <f t="shared" si="5"/>
        <v>May-2024</v>
      </c>
      <c r="D130" s="4" t="str">
        <f t="shared" si="6"/>
        <v>Q2-2024</v>
      </c>
      <c r="E130" s="4">
        <v>45456</v>
      </c>
      <c r="F130" t="s">
        <v>2064</v>
      </c>
      <c r="G130" s="4">
        <v>45456</v>
      </c>
      <c r="H130" s="13">
        <v>14</v>
      </c>
      <c r="I130" s="7" t="s">
        <v>648</v>
      </c>
      <c r="J130" s="7" t="s">
        <v>1425</v>
      </c>
      <c r="K130" s="7" t="s">
        <v>686</v>
      </c>
      <c r="M130" s="7" t="s">
        <v>705</v>
      </c>
      <c r="N130" s="7" t="s">
        <v>707</v>
      </c>
      <c r="O130" s="7" t="s">
        <v>721</v>
      </c>
      <c r="P130" s="7" t="s">
        <v>730</v>
      </c>
      <c r="Q130" s="7" t="s">
        <v>1556</v>
      </c>
      <c r="R130" s="9">
        <v>157.78</v>
      </c>
      <c r="S130" s="9">
        <v>361.1</v>
      </c>
      <c r="T130" s="9">
        <v>361.1</v>
      </c>
      <c r="U130" s="9">
        <f t="shared" si="9"/>
        <v>841.053</v>
      </c>
      <c r="V130" s="9">
        <f t="shared" si="7"/>
        <v>1595.0167999999999</v>
      </c>
      <c r="W130" s="9" t="str">
        <f t="shared" si="8"/>
        <v>Low</v>
      </c>
      <c r="X130" t="s">
        <v>2065</v>
      </c>
      <c r="Y130" s="11">
        <v>0.187</v>
      </c>
      <c r="Z130" t="s">
        <v>2065</v>
      </c>
      <c r="AA130" s="13">
        <v>9</v>
      </c>
      <c r="AB130" s="9">
        <v>2642.1686999999997</v>
      </c>
      <c r="AC130" s="9">
        <v>1420.02</v>
      </c>
      <c r="AD130" s="9">
        <v>1222.1486999999997</v>
      </c>
      <c r="AE130" s="11">
        <v>0.46255513510549112</v>
      </c>
    </row>
    <row r="131" spans="1:31" x14ac:dyDescent="0.3">
      <c r="A131" t="s">
        <v>144</v>
      </c>
      <c r="B131" s="4">
        <v>44948</v>
      </c>
      <c r="C131" s="4" t="str">
        <f t="shared" ref="C131:C194" si="10">TEXT(B131,"MMM-YYYY")</f>
        <v>Jan-2023</v>
      </c>
      <c r="D131" s="4" t="str">
        <f t="shared" ref="D131:D194" si="11">"Q" &amp; INT((MONTH(B131)-1)/3)+1 &amp; "-" &amp; YEAR(B131)</f>
        <v>Q1-2023</v>
      </c>
      <c r="E131" s="4">
        <v>44956</v>
      </c>
      <c r="F131" t="s">
        <v>2064</v>
      </c>
      <c r="G131" s="4">
        <v>44956</v>
      </c>
      <c r="H131" s="13">
        <v>8</v>
      </c>
      <c r="I131" s="7" t="s">
        <v>648</v>
      </c>
      <c r="J131" s="7" t="s">
        <v>1425</v>
      </c>
      <c r="K131" s="7" t="s">
        <v>686</v>
      </c>
      <c r="M131" s="7" t="s">
        <v>705</v>
      </c>
      <c r="N131" s="7" t="s">
        <v>708</v>
      </c>
      <c r="O131" s="7" t="s">
        <v>720</v>
      </c>
      <c r="P131" s="7" t="s">
        <v>729</v>
      </c>
      <c r="Q131" s="7" t="s">
        <v>1557</v>
      </c>
      <c r="R131" s="9">
        <v>413.52</v>
      </c>
      <c r="S131" s="9">
        <v>1004.34</v>
      </c>
      <c r="T131" s="9">
        <v>1004.34</v>
      </c>
      <c r="U131" s="9">
        <f t="shared" si="9"/>
        <v>843.23180000000002</v>
      </c>
      <c r="V131" s="9">
        <f t="shared" ref="V131:V194" si="12">_xlfn.PERCENTILE.INC(T131:T761,0.66)</f>
        <v>1595.2683999999999</v>
      </c>
      <c r="W131" s="9" t="str">
        <f t="shared" ref="W131:W194" si="13">IF(T131&lt;=U131,"Low",IF(T131&lt;=V131,"Medium","High"))</f>
        <v>Medium</v>
      </c>
      <c r="X131" t="s">
        <v>2065</v>
      </c>
      <c r="Y131" s="11">
        <v>0.111</v>
      </c>
      <c r="Z131" t="s">
        <v>2065</v>
      </c>
      <c r="AA131" s="13">
        <v>18</v>
      </c>
      <c r="AB131" s="9">
        <v>16071.44868</v>
      </c>
      <c r="AC131" s="9">
        <v>7443.36</v>
      </c>
      <c r="AD131" s="9">
        <v>8628.0886800000007</v>
      </c>
      <c r="AE131" s="11">
        <v>0.53685817948304593</v>
      </c>
    </row>
    <row r="132" spans="1:31" x14ac:dyDescent="0.3">
      <c r="A132" t="s">
        <v>145</v>
      </c>
      <c r="B132" s="4">
        <v>45700</v>
      </c>
      <c r="C132" s="4" t="str">
        <f t="shared" si="10"/>
        <v>Feb-2025</v>
      </c>
      <c r="D132" s="4" t="str">
        <f t="shared" si="11"/>
        <v>Q1-2025</v>
      </c>
      <c r="E132" s="4">
        <v>45716</v>
      </c>
      <c r="F132" t="s">
        <v>2064</v>
      </c>
      <c r="G132" s="4">
        <v>45716</v>
      </c>
      <c r="H132" s="13">
        <v>16</v>
      </c>
      <c r="I132" s="7" t="s">
        <v>648</v>
      </c>
      <c r="J132" s="7" t="s">
        <v>655</v>
      </c>
      <c r="K132" s="7" t="s">
        <v>670</v>
      </c>
      <c r="M132" s="7" t="s">
        <v>703</v>
      </c>
      <c r="N132" s="7" t="s">
        <v>711</v>
      </c>
      <c r="O132" s="7" t="s">
        <v>717</v>
      </c>
      <c r="P132" s="7" t="s">
        <v>732</v>
      </c>
      <c r="Q132" s="7" t="s">
        <v>1558</v>
      </c>
      <c r="R132" s="9">
        <v>414.95</v>
      </c>
      <c r="S132" s="9">
        <v>1027.73</v>
      </c>
      <c r="T132" s="9">
        <v>1027.73</v>
      </c>
      <c r="U132" s="9">
        <f t="shared" si="9"/>
        <v>842.09</v>
      </c>
      <c r="V132" s="9">
        <f t="shared" si="12"/>
        <v>1595.52</v>
      </c>
      <c r="W132" s="9" t="str">
        <f t="shared" si="13"/>
        <v>Medium</v>
      </c>
      <c r="X132" t="s">
        <v>2065</v>
      </c>
      <c r="Y132" s="11">
        <v>6.3E-2</v>
      </c>
      <c r="Z132" t="s">
        <v>2065</v>
      </c>
      <c r="AA132" s="13">
        <v>8</v>
      </c>
      <c r="AB132" s="9">
        <v>7703.8640800000003</v>
      </c>
      <c r="AC132" s="9">
        <v>3319.6</v>
      </c>
      <c r="AD132" s="9">
        <v>4384.2640800000008</v>
      </c>
      <c r="AE132" s="11">
        <v>0.56909935513815568</v>
      </c>
    </row>
    <row r="133" spans="1:31" x14ac:dyDescent="0.3">
      <c r="A133" t="s">
        <v>146</v>
      </c>
      <c r="B133" s="4">
        <v>45719</v>
      </c>
      <c r="C133" s="4" t="str">
        <f t="shared" si="10"/>
        <v>Mar-2025</v>
      </c>
      <c r="D133" s="4" t="str">
        <f t="shared" si="11"/>
        <v>Q1-2025</v>
      </c>
      <c r="E133" s="4">
        <v>45740</v>
      </c>
      <c r="F133" t="s">
        <v>2064</v>
      </c>
      <c r="G133" s="4">
        <v>45740</v>
      </c>
      <c r="H133" s="13">
        <v>21</v>
      </c>
      <c r="I133" s="7" t="s">
        <v>646</v>
      </c>
      <c r="J133" s="7" t="s">
        <v>651</v>
      </c>
      <c r="K133" s="7" t="s">
        <v>669</v>
      </c>
      <c r="M133" s="7" t="s">
        <v>706</v>
      </c>
      <c r="N133" s="7" t="s">
        <v>711</v>
      </c>
      <c r="O133" s="7" t="s">
        <v>722</v>
      </c>
      <c r="P133" s="7" t="s">
        <v>733</v>
      </c>
      <c r="Q133" s="7" t="s">
        <v>1559</v>
      </c>
      <c r="R133" s="9">
        <v>555.95000000000005</v>
      </c>
      <c r="S133" s="9">
        <v>468.09</v>
      </c>
      <c r="T133" s="9">
        <v>468.09</v>
      </c>
      <c r="U133" s="9">
        <f t="shared" si="9"/>
        <v>841.08350000000007</v>
      </c>
      <c r="V133" s="9">
        <f t="shared" si="12"/>
        <v>1603.1122000000007</v>
      </c>
      <c r="W133" s="9" t="str">
        <f t="shared" si="13"/>
        <v>Low</v>
      </c>
      <c r="X133" t="s">
        <v>2065</v>
      </c>
      <c r="Y133" s="11">
        <v>0.14199999999999999</v>
      </c>
      <c r="Z133" t="s">
        <v>2065</v>
      </c>
      <c r="AA133" s="13">
        <v>11</v>
      </c>
      <c r="AB133" s="9">
        <v>4417.8334199999999</v>
      </c>
      <c r="AC133" s="9">
        <v>6115.4500000000007</v>
      </c>
      <c r="AD133" s="9">
        <v>-1697.6165800000008</v>
      </c>
      <c r="AE133" s="11">
        <v>-0.38426450674095375</v>
      </c>
    </row>
    <row r="134" spans="1:31" x14ac:dyDescent="0.3">
      <c r="A134" t="s">
        <v>147</v>
      </c>
      <c r="B134" s="4">
        <v>44953</v>
      </c>
      <c r="C134" s="4" t="str">
        <f t="shared" si="10"/>
        <v>Jan-2023</v>
      </c>
      <c r="D134" s="4" t="str">
        <f t="shared" si="11"/>
        <v>Q1-2023</v>
      </c>
      <c r="E134" s="4">
        <v>44957</v>
      </c>
      <c r="F134" t="s">
        <v>2064</v>
      </c>
      <c r="G134" s="4">
        <v>44957</v>
      </c>
      <c r="H134" s="13">
        <v>4</v>
      </c>
      <c r="I134" s="7" t="s">
        <v>649</v>
      </c>
      <c r="J134" s="7" t="s">
        <v>658</v>
      </c>
      <c r="K134" s="7" t="s">
        <v>693</v>
      </c>
      <c r="M134" s="7" t="s">
        <v>706</v>
      </c>
      <c r="N134" s="7" t="s">
        <v>708</v>
      </c>
      <c r="O134" s="7" t="s">
        <v>725</v>
      </c>
      <c r="P134" s="7" t="s">
        <v>731</v>
      </c>
      <c r="Q134" s="7" t="s">
        <v>1560</v>
      </c>
      <c r="R134" s="9">
        <v>941.2</v>
      </c>
      <c r="S134" s="9">
        <v>668.02</v>
      </c>
      <c r="T134" s="9">
        <v>668.02</v>
      </c>
      <c r="U134" s="9">
        <f t="shared" si="9"/>
        <v>843.26639999999998</v>
      </c>
      <c r="V134" s="9">
        <f t="shared" si="12"/>
        <v>1610.7044000000001</v>
      </c>
      <c r="W134" s="9" t="str">
        <f t="shared" si="13"/>
        <v>Low</v>
      </c>
      <c r="X134" t="s">
        <v>2065</v>
      </c>
      <c r="Y134" s="11">
        <v>0.22</v>
      </c>
      <c r="Z134" t="s">
        <v>2065</v>
      </c>
      <c r="AA134" s="13">
        <v>16</v>
      </c>
      <c r="AB134" s="9">
        <v>8336.8896000000004</v>
      </c>
      <c r="AC134" s="9">
        <v>15059.2</v>
      </c>
      <c r="AD134" s="9">
        <v>-6722.3104000000003</v>
      </c>
      <c r="AE134" s="11">
        <v>-0.80633314371825193</v>
      </c>
    </row>
    <row r="135" spans="1:31" x14ac:dyDescent="0.3">
      <c r="A135" t="s">
        <v>148</v>
      </c>
      <c r="B135" s="4">
        <v>45666</v>
      </c>
      <c r="C135" s="4" t="str">
        <f t="shared" si="10"/>
        <v>Jan-2025</v>
      </c>
      <c r="D135" s="4" t="str">
        <f t="shared" si="11"/>
        <v>Q1-2025</v>
      </c>
      <c r="E135" s="4">
        <v>45672</v>
      </c>
      <c r="F135" t="s">
        <v>2064</v>
      </c>
      <c r="G135" s="4">
        <v>45672</v>
      </c>
      <c r="H135" s="13">
        <v>6</v>
      </c>
      <c r="I135" s="7" t="s">
        <v>647</v>
      </c>
      <c r="J135" s="7" t="s">
        <v>659</v>
      </c>
      <c r="K135" s="7" t="s">
        <v>699</v>
      </c>
      <c r="M135" s="7" t="s">
        <v>702</v>
      </c>
      <c r="N135" s="7" t="s">
        <v>708</v>
      </c>
      <c r="O135" s="7" t="s">
        <v>712</v>
      </c>
      <c r="P135" s="7" t="s">
        <v>730</v>
      </c>
      <c r="Q135" s="7" t="s">
        <v>1561</v>
      </c>
      <c r="R135" s="9">
        <v>304.77999999999997</v>
      </c>
      <c r="S135" s="9">
        <v>537.27</v>
      </c>
      <c r="T135" s="9">
        <v>537.27</v>
      </c>
      <c r="U135" s="9">
        <f t="shared" ref="U135:U198" si="14">_xlfn.PERCENTILE.INC(T135:T765,0.33)</f>
        <v>845.61990000000014</v>
      </c>
      <c r="V135" s="9">
        <f t="shared" si="12"/>
        <v>1617.905</v>
      </c>
      <c r="W135" s="9" t="str">
        <f t="shared" si="13"/>
        <v>Low</v>
      </c>
      <c r="X135" t="s">
        <v>2065</v>
      </c>
      <c r="Y135" s="11">
        <v>0.187</v>
      </c>
      <c r="Z135" t="s">
        <v>2065</v>
      </c>
      <c r="AA135" s="13">
        <v>8</v>
      </c>
      <c r="AB135" s="9">
        <v>3494.4040799999998</v>
      </c>
      <c r="AC135" s="9">
        <v>2438.2399999999998</v>
      </c>
      <c r="AD135" s="9">
        <v>1056.16408</v>
      </c>
      <c r="AE135" s="11">
        <v>0.3022444044307549</v>
      </c>
    </row>
    <row r="136" spans="1:31" x14ac:dyDescent="0.3">
      <c r="A136" t="s">
        <v>149</v>
      </c>
      <c r="B136" s="4">
        <v>45647</v>
      </c>
      <c r="C136" s="4" t="str">
        <f t="shared" si="10"/>
        <v>Dec-2024</v>
      </c>
      <c r="D136" s="4" t="str">
        <f t="shared" si="11"/>
        <v>Q4-2024</v>
      </c>
      <c r="E136" s="4">
        <v>45652</v>
      </c>
      <c r="F136" t="s">
        <v>2064</v>
      </c>
      <c r="G136" s="4">
        <v>45652</v>
      </c>
      <c r="H136" s="13">
        <v>5</v>
      </c>
      <c r="I136" s="7" t="s">
        <v>648</v>
      </c>
      <c r="J136" s="7" t="s">
        <v>1425</v>
      </c>
      <c r="K136" s="7" t="s">
        <v>686</v>
      </c>
      <c r="M136" s="7" t="s">
        <v>704</v>
      </c>
      <c r="N136" s="7" t="s">
        <v>709</v>
      </c>
      <c r="O136" s="7" t="s">
        <v>724</v>
      </c>
      <c r="P136" s="7" t="s">
        <v>728</v>
      </c>
      <c r="Q136" s="7" t="s">
        <v>1562</v>
      </c>
      <c r="R136" s="9">
        <v>699.57</v>
      </c>
      <c r="S136" s="9">
        <v>572.71</v>
      </c>
      <c r="T136" s="9">
        <v>572.71</v>
      </c>
      <c r="U136" s="9">
        <f t="shared" si="14"/>
        <v>850.30320000000006</v>
      </c>
      <c r="V136" s="9">
        <f t="shared" si="12"/>
        <v>1618.84</v>
      </c>
      <c r="W136" s="9" t="str">
        <f t="shared" si="13"/>
        <v>Low</v>
      </c>
      <c r="X136" t="s">
        <v>2065</v>
      </c>
      <c r="Y136" s="11">
        <v>0.192</v>
      </c>
      <c r="Z136" t="s">
        <v>2065</v>
      </c>
      <c r="AA136" s="13">
        <v>26</v>
      </c>
      <c r="AB136" s="9">
        <v>12031.491680000001</v>
      </c>
      <c r="AC136" s="9">
        <v>18188.82</v>
      </c>
      <c r="AD136" s="9">
        <v>-6157.3283199999987</v>
      </c>
      <c r="AE136" s="11">
        <v>-0.51176765805651114</v>
      </c>
    </row>
    <row r="137" spans="1:31" x14ac:dyDescent="0.3">
      <c r="A137" t="s">
        <v>150</v>
      </c>
      <c r="B137" s="4">
        <v>45028</v>
      </c>
      <c r="C137" s="4" t="str">
        <f t="shared" si="10"/>
        <v>Apr-2023</v>
      </c>
      <c r="D137" s="4" t="str">
        <f t="shared" si="11"/>
        <v>Q2-2023</v>
      </c>
      <c r="E137" s="4">
        <v>45033</v>
      </c>
      <c r="F137" t="s">
        <v>2064</v>
      </c>
      <c r="G137" s="4">
        <v>45033</v>
      </c>
      <c r="H137" s="13">
        <v>5</v>
      </c>
      <c r="I137" s="7" t="s">
        <v>649</v>
      </c>
      <c r="J137" s="7" t="s">
        <v>657</v>
      </c>
      <c r="K137" s="7" t="s">
        <v>679</v>
      </c>
      <c r="M137" s="7" t="s">
        <v>706</v>
      </c>
      <c r="N137" s="7" t="s">
        <v>711</v>
      </c>
      <c r="O137" s="7" t="s">
        <v>718</v>
      </c>
      <c r="P137" s="7" t="s">
        <v>732</v>
      </c>
      <c r="Q137" s="7" t="s">
        <v>1563</v>
      </c>
      <c r="R137" s="9">
        <v>1087.81</v>
      </c>
      <c r="S137" s="9">
        <v>2323.87</v>
      </c>
      <c r="T137" s="9">
        <v>2323.87</v>
      </c>
      <c r="U137" s="9">
        <f t="shared" si="14"/>
        <v>855.5569999999999</v>
      </c>
      <c r="V137" s="9">
        <f t="shared" si="12"/>
        <v>1619.7749999999999</v>
      </c>
      <c r="W137" s="9" t="str">
        <f t="shared" si="13"/>
        <v>High</v>
      </c>
      <c r="X137" t="s">
        <v>2065</v>
      </c>
      <c r="Y137" s="11">
        <v>9.4E-2</v>
      </c>
      <c r="Z137" t="s">
        <v>2065</v>
      </c>
      <c r="AA137" s="13">
        <v>13</v>
      </c>
      <c r="AB137" s="9">
        <v>27370.540859999997</v>
      </c>
      <c r="AC137" s="9">
        <v>14141.529999999999</v>
      </c>
      <c r="AD137" s="9">
        <v>13229.010859999999</v>
      </c>
      <c r="AE137" s="11">
        <v>0.48333026839572651</v>
      </c>
    </row>
    <row r="138" spans="1:31" x14ac:dyDescent="0.3">
      <c r="A138" t="s">
        <v>151</v>
      </c>
      <c r="B138" s="4">
        <v>45640</v>
      </c>
      <c r="C138" s="4" t="str">
        <f t="shared" si="10"/>
        <v>Dec-2024</v>
      </c>
      <c r="D138" s="4" t="str">
        <f t="shared" si="11"/>
        <v>Q4-2024</v>
      </c>
      <c r="E138" s="4">
        <v>45669</v>
      </c>
      <c r="F138" t="s">
        <v>2064</v>
      </c>
      <c r="G138" s="4">
        <v>45669</v>
      </c>
      <c r="H138" s="13">
        <v>29</v>
      </c>
      <c r="I138" s="7" t="s">
        <v>647</v>
      </c>
      <c r="J138" s="7" t="s">
        <v>659</v>
      </c>
      <c r="K138" s="7" t="s">
        <v>676</v>
      </c>
      <c r="M138" s="7" t="s">
        <v>702</v>
      </c>
      <c r="N138" s="7" t="s">
        <v>708</v>
      </c>
      <c r="O138" s="7" t="s">
        <v>713</v>
      </c>
      <c r="P138" s="7" t="s">
        <v>727</v>
      </c>
      <c r="Q138" s="7" t="s">
        <v>1564</v>
      </c>
      <c r="R138" s="9">
        <v>1412.15</v>
      </c>
      <c r="S138" s="9">
        <v>1631.04</v>
      </c>
      <c r="T138" s="9">
        <v>1631.04</v>
      </c>
      <c r="U138" s="9">
        <f t="shared" si="14"/>
        <v>852.7124</v>
      </c>
      <c r="V138" s="9">
        <f t="shared" si="12"/>
        <v>1617.96</v>
      </c>
      <c r="W138" s="9" t="str">
        <f t="shared" si="13"/>
        <v>High</v>
      </c>
      <c r="X138" t="s">
        <v>2065</v>
      </c>
      <c r="Y138" s="11">
        <v>8.9999999999999993E-3</v>
      </c>
      <c r="Z138" t="s">
        <v>2065</v>
      </c>
      <c r="AA138" s="13">
        <v>6</v>
      </c>
      <c r="AB138" s="9">
        <v>9698.1638399999993</v>
      </c>
      <c r="AC138" s="9">
        <v>8472.9000000000015</v>
      </c>
      <c r="AD138" s="9">
        <v>1225.2638399999978</v>
      </c>
      <c r="AE138" s="11">
        <v>0.12633977526203535</v>
      </c>
    </row>
    <row r="139" spans="1:31" x14ac:dyDescent="0.3">
      <c r="A139" t="s">
        <v>152</v>
      </c>
      <c r="B139" s="4">
        <v>45016</v>
      </c>
      <c r="C139" s="4" t="str">
        <f t="shared" si="10"/>
        <v>Mar-2023</v>
      </c>
      <c r="D139" s="4" t="str">
        <f t="shared" si="11"/>
        <v>Q1-2023</v>
      </c>
      <c r="E139" s="4">
        <v>45028</v>
      </c>
      <c r="F139" t="s">
        <v>2064</v>
      </c>
      <c r="G139" s="4">
        <v>45028</v>
      </c>
      <c r="H139" s="13">
        <v>12</v>
      </c>
      <c r="I139" s="7" t="s">
        <v>646</v>
      </c>
      <c r="J139" s="7" t="s">
        <v>650</v>
      </c>
      <c r="K139" s="7" t="s">
        <v>675</v>
      </c>
      <c r="M139" s="7" t="s">
        <v>705</v>
      </c>
      <c r="N139" s="7" t="s">
        <v>708</v>
      </c>
      <c r="O139" s="7" t="s">
        <v>712</v>
      </c>
      <c r="P139" s="7" t="s">
        <v>730</v>
      </c>
      <c r="Q139" s="7" t="s">
        <v>1565</v>
      </c>
      <c r="R139" s="9">
        <v>304.22000000000003</v>
      </c>
      <c r="S139" s="9">
        <v>393.31</v>
      </c>
      <c r="T139" s="9">
        <v>393.31</v>
      </c>
      <c r="U139" s="9">
        <f t="shared" si="14"/>
        <v>850.37309999999991</v>
      </c>
      <c r="V139" s="9">
        <f t="shared" si="12"/>
        <v>1604.0053999999998</v>
      </c>
      <c r="W139" s="9" t="str">
        <f t="shared" si="13"/>
        <v>Low</v>
      </c>
      <c r="X139" t="s">
        <v>2065</v>
      </c>
      <c r="Y139" s="11">
        <v>0.26500000000000001</v>
      </c>
      <c r="Z139" t="s">
        <v>2065</v>
      </c>
      <c r="AA139" s="13">
        <v>15</v>
      </c>
      <c r="AB139" s="9">
        <v>4336.2427499999994</v>
      </c>
      <c r="AC139" s="9">
        <v>4563.3</v>
      </c>
      <c r="AD139" s="9">
        <v>-227.05725000000075</v>
      </c>
      <c r="AE139" s="11">
        <v>-5.2362670424759034E-2</v>
      </c>
    </row>
    <row r="140" spans="1:31" x14ac:dyDescent="0.3">
      <c r="A140" t="s">
        <v>153</v>
      </c>
      <c r="B140" s="4">
        <v>45616</v>
      </c>
      <c r="C140" s="4" t="str">
        <f t="shared" si="10"/>
        <v>Nov-2024</v>
      </c>
      <c r="D140" s="4" t="str">
        <f t="shared" si="11"/>
        <v>Q4-2024</v>
      </c>
      <c r="E140" s="4">
        <v>45641</v>
      </c>
      <c r="F140" t="s">
        <v>2064</v>
      </c>
      <c r="G140" s="4">
        <v>45641</v>
      </c>
      <c r="H140" s="13">
        <v>25</v>
      </c>
      <c r="I140" s="7" t="s">
        <v>649</v>
      </c>
      <c r="J140" s="7" t="s">
        <v>657</v>
      </c>
      <c r="K140" s="7" t="s">
        <v>690</v>
      </c>
      <c r="M140" s="7" t="s">
        <v>701</v>
      </c>
      <c r="N140" s="7" t="s">
        <v>708</v>
      </c>
      <c r="O140" s="7" t="s">
        <v>715</v>
      </c>
      <c r="P140" s="7" t="s">
        <v>728</v>
      </c>
      <c r="Q140" s="7" t="s">
        <v>1566</v>
      </c>
      <c r="R140" s="9">
        <v>1203.58</v>
      </c>
      <c r="S140" s="9">
        <v>1856.16</v>
      </c>
      <c r="T140" s="9">
        <v>1856.16</v>
      </c>
      <c r="U140" s="9">
        <f t="shared" si="14"/>
        <v>855.64320000000009</v>
      </c>
      <c r="V140" s="9">
        <f t="shared" si="12"/>
        <v>1611.5976000000005</v>
      </c>
      <c r="W140" s="9" t="str">
        <f t="shared" si="13"/>
        <v>High</v>
      </c>
      <c r="X140" t="s">
        <v>2065</v>
      </c>
      <c r="Y140" s="11">
        <v>0.129</v>
      </c>
      <c r="Z140" t="s">
        <v>2065</v>
      </c>
      <c r="AA140" s="13">
        <v>22</v>
      </c>
      <c r="AB140" s="9">
        <v>35567.737920000007</v>
      </c>
      <c r="AC140" s="9">
        <v>26478.76</v>
      </c>
      <c r="AD140" s="9">
        <v>9088.9779200000085</v>
      </c>
      <c r="AE140" s="11">
        <v>0.25553994860295032</v>
      </c>
    </row>
    <row r="141" spans="1:31" x14ac:dyDescent="0.3">
      <c r="A141" t="s">
        <v>154</v>
      </c>
      <c r="B141" s="4">
        <v>45336</v>
      </c>
      <c r="C141" s="4" t="str">
        <f t="shared" si="10"/>
        <v>Feb-2024</v>
      </c>
      <c r="D141" s="4" t="str">
        <f t="shared" si="11"/>
        <v>Q1-2024</v>
      </c>
      <c r="E141" s="4">
        <v>45336</v>
      </c>
      <c r="F141" t="s">
        <v>2064</v>
      </c>
      <c r="G141" s="4">
        <v>45336</v>
      </c>
      <c r="H141" s="13">
        <v>0</v>
      </c>
      <c r="I141" s="7" t="s">
        <v>647</v>
      </c>
      <c r="J141" s="7" t="s">
        <v>659</v>
      </c>
      <c r="K141" s="7" t="s">
        <v>699</v>
      </c>
      <c r="M141" s="7" t="s">
        <v>701</v>
      </c>
      <c r="N141" s="7" t="s">
        <v>710</v>
      </c>
      <c r="O141" s="7" t="s">
        <v>716</v>
      </c>
      <c r="P141" s="7" t="s">
        <v>733</v>
      </c>
      <c r="Q141" s="7" t="s">
        <v>1567</v>
      </c>
      <c r="R141" s="9">
        <v>65.930000000000007</v>
      </c>
      <c r="S141" s="9">
        <v>84.9</v>
      </c>
      <c r="T141" s="9">
        <v>84.9</v>
      </c>
      <c r="U141" s="9">
        <f t="shared" si="14"/>
        <v>852.79859999999996</v>
      </c>
      <c r="V141" s="9">
        <f t="shared" si="12"/>
        <v>1596.8598</v>
      </c>
      <c r="W141" s="9" t="str">
        <f t="shared" si="13"/>
        <v>Low</v>
      </c>
      <c r="X141" t="s">
        <v>2065</v>
      </c>
      <c r="Y141" s="11">
        <v>0.25900000000000001</v>
      </c>
      <c r="Z141" t="s">
        <v>2065</v>
      </c>
      <c r="AA141" s="13">
        <v>23</v>
      </c>
      <c r="AB141" s="9">
        <v>1446.9507000000001</v>
      </c>
      <c r="AC141" s="9">
        <v>1516.39</v>
      </c>
      <c r="AD141" s="9">
        <v>-69.439300000000003</v>
      </c>
      <c r="AE141" s="11">
        <v>-4.7990093926489688E-2</v>
      </c>
    </row>
    <row r="142" spans="1:31" x14ac:dyDescent="0.3">
      <c r="A142" t="s">
        <v>155</v>
      </c>
      <c r="B142" s="4">
        <v>45048</v>
      </c>
      <c r="C142" s="4" t="str">
        <f t="shared" si="10"/>
        <v>May-2023</v>
      </c>
      <c r="D142" s="4" t="str">
        <f t="shared" si="11"/>
        <v>Q2-2023</v>
      </c>
      <c r="E142" s="4">
        <v>45064</v>
      </c>
      <c r="F142" t="s">
        <v>2064</v>
      </c>
      <c r="G142" s="4">
        <v>45064</v>
      </c>
      <c r="H142" s="13">
        <v>16</v>
      </c>
      <c r="I142" s="7" t="s">
        <v>647</v>
      </c>
      <c r="J142" s="7" t="s">
        <v>654</v>
      </c>
      <c r="K142" s="7" t="s">
        <v>680</v>
      </c>
      <c r="M142" s="7" t="s">
        <v>705</v>
      </c>
      <c r="N142" s="7" t="s">
        <v>709</v>
      </c>
      <c r="O142" s="7" t="s">
        <v>723</v>
      </c>
      <c r="P142" s="7" t="s">
        <v>732</v>
      </c>
      <c r="Q142" s="7" t="s">
        <v>1568</v>
      </c>
      <c r="R142" s="9">
        <v>1463.92</v>
      </c>
      <c r="S142" s="9">
        <v>2252.2399999999998</v>
      </c>
      <c r="T142" s="9">
        <v>2252.2399999999998</v>
      </c>
      <c r="U142" s="9">
        <f t="shared" si="14"/>
        <v>858.57400000000007</v>
      </c>
      <c r="V142" s="9">
        <f t="shared" si="12"/>
        <v>1604.4520000000007</v>
      </c>
      <c r="W142" s="9" t="str">
        <f t="shared" si="13"/>
        <v>High</v>
      </c>
      <c r="X142" t="s">
        <v>2065</v>
      </c>
      <c r="Y142" s="11">
        <v>0.11799999999999999</v>
      </c>
      <c r="Z142" t="s">
        <v>2065</v>
      </c>
      <c r="AA142" s="13">
        <v>44</v>
      </c>
      <c r="AB142" s="9">
        <v>87404.929919999995</v>
      </c>
      <c r="AC142" s="9">
        <v>64412.480000000003</v>
      </c>
      <c r="AD142" s="9">
        <v>22992.449919999992</v>
      </c>
      <c r="AE142" s="11">
        <v>0.26305667130040061</v>
      </c>
    </row>
    <row r="143" spans="1:31" x14ac:dyDescent="0.3">
      <c r="A143" t="s">
        <v>156</v>
      </c>
      <c r="B143" s="4">
        <v>45649</v>
      </c>
      <c r="C143" s="4" t="str">
        <f t="shared" si="10"/>
        <v>Dec-2024</v>
      </c>
      <c r="D143" s="4" t="str">
        <f t="shared" si="11"/>
        <v>Q4-2024</v>
      </c>
      <c r="E143" s="4">
        <v>45668</v>
      </c>
      <c r="F143" t="s">
        <v>2064</v>
      </c>
      <c r="G143" s="4">
        <v>45668</v>
      </c>
      <c r="H143" s="13">
        <v>19</v>
      </c>
      <c r="I143" s="7" t="s">
        <v>649</v>
      </c>
      <c r="J143" s="7" t="s">
        <v>656</v>
      </c>
      <c r="K143" s="7" t="s">
        <v>671</v>
      </c>
      <c r="M143" s="7" t="s">
        <v>702</v>
      </c>
      <c r="N143" s="7" t="s">
        <v>707</v>
      </c>
      <c r="O143" s="7" t="s">
        <v>723</v>
      </c>
      <c r="P143" s="7" t="s">
        <v>730</v>
      </c>
      <c r="Q143" s="7" t="s">
        <v>1569</v>
      </c>
      <c r="R143" s="9">
        <v>501.81</v>
      </c>
      <c r="S143" s="9">
        <v>921.62</v>
      </c>
      <c r="T143" s="9">
        <v>921.62</v>
      </c>
      <c r="U143" s="9">
        <f t="shared" si="14"/>
        <v>855.72940000000006</v>
      </c>
      <c r="V143" s="9">
        <f t="shared" si="12"/>
        <v>1595.3276000000001</v>
      </c>
      <c r="W143" s="9" t="str">
        <f t="shared" si="13"/>
        <v>Medium</v>
      </c>
      <c r="X143" t="s">
        <v>2065</v>
      </c>
      <c r="Y143" s="11">
        <v>0.01</v>
      </c>
      <c r="Z143" t="s">
        <v>2065</v>
      </c>
      <c r="AA143" s="13">
        <v>9</v>
      </c>
      <c r="AB143" s="9">
        <v>8211.6342000000004</v>
      </c>
      <c r="AC143" s="9">
        <v>4516.29</v>
      </c>
      <c r="AD143" s="9">
        <v>3695.3442000000005</v>
      </c>
      <c r="AE143" s="11">
        <v>0.45001325071202031</v>
      </c>
    </row>
    <row r="144" spans="1:31" x14ac:dyDescent="0.3">
      <c r="A144" t="s">
        <v>157</v>
      </c>
      <c r="B144" s="4">
        <v>45133</v>
      </c>
      <c r="C144" s="4" t="str">
        <f t="shared" si="10"/>
        <v>Jul-2023</v>
      </c>
      <c r="D144" s="4" t="str">
        <f t="shared" si="11"/>
        <v>Q3-2023</v>
      </c>
      <c r="E144" s="4">
        <v>45163</v>
      </c>
      <c r="F144" t="s">
        <v>2064</v>
      </c>
      <c r="G144" s="4">
        <v>45163</v>
      </c>
      <c r="H144" s="13">
        <v>30</v>
      </c>
      <c r="I144" s="7" t="s">
        <v>648</v>
      </c>
      <c r="J144" s="7" t="s">
        <v>1425</v>
      </c>
      <c r="K144" s="7" t="s">
        <v>700</v>
      </c>
      <c r="M144" s="7" t="s">
        <v>704</v>
      </c>
      <c r="N144" s="7" t="s">
        <v>707</v>
      </c>
      <c r="O144" s="7" t="s">
        <v>724</v>
      </c>
      <c r="P144" s="7" t="s">
        <v>733</v>
      </c>
      <c r="Q144" s="7" t="s">
        <v>1570</v>
      </c>
      <c r="R144" s="9">
        <v>1261.48</v>
      </c>
      <c r="S144" s="9">
        <v>1643.18</v>
      </c>
      <c r="T144" s="9">
        <v>1643.18</v>
      </c>
      <c r="U144" s="9">
        <f t="shared" si="14"/>
        <v>852.88480000000015</v>
      </c>
      <c r="V144" s="9">
        <f t="shared" si="12"/>
        <v>1597.3064000000008</v>
      </c>
      <c r="W144" s="9" t="str">
        <f t="shared" si="13"/>
        <v>High</v>
      </c>
      <c r="X144" t="s">
        <v>2065</v>
      </c>
      <c r="Y144" s="11">
        <v>0.151</v>
      </c>
      <c r="Z144" t="s">
        <v>2065</v>
      </c>
      <c r="AA144" s="13">
        <v>23</v>
      </c>
      <c r="AB144" s="9">
        <v>32086.37586</v>
      </c>
      <c r="AC144" s="9">
        <v>29014.04</v>
      </c>
      <c r="AD144" s="9">
        <v>3072.3358599999992</v>
      </c>
      <c r="AE144" s="11">
        <v>9.5752037357079045E-2</v>
      </c>
    </row>
    <row r="145" spans="1:31" x14ac:dyDescent="0.3">
      <c r="A145" t="s">
        <v>158</v>
      </c>
      <c r="B145" s="4">
        <v>45458</v>
      </c>
      <c r="C145" s="4" t="str">
        <f t="shared" si="10"/>
        <v>Jun-2024</v>
      </c>
      <c r="D145" s="4" t="str">
        <f t="shared" si="11"/>
        <v>Q2-2024</v>
      </c>
      <c r="E145" s="4">
        <v>45479</v>
      </c>
      <c r="F145" t="s">
        <v>2064</v>
      </c>
      <c r="G145" s="4">
        <v>45479</v>
      </c>
      <c r="H145" s="13">
        <v>21</v>
      </c>
      <c r="I145" s="7" t="s">
        <v>648</v>
      </c>
      <c r="J145" s="7" t="s">
        <v>653</v>
      </c>
      <c r="K145" s="7" t="s">
        <v>667</v>
      </c>
      <c r="M145" s="7" t="s">
        <v>706</v>
      </c>
      <c r="N145" s="7" t="s">
        <v>710</v>
      </c>
      <c r="O145" s="7" t="s">
        <v>716</v>
      </c>
      <c r="P145" s="7" t="s">
        <v>728</v>
      </c>
      <c r="Q145" s="7" t="s">
        <v>1571</v>
      </c>
      <c r="R145" s="9">
        <v>817.23</v>
      </c>
      <c r="S145" s="9">
        <v>1467.17</v>
      </c>
      <c r="T145" s="9">
        <v>1467.17</v>
      </c>
      <c r="U145" s="9">
        <f t="shared" si="14"/>
        <v>850.51290000000006</v>
      </c>
      <c r="V145" s="9">
        <f t="shared" si="12"/>
        <v>1595.0907999999999</v>
      </c>
      <c r="W145" s="9" t="str">
        <f t="shared" si="13"/>
        <v>Medium</v>
      </c>
      <c r="X145" t="s">
        <v>2065</v>
      </c>
      <c r="Y145" s="11">
        <v>0.245</v>
      </c>
      <c r="Z145" t="s">
        <v>2065</v>
      </c>
      <c r="AA145" s="13">
        <v>9</v>
      </c>
      <c r="AB145" s="9">
        <v>9969.4201499999999</v>
      </c>
      <c r="AC145" s="9">
        <v>7355.07</v>
      </c>
      <c r="AD145" s="9">
        <v>2614.3501500000002</v>
      </c>
      <c r="AE145" s="11">
        <v>0.26223693160328893</v>
      </c>
    </row>
    <row r="146" spans="1:31" x14ac:dyDescent="0.3">
      <c r="A146" t="s">
        <v>159</v>
      </c>
      <c r="B146" s="4">
        <v>45112</v>
      </c>
      <c r="C146" s="4" t="str">
        <f t="shared" si="10"/>
        <v>Jul-2023</v>
      </c>
      <c r="D146" s="4" t="str">
        <f t="shared" si="11"/>
        <v>Q3-2023</v>
      </c>
      <c r="E146" s="4">
        <v>45121</v>
      </c>
      <c r="F146" t="s">
        <v>2064</v>
      </c>
      <c r="G146" s="4">
        <v>45121</v>
      </c>
      <c r="H146" s="13">
        <v>9</v>
      </c>
      <c r="I146" s="7" t="s">
        <v>648</v>
      </c>
      <c r="J146" s="7" t="s">
        <v>655</v>
      </c>
      <c r="K146" s="7" t="s">
        <v>672</v>
      </c>
      <c r="M146" s="7" t="s">
        <v>706</v>
      </c>
      <c r="N146" s="7" t="s">
        <v>711</v>
      </c>
      <c r="O146" s="7" t="s">
        <v>717</v>
      </c>
      <c r="P146" s="7" t="s">
        <v>729</v>
      </c>
      <c r="Q146" s="7" t="s">
        <v>1572</v>
      </c>
      <c r="R146" s="9">
        <v>578.85</v>
      </c>
      <c r="S146" s="9">
        <v>998.76</v>
      </c>
      <c r="T146" s="9">
        <v>998.76</v>
      </c>
      <c r="U146" s="9">
        <f t="shared" si="14"/>
        <v>848.20619999999997</v>
      </c>
      <c r="V146" s="9">
        <f t="shared" si="12"/>
        <v>1595.3424</v>
      </c>
      <c r="W146" s="9" t="str">
        <f t="shared" si="13"/>
        <v>Medium</v>
      </c>
      <c r="X146" t="s">
        <v>2065</v>
      </c>
      <c r="Y146" s="11">
        <v>8.2000000000000003E-2</v>
      </c>
      <c r="Z146" t="s">
        <v>2065</v>
      </c>
      <c r="AA146" s="13">
        <v>28</v>
      </c>
      <c r="AB146" s="9">
        <v>25672.127039999999</v>
      </c>
      <c r="AC146" s="9">
        <v>16207.800000000001</v>
      </c>
      <c r="AD146" s="9">
        <v>9464.3270399999983</v>
      </c>
      <c r="AE146" s="11">
        <v>0.36866158480960831</v>
      </c>
    </row>
    <row r="147" spans="1:31" x14ac:dyDescent="0.3">
      <c r="A147" t="s">
        <v>160</v>
      </c>
      <c r="B147" s="4">
        <v>45260</v>
      </c>
      <c r="C147" s="4" t="str">
        <f t="shared" si="10"/>
        <v>Nov-2023</v>
      </c>
      <c r="D147" s="4" t="str">
        <f t="shared" si="11"/>
        <v>Q4-2023</v>
      </c>
      <c r="E147" s="4">
        <v>45259</v>
      </c>
      <c r="F147" t="s">
        <v>2066</v>
      </c>
      <c r="G147" s="4">
        <v>45260</v>
      </c>
      <c r="H147" s="13">
        <v>0</v>
      </c>
      <c r="I147" s="7" t="s">
        <v>646</v>
      </c>
      <c r="J147" s="7" t="s">
        <v>661</v>
      </c>
      <c r="K147" s="7" t="s">
        <v>687</v>
      </c>
      <c r="M147" s="7" t="s">
        <v>705</v>
      </c>
      <c r="N147" s="7" t="s">
        <v>709</v>
      </c>
      <c r="O147" s="7" t="s">
        <v>718</v>
      </c>
      <c r="P147" s="7" t="s">
        <v>731</v>
      </c>
      <c r="Q147" s="7" t="s">
        <v>1573</v>
      </c>
      <c r="R147" s="9">
        <v>275.56</v>
      </c>
      <c r="S147" s="9">
        <v>630.72</v>
      </c>
      <c r="T147" s="9">
        <v>630.72</v>
      </c>
      <c r="U147" s="9">
        <f t="shared" si="14"/>
        <v>845.89949999999999</v>
      </c>
      <c r="V147" s="9">
        <f t="shared" si="12"/>
        <v>1597.7530000000004</v>
      </c>
      <c r="W147" s="9" t="str">
        <f t="shared" si="13"/>
        <v>Low</v>
      </c>
      <c r="X147" t="s">
        <v>2065</v>
      </c>
      <c r="Y147" s="11">
        <v>0.107</v>
      </c>
      <c r="Z147" t="s">
        <v>2065</v>
      </c>
      <c r="AA147" s="13">
        <v>23</v>
      </c>
      <c r="AB147" s="9">
        <v>12954.358080000002</v>
      </c>
      <c r="AC147" s="9">
        <v>6337.88</v>
      </c>
      <c r="AD147" s="9">
        <v>6616.4780800000017</v>
      </c>
      <c r="AE147" s="11">
        <v>0.5107530638831933</v>
      </c>
    </row>
    <row r="148" spans="1:31" x14ac:dyDescent="0.3">
      <c r="A148" t="s">
        <v>161</v>
      </c>
      <c r="B148" s="4">
        <v>45911</v>
      </c>
      <c r="C148" s="4" t="str">
        <f t="shared" si="10"/>
        <v>Sep-2025</v>
      </c>
      <c r="D148" s="4" t="str">
        <f t="shared" si="11"/>
        <v>Q3-2025</v>
      </c>
      <c r="E148" s="4">
        <v>45928</v>
      </c>
      <c r="F148" t="s">
        <v>2064</v>
      </c>
      <c r="G148" s="4">
        <v>45928</v>
      </c>
      <c r="H148" s="13">
        <v>17</v>
      </c>
      <c r="I148" s="7" t="s">
        <v>646</v>
      </c>
      <c r="J148" s="7" t="s">
        <v>650</v>
      </c>
      <c r="K148" s="7" t="s">
        <v>664</v>
      </c>
      <c r="M148" s="7" t="s">
        <v>703</v>
      </c>
      <c r="N148" s="7" t="s">
        <v>710</v>
      </c>
      <c r="O148" s="7" t="s">
        <v>713</v>
      </c>
      <c r="P148" s="7" t="s">
        <v>731</v>
      </c>
      <c r="Q148" s="7" t="s">
        <v>1574</v>
      </c>
      <c r="R148" s="9">
        <v>891.46</v>
      </c>
      <c r="S148" s="9">
        <v>728.61</v>
      </c>
      <c r="T148" s="9">
        <v>728.61</v>
      </c>
      <c r="U148" s="9">
        <f t="shared" si="14"/>
        <v>850.58279999999991</v>
      </c>
      <c r="V148" s="9">
        <f t="shared" si="12"/>
        <v>1605.3452</v>
      </c>
      <c r="W148" s="9" t="str">
        <f t="shared" si="13"/>
        <v>Low</v>
      </c>
      <c r="X148" t="s">
        <v>2065</v>
      </c>
      <c r="Y148" s="11">
        <v>0.185</v>
      </c>
      <c r="Z148" t="s">
        <v>2065</v>
      </c>
      <c r="AA148" s="13">
        <v>6</v>
      </c>
      <c r="AB148" s="9">
        <v>3562.9028999999996</v>
      </c>
      <c r="AC148" s="9">
        <v>5348.76</v>
      </c>
      <c r="AD148" s="9">
        <v>-1785.8571000000006</v>
      </c>
      <c r="AE148" s="11">
        <v>-0.50123653383874167</v>
      </c>
    </row>
    <row r="149" spans="1:31" x14ac:dyDescent="0.3">
      <c r="A149" t="s">
        <v>162</v>
      </c>
      <c r="B149" s="4">
        <v>45386</v>
      </c>
      <c r="C149" s="4" t="str">
        <f t="shared" si="10"/>
        <v>Apr-2024</v>
      </c>
      <c r="D149" s="4" t="str">
        <f t="shared" si="11"/>
        <v>Q2-2024</v>
      </c>
      <c r="E149" s="4">
        <v>45406</v>
      </c>
      <c r="F149" t="s">
        <v>2064</v>
      </c>
      <c r="G149" s="4">
        <v>45406</v>
      </c>
      <c r="H149" s="13">
        <v>20</v>
      </c>
      <c r="I149" s="7" t="s">
        <v>649</v>
      </c>
      <c r="J149" s="7" t="s">
        <v>656</v>
      </c>
      <c r="K149" s="7" t="s">
        <v>698</v>
      </c>
      <c r="M149" s="7" t="s">
        <v>703</v>
      </c>
      <c r="N149" s="7" t="s">
        <v>711</v>
      </c>
      <c r="O149" s="7" t="s">
        <v>719</v>
      </c>
      <c r="P149" s="7" t="s">
        <v>733</v>
      </c>
      <c r="Q149" s="7" t="s">
        <v>1575</v>
      </c>
      <c r="R149" s="9">
        <v>683.42</v>
      </c>
      <c r="S149" s="9">
        <v>951.51</v>
      </c>
      <c r="T149" s="9">
        <v>951.51</v>
      </c>
      <c r="U149" s="9">
        <f t="shared" si="14"/>
        <v>855.90180000000009</v>
      </c>
      <c r="V149" s="9">
        <f t="shared" si="12"/>
        <v>1612.9374000000005</v>
      </c>
      <c r="W149" s="9" t="str">
        <f t="shared" si="13"/>
        <v>Medium</v>
      </c>
      <c r="X149" t="s">
        <v>2065</v>
      </c>
      <c r="Y149" s="11">
        <v>0</v>
      </c>
      <c r="Z149" t="s">
        <v>2065</v>
      </c>
      <c r="AA149" s="13">
        <v>14</v>
      </c>
      <c r="AB149" s="9">
        <v>13321.14</v>
      </c>
      <c r="AC149" s="9">
        <v>9567.8799999999992</v>
      </c>
      <c r="AD149" s="9">
        <v>3753.26</v>
      </c>
      <c r="AE149" s="11">
        <v>0.28175216235247136</v>
      </c>
    </row>
    <row r="150" spans="1:31" x14ac:dyDescent="0.3">
      <c r="A150" t="s">
        <v>163</v>
      </c>
      <c r="B150" s="4">
        <v>45183</v>
      </c>
      <c r="C150" s="4" t="str">
        <f t="shared" si="10"/>
        <v>Sep-2023</v>
      </c>
      <c r="D150" s="4" t="str">
        <f t="shared" si="11"/>
        <v>Q3-2023</v>
      </c>
      <c r="E150" s="4">
        <v>45185</v>
      </c>
      <c r="F150" t="s">
        <v>2064</v>
      </c>
      <c r="G150" s="4">
        <v>45185</v>
      </c>
      <c r="H150" s="13">
        <v>2</v>
      </c>
      <c r="I150" s="7" t="s">
        <v>649</v>
      </c>
      <c r="J150" s="7" t="s">
        <v>657</v>
      </c>
      <c r="K150" s="7" t="s">
        <v>679</v>
      </c>
      <c r="M150" s="7" t="s">
        <v>703</v>
      </c>
      <c r="N150" s="7" t="s">
        <v>711</v>
      </c>
      <c r="O150" s="7" t="s">
        <v>717</v>
      </c>
      <c r="P150" s="7" t="s">
        <v>728</v>
      </c>
      <c r="Q150" s="7" t="s">
        <v>1576</v>
      </c>
      <c r="R150" s="9">
        <v>376.83</v>
      </c>
      <c r="S150" s="9">
        <v>732.88</v>
      </c>
      <c r="T150" s="9">
        <v>732.88</v>
      </c>
      <c r="U150" s="9">
        <f t="shared" si="14"/>
        <v>853.05719999999997</v>
      </c>
      <c r="V150" s="9">
        <f t="shared" si="12"/>
        <v>1618.1799999999998</v>
      </c>
      <c r="W150" s="9" t="str">
        <f t="shared" si="13"/>
        <v>Low</v>
      </c>
      <c r="X150" t="s">
        <v>2065</v>
      </c>
      <c r="Y150" s="11">
        <v>0.188</v>
      </c>
      <c r="Z150" t="s">
        <v>2065</v>
      </c>
      <c r="AA150" s="13">
        <v>25</v>
      </c>
      <c r="AB150" s="9">
        <v>14877.464000000002</v>
      </c>
      <c r="AC150" s="9">
        <v>9420.75</v>
      </c>
      <c r="AD150" s="9">
        <v>5456.7140000000018</v>
      </c>
      <c r="AE150" s="11">
        <v>0.36677716040852132</v>
      </c>
    </row>
    <row r="151" spans="1:31" x14ac:dyDescent="0.3">
      <c r="A151" t="s">
        <v>164</v>
      </c>
      <c r="B151" s="4">
        <v>45558</v>
      </c>
      <c r="C151" s="4" t="str">
        <f t="shared" si="10"/>
        <v>Sep-2024</v>
      </c>
      <c r="D151" s="4" t="str">
        <f t="shared" si="11"/>
        <v>Q3-2024</v>
      </c>
      <c r="E151" s="4">
        <v>45583</v>
      </c>
      <c r="F151" t="s">
        <v>2064</v>
      </c>
      <c r="G151" s="4">
        <v>45583</v>
      </c>
      <c r="H151" s="13">
        <v>25</v>
      </c>
      <c r="I151" s="7" t="s">
        <v>648</v>
      </c>
      <c r="J151" s="7" t="s">
        <v>653</v>
      </c>
      <c r="K151" s="7" t="s">
        <v>688</v>
      </c>
      <c r="M151" s="7" t="s">
        <v>705</v>
      </c>
      <c r="N151" s="7" t="s">
        <v>708</v>
      </c>
      <c r="O151" s="7" t="s">
        <v>725</v>
      </c>
      <c r="P151" s="7" t="s">
        <v>730</v>
      </c>
      <c r="Q151" s="7" t="s">
        <v>1577</v>
      </c>
      <c r="R151" s="9">
        <v>1297</v>
      </c>
      <c r="S151" s="9">
        <v>2411.52</v>
      </c>
      <c r="T151" s="9">
        <v>2411.52</v>
      </c>
      <c r="U151" s="9">
        <f t="shared" si="14"/>
        <v>858.83260000000007</v>
      </c>
      <c r="V151" s="9">
        <f t="shared" si="12"/>
        <v>1619.115</v>
      </c>
      <c r="W151" s="9" t="str">
        <f t="shared" si="13"/>
        <v>High</v>
      </c>
      <c r="X151" t="s">
        <v>2065</v>
      </c>
      <c r="Y151" s="11">
        <v>2.1000000000000001E-2</v>
      </c>
      <c r="Z151" t="s">
        <v>2065</v>
      </c>
      <c r="AA151" s="13">
        <v>18</v>
      </c>
      <c r="AB151" s="9">
        <v>42495.805439999996</v>
      </c>
      <c r="AC151" s="9">
        <v>23346</v>
      </c>
      <c r="AD151" s="9">
        <v>19149.805439999996</v>
      </c>
      <c r="AE151" s="11">
        <v>0.45062813239385913</v>
      </c>
    </row>
    <row r="152" spans="1:31" x14ac:dyDescent="0.3">
      <c r="A152" t="s">
        <v>165</v>
      </c>
      <c r="B152" s="4">
        <v>45763</v>
      </c>
      <c r="C152" s="4" t="str">
        <f t="shared" si="10"/>
        <v>Apr-2025</v>
      </c>
      <c r="D152" s="4" t="str">
        <f t="shared" si="11"/>
        <v>Q2-2025</v>
      </c>
      <c r="E152" s="4">
        <v>45793</v>
      </c>
      <c r="F152" t="s">
        <v>2064</v>
      </c>
      <c r="G152" s="4">
        <v>45793</v>
      </c>
      <c r="H152" s="13">
        <v>30</v>
      </c>
      <c r="I152" s="7" t="s">
        <v>648</v>
      </c>
      <c r="J152" s="7" t="s">
        <v>653</v>
      </c>
      <c r="K152" s="7" t="s">
        <v>681</v>
      </c>
      <c r="M152" s="7" t="s">
        <v>706</v>
      </c>
      <c r="N152" s="7" t="s">
        <v>710</v>
      </c>
      <c r="O152" s="7" t="s">
        <v>723</v>
      </c>
      <c r="P152" s="7" t="s">
        <v>728</v>
      </c>
      <c r="Q152" s="7" t="s">
        <v>1578</v>
      </c>
      <c r="R152" s="9">
        <v>763.32</v>
      </c>
      <c r="S152" s="9">
        <v>568.29</v>
      </c>
      <c r="T152" s="9">
        <v>568.29</v>
      </c>
      <c r="U152" s="9">
        <f t="shared" si="14"/>
        <v>855.98800000000006</v>
      </c>
      <c r="V152" s="9">
        <f t="shared" si="12"/>
        <v>1613.3840000000002</v>
      </c>
      <c r="W152" s="9" t="str">
        <f t="shared" si="13"/>
        <v>Low</v>
      </c>
      <c r="X152" t="s">
        <v>2065</v>
      </c>
      <c r="Y152" s="11">
        <v>0.13100000000000001</v>
      </c>
      <c r="Z152" t="s">
        <v>2065</v>
      </c>
      <c r="AA152" s="13">
        <v>16</v>
      </c>
      <c r="AB152" s="9">
        <v>7901.5041599999995</v>
      </c>
      <c r="AC152" s="9">
        <v>12213.12</v>
      </c>
      <c r="AD152" s="9">
        <v>-4311.6158400000013</v>
      </c>
      <c r="AE152" s="11">
        <v>-0.54567026134426555</v>
      </c>
    </row>
    <row r="153" spans="1:31" x14ac:dyDescent="0.3">
      <c r="A153" t="s">
        <v>166</v>
      </c>
      <c r="B153" s="4">
        <v>45110</v>
      </c>
      <c r="C153" s="4" t="str">
        <f t="shared" si="10"/>
        <v>Jul-2023</v>
      </c>
      <c r="D153" s="4" t="str">
        <f t="shared" si="11"/>
        <v>Q3-2023</v>
      </c>
      <c r="E153" s="4">
        <v>45130</v>
      </c>
      <c r="F153" t="s">
        <v>2064</v>
      </c>
      <c r="G153" s="4">
        <v>45130</v>
      </c>
      <c r="H153" s="13">
        <v>20</v>
      </c>
      <c r="I153" s="7" t="s">
        <v>646</v>
      </c>
      <c r="J153" s="7" t="s">
        <v>661</v>
      </c>
      <c r="K153" s="7" t="s">
        <v>682</v>
      </c>
      <c r="M153" s="7" t="s">
        <v>705</v>
      </c>
      <c r="N153" s="7" t="s">
        <v>710</v>
      </c>
      <c r="O153" s="7" t="s">
        <v>721</v>
      </c>
      <c r="P153" s="7" t="s">
        <v>731</v>
      </c>
      <c r="Q153" s="7" t="s">
        <v>1579</v>
      </c>
      <c r="R153" s="9">
        <v>1001.96</v>
      </c>
      <c r="S153" s="9">
        <v>1254.95</v>
      </c>
      <c r="T153" s="9">
        <v>1254.95</v>
      </c>
      <c r="U153" s="9">
        <f t="shared" si="14"/>
        <v>861.68220000000008</v>
      </c>
      <c r="V153" s="9">
        <f t="shared" si="12"/>
        <v>1618.2350000000001</v>
      </c>
      <c r="W153" s="9" t="str">
        <f t="shared" si="13"/>
        <v>Medium</v>
      </c>
      <c r="X153" t="s">
        <v>2065</v>
      </c>
      <c r="Y153" s="11">
        <v>4.4999999999999998E-2</v>
      </c>
      <c r="Z153" t="s">
        <v>2065</v>
      </c>
      <c r="AA153" s="13">
        <v>18</v>
      </c>
      <c r="AB153" s="9">
        <v>21572.590500000002</v>
      </c>
      <c r="AC153" s="9">
        <v>18035.28</v>
      </c>
      <c r="AD153" s="9">
        <v>3537.3105000000032</v>
      </c>
      <c r="AE153" s="11">
        <v>0.16397244920585699</v>
      </c>
    </row>
    <row r="154" spans="1:31" x14ac:dyDescent="0.3">
      <c r="A154" t="s">
        <v>167</v>
      </c>
      <c r="B154" s="4">
        <v>45267</v>
      </c>
      <c r="C154" s="4" t="str">
        <f t="shared" si="10"/>
        <v>Dec-2023</v>
      </c>
      <c r="D154" s="4" t="str">
        <f t="shared" si="11"/>
        <v>Q4-2023</v>
      </c>
      <c r="E154" s="4">
        <v>45265</v>
      </c>
      <c r="F154" t="s">
        <v>2066</v>
      </c>
      <c r="G154" s="4">
        <v>45267</v>
      </c>
      <c r="H154" s="13">
        <v>0</v>
      </c>
      <c r="I154" s="7" t="s">
        <v>647</v>
      </c>
      <c r="J154" s="7" t="s">
        <v>652</v>
      </c>
      <c r="K154" s="7" t="s">
        <v>689</v>
      </c>
      <c r="M154" s="7" t="s">
        <v>703</v>
      </c>
      <c r="N154" s="7" t="s">
        <v>709</v>
      </c>
      <c r="O154" s="7" t="s">
        <v>722</v>
      </c>
      <c r="P154" s="7" t="s">
        <v>728</v>
      </c>
      <c r="Q154" s="7" t="s">
        <v>1580</v>
      </c>
      <c r="R154" s="9">
        <v>1097.5899999999999</v>
      </c>
      <c r="S154" s="9">
        <v>845.55</v>
      </c>
      <c r="T154" s="9">
        <v>845.55</v>
      </c>
      <c r="U154" s="9">
        <f t="shared" si="14"/>
        <v>858.91880000000003</v>
      </c>
      <c r="V154" s="9">
        <f t="shared" si="12"/>
        <v>1619.17</v>
      </c>
      <c r="W154" s="9" t="str">
        <f t="shared" si="13"/>
        <v>Low</v>
      </c>
      <c r="X154" t="s">
        <v>2065</v>
      </c>
      <c r="Y154" s="11">
        <v>0.184</v>
      </c>
      <c r="Z154" t="s">
        <v>2065</v>
      </c>
      <c r="AA154" s="13">
        <v>6</v>
      </c>
      <c r="AB154" s="9">
        <v>4139.8127999999997</v>
      </c>
      <c r="AC154" s="9">
        <v>6585.5399999999991</v>
      </c>
      <c r="AD154" s="9">
        <v>-2445.7271999999994</v>
      </c>
      <c r="AE154" s="11">
        <v>-0.59078207594314402</v>
      </c>
    </row>
    <row r="155" spans="1:31" x14ac:dyDescent="0.3">
      <c r="A155" t="s">
        <v>168</v>
      </c>
      <c r="B155" s="4">
        <v>45340</v>
      </c>
      <c r="C155" s="4" t="str">
        <f t="shared" si="10"/>
        <v>Feb-2024</v>
      </c>
      <c r="D155" s="4" t="str">
        <f t="shared" si="11"/>
        <v>Q1-2024</v>
      </c>
      <c r="E155" s="4">
        <v>45355</v>
      </c>
      <c r="F155" t="s">
        <v>2064</v>
      </c>
      <c r="G155" s="4">
        <v>45355</v>
      </c>
      <c r="H155" s="13">
        <v>15</v>
      </c>
      <c r="I155" s="7" t="s">
        <v>646</v>
      </c>
      <c r="J155" s="7" t="s">
        <v>650</v>
      </c>
      <c r="K155" s="7" t="s">
        <v>662</v>
      </c>
      <c r="M155" s="7" t="s">
        <v>702</v>
      </c>
      <c r="N155" s="7" t="s">
        <v>711</v>
      </c>
      <c r="O155" s="7" t="s">
        <v>723</v>
      </c>
      <c r="P155" s="7" t="s">
        <v>728</v>
      </c>
      <c r="Q155" s="7" t="s">
        <v>1581</v>
      </c>
      <c r="R155" s="9">
        <v>928.68</v>
      </c>
      <c r="S155" s="9">
        <v>2145.17</v>
      </c>
      <c r="T155" s="9">
        <v>2145.17</v>
      </c>
      <c r="U155" s="9">
        <f t="shared" si="14"/>
        <v>864.21859999999992</v>
      </c>
      <c r="V155" s="9">
        <f t="shared" si="12"/>
        <v>1620.1049999999998</v>
      </c>
      <c r="W155" s="9" t="str">
        <f t="shared" si="13"/>
        <v>High</v>
      </c>
      <c r="X155" t="s">
        <v>2065</v>
      </c>
      <c r="Y155" s="11">
        <v>0.13600000000000001</v>
      </c>
      <c r="Z155" t="s">
        <v>2065</v>
      </c>
      <c r="AA155" s="13">
        <v>16</v>
      </c>
      <c r="AB155" s="9">
        <v>29654.83008</v>
      </c>
      <c r="AC155" s="9">
        <v>14858.88</v>
      </c>
      <c r="AD155" s="9">
        <v>14795.950080000001</v>
      </c>
      <c r="AE155" s="11">
        <v>0.49893896003062177</v>
      </c>
    </row>
    <row r="156" spans="1:31" x14ac:dyDescent="0.3">
      <c r="A156" t="s">
        <v>169</v>
      </c>
      <c r="B156" s="4">
        <v>45230</v>
      </c>
      <c r="C156" s="4" t="str">
        <f t="shared" si="10"/>
        <v>Oct-2023</v>
      </c>
      <c r="D156" s="4" t="str">
        <f t="shared" si="11"/>
        <v>Q4-2023</v>
      </c>
      <c r="E156" s="4">
        <v>45232</v>
      </c>
      <c r="F156" t="s">
        <v>2064</v>
      </c>
      <c r="G156" s="4">
        <v>45232</v>
      </c>
      <c r="H156" s="13">
        <v>2</v>
      </c>
      <c r="I156" s="7" t="s">
        <v>646</v>
      </c>
      <c r="J156" s="7" t="s">
        <v>650</v>
      </c>
      <c r="K156" s="7" t="s">
        <v>662</v>
      </c>
      <c r="M156" s="7" t="s">
        <v>702</v>
      </c>
      <c r="N156" s="7" t="s">
        <v>707</v>
      </c>
      <c r="O156" s="7" t="s">
        <v>719</v>
      </c>
      <c r="P156" s="7" t="s">
        <v>733</v>
      </c>
      <c r="Q156" s="7" t="s">
        <v>1582</v>
      </c>
      <c r="R156" s="9">
        <v>867.89</v>
      </c>
      <c r="S156" s="9">
        <v>1349.94</v>
      </c>
      <c r="T156" s="9">
        <v>1349.94</v>
      </c>
      <c r="U156" s="9">
        <f t="shared" si="14"/>
        <v>861.75680000000011</v>
      </c>
      <c r="V156" s="9">
        <f t="shared" si="12"/>
        <v>1618.29</v>
      </c>
      <c r="W156" s="9" t="str">
        <f t="shared" si="13"/>
        <v>Medium</v>
      </c>
      <c r="X156" t="s">
        <v>2065</v>
      </c>
      <c r="Y156" s="11">
        <v>0.184</v>
      </c>
      <c r="Z156" t="s">
        <v>2065</v>
      </c>
      <c r="AA156" s="13">
        <v>10</v>
      </c>
      <c r="AB156" s="9">
        <v>11015.510400000003</v>
      </c>
      <c r="AC156" s="9">
        <v>8678.9</v>
      </c>
      <c r="AD156" s="9">
        <v>2336.6104000000032</v>
      </c>
      <c r="AE156" s="11">
        <v>0.21212003031652557</v>
      </c>
    </row>
    <row r="157" spans="1:31" x14ac:dyDescent="0.3">
      <c r="A157" t="s">
        <v>170</v>
      </c>
      <c r="B157" s="4">
        <v>45511</v>
      </c>
      <c r="C157" s="4" t="str">
        <f t="shared" si="10"/>
        <v>Aug-2024</v>
      </c>
      <c r="D157" s="4" t="str">
        <f t="shared" si="11"/>
        <v>Q3-2024</v>
      </c>
      <c r="E157" s="4">
        <v>45521</v>
      </c>
      <c r="F157" t="s">
        <v>2064</v>
      </c>
      <c r="G157" s="4">
        <v>45521</v>
      </c>
      <c r="H157" s="13">
        <v>10</v>
      </c>
      <c r="I157" s="7" t="s">
        <v>647</v>
      </c>
      <c r="J157" s="7" t="s">
        <v>652</v>
      </c>
      <c r="K157" s="7" t="s">
        <v>666</v>
      </c>
      <c r="M157" s="7" t="s">
        <v>704</v>
      </c>
      <c r="N157" s="7" t="s">
        <v>708</v>
      </c>
      <c r="O157" s="7" t="s">
        <v>723</v>
      </c>
      <c r="P157" s="7" t="s">
        <v>729</v>
      </c>
      <c r="Q157" s="7" t="s">
        <v>1583</v>
      </c>
      <c r="R157" s="9">
        <v>436.58</v>
      </c>
      <c r="S157" s="9">
        <v>527.48</v>
      </c>
      <c r="T157" s="9">
        <v>527.48</v>
      </c>
      <c r="U157" s="9">
        <f t="shared" si="14"/>
        <v>859.005</v>
      </c>
      <c r="V157" s="9">
        <f t="shared" si="12"/>
        <v>1619.2249999999999</v>
      </c>
      <c r="W157" s="9" t="str">
        <f t="shared" si="13"/>
        <v>Low</v>
      </c>
      <c r="X157" t="s">
        <v>2065</v>
      </c>
      <c r="Y157" s="11">
        <v>0.111</v>
      </c>
      <c r="Z157" t="s">
        <v>2065</v>
      </c>
      <c r="AA157" s="13">
        <v>19</v>
      </c>
      <c r="AB157" s="9">
        <v>8909.6646800000017</v>
      </c>
      <c r="AC157" s="9">
        <v>8295.02</v>
      </c>
      <c r="AD157" s="9">
        <v>614.64468000000124</v>
      </c>
      <c r="AE157" s="11">
        <v>6.8986286473802644E-2</v>
      </c>
    </row>
    <row r="158" spans="1:31" x14ac:dyDescent="0.3">
      <c r="A158" t="s">
        <v>171</v>
      </c>
      <c r="B158" s="4">
        <v>45323</v>
      </c>
      <c r="C158" s="4" t="str">
        <f t="shared" si="10"/>
        <v>Feb-2024</v>
      </c>
      <c r="D158" s="4" t="str">
        <f t="shared" si="11"/>
        <v>Q1-2024</v>
      </c>
      <c r="E158" s="4">
        <v>45343</v>
      </c>
      <c r="F158" t="s">
        <v>2064</v>
      </c>
      <c r="G158" s="4">
        <v>45343</v>
      </c>
      <c r="H158" s="13">
        <v>20</v>
      </c>
      <c r="I158" s="7" t="s">
        <v>649</v>
      </c>
      <c r="J158" s="7" t="s">
        <v>657</v>
      </c>
      <c r="K158" s="7" t="s">
        <v>690</v>
      </c>
      <c r="M158" s="7" t="s">
        <v>705</v>
      </c>
      <c r="N158" s="7" t="s">
        <v>709</v>
      </c>
      <c r="O158" s="7" t="s">
        <v>720</v>
      </c>
      <c r="P158" s="7" t="s">
        <v>729</v>
      </c>
      <c r="Q158" s="7" t="s">
        <v>1584</v>
      </c>
      <c r="R158" s="9">
        <v>656.2</v>
      </c>
      <c r="S158" s="9">
        <v>1467.17</v>
      </c>
      <c r="T158" s="9">
        <v>1467.17</v>
      </c>
      <c r="U158" s="9">
        <f t="shared" si="14"/>
        <v>864.29320000000007</v>
      </c>
      <c r="V158" s="9">
        <f t="shared" si="12"/>
        <v>1620.16</v>
      </c>
      <c r="W158" s="9" t="str">
        <f t="shared" si="13"/>
        <v>Medium</v>
      </c>
      <c r="X158" t="s">
        <v>2065</v>
      </c>
      <c r="Y158" s="11">
        <v>1.7999999999999999E-2</v>
      </c>
      <c r="Z158" t="s">
        <v>2065</v>
      </c>
      <c r="AA158" s="13">
        <v>5</v>
      </c>
      <c r="AB158" s="9">
        <v>7203.8047000000006</v>
      </c>
      <c r="AC158" s="9">
        <v>3281</v>
      </c>
      <c r="AD158" s="9">
        <v>3922.8047000000006</v>
      </c>
      <c r="AE158" s="11">
        <v>0.54454623124360946</v>
      </c>
    </row>
    <row r="159" spans="1:31" x14ac:dyDescent="0.3">
      <c r="A159" t="s">
        <v>172</v>
      </c>
      <c r="B159" s="4">
        <v>45531</v>
      </c>
      <c r="C159" s="4" t="str">
        <f t="shared" si="10"/>
        <v>Aug-2024</v>
      </c>
      <c r="D159" s="4" t="str">
        <f t="shared" si="11"/>
        <v>Q3-2024</v>
      </c>
      <c r="E159" s="4">
        <v>45553</v>
      </c>
      <c r="F159" t="s">
        <v>2064</v>
      </c>
      <c r="G159" s="4">
        <v>45553</v>
      </c>
      <c r="H159" s="13">
        <v>22</v>
      </c>
      <c r="I159" s="7" t="s">
        <v>647</v>
      </c>
      <c r="J159" s="7" t="s">
        <v>654</v>
      </c>
      <c r="K159" s="7" t="s">
        <v>680</v>
      </c>
      <c r="M159" s="7" t="s">
        <v>704</v>
      </c>
      <c r="N159" s="7" t="s">
        <v>711</v>
      </c>
      <c r="O159" s="7" t="s">
        <v>717</v>
      </c>
      <c r="P159" s="7" t="s">
        <v>727</v>
      </c>
      <c r="Q159" s="7" t="s">
        <v>1585</v>
      </c>
      <c r="R159" s="9">
        <v>896.75</v>
      </c>
      <c r="S159" s="9">
        <v>1651.14</v>
      </c>
      <c r="T159" s="9">
        <v>1651.14</v>
      </c>
      <c r="U159" s="9">
        <f t="shared" si="14"/>
        <v>861.83140000000003</v>
      </c>
      <c r="V159" s="9">
        <f t="shared" si="12"/>
        <v>1621.3326</v>
      </c>
      <c r="W159" s="9" t="str">
        <f t="shared" si="13"/>
        <v>High</v>
      </c>
      <c r="X159" t="s">
        <v>2065</v>
      </c>
      <c r="Y159" s="11">
        <v>2.5000000000000001E-2</v>
      </c>
      <c r="Z159" t="s">
        <v>2065</v>
      </c>
      <c r="AA159" s="13">
        <v>15</v>
      </c>
      <c r="AB159" s="9">
        <v>24147.922500000001</v>
      </c>
      <c r="AC159" s="9">
        <v>13451.25</v>
      </c>
      <c r="AD159" s="9">
        <v>10696.672500000001</v>
      </c>
      <c r="AE159" s="11">
        <v>0.44296450346815552</v>
      </c>
    </row>
    <row r="160" spans="1:31" x14ac:dyDescent="0.3">
      <c r="A160" t="s">
        <v>173</v>
      </c>
      <c r="B160" s="4">
        <v>45703</v>
      </c>
      <c r="C160" s="4" t="str">
        <f t="shared" si="10"/>
        <v>Feb-2025</v>
      </c>
      <c r="D160" s="4" t="str">
        <f t="shared" si="11"/>
        <v>Q1-2025</v>
      </c>
      <c r="E160" s="4">
        <v>45703</v>
      </c>
      <c r="F160" t="s">
        <v>2064</v>
      </c>
      <c r="G160" s="4">
        <v>45703</v>
      </c>
      <c r="H160" s="13">
        <v>0</v>
      </c>
      <c r="I160" s="7" t="s">
        <v>649</v>
      </c>
      <c r="J160" s="7" t="s">
        <v>656</v>
      </c>
      <c r="K160" s="7" t="s">
        <v>698</v>
      </c>
      <c r="M160" s="7" t="s">
        <v>705</v>
      </c>
      <c r="N160" s="7" t="s">
        <v>709</v>
      </c>
      <c r="O160" s="7" t="s">
        <v>716</v>
      </c>
      <c r="P160" s="7" t="s">
        <v>733</v>
      </c>
      <c r="Q160" s="7" t="s">
        <v>1586</v>
      </c>
      <c r="R160" s="9">
        <v>815.83</v>
      </c>
      <c r="S160" s="9">
        <v>1982.18</v>
      </c>
      <c r="T160" s="9">
        <v>1982.18</v>
      </c>
      <c r="U160" s="9">
        <f t="shared" si="14"/>
        <v>859.09120000000019</v>
      </c>
      <c r="V160" s="9">
        <f t="shared" si="12"/>
        <v>1619.28</v>
      </c>
      <c r="W160" s="9" t="str">
        <f t="shared" si="13"/>
        <v>High</v>
      </c>
      <c r="X160" t="s">
        <v>2065</v>
      </c>
      <c r="Y160" s="11">
        <v>0.127</v>
      </c>
      <c r="Z160" t="s">
        <v>2065</v>
      </c>
      <c r="AA160" s="13">
        <v>6</v>
      </c>
      <c r="AB160" s="9">
        <v>10382.65884</v>
      </c>
      <c r="AC160" s="9">
        <v>4894.9800000000005</v>
      </c>
      <c r="AD160" s="9">
        <v>5487.6788399999996</v>
      </c>
      <c r="AE160" s="11">
        <v>0.52854272923408507</v>
      </c>
    </row>
    <row r="161" spans="1:31" x14ac:dyDescent="0.3">
      <c r="A161" t="s">
        <v>174</v>
      </c>
      <c r="B161" s="4">
        <v>45870</v>
      </c>
      <c r="C161" s="4" t="str">
        <f t="shared" si="10"/>
        <v>Aug-2025</v>
      </c>
      <c r="D161" s="4" t="str">
        <f t="shared" si="11"/>
        <v>Q3-2025</v>
      </c>
      <c r="E161" s="4">
        <v>45890</v>
      </c>
      <c r="F161" t="s">
        <v>2064</v>
      </c>
      <c r="G161" s="4">
        <v>45890</v>
      </c>
      <c r="H161" s="13">
        <v>20</v>
      </c>
      <c r="I161" s="7" t="s">
        <v>647</v>
      </c>
      <c r="J161" s="7" t="s">
        <v>659</v>
      </c>
      <c r="K161" s="7" t="s">
        <v>685</v>
      </c>
      <c r="M161" s="7" t="s">
        <v>701</v>
      </c>
      <c r="N161" s="7" t="s">
        <v>711</v>
      </c>
      <c r="O161" s="7" t="s">
        <v>714</v>
      </c>
      <c r="P161" s="7" t="s">
        <v>730</v>
      </c>
      <c r="Q161" s="7" t="s">
        <v>1587</v>
      </c>
      <c r="R161" s="9">
        <v>1220.4100000000001</v>
      </c>
      <c r="S161" s="9">
        <v>2552.2199999999998</v>
      </c>
      <c r="T161" s="9">
        <v>2552.2199999999998</v>
      </c>
      <c r="U161" s="9">
        <f t="shared" si="14"/>
        <v>856.24660000000006</v>
      </c>
      <c r="V161" s="9">
        <f t="shared" si="12"/>
        <v>1614.7238000000002</v>
      </c>
      <c r="W161" s="9" t="str">
        <f t="shared" si="13"/>
        <v>High</v>
      </c>
      <c r="X161" t="s">
        <v>2065</v>
      </c>
      <c r="Y161" s="11">
        <v>0.18099999999999999</v>
      </c>
      <c r="Z161" t="s">
        <v>2065</v>
      </c>
      <c r="AA161" s="13">
        <v>14</v>
      </c>
      <c r="AB161" s="9">
        <v>29263.754519999995</v>
      </c>
      <c r="AC161" s="9">
        <v>17085.740000000002</v>
      </c>
      <c r="AD161" s="9">
        <v>12178.014519999993</v>
      </c>
      <c r="AE161" s="11">
        <v>0.41614668793360271</v>
      </c>
    </row>
    <row r="162" spans="1:31" x14ac:dyDescent="0.3">
      <c r="A162" t="s">
        <v>175</v>
      </c>
      <c r="B162" s="4">
        <v>44977</v>
      </c>
      <c r="C162" s="4" t="str">
        <f t="shared" si="10"/>
        <v>Feb-2023</v>
      </c>
      <c r="D162" s="4" t="str">
        <f t="shared" si="11"/>
        <v>Q1-2023</v>
      </c>
      <c r="E162" s="4">
        <v>44989</v>
      </c>
      <c r="F162" t="s">
        <v>2064</v>
      </c>
      <c r="G162" s="4">
        <v>44989</v>
      </c>
      <c r="H162" s="13">
        <v>12</v>
      </c>
      <c r="I162" s="7" t="s">
        <v>647</v>
      </c>
      <c r="J162" s="7" t="s">
        <v>654</v>
      </c>
      <c r="K162" s="7" t="s">
        <v>680</v>
      </c>
      <c r="M162" s="7" t="s">
        <v>704</v>
      </c>
      <c r="N162" s="7" t="s">
        <v>710</v>
      </c>
      <c r="O162" s="7" t="s">
        <v>724</v>
      </c>
      <c r="P162" s="7" t="s">
        <v>732</v>
      </c>
      <c r="Q162" s="7" t="s">
        <v>1588</v>
      </c>
      <c r="R162" s="9">
        <v>299.75</v>
      </c>
      <c r="S162" s="9">
        <v>523.01</v>
      </c>
      <c r="T162" s="9">
        <v>523.01</v>
      </c>
      <c r="U162" s="9">
        <f t="shared" si="14"/>
        <v>853.40199999999993</v>
      </c>
      <c r="V162" s="9">
        <f t="shared" si="12"/>
        <v>1599.9859999999996</v>
      </c>
      <c r="W162" s="9" t="str">
        <f t="shared" si="13"/>
        <v>Low</v>
      </c>
      <c r="X162" t="s">
        <v>2065</v>
      </c>
      <c r="Y162" s="11">
        <v>0.157</v>
      </c>
      <c r="Z162" t="s">
        <v>2065</v>
      </c>
      <c r="AA162" s="13">
        <v>50</v>
      </c>
      <c r="AB162" s="9">
        <v>22044.871499999997</v>
      </c>
      <c r="AC162" s="9">
        <v>14987.5</v>
      </c>
      <c r="AD162" s="9">
        <v>7057.3714999999975</v>
      </c>
      <c r="AE162" s="11">
        <v>0.32013665854210122</v>
      </c>
    </row>
    <row r="163" spans="1:31" x14ac:dyDescent="0.3">
      <c r="A163" t="s">
        <v>176</v>
      </c>
      <c r="B163" s="4">
        <v>45595</v>
      </c>
      <c r="C163" s="4" t="str">
        <f t="shared" si="10"/>
        <v>Oct-2024</v>
      </c>
      <c r="D163" s="4" t="str">
        <f t="shared" si="11"/>
        <v>Q4-2024</v>
      </c>
      <c r="E163" s="4">
        <v>45620</v>
      </c>
      <c r="F163" t="s">
        <v>2064</v>
      </c>
      <c r="G163" s="4">
        <v>45620</v>
      </c>
      <c r="H163" s="13">
        <v>25</v>
      </c>
      <c r="I163" s="7" t="s">
        <v>647</v>
      </c>
      <c r="J163" s="7" t="s">
        <v>659</v>
      </c>
      <c r="K163" s="7" t="s">
        <v>676</v>
      </c>
      <c r="M163" s="7" t="s">
        <v>705</v>
      </c>
      <c r="N163" s="7" t="s">
        <v>708</v>
      </c>
      <c r="O163" s="7" t="s">
        <v>718</v>
      </c>
      <c r="P163" s="7" t="s">
        <v>727</v>
      </c>
      <c r="Q163" s="7" t="s">
        <v>1589</v>
      </c>
      <c r="R163" s="9">
        <v>811.05</v>
      </c>
      <c r="S163" s="9">
        <v>1217.71</v>
      </c>
      <c r="T163" s="9">
        <v>1217.71</v>
      </c>
      <c r="U163" s="9">
        <f t="shared" si="14"/>
        <v>859.17740000000003</v>
      </c>
      <c r="V163" s="9">
        <f t="shared" si="12"/>
        <v>1607.5782000000004</v>
      </c>
      <c r="W163" s="9" t="str">
        <f t="shared" si="13"/>
        <v>Medium</v>
      </c>
      <c r="X163" t="s">
        <v>2065</v>
      </c>
      <c r="Y163" s="11">
        <v>7.1999999999999995E-2</v>
      </c>
      <c r="Z163" t="s">
        <v>2065</v>
      </c>
      <c r="AA163" s="13">
        <v>5</v>
      </c>
      <c r="AB163" s="9">
        <v>5650.1744000000008</v>
      </c>
      <c r="AC163" s="9">
        <v>4055.25</v>
      </c>
      <c r="AD163" s="9">
        <v>1594.9244000000008</v>
      </c>
      <c r="AE163" s="11">
        <v>0.28227879125288602</v>
      </c>
    </row>
    <row r="164" spans="1:31" x14ac:dyDescent="0.3">
      <c r="A164" t="s">
        <v>177</v>
      </c>
      <c r="B164" s="4">
        <v>45385</v>
      </c>
      <c r="C164" s="4" t="str">
        <f t="shared" si="10"/>
        <v>Apr-2024</v>
      </c>
      <c r="D164" s="4" t="str">
        <f t="shared" si="11"/>
        <v>Q2-2024</v>
      </c>
      <c r="E164" s="4">
        <v>45389</v>
      </c>
      <c r="F164" t="s">
        <v>2064</v>
      </c>
      <c r="G164" s="4">
        <v>45389</v>
      </c>
      <c r="H164" s="13">
        <v>4</v>
      </c>
      <c r="I164" s="7" t="s">
        <v>648</v>
      </c>
      <c r="J164" s="7" t="s">
        <v>655</v>
      </c>
      <c r="K164" s="7" t="s">
        <v>672</v>
      </c>
      <c r="M164" s="7" t="s">
        <v>703</v>
      </c>
      <c r="N164" s="7" t="s">
        <v>711</v>
      </c>
      <c r="O164" s="7" t="s">
        <v>725</v>
      </c>
      <c r="P164" s="7" t="s">
        <v>730</v>
      </c>
      <c r="Q164" s="7" t="s">
        <v>1590</v>
      </c>
      <c r="R164" s="9">
        <v>1023.27</v>
      </c>
      <c r="S164" s="9">
        <v>1343.64</v>
      </c>
      <c r="T164" s="9">
        <v>1343.64</v>
      </c>
      <c r="U164" s="9">
        <f t="shared" si="14"/>
        <v>856.33279999999991</v>
      </c>
      <c r="V164" s="9">
        <f t="shared" si="12"/>
        <v>1615.1703999999997</v>
      </c>
      <c r="W164" s="9" t="str">
        <f t="shared" si="13"/>
        <v>Medium</v>
      </c>
      <c r="X164" t="s">
        <v>2065</v>
      </c>
      <c r="Y164" s="11">
        <v>0.13300000000000001</v>
      </c>
      <c r="Z164" t="s">
        <v>2065</v>
      </c>
      <c r="AA164" s="13">
        <v>7</v>
      </c>
      <c r="AB164" s="9">
        <v>8154.5511600000009</v>
      </c>
      <c r="AC164" s="9">
        <v>7162.8899999999994</v>
      </c>
      <c r="AD164" s="9">
        <v>991.66116000000147</v>
      </c>
      <c r="AE164" s="11">
        <v>0.12160830688810116</v>
      </c>
    </row>
    <row r="165" spans="1:31" x14ac:dyDescent="0.3">
      <c r="A165" t="s">
        <v>178</v>
      </c>
      <c r="B165" s="4">
        <v>45010</v>
      </c>
      <c r="C165" s="4" t="str">
        <f t="shared" si="10"/>
        <v>Mar-2023</v>
      </c>
      <c r="D165" s="4" t="str">
        <f t="shared" si="11"/>
        <v>Q1-2023</v>
      </c>
      <c r="E165" s="4">
        <v>45011</v>
      </c>
      <c r="F165" t="s">
        <v>2064</v>
      </c>
      <c r="G165" s="4">
        <v>45011</v>
      </c>
      <c r="H165" s="13">
        <v>1</v>
      </c>
      <c r="I165" s="7" t="s">
        <v>647</v>
      </c>
      <c r="J165" s="7" t="s">
        <v>652</v>
      </c>
      <c r="K165" s="7" t="s">
        <v>666</v>
      </c>
      <c r="M165" s="7" t="s">
        <v>705</v>
      </c>
      <c r="N165" s="7" t="s">
        <v>710</v>
      </c>
      <c r="O165" s="7" t="s">
        <v>714</v>
      </c>
      <c r="P165" s="7" t="s">
        <v>732</v>
      </c>
      <c r="Q165" s="7" t="s">
        <v>1591</v>
      </c>
      <c r="R165" s="9">
        <v>135.12</v>
      </c>
      <c r="S165" s="9">
        <v>301.7</v>
      </c>
      <c r="T165" s="9">
        <v>301.7</v>
      </c>
      <c r="U165" s="9">
        <f t="shared" si="14"/>
        <v>853.48820000000012</v>
      </c>
      <c r="V165" s="9">
        <f t="shared" si="12"/>
        <v>1618.4549999999999</v>
      </c>
      <c r="W165" s="9" t="str">
        <f t="shared" si="13"/>
        <v>Low</v>
      </c>
      <c r="X165" t="s">
        <v>2065</v>
      </c>
      <c r="Y165" s="11">
        <v>0.14000000000000001</v>
      </c>
      <c r="Z165" t="s">
        <v>2065</v>
      </c>
      <c r="AA165" s="13">
        <v>47</v>
      </c>
      <c r="AB165" s="9">
        <v>12194.714</v>
      </c>
      <c r="AC165" s="9">
        <v>6350.64</v>
      </c>
      <c r="AD165" s="9">
        <v>5844.0739999999996</v>
      </c>
      <c r="AE165" s="11">
        <v>0.47923009920527859</v>
      </c>
    </row>
    <row r="166" spans="1:31" x14ac:dyDescent="0.3">
      <c r="A166" t="s">
        <v>179</v>
      </c>
      <c r="B166" s="4">
        <v>45447</v>
      </c>
      <c r="C166" s="4" t="str">
        <f t="shared" si="10"/>
        <v>Jun-2024</v>
      </c>
      <c r="D166" s="4" t="str">
        <f t="shared" si="11"/>
        <v>Q2-2024</v>
      </c>
      <c r="E166" s="4">
        <v>45459</v>
      </c>
      <c r="F166" t="s">
        <v>2064</v>
      </c>
      <c r="G166" s="4">
        <v>45459</v>
      </c>
      <c r="H166" s="13">
        <v>12</v>
      </c>
      <c r="I166" s="7" t="s">
        <v>647</v>
      </c>
      <c r="J166" s="7" t="s">
        <v>659</v>
      </c>
      <c r="K166" s="7" t="s">
        <v>685</v>
      </c>
      <c r="M166" s="7" t="s">
        <v>701</v>
      </c>
      <c r="N166" s="7" t="s">
        <v>707</v>
      </c>
      <c r="O166" s="7" t="s">
        <v>713</v>
      </c>
      <c r="P166" s="7" t="s">
        <v>728</v>
      </c>
      <c r="Q166" s="7" t="s">
        <v>1592</v>
      </c>
      <c r="R166" s="9">
        <v>918.42</v>
      </c>
      <c r="S166" s="9">
        <v>1511.71</v>
      </c>
      <c r="T166" s="9">
        <v>1511.71</v>
      </c>
      <c r="U166" s="9">
        <f t="shared" si="14"/>
        <v>859.2636</v>
      </c>
      <c r="V166" s="9">
        <f t="shared" si="12"/>
        <v>1619.3899999999999</v>
      </c>
      <c r="W166" s="9" t="str">
        <f t="shared" si="13"/>
        <v>Medium</v>
      </c>
      <c r="X166" t="s">
        <v>2065</v>
      </c>
      <c r="Y166" s="11">
        <v>0.02</v>
      </c>
      <c r="Z166" t="s">
        <v>2065</v>
      </c>
      <c r="AA166" s="13">
        <v>8</v>
      </c>
      <c r="AB166" s="9">
        <v>11851.806399999999</v>
      </c>
      <c r="AC166" s="9">
        <v>7347.36</v>
      </c>
      <c r="AD166" s="9">
        <v>4504.4463999999998</v>
      </c>
      <c r="AE166" s="11">
        <v>0.38006412254590999</v>
      </c>
    </row>
    <row r="167" spans="1:31" x14ac:dyDescent="0.3">
      <c r="A167" t="s">
        <v>180</v>
      </c>
      <c r="B167" s="4">
        <v>44976</v>
      </c>
      <c r="C167" s="4" t="str">
        <f t="shared" si="10"/>
        <v>Feb-2023</v>
      </c>
      <c r="D167" s="4" t="str">
        <f t="shared" si="11"/>
        <v>Q1-2023</v>
      </c>
      <c r="E167" s="4">
        <v>44997</v>
      </c>
      <c r="F167" t="s">
        <v>2064</v>
      </c>
      <c r="G167" s="4">
        <v>44997</v>
      </c>
      <c r="H167" s="13">
        <v>21</v>
      </c>
      <c r="I167" s="7" t="s">
        <v>649</v>
      </c>
      <c r="J167" s="7" t="s">
        <v>656</v>
      </c>
      <c r="K167" s="7" t="s">
        <v>671</v>
      </c>
      <c r="M167" s="7" t="s">
        <v>705</v>
      </c>
      <c r="N167" s="7" t="s">
        <v>711</v>
      </c>
      <c r="O167" s="7" t="s">
        <v>716</v>
      </c>
      <c r="P167" s="7" t="s">
        <v>732</v>
      </c>
      <c r="Q167" s="7" t="s">
        <v>1593</v>
      </c>
      <c r="R167" s="9">
        <v>1234.81</v>
      </c>
      <c r="S167" s="9">
        <v>2055.2399999999998</v>
      </c>
      <c r="T167" s="9">
        <v>2055.2399999999998</v>
      </c>
      <c r="U167" s="9">
        <f t="shared" si="14"/>
        <v>856.4190000000001</v>
      </c>
      <c r="V167" s="9">
        <f t="shared" si="12"/>
        <v>1620.325</v>
      </c>
      <c r="W167" s="9" t="str">
        <f t="shared" si="13"/>
        <v>High</v>
      </c>
      <c r="X167" t="s">
        <v>2065</v>
      </c>
      <c r="Y167" s="11">
        <v>5.2999999999999999E-2</v>
      </c>
      <c r="Z167" t="s">
        <v>2065</v>
      </c>
      <c r="AA167" s="13">
        <v>44</v>
      </c>
      <c r="AB167" s="9">
        <v>85637.740319999997</v>
      </c>
      <c r="AC167" s="9">
        <v>54331.64</v>
      </c>
      <c r="AD167" s="9">
        <v>31306.100319999998</v>
      </c>
      <c r="AE167" s="11">
        <v>0.36556429680441616</v>
      </c>
    </row>
    <row r="168" spans="1:31" x14ac:dyDescent="0.3">
      <c r="A168" t="s">
        <v>181</v>
      </c>
      <c r="B168" s="4">
        <v>45034</v>
      </c>
      <c r="C168" s="4" t="str">
        <f t="shared" si="10"/>
        <v>Apr-2023</v>
      </c>
      <c r="D168" s="4" t="str">
        <f t="shared" si="11"/>
        <v>Q2-2023</v>
      </c>
      <c r="E168" s="4">
        <v>45064</v>
      </c>
      <c r="F168" t="s">
        <v>2064</v>
      </c>
      <c r="G168" s="4">
        <v>45064</v>
      </c>
      <c r="H168" s="13">
        <v>30</v>
      </c>
      <c r="I168" s="7" t="s">
        <v>647</v>
      </c>
      <c r="J168" s="7" t="s">
        <v>659</v>
      </c>
      <c r="K168" s="7" t="s">
        <v>676</v>
      </c>
      <c r="M168" s="7" t="s">
        <v>703</v>
      </c>
      <c r="N168" s="7" t="s">
        <v>707</v>
      </c>
      <c r="O168" s="7" t="s">
        <v>722</v>
      </c>
      <c r="P168" s="7" t="s">
        <v>731</v>
      </c>
      <c r="Q168" s="7" t="s">
        <v>1594</v>
      </c>
      <c r="R168" s="9">
        <v>329.03</v>
      </c>
      <c r="S168" s="9">
        <v>391.15</v>
      </c>
      <c r="T168" s="9">
        <v>391.15</v>
      </c>
      <c r="U168" s="9">
        <f t="shared" si="14"/>
        <v>853.57439999999997</v>
      </c>
      <c r="V168" s="9">
        <f t="shared" si="12"/>
        <v>1618.51</v>
      </c>
      <c r="W168" s="9" t="str">
        <f t="shared" si="13"/>
        <v>Low</v>
      </c>
      <c r="X168" t="s">
        <v>2065</v>
      </c>
      <c r="Y168" s="11">
        <v>0.19700000000000001</v>
      </c>
      <c r="Z168" t="s">
        <v>2065</v>
      </c>
      <c r="AA168" s="13">
        <v>46</v>
      </c>
      <c r="AB168" s="9">
        <v>14448.298699999998</v>
      </c>
      <c r="AC168" s="9">
        <v>15135.38</v>
      </c>
      <c r="AD168" s="9">
        <v>-687.08130000000165</v>
      </c>
      <c r="AE168" s="11">
        <v>-4.7554477815440081E-2</v>
      </c>
    </row>
    <row r="169" spans="1:31" x14ac:dyDescent="0.3">
      <c r="A169" t="s">
        <v>182</v>
      </c>
      <c r="B169" s="4">
        <v>45435</v>
      </c>
      <c r="C169" s="4" t="str">
        <f t="shared" si="10"/>
        <v>May-2024</v>
      </c>
      <c r="D169" s="4" t="str">
        <f t="shared" si="11"/>
        <v>Q2-2024</v>
      </c>
      <c r="E169" s="4">
        <v>45457</v>
      </c>
      <c r="F169" t="s">
        <v>2064</v>
      </c>
      <c r="G169" s="4">
        <v>45457</v>
      </c>
      <c r="H169" s="13">
        <v>22</v>
      </c>
      <c r="I169" s="7" t="s">
        <v>649</v>
      </c>
      <c r="J169" s="7" t="s">
        <v>657</v>
      </c>
      <c r="K169" s="7" t="s">
        <v>673</v>
      </c>
      <c r="M169" s="7" t="s">
        <v>705</v>
      </c>
      <c r="N169" s="7" t="s">
        <v>708</v>
      </c>
      <c r="O169" s="7" t="s">
        <v>725</v>
      </c>
      <c r="P169" s="7" t="s">
        <v>732</v>
      </c>
      <c r="Q169" s="7" t="s">
        <v>1595</v>
      </c>
      <c r="R169" s="9">
        <v>1481.74</v>
      </c>
      <c r="S169" s="9">
        <v>1848.97</v>
      </c>
      <c r="T169" s="9">
        <v>1848.97</v>
      </c>
      <c r="U169" s="9">
        <f t="shared" si="14"/>
        <v>859.34980000000019</v>
      </c>
      <c r="V169" s="9">
        <f t="shared" si="12"/>
        <v>1619.4449999999999</v>
      </c>
      <c r="W169" s="9" t="str">
        <f t="shared" si="13"/>
        <v>High</v>
      </c>
      <c r="X169" t="s">
        <v>2065</v>
      </c>
      <c r="Y169" s="11">
        <v>0.254</v>
      </c>
      <c r="Z169" t="s">
        <v>2065</v>
      </c>
      <c r="AA169" s="13">
        <v>9</v>
      </c>
      <c r="AB169" s="9">
        <v>12413.98458</v>
      </c>
      <c r="AC169" s="9">
        <v>13335.66</v>
      </c>
      <c r="AD169" s="9">
        <v>-921.67541999999958</v>
      </c>
      <c r="AE169" s="11">
        <v>-7.4244930309072407E-2</v>
      </c>
    </row>
    <row r="170" spans="1:31" x14ac:dyDescent="0.3">
      <c r="A170" t="s">
        <v>183</v>
      </c>
      <c r="B170" s="4">
        <v>45206</v>
      </c>
      <c r="C170" s="4" t="str">
        <f t="shared" si="10"/>
        <v>Oct-2023</v>
      </c>
      <c r="D170" s="4" t="str">
        <f t="shared" si="11"/>
        <v>Q4-2023</v>
      </c>
      <c r="E170" s="4">
        <v>45222</v>
      </c>
      <c r="F170" t="s">
        <v>2064</v>
      </c>
      <c r="G170" s="4">
        <v>45222</v>
      </c>
      <c r="H170" s="13">
        <v>16</v>
      </c>
      <c r="I170" s="7" t="s">
        <v>647</v>
      </c>
      <c r="J170" s="7" t="s">
        <v>654</v>
      </c>
      <c r="K170" s="7" t="s">
        <v>696</v>
      </c>
      <c r="M170" s="7" t="s">
        <v>704</v>
      </c>
      <c r="N170" s="7" t="s">
        <v>707</v>
      </c>
      <c r="O170" s="7" t="s">
        <v>715</v>
      </c>
      <c r="P170" s="7" t="s">
        <v>732</v>
      </c>
      <c r="Q170" s="7" t="s">
        <v>1596</v>
      </c>
      <c r="R170" s="9">
        <v>906.81</v>
      </c>
      <c r="S170" s="9">
        <v>1395.56</v>
      </c>
      <c r="T170" s="9">
        <v>1395.56</v>
      </c>
      <c r="U170" s="9">
        <f t="shared" si="14"/>
        <v>856.50520000000006</v>
      </c>
      <c r="V170" s="9">
        <f t="shared" si="12"/>
        <v>1616.0636000000002</v>
      </c>
      <c r="W170" s="9" t="str">
        <f t="shared" si="13"/>
        <v>Medium</v>
      </c>
      <c r="X170" t="s">
        <v>2065</v>
      </c>
      <c r="Y170" s="11">
        <v>0.185</v>
      </c>
      <c r="Z170" t="s">
        <v>2065</v>
      </c>
      <c r="AA170" s="13">
        <v>6</v>
      </c>
      <c r="AB170" s="9">
        <v>6824.2884000000004</v>
      </c>
      <c r="AC170" s="9">
        <v>5440.86</v>
      </c>
      <c r="AD170" s="9">
        <v>1383.4284000000007</v>
      </c>
      <c r="AE170" s="11">
        <v>0.20272126834498974</v>
      </c>
    </row>
    <row r="171" spans="1:31" x14ac:dyDescent="0.3">
      <c r="A171" t="s">
        <v>184</v>
      </c>
      <c r="B171" s="4">
        <v>45574</v>
      </c>
      <c r="C171" s="4" t="str">
        <f t="shared" si="10"/>
        <v>Oct-2024</v>
      </c>
      <c r="D171" s="4" t="str">
        <f t="shared" si="11"/>
        <v>Q4-2024</v>
      </c>
      <c r="E171" s="4">
        <v>45604</v>
      </c>
      <c r="F171" t="s">
        <v>2064</v>
      </c>
      <c r="G171" s="4">
        <v>45604</v>
      </c>
      <c r="H171" s="13">
        <v>30</v>
      </c>
      <c r="I171" s="7" t="s">
        <v>649</v>
      </c>
      <c r="J171" s="7" t="s">
        <v>658</v>
      </c>
      <c r="K171" s="7" t="s">
        <v>693</v>
      </c>
      <c r="M171" s="7" t="s">
        <v>705</v>
      </c>
      <c r="N171" s="7" t="s">
        <v>710</v>
      </c>
      <c r="O171" s="7" t="s">
        <v>713</v>
      </c>
      <c r="P171" s="7" t="s">
        <v>727</v>
      </c>
      <c r="Q171" s="7" t="s">
        <v>1597</v>
      </c>
      <c r="R171" s="9">
        <v>343.85</v>
      </c>
      <c r="S171" s="9">
        <v>538.04</v>
      </c>
      <c r="T171" s="9">
        <v>538.04</v>
      </c>
      <c r="U171" s="9">
        <f t="shared" si="14"/>
        <v>853.66059999999993</v>
      </c>
      <c r="V171" s="9">
        <f t="shared" si="12"/>
        <v>1618.5649999999998</v>
      </c>
      <c r="W171" s="9" t="str">
        <f t="shared" si="13"/>
        <v>Low</v>
      </c>
      <c r="X171" t="s">
        <v>2065</v>
      </c>
      <c r="Y171" s="11">
        <v>0.13900000000000001</v>
      </c>
      <c r="Z171" t="s">
        <v>2065</v>
      </c>
      <c r="AA171" s="13">
        <v>5</v>
      </c>
      <c r="AB171" s="9">
        <v>2316.2621999999997</v>
      </c>
      <c r="AC171" s="9">
        <v>1719.25</v>
      </c>
      <c r="AD171" s="9">
        <v>597.01219999999967</v>
      </c>
      <c r="AE171" s="11">
        <v>0.25774810813732563</v>
      </c>
    </row>
    <row r="172" spans="1:31" x14ac:dyDescent="0.3">
      <c r="A172" t="s">
        <v>185</v>
      </c>
      <c r="B172" s="4">
        <v>45488</v>
      </c>
      <c r="C172" s="4" t="str">
        <f t="shared" si="10"/>
        <v>Jul-2024</v>
      </c>
      <c r="D172" s="4" t="str">
        <f t="shared" si="11"/>
        <v>Q3-2024</v>
      </c>
      <c r="E172" s="4">
        <v>45488</v>
      </c>
      <c r="F172" t="s">
        <v>2064</v>
      </c>
      <c r="G172" s="4">
        <v>45488</v>
      </c>
      <c r="H172" s="13">
        <v>0</v>
      </c>
      <c r="I172" s="7" t="s">
        <v>647</v>
      </c>
      <c r="J172" s="7" t="s">
        <v>652</v>
      </c>
      <c r="K172" s="7" t="s">
        <v>689</v>
      </c>
      <c r="M172" s="7" t="s">
        <v>705</v>
      </c>
      <c r="N172" s="7" t="s">
        <v>709</v>
      </c>
      <c r="O172" s="7" t="s">
        <v>715</v>
      </c>
      <c r="P172" s="7" t="s">
        <v>733</v>
      </c>
      <c r="Q172" s="7" t="s">
        <v>1598</v>
      </c>
      <c r="R172" s="9">
        <v>801.77</v>
      </c>
      <c r="S172" s="9">
        <v>1218.92</v>
      </c>
      <c r="T172" s="9">
        <v>1218.92</v>
      </c>
      <c r="U172" s="9">
        <f t="shared" si="14"/>
        <v>859.43600000000004</v>
      </c>
      <c r="V172" s="9">
        <f t="shared" si="12"/>
        <v>1619.5</v>
      </c>
      <c r="W172" s="9" t="str">
        <f t="shared" si="13"/>
        <v>Medium</v>
      </c>
      <c r="X172" t="s">
        <v>2065</v>
      </c>
      <c r="Y172" s="11">
        <v>0.254</v>
      </c>
      <c r="Z172" t="s">
        <v>2065</v>
      </c>
      <c r="AA172" s="13">
        <v>16</v>
      </c>
      <c r="AB172" s="9">
        <v>14549.029120000001</v>
      </c>
      <c r="AC172" s="9">
        <v>12828.32</v>
      </c>
      <c r="AD172" s="9">
        <v>1720.7091200000013</v>
      </c>
      <c r="AE172" s="11">
        <v>0.11826968698788344</v>
      </c>
    </row>
    <row r="173" spans="1:31" x14ac:dyDescent="0.3">
      <c r="A173" t="s">
        <v>186</v>
      </c>
      <c r="B173" s="4">
        <v>45190</v>
      </c>
      <c r="C173" s="4" t="str">
        <f t="shared" si="10"/>
        <v>Sep-2023</v>
      </c>
      <c r="D173" s="4" t="str">
        <f t="shared" si="11"/>
        <v>Q3-2023</v>
      </c>
      <c r="E173" s="4">
        <v>45209</v>
      </c>
      <c r="F173" t="s">
        <v>2064</v>
      </c>
      <c r="G173" s="4">
        <v>45209</v>
      </c>
      <c r="H173" s="13">
        <v>19</v>
      </c>
      <c r="I173" s="7" t="s">
        <v>647</v>
      </c>
      <c r="J173" s="7" t="s">
        <v>652</v>
      </c>
      <c r="K173" s="7" t="s">
        <v>689</v>
      </c>
      <c r="M173" s="7" t="s">
        <v>702</v>
      </c>
      <c r="N173" s="7" t="s">
        <v>708</v>
      </c>
      <c r="O173" s="7" t="s">
        <v>726</v>
      </c>
      <c r="P173" s="7" t="s">
        <v>727</v>
      </c>
      <c r="Q173" s="7" t="s">
        <v>1599</v>
      </c>
      <c r="R173" s="9">
        <v>845.63</v>
      </c>
      <c r="S173" s="9">
        <v>2062.12</v>
      </c>
      <c r="T173" s="9">
        <v>2062.12</v>
      </c>
      <c r="U173" s="9">
        <f t="shared" si="14"/>
        <v>856.59139999999991</v>
      </c>
      <c r="V173" s="9">
        <f t="shared" si="12"/>
        <v>1620.4349999999999</v>
      </c>
      <c r="W173" s="9" t="str">
        <f t="shared" si="13"/>
        <v>High</v>
      </c>
      <c r="X173" t="s">
        <v>2065</v>
      </c>
      <c r="Y173" s="11">
        <v>0.13400000000000001</v>
      </c>
      <c r="Z173" t="s">
        <v>2065</v>
      </c>
      <c r="AA173" s="13">
        <v>5</v>
      </c>
      <c r="AB173" s="9">
        <v>8928.9795999999988</v>
      </c>
      <c r="AC173" s="9">
        <v>4228.1499999999996</v>
      </c>
      <c r="AD173" s="9">
        <v>4700.8295999999991</v>
      </c>
      <c r="AE173" s="11">
        <v>0.52646884757133949</v>
      </c>
    </row>
    <row r="174" spans="1:31" x14ac:dyDescent="0.3">
      <c r="A174" t="s">
        <v>187</v>
      </c>
      <c r="B174" s="4">
        <v>44981</v>
      </c>
      <c r="C174" s="4" t="str">
        <f t="shared" si="10"/>
        <v>Feb-2023</v>
      </c>
      <c r="D174" s="4" t="str">
        <f t="shared" si="11"/>
        <v>Q1-2023</v>
      </c>
      <c r="E174" s="4">
        <v>44994</v>
      </c>
      <c r="F174" t="s">
        <v>2064</v>
      </c>
      <c r="G174" s="4">
        <v>44994</v>
      </c>
      <c r="H174" s="13">
        <v>13</v>
      </c>
      <c r="I174" s="7" t="s">
        <v>648</v>
      </c>
      <c r="J174" s="7" t="s">
        <v>1425</v>
      </c>
      <c r="K174" s="7" t="s">
        <v>700</v>
      </c>
      <c r="M174" s="7" t="s">
        <v>706</v>
      </c>
      <c r="N174" s="7" t="s">
        <v>708</v>
      </c>
      <c r="O174" s="7" t="s">
        <v>724</v>
      </c>
      <c r="P174" s="7" t="s">
        <v>727</v>
      </c>
      <c r="Q174" s="7" t="s">
        <v>1600</v>
      </c>
      <c r="R174" s="9">
        <v>6.85</v>
      </c>
      <c r="S174" s="9">
        <v>10.18</v>
      </c>
      <c r="T174" s="9">
        <v>10.18</v>
      </c>
      <c r="U174" s="9">
        <f t="shared" si="14"/>
        <v>853.74680000000012</v>
      </c>
      <c r="V174" s="9">
        <f t="shared" si="12"/>
        <v>1618.62</v>
      </c>
      <c r="W174" s="9" t="str">
        <f t="shared" si="13"/>
        <v>Low</v>
      </c>
      <c r="X174" t="s">
        <v>2065</v>
      </c>
      <c r="Y174" s="11">
        <v>4.7E-2</v>
      </c>
      <c r="Z174" t="s">
        <v>2065</v>
      </c>
      <c r="AA174" s="13">
        <v>10</v>
      </c>
      <c r="AB174" s="9">
        <v>97.0154</v>
      </c>
      <c r="AC174" s="9">
        <v>68.5</v>
      </c>
      <c r="AD174" s="9">
        <v>28.5154</v>
      </c>
      <c r="AE174" s="11">
        <v>0.2939265312517394</v>
      </c>
    </row>
    <row r="175" spans="1:31" x14ac:dyDescent="0.3">
      <c r="A175" t="s">
        <v>188</v>
      </c>
      <c r="B175" s="4">
        <v>45798</v>
      </c>
      <c r="C175" s="4" t="str">
        <f t="shared" si="10"/>
        <v>May-2025</v>
      </c>
      <c r="D175" s="4" t="str">
        <f t="shared" si="11"/>
        <v>Q2-2025</v>
      </c>
      <c r="E175" s="4">
        <v>45796</v>
      </c>
      <c r="F175" t="s">
        <v>2066</v>
      </c>
      <c r="G175" s="4">
        <v>45798</v>
      </c>
      <c r="H175" s="13">
        <v>0</v>
      </c>
      <c r="I175" s="7" t="s">
        <v>646</v>
      </c>
      <c r="J175" s="7" t="s">
        <v>661</v>
      </c>
      <c r="K175" s="7" t="s">
        <v>682</v>
      </c>
      <c r="M175" s="7" t="s">
        <v>703</v>
      </c>
      <c r="N175" s="7" t="s">
        <v>710</v>
      </c>
      <c r="O175" s="7" t="s">
        <v>719</v>
      </c>
      <c r="P175" s="7" t="s">
        <v>731</v>
      </c>
      <c r="Q175" s="7" t="s">
        <v>1601</v>
      </c>
      <c r="R175" s="9">
        <v>1263.8399999999999</v>
      </c>
      <c r="S175" s="9">
        <v>2281.7199999999998</v>
      </c>
      <c r="T175" s="9">
        <v>2281.7199999999998</v>
      </c>
      <c r="U175" s="9">
        <f t="shared" si="14"/>
        <v>859.5222</v>
      </c>
      <c r="V175" s="9">
        <f t="shared" si="12"/>
        <v>1619.5549999999998</v>
      </c>
      <c r="W175" s="9" t="str">
        <f t="shared" si="13"/>
        <v>High</v>
      </c>
      <c r="X175" t="s">
        <v>2065</v>
      </c>
      <c r="Y175" s="11">
        <v>7.8E-2</v>
      </c>
      <c r="Z175" t="s">
        <v>2065</v>
      </c>
      <c r="AA175" s="13">
        <v>15</v>
      </c>
      <c r="AB175" s="9">
        <v>31556.187599999997</v>
      </c>
      <c r="AC175" s="9">
        <v>18957.599999999999</v>
      </c>
      <c r="AD175" s="9">
        <v>12598.587599999999</v>
      </c>
      <c r="AE175" s="11">
        <v>0.39924301882398494</v>
      </c>
    </row>
    <row r="176" spans="1:31" x14ac:dyDescent="0.3">
      <c r="A176" t="s">
        <v>189</v>
      </c>
      <c r="B176" s="4">
        <v>45435</v>
      </c>
      <c r="C176" s="4" t="str">
        <f t="shared" si="10"/>
        <v>May-2024</v>
      </c>
      <c r="D176" s="4" t="str">
        <f t="shared" si="11"/>
        <v>Q2-2024</v>
      </c>
      <c r="E176" s="4">
        <v>45446</v>
      </c>
      <c r="F176" t="s">
        <v>2064</v>
      </c>
      <c r="G176" s="4">
        <v>45446</v>
      </c>
      <c r="H176" s="13">
        <v>11</v>
      </c>
      <c r="I176" s="7" t="s">
        <v>646</v>
      </c>
      <c r="J176" s="7" t="s">
        <v>661</v>
      </c>
      <c r="K176" s="7" t="s">
        <v>682</v>
      </c>
      <c r="M176" s="7" t="s">
        <v>705</v>
      </c>
      <c r="N176" s="7" t="s">
        <v>710</v>
      </c>
      <c r="O176" s="7" t="s">
        <v>721</v>
      </c>
      <c r="P176" s="7" t="s">
        <v>728</v>
      </c>
      <c r="Q176" s="7" t="s">
        <v>1602</v>
      </c>
      <c r="R176" s="9">
        <v>180.89</v>
      </c>
      <c r="S176" s="9">
        <v>249.57</v>
      </c>
      <c r="T176" s="9">
        <v>249.57</v>
      </c>
      <c r="U176" s="9">
        <f t="shared" si="14"/>
        <v>856.6776000000001</v>
      </c>
      <c r="V176" s="9">
        <f t="shared" si="12"/>
        <v>1616.9568000000008</v>
      </c>
      <c r="W176" s="9" t="str">
        <f t="shared" si="13"/>
        <v>Low</v>
      </c>
      <c r="X176" t="s">
        <v>2065</v>
      </c>
      <c r="Y176" s="11">
        <v>2.1999999999999999E-2</v>
      </c>
      <c r="Z176" t="s">
        <v>2065</v>
      </c>
      <c r="AA176" s="13">
        <v>8</v>
      </c>
      <c r="AB176" s="9">
        <v>1952.6356799999999</v>
      </c>
      <c r="AC176" s="9">
        <v>1447.12</v>
      </c>
      <c r="AD176" s="9">
        <v>505.51567999999997</v>
      </c>
      <c r="AE176" s="11">
        <v>0.25888888806948362</v>
      </c>
    </row>
    <row r="177" spans="1:31" x14ac:dyDescent="0.3">
      <c r="A177" t="s">
        <v>190</v>
      </c>
      <c r="B177" s="4">
        <v>45761</v>
      </c>
      <c r="C177" s="4" t="str">
        <f t="shared" si="10"/>
        <v>Apr-2025</v>
      </c>
      <c r="D177" s="4" t="str">
        <f t="shared" si="11"/>
        <v>Q2-2025</v>
      </c>
      <c r="E177" s="4">
        <v>45781</v>
      </c>
      <c r="F177" t="s">
        <v>2064</v>
      </c>
      <c r="G177" s="4">
        <v>45781</v>
      </c>
      <c r="H177" s="13">
        <v>20</v>
      </c>
      <c r="I177" s="7" t="s">
        <v>649</v>
      </c>
      <c r="J177" s="7" t="s">
        <v>658</v>
      </c>
      <c r="K177" s="7" t="s">
        <v>674</v>
      </c>
      <c r="M177" s="7" t="s">
        <v>706</v>
      </c>
      <c r="N177" s="7" t="s">
        <v>709</v>
      </c>
      <c r="O177" s="7" t="s">
        <v>723</v>
      </c>
      <c r="P177" s="7" t="s">
        <v>732</v>
      </c>
      <c r="Q177" s="7" t="s">
        <v>1603</v>
      </c>
      <c r="R177" s="9">
        <v>1413.87</v>
      </c>
      <c r="S177" s="9">
        <v>3275</v>
      </c>
      <c r="T177" s="9">
        <v>3275</v>
      </c>
      <c r="U177" s="9">
        <f t="shared" si="14"/>
        <v>862.279</v>
      </c>
      <c r="V177" s="9">
        <f t="shared" si="12"/>
        <v>1618.675</v>
      </c>
      <c r="W177" s="9" t="str">
        <f t="shared" si="13"/>
        <v>High</v>
      </c>
      <c r="X177" t="s">
        <v>2065</v>
      </c>
      <c r="Y177" s="11">
        <v>0.255</v>
      </c>
      <c r="Z177" t="s">
        <v>2065</v>
      </c>
      <c r="AA177" s="13">
        <v>38</v>
      </c>
      <c r="AB177" s="9">
        <v>92715.25</v>
      </c>
      <c r="AC177" s="9">
        <v>53727.06</v>
      </c>
      <c r="AD177" s="9">
        <v>38988.19</v>
      </c>
      <c r="AE177" s="11">
        <v>0.42051539525590453</v>
      </c>
    </row>
    <row r="178" spans="1:31" x14ac:dyDescent="0.3">
      <c r="A178" t="s">
        <v>191</v>
      </c>
      <c r="B178" s="4">
        <v>45165</v>
      </c>
      <c r="C178" s="4" t="str">
        <f t="shared" si="10"/>
        <v>Aug-2023</v>
      </c>
      <c r="D178" s="4" t="str">
        <f t="shared" si="11"/>
        <v>Q3-2023</v>
      </c>
      <c r="E178" s="4">
        <v>45180</v>
      </c>
      <c r="F178" t="s">
        <v>2064</v>
      </c>
      <c r="G178" s="4">
        <v>45180</v>
      </c>
      <c r="H178" s="13">
        <v>15</v>
      </c>
      <c r="I178" s="7" t="s">
        <v>649</v>
      </c>
      <c r="J178" s="7" t="s">
        <v>658</v>
      </c>
      <c r="K178" s="7" t="s">
        <v>683</v>
      </c>
      <c r="M178" s="7" t="s">
        <v>704</v>
      </c>
      <c r="N178" s="7" t="s">
        <v>709</v>
      </c>
      <c r="O178" s="7" t="s">
        <v>725</v>
      </c>
      <c r="P178" s="7" t="s">
        <v>728</v>
      </c>
      <c r="Q178" s="7" t="s">
        <v>1604</v>
      </c>
      <c r="R178" s="9">
        <v>943.79</v>
      </c>
      <c r="S178" s="9">
        <v>1913.76</v>
      </c>
      <c r="T178" s="9">
        <v>1913.76</v>
      </c>
      <c r="U178" s="9">
        <f t="shared" si="14"/>
        <v>859.60839999999996</v>
      </c>
      <c r="V178" s="9">
        <f t="shared" si="12"/>
        <v>1609.8111999999996</v>
      </c>
      <c r="W178" s="9" t="str">
        <f t="shared" si="13"/>
        <v>High</v>
      </c>
      <c r="X178" t="s">
        <v>2065</v>
      </c>
      <c r="Y178" s="11">
        <v>9.0999999999999998E-2</v>
      </c>
      <c r="Z178" t="s">
        <v>2065</v>
      </c>
      <c r="AA178" s="13">
        <v>9</v>
      </c>
      <c r="AB178" s="9">
        <v>15656.47056</v>
      </c>
      <c r="AC178" s="9">
        <v>8494.11</v>
      </c>
      <c r="AD178" s="9">
        <v>7162.3605599999992</v>
      </c>
      <c r="AE178" s="11">
        <v>0.45746967891338081</v>
      </c>
    </row>
    <row r="179" spans="1:31" x14ac:dyDescent="0.3">
      <c r="A179" t="s">
        <v>192</v>
      </c>
      <c r="B179" s="4">
        <v>45325</v>
      </c>
      <c r="C179" s="4" t="str">
        <f t="shared" si="10"/>
        <v>Feb-2024</v>
      </c>
      <c r="D179" s="4" t="str">
        <f t="shared" si="11"/>
        <v>Q1-2024</v>
      </c>
      <c r="E179" s="4">
        <v>45343</v>
      </c>
      <c r="F179" t="s">
        <v>2064</v>
      </c>
      <c r="G179" s="4">
        <v>45343</v>
      </c>
      <c r="H179" s="13">
        <v>18</v>
      </c>
      <c r="I179" s="7" t="s">
        <v>649</v>
      </c>
      <c r="J179" s="7" t="s">
        <v>656</v>
      </c>
      <c r="K179" s="7" t="s">
        <v>698</v>
      </c>
      <c r="M179" s="7" t="s">
        <v>701</v>
      </c>
      <c r="N179" s="7" t="s">
        <v>707</v>
      </c>
      <c r="O179" s="7" t="s">
        <v>722</v>
      </c>
      <c r="P179" s="7" t="s">
        <v>727</v>
      </c>
      <c r="Q179" s="7" t="s">
        <v>1605</v>
      </c>
      <c r="R179" s="9">
        <v>39.229999999999997</v>
      </c>
      <c r="S179" s="9">
        <v>30.09</v>
      </c>
      <c r="T179" s="9">
        <v>30.09</v>
      </c>
      <c r="U179" s="9">
        <f t="shared" si="14"/>
        <v>856.76380000000006</v>
      </c>
      <c r="V179" s="9">
        <f t="shared" si="12"/>
        <v>1595.5052000000001</v>
      </c>
      <c r="W179" s="9" t="str">
        <f t="shared" si="13"/>
        <v>Low</v>
      </c>
      <c r="X179" t="s">
        <v>2065</v>
      </c>
      <c r="Y179" s="11">
        <v>0.17699999999999999</v>
      </c>
      <c r="Z179" t="s">
        <v>2065</v>
      </c>
      <c r="AA179" s="13">
        <v>13</v>
      </c>
      <c r="AB179" s="9">
        <v>321.93290999999999</v>
      </c>
      <c r="AC179" s="9">
        <v>509.98999999999995</v>
      </c>
      <c r="AD179" s="9">
        <v>-188.05708999999996</v>
      </c>
      <c r="AE179" s="11">
        <v>-0.58414993981199359</v>
      </c>
    </row>
    <row r="180" spans="1:31" x14ac:dyDescent="0.3">
      <c r="A180" t="s">
        <v>193</v>
      </c>
      <c r="B180" s="4">
        <v>45021</v>
      </c>
      <c r="C180" s="4" t="str">
        <f t="shared" si="10"/>
        <v>Apr-2023</v>
      </c>
      <c r="D180" s="4" t="str">
        <f t="shared" si="11"/>
        <v>Q2-2023</v>
      </c>
      <c r="E180" s="4">
        <v>45032</v>
      </c>
      <c r="F180" t="s">
        <v>2064</v>
      </c>
      <c r="G180" s="4">
        <v>45032</v>
      </c>
      <c r="H180" s="13">
        <v>11</v>
      </c>
      <c r="I180" s="7" t="s">
        <v>648</v>
      </c>
      <c r="J180" s="7" t="s">
        <v>653</v>
      </c>
      <c r="K180" s="7" t="s">
        <v>688</v>
      </c>
      <c r="M180" s="7" t="s">
        <v>703</v>
      </c>
      <c r="N180" s="7" t="s">
        <v>708</v>
      </c>
      <c r="O180" s="7" t="s">
        <v>719</v>
      </c>
      <c r="P180" s="7" t="s">
        <v>732</v>
      </c>
      <c r="Q180" s="7" t="s">
        <v>1606</v>
      </c>
      <c r="R180" s="9">
        <v>213.1</v>
      </c>
      <c r="S180" s="9">
        <v>501.31</v>
      </c>
      <c r="T180" s="9">
        <v>501.31</v>
      </c>
      <c r="U180" s="9">
        <f t="shared" si="14"/>
        <v>862.35359999999991</v>
      </c>
      <c r="V180" s="9">
        <f t="shared" si="12"/>
        <v>1602.6655999999998</v>
      </c>
      <c r="W180" s="9" t="str">
        <f t="shared" si="13"/>
        <v>Low</v>
      </c>
      <c r="X180" t="s">
        <v>2065</v>
      </c>
      <c r="Y180" s="11">
        <v>5.6000000000000001E-2</v>
      </c>
      <c r="Z180" t="s">
        <v>2065</v>
      </c>
      <c r="AA180" s="13">
        <v>15</v>
      </c>
      <c r="AB180" s="9">
        <v>7098.5495999999994</v>
      </c>
      <c r="AC180" s="9">
        <v>3196.5</v>
      </c>
      <c r="AD180" s="9">
        <v>3902.0495999999994</v>
      </c>
      <c r="AE180" s="11">
        <v>0.54969674368409005</v>
      </c>
    </row>
    <row r="181" spans="1:31" x14ac:dyDescent="0.3">
      <c r="A181" t="s">
        <v>194</v>
      </c>
      <c r="B181" s="4">
        <v>45890</v>
      </c>
      <c r="C181" s="4" t="str">
        <f t="shared" si="10"/>
        <v>Aug-2025</v>
      </c>
      <c r="D181" s="4" t="str">
        <f t="shared" si="11"/>
        <v>Q3-2025</v>
      </c>
      <c r="E181" s="4">
        <v>45912</v>
      </c>
      <c r="F181" t="s">
        <v>2064</v>
      </c>
      <c r="G181" s="4">
        <v>45912</v>
      </c>
      <c r="H181" s="13">
        <v>22</v>
      </c>
      <c r="I181" s="7" t="s">
        <v>647</v>
      </c>
      <c r="J181" s="7" t="s">
        <v>659</v>
      </c>
      <c r="K181" s="7" t="s">
        <v>676</v>
      </c>
      <c r="M181" s="7" t="s">
        <v>702</v>
      </c>
      <c r="N181" s="7" t="s">
        <v>707</v>
      </c>
      <c r="O181" s="7" t="s">
        <v>717</v>
      </c>
      <c r="P181" s="7" t="s">
        <v>728</v>
      </c>
      <c r="Q181" s="7" t="s">
        <v>1607</v>
      </c>
      <c r="R181" s="9">
        <v>352.66</v>
      </c>
      <c r="S181" s="9">
        <v>411.18</v>
      </c>
      <c r="T181" s="9">
        <v>411.18</v>
      </c>
      <c r="U181" s="9">
        <f t="shared" si="14"/>
        <v>867.35180000000014</v>
      </c>
      <c r="V181" s="9">
        <f t="shared" si="12"/>
        <v>1610.2578000000005</v>
      </c>
      <c r="W181" s="9" t="str">
        <f t="shared" si="13"/>
        <v>Low</v>
      </c>
      <c r="X181" t="s">
        <v>2065</v>
      </c>
      <c r="Y181" s="11">
        <v>0.17299999999999999</v>
      </c>
      <c r="Z181" t="s">
        <v>2065</v>
      </c>
      <c r="AA181" s="13">
        <v>13</v>
      </c>
      <c r="AB181" s="9">
        <v>4420.5961799999995</v>
      </c>
      <c r="AC181" s="9">
        <v>4584.58</v>
      </c>
      <c r="AD181" s="9">
        <v>-163.98382000000038</v>
      </c>
      <c r="AE181" s="11">
        <v>-3.7095408248758066E-2</v>
      </c>
    </row>
    <row r="182" spans="1:31" x14ac:dyDescent="0.3">
      <c r="A182" t="s">
        <v>195</v>
      </c>
      <c r="B182" s="4">
        <v>45915</v>
      </c>
      <c r="C182" s="4" t="str">
        <f t="shared" si="10"/>
        <v>Sep-2025</v>
      </c>
      <c r="D182" s="4" t="str">
        <f t="shared" si="11"/>
        <v>Q3-2025</v>
      </c>
      <c r="E182" s="4">
        <v>45918</v>
      </c>
      <c r="F182" t="s">
        <v>2064</v>
      </c>
      <c r="G182" s="4">
        <v>45918</v>
      </c>
      <c r="H182" s="13">
        <v>3</v>
      </c>
      <c r="I182" s="7" t="s">
        <v>648</v>
      </c>
      <c r="J182" s="7" t="s">
        <v>655</v>
      </c>
      <c r="K182" s="7" t="s">
        <v>1426</v>
      </c>
      <c r="M182" s="7" t="s">
        <v>703</v>
      </c>
      <c r="N182" s="7" t="s">
        <v>711</v>
      </c>
      <c r="O182" s="7" t="s">
        <v>716</v>
      </c>
      <c r="P182" s="7" t="s">
        <v>733</v>
      </c>
      <c r="Q182" s="7" t="s">
        <v>1608</v>
      </c>
      <c r="R182" s="9">
        <v>5.5</v>
      </c>
      <c r="S182" s="9">
        <v>5.92</v>
      </c>
      <c r="T182" s="9">
        <v>5.92</v>
      </c>
      <c r="U182" s="9">
        <f t="shared" si="14"/>
        <v>871.18499999999995</v>
      </c>
      <c r="V182" s="9">
        <f t="shared" si="12"/>
        <v>1617.85</v>
      </c>
      <c r="W182" s="9" t="str">
        <f t="shared" si="13"/>
        <v>Low</v>
      </c>
      <c r="X182" t="s">
        <v>2065</v>
      </c>
      <c r="Y182" s="11">
        <v>0.21199999999999999</v>
      </c>
      <c r="Z182" t="s">
        <v>2065</v>
      </c>
      <c r="AA182" s="13">
        <v>4</v>
      </c>
      <c r="AB182" s="9">
        <v>18.659839999999999</v>
      </c>
      <c r="AC182" s="9">
        <v>22</v>
      </c>
      <c r="AD182" s="9">
        <v>-3.3401600000000009</v>
      </c>
      <c r="AE182" s="11">
        <v>-0.17900260666758133</v>
      </c>
    </row>
    <row r="183" spans="1:31" x14ac:dyDescent="0.3">
      <c r="A183" t="s">
        <v>196</v>
      </c>
      <c r="B183" s="4">
        <v>45568</v>
      </c>
      <c r="C183" s="4" t="str">
        <f t="shared" si="10"/>
        <v>Oct-2024</v>
      </c>
      <c r="D183" s="4" t="str">
        <f t="shared" si="11"/>
        <v>Q4-2024</v>
      </c>
      <c r="E183" s="4">
        <v>45576</v>
      </c>
      <c r="F183" t="s">
        <v>2064</v>
      </c>
      <c r="G183" s="4">
        <v>45576</v>
      </c>
      <c r="H183" s="13">
        <v>8</v>
      </c>
      <c r="I183" s="7" t="s">
        <v>647</v>
      </c>
      <c r="J183" s="7" t="s">
        <v>659</v>
      </c>
      <c r="K183" s="7" t="s">
        <v>699</v>
      </c>
      <c r="M183" s="7" t="s">
        <v>706</v>
      </c>
      <c r="N183" s="7" t="s">
        <v>711</v>
      </c>
      <c r="O183" s="7" t="s">
        <v>717</v>
      </c>
      <c r="P183" s="7" t="s">
        <v>730</v>
      </c>
      <c r="Q183" s="7" t="s">
        <v>1609</v>
      </c>
      <c r="R183" s="9">
        <v>1132.6099999999999</v>
      </c>
      <c r="S183" s="9">
        <v>2206.63</v>
      </c>
      <c r="T183" s="9">
        <v>2206.63</v>
      </c>
      <c r="U183" s="9">
        <f t="shared" si="14"/>
        <v>874.27020000000005</v>
      </c>
      <c r="V183" s="9">
        <f t="shared" si="12"/>
        <v>1618.7850000000001</v>
      </c>
      <c r="W183" s="9" t="str">
        <f t="shared" si="13"/>
        <v>High</v>
      </c>
      <c r="X183" t="s">
        <v>2065</v>
      </c>
      <c r="Y183" s="11">
        <v>6.3E-2</v>
      </c>
      <c r="Z183" t="s">
        <v>2065</v>
      </c>
      <c r="AA183" s="13">
        <v>20</v>
      </c>
      <c r="AB183" s="9">
        <v>41352.246200000009</v>
      </c>
      <c r="AC183" s="9">
        <v>22652.199999999997</v>
      </c>
      <c r="AD183" s="9">
        <v>18700.046200000012</v>
      </c>
      <c r="AE183" s="11">
        <v>0.45221355351671338</v>
      </c>
    </row>
    <row r="184" spans="1:31" x14ac:dyDescent="0.3">
      <c r="A184" t="s">
        <v>197</v>
      </c>
      <c r="B184" s="4">
        <v>45690</v>
      </c>
      <c r="C184" s="4" t="str">
        <f t="shared" si="10"/>
        <v>Feb-2025</v>
      </c>
      <c r="D184" s="4" t="str">
        <f t="shared" si="11"/>
        <v>Q1-2025</v>
      </c>
      <c r="E184" s="4">
        <v>45720</v>
      </c>
      <c r="F184" t="s">
        <v>2064</v>
      </c>
      <c r="G184" s="4">
        <v>45720</v>
      </c>
      <c r="H184" s="13">
        <v>30</v>
      </c>
      <c r="I184" s="7" t="s">
        <v>647</v>
      </c>
      <c r="J184" s="7" t="s">
        <v>652</v>
      </c>
      <c r="K184" s="7" t="s">
        <v>666</v>
      </c>
      <c r="M184" s="7" t="s">
        <v>702</v>
      </c>
      <c r="N184" s="7" t="s">
        <v>710</v>
      </c>
      <c r="O184" s="7" t="s">
        <v>716</v>
      </c>
      <c r="P184" s="7" t="s">
        <v>733</v>
      </c>
      <c r="Q184" s="7" t="s">
        <v>1610</v>
      </c>
      <c r="R184" s="9">
        <v>766.59</v>
      </c>
      <c r="S184" s="9">
        <v>1912.8</v>
      </c>
      <c r="T184" s="9">
        <v>1912.8</v>
      </c>
      <c r="U184" s="9">
        <f t="shared" si="14"/>
        <v>872.92920000000004</v>
      </c>
      <c r="V184" s="9">
        <f t="shared" si="12"/>
        <v>1610.7044000000001</v>
      </c>
      <c r="W184" s="9" t="str">
        <f t="shared" si="13"/>
        <v>High</v>
      </c>
      <c r="X184" t="s">
        <v>2065</v>
      </c>
      <c r="Y184" s="11">
        <v>0.19600000000000001</v>
      </c>
      <c r="Z184" t="s">
        <v>2065</v>
      </c>
      <c r="AA184" s="13">
        <v>5</v>
      </c>
      <c r="AB184" s="9">
        <v>7689.4560000000001</v>
      </c>
      <c r="AC184" s="9">
        <v>3832.9500000000003</v>
      </c>
      <c r="AD184" s="9">
        <v>3856.5059999999999</v>
      </c>
      <c r="AE184" s="11">
        <v>0.50153170783472845</v>
      </c>
    </row>
    <row r="185" spans="1:31" x14ac:dyDescent="0.3">
      <c r="A185" t="s">
        <v>198</v>
      </c>
      <c r="B185" s="4">
        <v>45157</v>
      </c>
      <c r="C185" s="4" t="str">
        <f t="shared" si="10"/>
        <v>Aug-2023</v>
      </c>
      <c r="D185" s="4" t="str">
        <f t="shared" si="11"/>
        <v>Q3-2023</v>
      </c>
      <c r="E185" s="4">
        <v>45161</v>
      </c>
      <c r="F185" t="s">
        <v>2064</v>
      </c>
      <c r="G185" s="4">
        <v>45161</v>
      </c>
      <c r="H185" s="13">
        <v>4</v>
      </c>
      <c r="I185" s="7" t="s">
        <v>646</v>
      </c>
      <c r="J185" s="7" t="s">
        <v>651</v>
      </c>
      <c r="K185" s="7" t="s">
        <v>669</v>
      </c>
      <c r="M185" s="7" t="s">
        <v>705</v>
      </c>
      <c r="N185" s="7" t="s">
        <v>708</v>
      </c>
      <c r="O185" s="7" t="s">
        <v>713</v>
      </c>
      <c r="P185" s="7" t="s">
        <v>732</v>
      </c>
      <c r="Q185" s="7" t="s">
        <v>1611</v>
      </c>
      <c r="R185" s="9">
        <v>790.63</v>
      </c>
      <c r="S185" s="9">
        <v>1382.31</v>
      </c>
      <c r="T185" s="9">
        <v>1382.31</v>
      </c>
      <c r="U185" s="9">
        <f t="shared" si="14"/>
        <v>871.23630000000014</v>
      </c>
      <c r="V185" s="9">
        <f t="shared" si="12"/>
        <v>1595.9666000000009</v>
      </c>
      <c r="W185" s="9" t="str">
        <f t="shared" si="13"/>
        <v>Medium</v>
      </c>
      <c r="X185" t="s">
        <v>2065</v>
      </c>
      <c r="Y185" s="11">
        <v>0.10100000000000001</v>
      </c>
      <c r="Z185" t="s">
        <v>2065</v>
      </c>
      <c r="AA185" s="13">
        <v>7</v>
      </c>
      <c r="AB185" s="9">
        <v>8698.8768300000011</v>
      </c>
      <c r="AC185" s="9">
        <v>5534.41</v>
      </c>
      <c r="AD185" s="9">
        <v>3164.4668300000012</v>
      </c>
      <c r="AE185" s="11">
        <v>0.36377878338116448</v>
      </c>
    </row>
    <row r="186" spans="1:31" x14ac:dyDescent="0.3">
      <c r="A186" t="s">
        <v>199</v>
      </c>
      <c r="B186" s="4">
        <v>45587</v>
      </c>
      <c r="C186" s="4" t="str">
        <f t="shared" si="10"/>
        <v>Oct-2024</v>
      </c>
      <c r="D186" s="4" t="str">
        <f t="shared" si="11"/>
        <v>Q4-2024</v>
      </c>
      <c r="E186" s="4">
        <v>45594</v>
      </c>
      <c r="F186" t="s">
        <v>2064</v>
      </c>
      <c r="G186" s="4">
        <v>45594</v>
      </c>
      <c r="H186" s="13">
        <v>7</v>
      </c>
      <c r="I186" s="7" t="s">
        <v>646</v>
      </c>
      <c r="J186" s="7" t="s">
        <v>651</v>
      </c>
      <c r="K186" s="7" t="s">
        <v>663</v>
      </c>
      <c r="M186" s="7" t="s">
        <v>706</v>
      </c>
      <c r="N186" s="7" t="s">
        <v>710</v>
      </c>
      <c r="O186" s="7" t="s">
        <v>724</v>
      </c>
      <c r="P186" s="7" t="s">
        <v>732</v>
      </c>
      <c r="Q186" s="7" t="s">
        <v>1612</v>
      </c>
      <c r="R186" s="9">
        <v>1023.06</v>
      </c>
      <c r="S186" s="9">
        <v>1355.61</v>
      </c>
      <c r="T186" s="9">
        <v>1355.61</v>
      </c>
      <c r="U186" s="9">
        <f t="shared" si="14"/>
        <v>869.54340000000002</v>
      </c>
      <c r="V186" s="9">
        <f t="shared" si="12"/>
        <v>1603.5588000000002</v>
      </c>
      <c r="W186" s="9" t="str">
        <f t="shared" si="13"/>
        <v>Medium</v>
      </c>
      <c r="X186" t="s">
        <v>2065</v>
      </c>
      <c r="Y186" s="11">
        <v>0.153</v>
      </c>
      <c r="Z186" t="s">
        <v>2065</v>
      </c>
      <c r="AA186" s="13">
        <v>23</v>
      </c>
      <c r="AB186" s="9">
        <v>26408.63841</v>
      </c>
      <c r="AC186" s="9">
        <v>23530.379999999997</v>
      </c>
      <c r="AD186" s="9">
        <v>2878.2584100000022</v>
      </c>
      <c r="AE186" s="11">
        <v>0.10898927711888809</v>
      </c>
    </row>
    <row r="187" spans="1:31" x14ac:dyDescent="0.3">
      <c r="A187" t="s">
        <v>200</v>
      </c>
      <c r="B187" s="4">
        <v>45099</v>
      </c>
      <c r="C187" s="4" t="str">
        <f t="shared" si="10"/>
        <v>Jun-2023</v>
      </c>
      <c r="D187" s="4" t="str">
        <f t="shared" si="11"/>
        <v>Q2-2023</v>
      </c>
      <c r="E187" s="4">
        <v>45128</v>
      </c>
      <c r="F187" t="s">
        <v>2064</v>
      </c>
      <c r="G187" s="4">
        <v>45128</v>
      </c>
      <c r="H187" s="13">
        <v>29</v>
      </c>
      <c r="I187" s="7" t="s">
        <v>649</v>
      </c>
      <c r="J187" s="7" t="s">
        <v>657</v>
      </c>
      <c r="K187" s="7" t="s">
        <v>679</v>
      </c>
      <c r="M187" s="7" t="s">
        <v>701</v>
      </c>
      <c r="N187" s="7" t="s">
        <v>707</v>
      </c>
      <c r="O187" s="7" t="s">
        <v>713</v>
      </c>
      <c r="P187" s="7" t="s">
        <v>733</v>
      </c>
      <c r="Q187" s="7" t="s">
        <v>1613</v>
      </c>
      <c r="R187" s="9">
        <v>734.34</v>
      </c>
      <c r="S187" s="9">
        <v>887.9</v>
      </c>
      <c r="T187" s="9">
        <v>887.9</v>
      </c>
      <c r="U187" s="9">
        <f t="shared" si="14"/>
        <v>867.50099999999998</v>
      </c>
      <c r="V187" s="9">
        <f t="shared" si="12"/>
        <v>1611.1509999999996</v>
      </c>
      <c r="W187" s="9" t="str">
        <f t="shared" si="13"/>
        <v>Medium</v>
      </c>
      <c r="X187" t="s">
        <v>2065</v>
      </c>
      <c r="Y187" s="11">
        <v>2.5000000000000001E-2</v>
      </c>
      <c r="Z187" t="s">
        <v>2065</v>
      </c>
      <c r="AA187" s="13">
        <v>12</v>
      </c>
      <c r="AB187" s="9">
        <v>10388.429999999998</v>
      </c>
      <c r="AC187" s="9">
        <v>8812.08</v>
      </c>
      <c r="AD187" s="9">
        <v>1576.3499999999985</v>
      </c>
      <c r="AE187" s="11">
        <v>0.15174092716608753</v>
      </c>
    </row>
    <row r="188" spans="1:31" x14ac:dyDescent="0.3">
      <c r="A188" t="s">
        <v>201</v>
      </c>
      <c r="B188" s="4">
        <v>45670</v>
      </c>
      <c r="C188" s="4" t="str">
        <f t="shared" si="10"/>
        <v>Jan-2025</v>
      </c>
      <c r="D188" s="4" t="str">
        <f t="shared" si="11"/>
        <v>Q1-2025</v>
      </c>
      <c r="E188" s="4">
        <v>45696</v>
      </c>
      <c r="F188" t="s">
        <v>2064</v>
      </c>
      <c r="G188" s="4">
        <v>45696</v>
      </c>
      <c r="H188" s="13">
        <v>26</v>
      </c>
      <c r="I188" s="7" t="s">
        <v>649</v>
      </c>
      <c r="J188" s="7" t="s">
        <v>657</v>
      </c>
      <c r="K188" s="7" t="s">
        <v>690</v>
      </c>
      <c r="M188" s="7" t="s">
        <v>703</v>
      </c>
      <c r="N188" s="7" t="s">
        <v>2057</v>
      </c>
      <c r="O188" s="7" t="s">
        <v>718</v>
      </c>
      <c r="P188" s="7" t="s">
        <v>732</v>
      </c>
      <c r="Q188" s="7" t="s">
        <v>1614</v>
      </c>
      <c r="R188" s="9">
        <v>594.74</v>
      </c>
      <c r="S188" s="9">
        <v>1020.69</v>
      </c>
      <c r="T188" s="9">
        <v>1020.69</v>
      </c>
      <c r="U188" s="9">
        <f t="shared" si="14"/>
        <v>865.03920000000005</v>
      </c>
      <c r="V188" s="9">
        <f t="shared" si="12"/>
        <v>1617.96</v>
      </c>
      <c r="W188" s="9" t="str">
        <f t="shared" si="13"/>
        <v>Medium</v>
      </c>
      <c r="X188" t="s">
        <v>2065</v>
      </c>
      <c r="Y188" s="11">
        <v>0.21099999999999999</v>
      </c>
      <c r="Z188" t="s">
        <v>2065</v>
      </c>
      <c r="AA188" s="13">
        <v>6</v>
      </c>
      <c r="AB188" s="9">
        <v>4831.9464600000001</v>
      </c>
      <c r="AC188" s="9">
        <v>3568.44</v>
      </c>
      <c r="AD188" s="9">
        <v>1263.5064600000001</v>
      </c>
      <c r="AE188" s="11">
        <v>0.26149016146176424</v>
      </c>
    </row>
    <row r="189" spans="1:31" x14ac:dyDescent="0.3">
      <c r="A189" t="s">
        <v>202</v>
      </c>
      <c r="B189" s="4">
        <v>45126</v>
      </c>
      <c r="C189" s="4" t="str">
        <f t="shared" si="10"/>
        <v>Jul-2023</v>
      </c>
      <c r="D189" s="4" t="str">
        <f t="shared" si="11"/>
        <v>Q3-2023</v>
      </c>
      <c r="E189" s="4">
        <v>45138</v>
      </c>
      <c r="F189" t="s">
        <v>2064</v>
      </c>
      <c r="G189" s="4">
        <v>45138</v>
      </c>
      <c r="H189" s="13">
        <v>12</v>
      </c>
      <c r="I189" s="7" t="s">
        <v>648</v>
      </c>
      <c r="J189" s="7" t="s">
        <v>655</v>
      </c>
      <c r="K189" s="7" t="s">
        <v>1426</v>
      </c>
      <c r="M189" s="7" t="s">
        <v>701</v>
      </c>
      <c r="N189" s="7" t="s">
        <v>707</v>
      </c>
      <c r="O189" s="7" t="s">
        <v>712</v>
      </c>
      <c r="P189" s="7" t="s">
        <v>732</v>
      </c>
      <c r="Q189" s="7" t="s">
        <v>1615</v>
      </c>
      <c r="R189" s="9">
        <v>1334.64</v>
      </c>
      <c r="S189" s="9">
        <v>2273.42</v>
      </c>
      <c r="T189" s="9">
        <v>2273.42</v>
      </c>
      <c r="U189" s="9">
        <f t="shared" si="14"/>
        <v>862.57740000000001</v>
      </c>
      <c r="V189" s="9">
        <f t="shared" si="12"/>
        <v>1618.895</v>
      </c>
      <c r="W189" s="9" t="str">
        <f t="shared" si="13"/>
        <v>High</v>
      </c>
      <c r="X189" t="s">
        <v>2065</v>
      </c>
      <c r="Y189" s="11">
        <v>0.11799999999999999</v>
      </c>
      <c r="Z189" t="s">
        <v>2065</v>
      </c>
      <c r="AA189" s="13">
        <v>14</v>
      </c>
      <c r="AB189" s="9">
        <v>28072.190160000002</v>
      </c>
      <c r="AC189" s="9">
        <v>18684.960000000003</v>
      </c>
      <c r="AD189" s="9">
        <v>9387.2301599999992</v>
      </c>
      <c r="AE189" s="11">
        <v>0.33439607335575267</v>
      </c>
    </row>
    <row r="190" spans="1:31" x14ac:dyDescent="0.3">
      <c r="A190" t="s">
        <v>203</v>
      </c>
      <c r="B190" s="4">
        <v>45431</v>
      </c>
      <c r="C190" s="4" t="str">
        <f t="shared" si="10"/>
        <v>May-2024</v>
      </c>
      <c r="D190" s="4" t="str">
        <f t="shared" si="11"/>
        <v>Q2-2024</v>
      </c>
      <c r="E190" s="4">
        <v>45451</v>
      </c>
      <c r="F190" t="s">
        <v>2064</v>
      </c>
      <c r="G190" s="4">
        <v>45451</v>
      </c>
      <c r="H190" s="13">
        <v>20</v>
      </c>
      <c r="I190" s="7" t="s">
        <v>648</v>
      </c>
      <c r="J190" s="7" t="s">
        <v>655</v>
      </c>
      <c r="K190" s="7" t="s">
        <v>672</v>
      </c>
      <c r="M190" s="7" t="s">
        <v>705</v>
      </c>
      <c r="N190" s="7" t="s">
        <v>707</v>
      </c>
      <c r="O190" s="7" t="s">
        <v>718</v>
      </c>
      <c r="P190" s="7" t="s">
        <v>732</v>
      </c>
      <c r="Q190" s="7" t="s">
        <v>1616</v>
      </c>
      <c r="R190" s="9">
        <v>1075.9000000000001</v>
      </c>
      <c r="S190" s="9">
        <v>1242.1500000000001</v>
      </c>
      <c r="T190" s="9">
        <v>1242.1500000000001</v>
      </c>
      <c r="U190" s="9">
        <f t="shared" si="14"/>
        <v>859.95320000000004</v>
      </c>
      <c r="V190" s="9">
        <f t="shared" si="12"/>
        <v>1611.5976000000005</v>
      </c>
      <c r="W190" s="9" t="str">
        <f t="shared" si="13"/>
        <v>Medium</v>
      </c>
      <c r="X190" t="s">
        <v>2065</v>
      </c>
      <c r="Y190" s="11">
        <v>1.2E-2</v>
      </c>
      <c r="Z190" t="s">
        <v>2065</v>
      </c>
      <c r="AA190" s="13">
        <v>7</v>
      </c>
      <c r="AB190" s="9">
        <v>8590.7094000000016</v>
      </c>
      <c r="AC190" s="9">
        <v>7531.3000000000011</v>
      </c>
      <c r="AD190" s="9">
        <v>1059.4094000000005</v>
      </c>
      <c r="AE190" s="11">
        <v>0.12332036280961853</v>
      </c>
    </row>
    <row r="191" spans="1:31" x14ac:dyDescent="0.3">
      <c r="A191" t="s">
        <v>204</v>
      </c>
      <c r="B191" s="4">
        <v>45325</v>
      </c>
      <c r="C191" s="4" t="str">
        <f t="shared" si="10"/>
        <v>Feb-2024</v>
      </c>
      <c r="D191" s="4" t="str">
        <f t="shared" si="11"/>
        <v>Q1-2024</v>
      </c>
      <c r="E191" s="4">
        <v>45341</v>
      </c>
      <c r="F191" t="s">
        <v>2064</v>
      </c>
      <c r="G191" s="4">
        <v>45341</v>
      </c>
      <c r="H191" s="13">
        <v>16</v>
      </c>
      <c r="I191" s="7" t="s">
        <v>647</v>
      </c>
      <c r="J191" s="7" t="s">
        <v>659</v>
      </c>
      <c r="K191" s="7" t="s">
        <v>676</v>
      </c>
      <c r="M191" s="7" t="s">
        <v>705</v>
      </c>
      <c r="N191" s="7" t="s">
        <v>708</v>
      </c>
      <c r="O191" s="7" t="s">
        <v>722</v>
      </c>
      <c r="P191" s="7" t="s">
        <v>731</v>
      </c>
      <c r="Q191" s="7" t="s">
        <v>1617</v>
      </c>
      <c r="R191" s="9">
        <v>993.75</v>
      </c>
      <c r="S191" s="9">
        <v>1310.29</v>
      </c>
      <c r="T191" s="9">
        <v>1310.29</v>
      </c>
      <c r="U191" s="9">
        <f t="shared" si="14"/>
        <v>857.10860000000002</v>
      </c>
      <c r="V191" s="9">
        <f t="shared" si="12"/>
        <v>1618.0149999999999</v>
      </c>
      <c r="W191" s="9" t="str">
        <f t="shared" si="13"/>
        <v>Medium</v>
      </c>
      <c r="X191" t="s">
        <v>2065</v>
      </c>
      <c r="Y191" s="11">
        <v>0.215</v>
      </c>
      <c r="Z191" t="s">
        <v>2065</v>
      </c>
      <c r="AA191" s="13">
        <v>19</v>
      </c>
      <c r="AB191" s="9">
        <v>19542.975350000001</v>
      </c>
      <c r="AC191" s="9">
        <v>18881.25</v>
      </c>
      <c r="AD191" s="9">
        <v>661.72535000000062</v>
      </c>
      <c r="AE191" s="11">
        <v>3.3860010471742245E-2</v>
      </c>
    </row>
    <row r="192" spans="1:31" x14ac:dyDescent="0.3">
      <c r="A192" t="s">
        <v>205</v>
      </c>
      <c r="B192" s="4">
        <v>45146</v>
      </c>
      <c r="C192" s="4" t="str">
        <f t="shared" si="10"/>
        <v>Aug-2023</v>
      </c>
      <c r="D192" s="4" t="str">
        <f t="shared" si="11"/>
        <v>Q3-2023</v>
      </c>
      <c r="E192" s="4">
        <v>45160</v>
      </c>
      <c r="F192" t="s">
        <v>2064</v>
      </c>
      <c r="G192" s="4">
        <v>45160</v>
      </c>
      <c r="H192" s="13">
        <v>14</v>
      </c>
      <c r="I192" s="7" t="s">
        <v>649</v>
      </c>
      <c r="J192" s="7" t="s">
        <v>658</v>
      </c>
      <c r="K192" s="7" t="s">
        <v>674</v>
      </c>
      <c r="M192" s="7" t="s">
        <v>703</v>
      </c>
      <c r="N192" s="7" t="s">
        <v>711</v>
      </c>
      <c r="O192" s="7" t="s">
        <v>725</v>
      </c>
      <c r="P192" s="7" t="s">
        <v>732</v>
      </c>
      <c r="Q192" s="7" t="s">
        <v>1618</v>
      </c>
      <c r="R192" s="9">
        <v>446.69</v>
      </c>
      <c r="S192" s="9">
        <v>967.25</v>
      </c>
      <c r="T192" s="9">
        <v>967.25</v>
      </c>
      <c r="U192" s="9">
        <f t="shared" si="14"/>
        <v>854.26400000000012</v>
      </c>
      <c r="V192" s="9">
        <f t="shared" si="12"/>
        <v>1618.95</v>
      </c>
      <c r="W192" s="9" t="str">
        <f t="shared" si="13"/>
        <v>Medium</v>
      </c>
      <c r="X192" t="s">
        <v>2065</v>
      </c>
      <c r="Y192" s="11">
        <v>9.4E-2</v>
      </c>
      <c r="Z192" t="s">
        <v>2065</v>
      </c>
      <c r="AA192" s="13">
        <v>10</v>
      </c>
      <c r="AB192" s="9">
        <v>8763.2849999999999</v>
      </c>
      <c r="AC192" s="9">
        <v>4466.8999999999996</v>
      </c>
      <c r="AD192" s="9">
        <v>4296.3850000000002</v>
      </c>
      <c r="AE192" s="11">
        <v>0.49027105702941309</v>
      </c>
    </row>
    <row r="193" spans="1:31" x14ac:dyDescent="0.3">
      <c r="A193" t="s">
        <v>206</v>
      </c>
      <c r="B193" s="4">
        <v>45516</v>
      </c>
      <c r="C193" s="4" t="str">
        <f t="shared" si="10"/>
        <v>Aug-2024</v>
      </c>
      <c r="D193" s="4" t="str">
        <f t="shared" si="11"/>
        <v>Q3-2024</v>
      </c>
      <c r="E193" s="4">
        <v>45538</v>
      </c>
      <c r="F193" t="s">
        <v>2064</v>
      </c>
      <c r="G193" s="4">
        <v>45538</v>
      </c>
      <c r="H193" s="13">
        <v>22</v>
      </c>
      <c r="I193" s="7" t="s">
        <v>648</v>
      </c>
      <c r="J193" s="7" t="s">
        <v>1425</v>
      </c>
      <c r="K193" s="7" t="s">
        <v>697</v>
      </c>
      <c r="M193" s="7" t="s">
        <v>704</v>
      </c>
      <c r="N193" s="7" t="s">
        <v>710</v>
      </c>
      <c r="O193" s="7" t="s">
        <v>714</v>
      </c>
      <c r="P193" s="7" t="s">
        <v>731</v>
      </c>
      <c r="Q193" s="7" t="s">
        <v>1619</v>
      </c>
      <c r="R193" s="9">
        <v>797.8</v>
      </c>
      <c r="S193" s="9">
        <v>886.22</v>
      </c>
      <c r="T193" s="9">
        <v>886.22</v>
      </c>
      <c r="U193" s="9">
        <f t="shared" si="14"/>
        <v>851.18150000000003</v>
      </c>
      <c r="V193" s="9">
        <f t="shared" si="12"/>
        <v>1619.885</v>
      </c>
      <c r="W193" s="9" t="str">
        <f t="shared" si="13"/>
        <v>Medium</v>
      </c>
      <c r="X193" t="s">
        <v>2065</v>
      </c>
      <c r="Y193" s="11">
        <v>0.23599999999999999</v>
      </c>
      <c r="Z193" t="s">
        <v>2065</v>
      </c>
      <c r="AA193" s="13">
        <v>36</v>
      </c>
      <c r="AB193" s="9">
        <v>24374.594880000001</v>
      </c>
      <c r="AC193" s="9">
        <v>28720.799999999999</v>
      </c>
      <c r="AD193" s="9">
        <v>-4346.2051199999987</v>
      </c>
      <c r="AE193" s="11">
        <v>-0.17830881462428633</v>
      </c>
    </row>
    <row r="194" spans="1:31" x14ac:dyDescent="0.3">
      <c r="A194" t="s">
        <v>207</v>
      </c>
      <c r="B194" s="4">
        <v>45214</v>
      </c>
      <c r="C194" s="4" t="str">
        <f t="shared" si="10"/>
        <v>Oct-2023</v>
      </c>
      <c r="D194" s="4" t="str">
        <f t="shared" si="11"/>
        <v>Q4-2023</v>
      </c>
      <c r="E194" s="4">
        <v>45243</v>
      </c>
      <c r="F194" t="s">
        <v>2064</v>
      </c>
      <c r="G194" s="4">
        <v>45243</v>
      </c>
      <c r="H194" s="13">
        <v>29</v>
      </c>
      <c r="I194" s="7" t="s">
        <v>647</v>
      </c>
      <c r="J194" s="7" t="s">
        <v>659</v>
      </c>
      <c r="K194" s="7" t="s">
        <v>676</v>
      </c>
      <c r="M194" s="7" t="s">
        <v>703</v>
      </c>
      <c r="N194" s="7" t="s">
        <v>710</v>
      </c>
      <c r="O194" s="7" t="s">
        <v>713</v>
      </c>
      <c r="P194" s="7" t="s">
        <v>728</v>
      </c>
      <c r="Q194" s="7" t="s">
        <v>1620</v>
      </c>
      <c r="R194" s="9">
        <v>986.44</v>
      </c>
      <c r="S194" s="9">
        <v>790.61</v>
      </c>
      <c r="T194" s="9">
        <v>790.61</v>
      </c>
      <c r="U194" s="9">
        <f t="shared" si="14"/>
        <v>847.73300000000017</v>
      </c>
      <c r="V194" s="9">
        <f t="shared" si="12"/>
        <v>1620.9256</v>
      </c>
      <c r="W194" s="9" t="str">
        <f t="shared" si="13"/>
        <v>Low</v>
      </c>
      <c r="X194" t="s">
        <v>2065</v>
      </c>
      <c r="Y194" s="11">
        <v>7.1999999999999995E-2</v>
      </c>
      <c r="Z194" t="s">
        <v>2065</v>
      </c>
      <c r="AA194" s="13">
        <v>6</v>
      </c>
      <c r="AB194" s="9">
        <v>4402.1164799999997</v>
      </c>
      <c r="AC194" s="9">
        <v>5918.64</v>
      </c>
      <c r="AD194" s="9">
        <v>-1516.5235200000006</v>
      </c>
      <c r="AE194" s="11">
        <v>-0.34449872621271499</v>
      </c>
    </row>
    <row r="195" spans="1:31" x14ac:dyDescent="0.3">
      <c r="A195" t="s">
        <v>208</v>
      </c>
      <c r="B195" s="4">
        <v>45050</v>
      </c>
      <c r="C195" s="4" t="str">
        <f t="shared" ref="C195:C258" si="15">TEXT(B195,"MMM-YYYY")</f>
        <v>May-2023</v>
      </c>
      <c r="D195" s="4" t="str">
        <f t="shared" ref="D195:D258" si="16">"Q" &amp; INT((MONTH(B195)-1)/3)+1 &amp; "-" &amp; YEAR(B195)</f>
        <v>Q2-2023</v>
      </c>
      <c r="E195" s="4">
        <v>45072</v>
      </c>
      <c r="F195" t="s">
        <v>2064</v>
      </c>
      <c r="G195" s="4">
        <v>45072</v>
      </c>
      <c r="H195" s="13">
        <v>22</v>
      </c>
      <c r="I195" s="7" t="s">
        <v>648</v>
      </c>
      <c r="J195" s="7" t="s">
        <v>1425</v>
      </c>
      <c r="K195" s="7" t="s">
        <v>686</v>
      </c>
      <c r="M195" s="7" t="s">
        <v>706</v>
      </c>
      <c r="N195" s="7" t="s">
        <v>708</v>
      </c>
      <c r="O195" s="7" t="s">
        <v>713</v>
      </c>
      <c r="P195" s="7" t="s">
        <v>729</v>
      </c>
      <c r="Q195" s="7" t="s">
        <v>1621</v>
      </c>
      <c r="R195" s="9">
        <v>249.71</v>
      </c>
      <c r="S195" s="9">
        <v>361.33</v>
      </c>
      <c r="T195" s="9">
        <v>361.33</v>
      </c>
      <c r="U195" s="9">
        <f t="shared" si="14"/>
        <v>854.35020000000009</v>
      </c>
      <c r="V195" s="9">
        <f t="shared" ref="V195:V258" si="17">_xlfn.PERCENTILE.INC(T195:T825,0.66)</f>
        <v>1622.3094000000001</v>
      </c>
      <c r="W195" s="9" t="str">
        <f t="shared" ref="W195:W258" si="18">IF(T195&lt;=U195,"Low",IF(T195&lt;=V195,"Medium","High"))</f>
        <v>Low</v>
      </c>
      <c r="X195" t="s">
        <v>2065</v>
      </c>
      <c r="Y195" s="11">
        <v>9.4E-2</v>
      </c>
      <c r="Z195" t="s">
        <v>2065</v>
      </c>
      <c r="AA195" s="13">
        <v>12</v>
      </c>
      <c r="AB195" s="9">
        <v>3928.3797600000003</v>
      </c>
      <c r="AC195" s="9">
        <v>2996.52</v>
      </c>
      <c r="AD195" s="9">
        <v>931.85976000000028</v>
      </c>
      <c r="AE195" s="11">
        <v>0.23721223937881206</v>
      </c>
    </row>
    <row r="196" spans="1:31" x14ac:dyDescent="0.3">
      <c r="A196" t="s">
        <v>209</v>
      </c>
      <c r="B196" s="4">
        <v>45557</v>
      </c>
      <c r="C196" s="4" t="str">
        <f t="shared" si="15"/>
        <v>Sep-2024</v>
      </c>
      <c r="D196" s="4" t="str">
        <f t="shared" si="16"/>
        <v>Q3-2024</v>
      </c>
      <c r="E196" s="4">
        <v>45566</v>
      </c>
      <c r="F196" t="s">
        <v>2064</v>
      </c>
      <c r="G196" s="4">
        <v>45566</v>
      </c>
      <c r="H196" s="13">
        <v>9</v>
      </c>
      <c r="I196" s="7" t="s">
        <v>648</v>
      </c>
      <c r="J196" s="7" t="s">
        <v>655</v>
      </c>
      <c r="K196" s="7" t="s">
        <v>670</v>
      </c>
      <c r="M196" s="7" t="s">
        <v>703</v>
      </c>
      <c r="N196" s="7" t="s">
        <v>708</v>
      </c>
      <c r="O196" s="7" t="s">
        <v>723</v>
      </c>
      <c r="P196" s="7" t="s">
        <v>732</v>
      </c>
      <c r="Q196" s="7" t="s">
        <v>1622</v>
      </c>
      <c r="R196" s="9">
        <v>1378.8</v>
      </c>
      <c r="S196" s="9">
        <v>1952.04</v>
      </c>
      <c r="T196" s="9">
        <v>1952.04</v>
      </c>
      <c r="U196" s="9">
        <f t="shared" si="14"/>
        <v>860.12559999999996</v>
      </c>
      <c r="V196" s="9">
        <f t="shared" si="17"/>
        <v>1623.6931999999999</v>
      </c>
      <c r="W196" s="9" t="str">
        <f t="shared" si="18"/>
        <v>High</v>
      </c>
      <c r="X196" t="s">
        <v>2065</v>
      </c>
      <c r="Y196" s="11">
        <v>0.159</v>
      </c>
      <c r="Z196" t="s">
        <v>2065</v>
      </c>
      <c r="AA196" s="13">
        <v>19</v>
      </c>
      <c r="AB196" s="9">
        <v>31191.64716</v>
      </c>
      <c r="AC196" s="9">
        <v>26197.200000000001</v>
      </c>
      <c r="AD196" s="9">
        <v>4994.4471599999997</v>
      </c>
      <c r="AE196" s="11">
        <v>0.16012130216723058</v>
      </c>
    </row>
    <row r="197" spans="1:31" x14ac:dyDescent="0.3">
      <c r="A197" t="s">
        <v>210</v>
      </c>
      <c r="B197" s="4">
        <v>45588</v>
      </c>
      <c r="C197" s="4" t="str">
        <f t="shared" si="15"/>
        <v>Oct-2024</v>
      </c>
      <c r="D197" s="4" t="str">
        <f t="shared" si="16"/>
        <v>Q4-2024</v>
      </c>
      <c r="E197" s="4">
        <v>45610</v>
      </c>
      <c r="F197" t="s">
        <v>2064</v>
      </c>
      <c r="G197" s="4">
        <v>45610</v>
      </c>
      <c r="H197" s="13">
        <v>22</v>
      </c>
      <c r="I197" s="7" t="s">
        <v>647</v>
      </c>
      <c r="J197" s="7" t="s">
        <v>652</v>
      </c>
      <c r="K197" s="7" t="s">
        <v>666</v>
      </c>
      <c r="M197" s="7" t="s">
        <v>703</v>
      </c>
      <c r="N197" s="7" t="s">
        <v>711</v>
      </c>
      <c r="O197" s="7" t="s">
        <v>717</v>
      </c>
      <c r="P197" s="7" t="s">
        <v>730</v>
      </c>
      <c r="Q197" s="7" t="s">
        <v>1623</v>
      </c>
      <c r="R197" s="9">
        <v>1406.4</v>
      </c>
      <c r="S197" s="9">
        <v>1564.76</v>
      </c>
      <c r="T197" s="9">
        <v>1564.76</v>
      </c>
      <c r="U197" s="9">
        <f t="shared" si="14"/>
        <v>857.28100000000006</v>
      </c>
      <c r="V197" s="9">
        <f t="shared" si="17"/>
        <v>1621.0070000000001</v>
      </c>
      <c r="W197" s="9" t="str">
        <f t="shared" si="18"/>
        <v>Medium</v>
      </c>
      <c r="X197" t="s">
        <v>2065</v>
      </c>
      <c r="Y197" s="11">
        <v>0.185</v>
      </c>
      <c r="Z197" t="s">
        <v>2065</v>
      </c>
      <c r="AA197" s="13">
        <v>17</v>
      </c>
      <c r="AB197" s="9">
        <v>21679.749799999998</v>
      </c>
      <c r="AC197" s="9">
        <v>23908.800000000003</v>
      </c>
      <c r="AD197" s="9">
        <v>-2229.0502000000051</v>
      </c>
      <c r="AE197" s="11">
        <v>-0.10281715520536151</v>
      </c>
    </row>
    <row r="198" spans="1:31" x14ac:dyDescent="0.3">
      <c r="A198" t="s">
        <v>211</v>
      </c>
      <c r="B198" s="4">
        <v>45333</v>
      </c>
      <c r="C198" s="4" t="str">
        <f t="shared" si="15"/>
        <v>Feb-2024</v>
      </c>
      <c r="D198" s="4" t="str">
        <f t="shared" si="16"/>
        <v>Q1-2024</v>
      </c>
      <c r="E198" s="4">
        <v>45354</v>
      </c>
      <c r="F198" t="s">
        <v>2064</v>
      </c>
      <c r="G198" s="4">
        <v>45354</v>
      </c>
      <c r="H198" s="13">
        <v>21</v>
      </c>
      <c r="I198" s="7" t="s">
        <v>646</v>
      </c>
      <c r="J198" s="7" t="s">
        <v>650</v>
      </c>
      <c r="K198" s="7" t="s">
        <v>662</v>
      </c>
      <c r="M198" s="7" t="s">
        <v>706</v>
      </c>
      <c r="N198" s="7" t="s">
        <v>708</v>
      </c>
      <c r="O198" s="7" t="s">
        <v>717</v>
      </c>
      <c r="P198" s="7" t="s">
        <v>730</v>
      </c>
      <c r="Q198" s="7" t="s">
        <v>1624</v>
      </c>
      <c r="R198" s="9">
        <v>516.86</v>
      </c>
      <c r="S198" s="9">
        <v>852.54</v>
      </c>
      <c r="T198" s="9">
        <v>852.54</v>
      </c>
      <c r="U198" s="9">
        <f t="shared" si="14"/>
        <v>854.43639999999994</v>
      </c>
      <c r="V198" s="9">
        <f t="shared" si="17"/>
        <v>1622.3907999999999</v>
      </c>
      <c r="W198" s="9" t="str">
        <f t="shared" si="18"/>
        <v>Low</v>
      </c>
      <c r="X198" t="s">
        <v>2065</v>
      </c>
      <c r="Y198" s="11">
        <v>5.0999999999999997E-2</v>
      </c>
      <c r="Z198" t="s">
        <v>2065</v>
      </c>
      <c r="AA198" s="13">
        <v>14</v>
      </c>
      <c r="AB198" s="9">
        <v>11326.846439999999</v>
      </c>
      <c r="AC198" s="9">
        <v>7236.04</v>
      </c>
      <c r="AD198" s="9">
        <v>4090.8064399999994</v>
      </c>
      <c r="AE198" s="11">
        <v>0.36116022775355994</v>
      </c>
    </row>
    <row r="199" spans="1:31" x14ac:dyDescent="0.3">
      <c r="A199" t="s">
        <v>212</v>
      </c>
      <c r="B199" s="4">
        <v>44956</v>
      </c>
      <c r="C199" s="4" t="str">
        <f t="shared" si="15"/>
        <v>Jan-2023</v>
      </c>
      <c r="D199" s="4" t="str">
        <f t="shared" si="16"/>
        <v>Q1-2023</v>
      </c>
      <c r="E199" s="4">
        <v>44978</v>
      </c>
      <c r="F199" t="s">
        <v>2064</v>
      </c>
      <c r="G199" s="4">
        <v>44978</v>
      </c>
      <c r="H199" s="13">
        <v>22</v>
      </c>
      <c r="I199" s="7" t="s">
        <v>649</v>
      </c>
      <c r="J199" s="7" t="s">
        <v>656</v>
      </c>
      <c r="K199" s="7" t="s">
        <v>684</v>
      </c>
      <c r="M199" s="7" t="s">
        <v>705</v>
      </c>
      <c r="N199" s="7" t="s">
        <v>709</v>
      </c>
      <c r="O199" s="7" t="s">
        <v>715</v>
      </c>
      <c r="P199" s="7" t="s">
        <v>729</v>
      </c>
      <c r="Q199" s="7" t="s">
        <v>1625</v>
      </c>
      <c r="R199" s="9">
        <v>1142.8800000000001</v>
      </c>
      <c r="S199" s="9">
        <v>1465.29</v>
      </c>
      <c r="T199" s="9">
        <v>1465.29</v>
      </c>
      <c r="U199" s="9">
        <f t="shared" ref="U199:U262" si="19">_xlfn.PERCENTILE.INC(T199:T829,0.33)</f>
        <v>859.06230000000028</v>
      </c>
      <c r="V199" s="9">
        <f t="shared" si="17"/>
        <v>1623.7746000000002</v>
      </c>
      <c r="W199" s="9" t="str">
        <f t="shared" si="18"/>
        <v>Medium</v>
      </c>
      <c r="X199" t="s">
        <v>2065</v>
      </c>
      <c r="Y199" s="11">
        <v>0.186</v>
      </c>
      <c r="Z199" t="s">
        <v>2065</v>
      </c>
      <c r="AA199" s="13">
        <v>7</v>
      </c>
      <c r="AB199" s="9">
        <v>8349.2224200000001</v>
      </c>
      <c r="AC199" s="9">
        <v>8000.1600000000008</v>
      </c>
      <c r="AD199" s="9">
        <v>349.06241999999929</v>
      </c>
      <c r="AE199" s="11">
        <v>4.1807775915017401E-2</v>
      </c>
    </row>
    <row r="200" spans="1:31" x14ac:dyDescent="0.3">
      <c r="A200" t="s">
        <v>213</v>
      </c>
      <c r="B200" s="4">
        <v>45030</v>
      </c>
      <c r="C200" s="4" t="str">
        <f t="shared" si="15"/>
        <v>Apr-2023</v>
      </c>
      <c r="D200" s="4" t="str">
        <f t="shared" si="16"/>
        <v>Q2-2023</v>
      </c>
      <c r="E200" s="4">
        <v>45059</v>
      </c>
      <c r="F200" t="s">
        <v>2064</v>
      </c>
      <c r="G200" s="4">
        <v>45059</v>
      </c>
      <c r="H200" s="13">
        <v>29</v>
      </c>
      <c r="I200" s="7" t="s">
        <v>649</v>
      </c>
      <c r="J200" s="7" t="s">
        <v>656</v>
      </c>
      <c r="K200" s="7" t="s">
        <v>698</v>
      </c>
      <c r="M200" s="7" t="s">
        <v>704</v>
      </c>
      <c r="N200" s="7" t="s">
        <v>711</v>
      </c>
      <c r="O200" s="7" t="s">
        <v>713</v>
      </c>
      <c r="P200" s="7" t="s">
        <v>728</v>
      </c>
      <c r="Q200" s="7" t="s">
        <v>1626</v>
      </c>
      <c r="R200" s="9">
        <v>1320.33</v>
      </c>
      <c r="S200" s="9">
        <v>2645.23</v>
      </c>
      <c r="T200" s="9">
        <v>2645.23</v>
      </c>
      <c r="U200" s="9">
        <f t="shared" si="19"/>
        <v>852.76920000000007</v>
      </c>
      <c r="V200" s="9">
        <f t="shared" si="17"/>
        <v>1624.76</v>
      </c>
      <c r="W200" s="9" t="str">
        <f t="shared" si="18"/>
        <v>High</v>
      </c>
      <c r="X200" t="s">
        <v>2065</v>
      </c>
      <c r="Y200" s="11">
        <v>0.155</v>
      </c>
      <c r="Z200" t="s">
        <v>2065</v>
      </c>
      <c r="AA200" s="13">
        <v>25</v>
      </c>
      <c r="AB200" s="9">
        <v>55880.483749999999</v>
      </c>
      <c r="AC200" s="9">
        <v>33008.25</v>
      </c>
      <c r="AD200" s="9">
        <v>22872.233749999999</v>
      </c>
      <c r="AE200" s="11">
        <v>0.40930629470436536</v>
      </c>
    </row>
    <row r="201" spans="1:31" x14ac:dyDescent="0.3">
      <c r="A201" t="s">
        <v>214</v>
      </c>
      <c r="B201" s="4">
        <v>44939</v>
      </c>
      <c r="C201" s="4" t="str">
        <f t="shared" si="15"/>
        <v>Jan-2023</v>
      </c>
      <c r="D201" s="4" t="str">
        <f t="shared" si="16"/>
        <v>Q1-2023</v>
      </c>
      <c r="E201" s="4">
        <v>44945</v>
      </c>
      <c r="F201" t="s">
        <v>2064</v>
      </c>
      <c r="G201" s="4">
        <v>44945</v>
      </c>
      <c r="H201" s="13">
        <v>6</v>
      </c>
      <c r="I201" s="7" t="s">
        <v>648</v>
      </c>
      <c r="J201" s="7" t="s">
        <v>1425</v>
      </c>
      <c r="K201" s="7" t="s">
        <v>677</v>
      </c>
      <c r="M201" s="7" t="s">
        <v>701</v>
      </c>
      <c r="N201" s="7" t="s">
        <v>711</v>
      </c>
      <c r="O201" s="7" t="s">
        <v>722</v>
      </c>
      <c r="P201" s="7" t="s">
        <v>730</v>
      </c>
      <c r="Q201" s="7" t="s">
        <v>1627</v>
      </c>
      <c r="R201" s="9">
        <v>833.57</v>
      </c>
      <c r="S201" s="9">
        <v>881.57</v>
      </c>
      <c r="T201" s="9">
        <v>881.57</v>
      </c>
      <c r="U201" s="9">
        <f t="shared" si="19"/>
        <v>846.47610000000032</v>
      </c>
      <c r="V201" s="9">
        <f t="shared" si="17"/>
        <v>1622.4722000000002</v>
      </c>
      <c r="W201" s="9" t="str">
        <f t="shared" si="18"/>
        <v>Medium</v>
      </c>
      <c r="X201" t="s">
        <v>2065</v>
      </c>
      <c r="Y201" s="11">
        <v>5.7000000000000002E-2</v>
      </c>
      <c r="Z201" t="s">
        <v>2065</v>
      </c>
      <c r="AA201" s="13">
        <v>18</v>
      </c>
      <c r="AB201" s="9">
        <v>14963.769179999999</v>
      </c>
      <c r="AC201" s="9">
        <v>15004.26</v>
      </c>
      <c r="AD201" s="9">
        <v>-40.490820000000895</v>
      </c>
      <c r="AE201" s="11">
        <v>-2.7059238560107821E-3</v>
      </c>
    </row>
    <row r="202" spans="1:31" x14ac:dyDescent="0.3">
      <c r="A202" t="s">
        <v>215</v>
      </c>
      <c r="B202" s="4">
        <v>45303</v>
      </c>
      <c r="C202" s="4" t="str">
        <f t="shared" si="15"/>
        <v>Jan-2024</v>
      </c>
      <c r="D202" s="4" t="str">
        <f t="shared" si="16"/>
        <v>Q1-2024</v>
      </c>
      <c r="E202" s="4">
        <v>45320</v>
      </c>
      <c r="F202" t="s">
        <v>2064</v>
      </c>
      <c r="G202" s="4">
        <v>45320</v>
      </c>
      <c r="H202" s="13">
        <v>17</v>
      </c>
      <c r="I202" s="7" t="s">
        <v>648</v>
      </c>
      <c r="J202" s="7" t="s">
        <v>1425</v>
      </c>
      <c r="K202" s="7" t="s">
        <v>677</v>
      </c>
      <c r="M202" s="7" t="s">
        <v>702</v>
      </c>
      <c r="N202" s="7" t="s">
        <v>710</v>
      </c>
      <c r="O202" s="7" t="s">
        <v>720</v>
      </c>
      <c r="P202" s="7" t="s">
        <v>728</v>
      </c>
      <c r="Q202" s="7" t="s">
        <v>1628</v>
      </c>
      <c r="R202" s="9">
        <v>493.76</v>
      </c>
      <c r="S202" s="9">
        <v>625.04</v>
      </c>
      <c r="T202" s="9">
        <v>625.04</v>
      </c>
      <c r="U202" s="9">
        <f t="shared" si="19"/>
        <v>841.78500000000008</v>
      </c>
      <c r="V202" s="9">
        <f t="shared" si="17"/>
        <v>1623.856</v>
      </c>
      <c r="W202" s="9" t="str">
        <f t="shared" si="18"/>
        <v>Low</v>
      </c>
      <c r="X202" t="s">
        <v>2065</v>
      </c>
      <c r="Y202" s="11">
        <v>0.25800000000000001</v>
      </c>
      <c r="Z202" t="s">
        <v>2065</v>
      </c>
      <c r="AA202" s="13">
        <v>10</v>
      </c>
      <c r="AB202" s="9">
        <v>4637.7968000000001</v>
      </c>
      <c r="AC202" s="9">
        <v>4937.6000000000004</v>
      </c>
      <c r="AD202" s="9">
        <v>-299.80320000000029</v>
      </c>
      <c r="AE202" s="11">
        <v>-6.464345311549663E-2</v>
      </c>
    </row>
    <row r="203" spans="1:31" x14ac:dyDescent="0.3">
      <c r="A203" t="s">
        <v>216</v>
      </c>
      <c r="B203" s="4">
        <v>45153</v>
      </c>
      <c r="C203" s="4" t="str">
        <f t="shared" si="15"/>
        <v>Aug-2023</v>
      </c>
      <c r="D203" s="4" t="str">
        <f t="shared" si="16"/>
        <v>Q3-2023</v>
      </c>
      <c r="E203" s="4">
        <v>45176</v>
      </c>
      <c r="F203" t="s">
        <v>2064</v>
      </c>
      <c r="G203" s="4">
        <v>45176</v>
      </c>
      <c r="H203" s="13">
        <v>23</v>
      </c>
      <c r="I203" s="7" t="s">
        <v>648</v>
      </c>
      <c r="J203" s="7" t="s">
        <v>1425</v>
      </c>
      <c r="K203" s="7" t="s">
        <v>700</v>
      </c>
      <c r="M203" s="7" t="s">
        <v>706</v>
      </c>
      <c r="N203" s="7" t="s">
        <v>708</v>
      </c>
      <c r="O203" s="7" t="s">
        <v>723</v>
      </c>
      <c r="P203" s="7" t="s">
        <v>730</v>
      </c>
      <c r="Q203" s="7" t="s">
        <v>1629</v>
      </c>
      <c r="R203" s="9">
        <v>590.33000000000004</v>
      </c>
      <c r="S203" s="9">
        <v>973.04</v>
      </c>
      <c r="T203" s="9">
        <v>973.04</v>
      </c>
      <c r="U203" s="9">
        <f t="shared" si="19"/>
        <v>852.95989999999983</v>
      </c>
      <c r="V203" s="9">
        <f t="shared" si="17"/>
        <v>1624.7750000000001</v>
      </c>
      <c r="W203" s="9" t="str">
        <f t="shared" si="18"/>
        <v>Medium</v>
      </c>
      <c r="X203" t="s">
        <v>2065</v>
      </c>
      <c r="Y203" s="11">
        <v>0</v>
      </c>
      <c r="Z203" t="s">
        <v>2065</v>
      </c>
      <c r="AA203" s="13">
        <v>26</v>
      </c>
      <c r="AB203" s="9">
        <v>25299.040000000001</v>
      </c>
      <c r="AC203" s="9">
        <v>15348.580000000002</v>
      </c>
      <c r="AD203" s="9">
        <v>9950.4599999999991</v>
      </c>
      <c r="AE203" s="11">
        <v>0.39331373838691108</v>
      </c>
    </row>
    <row r="204" spans="1:31" x14ac:dyDescent="0.3">
      <c r="A204" t="s">
        <v>217</v>
      </c>
      <c r="B204" s="4">
        <v>44946</v>
      </c>
      <c r="C204" s="4" t="str">
        <f t="shared" si="15"/>
        <v>Jan-2023</v>
      </c>
      <c r="D204" s="4" t="str">
        <f t="shared" si="16"/>
        <v>Q1-2023</v>
      </c>
      <c r="E204" s="4">
        <v>44960</v>
      </c>
      <c r="F204" t="s">
        <v>2064</v>
      </c>
      <c r="G204" s="4">
        <v>44960</v>
      </c>
      <c r="H204" s="13">
        <v>14</v>
      </c>
      <c r="I204" s="7" t="s">
        <v>646</v>
      </c>
      <c r="J204" s="7" t="s">
        <v>650</v>
      </c>
      <c r="K204" s="7" t="s">
        <v>662</v>
      </c>
      <c r="M204" s="7" t="s">
        <v>701</v>
      </c>
      <c r="N204" s="7" t="s">
        <v>707</v>
      </c>
      <c r="O204" s="7" t="s">
        <v>724</v>
      </c>
      <c r="P204" s="7" t="s">
        <v>729</v>
      </c>
      <c r="Q204" s="7" t="s">
        <v>1630</v>
      </c>
      <c r="R204" s="9">
        <v>884.36</v>
      </c>
      <c r="S204" s="9">
        <v>1545.34</v>
      </c>
      <c r="T204" s="9">
        <v>1545.34</v>
      </c>
      <c r="U204" s="9">
        <f t="shared" si="19"/>
        <v>846.66680000000019</v>
      </c>
      <c r="V204" s="9">
        <f t="shared" si="17"/>
        <v>1625.0300000000002</v>
      </c>
      <c r="W204" s="9" t="str">
        <f t="shared" si="18"/>
        <v>Medium</v>
      </c>
      <c r="X204" t="s">
        <v>2065</v>
      </c>
      <c r="Y204" s="11">
        <v>0.24299999999999999</v>
      </c>
      <c r="Z204" t="s">
        <v>2065</v>
      </c>
      <c r="AA204" s="13">
        <v>41</v>
      </c>
      <c r="AB204" s="9">
        <v>47962.717579999997</v>
      </c>
      <c r="AC204" s="9">
        <v>36258.76</v>
      </c>
      <c r="AD204" s="9">
        <v>11703.957579999995</v>
      </c>
      <c r="AE204" s="11">
        <v>0.24402198562827965</v>
      </c>
    </row>
    <row r="205" spans="1:31" x14ac:dyDescent="0.3">
      <c r="A205" t="s">
        <v>218</v>
      </c>
      <c r="B205" s="4">
        <v>45692</v>
      </c>
      <c r="C205" s="4" t="str">
        <f t="shared" si="15"/>
        <v>Feb-2025</v>
      </c>
      <c r="D205" s="4" t="str">
        <f t="shared" si="16"/>
        <v>Q1-2025</v>
      </c>
      <c r="E205" s="4">
        <v>45713</v>
      </c>
      <c r="F205" t="s">
        <v>2064</v>
      </c>
      <c r="G205" s="4">
        <v>45713</v>
      </c>
      <c r="H205" s="13">
        <v>21</v>
      </c>
      <c r="I205" s="7" t="s">
        <v>649</v>
      </c>
      <c r="J205" s="7" t="s">
        <v>658</v>
      </c>
      <c r="K205" s="7" t="s">
        <v>674</v>
      </c>
      <c r="M205" s="7" t="s">
        <v>701</v>
      </c>
      <c r="N205" s="7" t="s">
        <v>709</v>
      </c>
      <c r="O205" s="7" t="s">
        <v>726</v>
      </c>
      <c r="P205" s="7" t="s">
        <v>732</v>
      </c>
      <c r="Q205" s="7" t="s">
        <v>1631</v>
      </c>
      <c r="R205" s="9">
        <v>1016.32</v>
      </c>
      <c r="S205" s="9">
        <v>2253.42</v>
      </c>
      <c r="T205" s="9">
        <v>2253.42</v>
      </c>
      <c r="U205" s="9">
        <f t="shared" si="19"/>
        <v>841.81550000000004</v>
      </c>
      <c r="V205" s="9">
        <f t="shared" si="17"/>
        <v>1625.2850000000001</v>
      </c>
      <c r="W205" s="9" t="str">
        <f t="shared" si="18"/>
        <v>High</v>
      </c>
      <c r="X205" t="s">
        <v>2065</v>
      </c>
      <c r="Y205" s="11">
        <v>5.5E-2</v>
      </c>
      <c r="Z205" t="s">
        <v>2065</v>
      </c>
      <c r="AA205" s="13">
        <v>12</v>
      </c>
      <c r="AB205" s="9">
        <v>25553.782800000001</v>
      </c>
      <c r="AC205" s="9">
        <v>12195.84</v>
      </c>
      <c r="AD205" s="9">
        <v>13357.942800000001</v>
      </c>
      <c r="AE205" s="11">
        <v>0.52273837124419797</v>
      </c>
    </row>
    <row r="206" spans="1:31" x14ac:dyDescent="0.3">
      <c r="A206" t="s">
        <v>219</v>
      </c>
      <c r="B206" s="4">
        <v>45035</v>
      </c>
      <c r="C206" s="4" t="str">
        <f t="shared" si="15"/>
        <v>Apr-2023</v>
      </c>
      <c r="D206" s="4" t="str">
        <f t="shared" si="16"/>
        <v>Q2-2023</v>
      </c>
      <c r="E206" s="4">
        <v>45044</v>
      </c>
      <c r="F206" t="s">
        <v>2064</v>
      </c>
      <c r="G206" s="4">
        <v>45044</v>
      </c>
      <c r="H206" s="13">
        <v>9</v>
      </c>
      <c r="I206" s="7" t="s">
        <v>649</v>
      </c>
      <c r="J206" s="7" t="s">
        <v>656</v>
      </c>
      <c r="K206" s="7" t="s">
        <v>671</v>
      </c>
      <c r="M206" s="7" t="s">
        <v>702</v>
      </c>
      <c r="N206" s="7" t="s">
        <v>708</v>
      </c>
      <c r="O206" s="7" t="s">
        <v>718</v>
      </c>
      <c r="P206" s="7" t="s">
        <v>732</v>
      </c>
      <c r="Q206" s="7" t="s">
        <v>1632</v>
      </c>
      <c r="R206" s="9">
        <v>1178.42</v>
      </c>
      <c r="S206" s="9">
        <v>2446.56</v>
      </c>
      <c r="T206" s="9">
        <v>2446.56</v>
      </c>
      <c r="U206" s="9">
        <f t="shared" si="19"/>
        <v>840.80900000000008</v>
      </c>
      <c r="V206" s="9">
        <f t="shared" si="17"/>
        <v>1624.7900000000002</v>
      </c>
      <c r="W206" s="9" t="str">
        <f t="shared" si="18"/>
        <v>High</v>
      </c>
      <c r="X206" t="s">
        <v>2065</v>
      </c>
      <c r="Y206" s="11">
        <v>2.9000000000000001E-2</v>
      </c>
      <c r="Z206" t="s">
        <v>2065</v>
      </c>
      <c r="AA206" s="13">
        <v>11</v>
      </c>
      <c r="AB206" s="9">
        <v>26131.70736</v>
      </c>
      <c r="AC206" s="9">
        <v>12962.62</v>
      </c>
      <c r="AD206" s="9">
        <v>13169.08736</v>
      </c>
      <c r="AE206" s="11">
        <v>0.5039505141618883</v>
      </c>
    </row>
    <row r="207" spans="1:31" x14ac:dyDescent="0.3">
      <c r="A207" t="s">
        <v>220</v>
      </c>
      <c r="B207" s="4">
        <v>45109</v>
      </c>
      <c r="C207" s="4" t="str">
        <f t="shared" si="15"/>
        <v>Jul-2023</v>
      </c>
      <c r="D207" s="4" t="str">
        <f t="shared" si="16"/>
        <v>Q3-2023</v>
      </c>
      <c r="E207" s="4">
        <v>45139</v>
      </c>
      <c r="F207" t="s">
        <v>2064</v>
      </c>
      <c r="G207" s="4">
        <v>45139</v>
      </c>
      <c r="H207" s="13">
        <v>30</v>
      </c>
      <c r="I207" s="7" t="s">
        <v>649</v>
      </c>
      <c r="J207" s="7" t="s">
        <v>658</v>
      </c>
      <c r="K207" s="7" t="s">
        <v>674</v>
      </c>
      <c r="M207" s="7" t="s">
        <v>705</v>
      </c>
      <c r="N207" s="7" t="s">
        <v>707</v>
      </c>
      <c r="O207" s="7" t="s">
        <v>717</v>
      </c>
      <c r="P207" s="7" t="s">
        <v>727</v>
      </c>
      <c r="Q207" s="7" t="s">
        <v>1633</v>
      </c>
      <c r="R207" s="9">
        <v>137.46</v>
      </c>
      <c r="S207" s="9">
        <v>188.3</v>
      </c>
      <c r="T207" s="9">
        <v>188.3</v>
      </c>
      <c r="U207" s="9">
        <f t="shared" si="19"/>
        <v>839.80250000000001</v>
      </c>
      <c r="V207" s="9">
        <f t="shared" si="17"/>
        <v>1622.635</v>
      </c>
      <c r="W207" s="9" t="str">
        <f t="shared" si="18"/>
        <v>Low</v>
      </c>
      <c r="X207" t="s">
        <v>2065</v>
      </c>
      <c r="Y207" s="11">
        <v>3.7999999999999999E-2</v>
      </c>
      <c r="Z207" t="s">
        <v>2065</v>
      </c>
      <c r="AA207" s="13">
        <v>37</v>
      </c>
      <c r="AB207" s="9">
        <v>6702.3501999999999</v>
      </c>
      <c r="AC207" s="9">
        <v>5086.0200000000004</v>
      </c>
      <c r="AD207" s="9">
        <v>1616.3301999999994</v>
      </c>
      <c r="AE207" s="11">
        <v>0.24115872071262398</v>
      </c>
    </row>
    <row r="208" spans="1:31" x14ac:dyDescent="0.3">
      <c r="A208" t="s">
        <v>221</v>
      </c>
      <c r="B208" s="4">
        <v>45678</v>
      </c>
      <c r="C208" s="4" t="str">
        <f t="shared" si="15"/>
        <v>Jan-2025</v>
      </c>
      <c r="D208" s="4" t="str">
        <f t="shared" si="16"/>
        <v>Q1-2025</v>
      </c>
      <c r="E208" s="4">
        <v>45702</v>
      </c>
      <c r="F208" t="s">
        <v>2064</v>
      </c>
      <c r="G208" s="4">
        <v>45702</v>
      </c>
      <c r="H208" s="13">
        <v>24</v>
      </c>
      <c r="I208" s="7" t="s">
        <v>646</v>
      </c>
      <c r="J208" s="7" t="s">
        <v>650</v>
      </c>
      <c r="K208" s="7" t="s">
        <v>664</v>
      </c>
      <c r="M208" s="7" t="s">
        <v>705</v>
      </c>
      <c r="N208" s="7" t="s">
        <v>707</v>
      </c>
      <c r="O208" s="7" t="s">
        <v>713</v>
      </c>
      <c r="P208" s="7" t="s">
        <v>733</v>
      </c>
      <c r="Q208" s="7" t="s">
        <v>1634</v>
      </c>
      <c r="R208" s="9">
        <v>1030.44</v>
      </c>
      <c r="S208" s="9">
        <v>2562.84</v>
      </c>
      <c r="T208" s="9">
        <v>2562.84</v>
      </c>
      <c r="U208" s="9">
        <f t="shared" si="19"/>
        <v>841.84600000000012</v>
      </c>
      <c r="V208" s="9">
        <f t="shared" si="17"/>
        <v>1624.0188000000003</v>
      </c>
      <c r="W208" s="9" t="str">
        <f t="shared" si="18"/>
        <v>High</v>
      </c>
      <c r="X208" t="s">
        <v>2065</v>
      </c>
      <c r="Y208" s="11">
        <v>0.14799999999999999</v>
      </c>
      <c r="Z208" t="s">
        <v>2065</v>
      </c>
      <c r="AA208" s="13">
        <v>13</v>
      </c>
      <c r="AB208" s="9">
        <v>28386.015839999996</v>
      </c>
      <c r="AC208" s="9">
        <v>13395.720000000001</v>
      </c>
      <c r="AD208" s="9">
        <v>14990.295839999995</v>
      </c>
      <c r="AE208" s="11">
        <v>0.52808734852027039</v>
      </c>
    </row>
    <row r="209" spans="1:31" x14ac:dyDescent="0.3">
      <c r="A209" t="s">
        <v>222</v>
      </c>
      <c r="B209" s="4">
        <v>45545</v>
      </c>
      <c r="C209" s="4" t="str">
        <f t="shared" si="15"/>
        <v>Sep-2024</v>
      </c>
      <c r="D209" s="4" t="str">
        <f t="shared" si="16"/>
        <v>Q3-2024</v>
      </c>
      <c r="E209" s="4">
        <v>45572</v>
      </c>
      <c r="F209" t="s">
        <v>2064</v>
      </c>
      <c r="G209" s="4">
        <v>45572</v>
      </c>
      <c r="H209" s="13">
        <v>27</v>
      </c>
      <c r="I209" s="7" t="s">
        <v>646</v>
      </c>
      <c r="J209" s="7" t="s">
        <v>650</v>
      </c>
      <c r="K209" s="7" t="s">
        <v>662</v>
      </c>
      <c r="M209" s="7" t="s">
        <v>704</v>
      </c>
      <c r="N209" s="7" t="s">
        <v>707</v>
      </c>
      <c r="O209" s="7" t="s">
        <v>716</v>
      </c>
      <c r="P209" s="7" t="s">
        <v>728</v>
      </c>
      <c r="Q209" s="7" t="s">
        <v>1635</v>
      </c>
      <c r="R209" s="9">
        <v>1248.3900000000001</v>
      </c>
      <c r="S209" s="9">
        <v>1805.11</v>
      </c>
      <c r="T209" s="9">
        <v>1805.11</v>
      </c>
      <c r="U209" s="9">
        <f t="shared" si="19"/>
        <v>840.83950000000004</v>
      </c>
      <c r="V209" s="9">
        <f t="shared" si="17"/>
        <v>1621.3326</v>
      </c>
      <c r="W209" s="9" t="str">
        <f t="shared" si="18"/>
        <v>High</v>
      </c>
      <c r="X209" t="s">
        <v>2065</v>
      </c>
      <c r="Y209" s="11">
        <v>0.20300000000000001</v>
      </c>
      <c r="Z209" t="s">
        <v>2065</v>
      </c>
      <c r="AA209" s="13">
        <v>11</v>
      </c>
      <c r="AB209" s="9">
        <v>15825.399369999997</v>
      </c>
      <c r="AC209" s="9">
        <v>13732.29</v>
      </c>
      <c r="AD209" s="9">
        <v>2093.1093699999965</v>
      </c>
      <c r="AE209" s="11">
        <v>0.13226265707820786</v>
      </c>
    </row>
    <row r="210" spans="1:31" x14ac:dyDescent="0.3">
      <c r="A210" t="s">
        <v>223</v>
      </c>
      <c r="B210" s="4">
        <v>45859</v>
      </c>
      <c r="C210" s="4" t="str">
        <f t="shared" si="15"/>
        <v>Jul-2025</v>
      </c>
      <c r="D210" s="4" t="str">
        <f t="shared" si="16"/>
        <v>Q3-2025</v>
      </c>
      <c r="E210" s="4">
        <v>45876</v>
      </c>
      <c r="F210" t="s">
        <v>2064</v>
      </c>
      <c r="G210" s="4">
        <v>45876</v>
      </c>
      <c r="H210" s="13">
        <v>17</v>
      </c>
      <c r="I210" s="7" t="s">
        <v>646</v>
      </c>
      <c r="J210" s="7" t="s">
        <v>651</v>
      </c>
      <c r="K210" s="7" t="s">
        <v>665</v>
      </c>
      <c r="M210" s="7" t="s">
        <v>706</v>
      </c>
      <c r="N210" s="7" t="s">
        <v>711</v>
      </c>
      <c r="O210" s="7" t="s">
        <v>724</v>
      </c>
      <c r="P210" s="7" t="s">
        <v>733</v>
      </c>
      <c r="Q210" s="7" t="s">
        <v>1636</v>
      </c>
      <c r="R210" s="9">
        <v>1204.95</v>
      </c>
      <c r="S210" s="9">
        <v>2065.73</v>
      </c>
      <c r="T210" s="9">
        <v>2065.73</v>
      </c>
      <c r="U210" s="9">
        <f t="shared" si="19"/>
        <v>839.83300000000008</v>
      </c>
      <c r="V210" s="9">
        <f t="shared" si="17"/>
        <v>1619.28</v>
      </c>
      <c r="W210" s="9" t="str">
        <f t="shared" si="18"/>
        <v>High</v>
      </c>
      <c r="X210" t="s">
        <v>2065</v>
      </c>
      <c r="Y210" s="11">
        <v>0.13600000000000001</v>
      </c>
      <c r="Z210" t="s">
        <v>2065</v>
      </c>
      <c r="AA210" s="13">
        <v>10</v>
      </c>
      <c r="AB210" s="9">
        <v>17847.907199999998</v>
      </c>
      <c r="AC210" s="9">
        <v>12049.5</v>
      </c>
      <c r="AD210" s="9">
        <v>5798.4071999999978</v>
      </c>
      <c r="AE210" s="11">
        <v>0.32487882949100039</v>
      </c>
    </row>
    <row r="211" spans="1:31" x14ac:dyDescent="0.3">
      <c r="A211" t="s">
        <v>224</v>
      </c>
      <c r="B211" s="4">
        <v>45567</v>
      </c>
      <c r="C211" s="4" t="str">
        <f t="shared" si="15"/>
        <v>Oct-2024</v>
      </c>
      <c r="D211" s="4" t="str">
        <f t="shared" si="16"/>
        <v>Q4-2024</v>
      </c>
      <c r="E211" s="4">
        <v>45588</v>
      </c>
      <c r="F211" t="s">
        <v>2064</v>
      </c>
      <c r="G211" s="4">
        <v>45588</v>
      </c>
      <c r="H211" s="13">
        <v>21</v>
      </c>
      <c r="I211" s="7" t="s">
        <v>646</v>
      </c>
      <c r="J211" s="7" t="s">
        <v>661</v>
      </c>
      <c r="K211" s="7" t="s">
        <v>687</v>
      </c>
      <c r="M211" s="7" t="s">
        <v>701</v>
      </c>
      <c r="N211" s="7" t="s">
        <v>709</v>
      </c>
      <c r="O211" s="7" t="s">
        <v>720</v>
      </c>
      <c r="P211" s="7" t="s">
        <v>727</v>
      </c>
      <c r="Q211" s="7" t="s">
        <v>1637</v>
      </c>
      <c r="R211" s="9">
        <v>1095.6099999999999</v>
      </c>
      <c r="S211" s="9">
        <v>2366.5100000000002</v>
      </c>
      <c r="T211" s="9">
        <v>2366.5100000000002</v>
      </c>
      <c r="U211" s="9">
        <f t="shared" si="19"/>
        <v>838.66549999999995</v>
      </c>
      <c r="V211" s="9">
        <f t="shared" si="17"/>
        <v>1614.7238000000002</v>
      </c>
      <c r="W211" s="9" t="str">
        <f t="shared" si="18"/>
        <v>High</v>
      </c>
      <c r="X211" t="s">
        <v>2065</v>
      </c>
      <c r="Y211" s="11">
        <v>0.152</v>
      </c>
      <c r="Z211" t="s">
        <v>2065</v>
      </c>
      <c r="AA211" s="13">
        <v>9</v>
      </c>
      <c r="AB211" s="9">
        <v>18061.204320000004</v>
      </c>
      <c r="AC211" s="9">
        <v>9860.49</v>
      </c>
      <c r="AD211" s="9">
        <v>8200.7143200000046</v>
      </c>
      <c r="AE211" s="11">
        <v>0.4540513564158607</v>
      </c>
    </row>
    <row r="212" spans="1:31" x14ac:dyDescent="0.3">
      <c r="A212" t="s">
        <v>225</v>
      </c>
      <c r="B212" s="4">
        <v>45852</v>
      </c>
      <c r="C212" s="4" t="str">
        <f t="shared" si="15"/>
        <v>Jul-2025</v>
      </c>
      <c r="D212" s="4" t="str">
        <f t="shared" si="16"/>
        <v>Q3-2025</v>
      </c>
      <c r="E212" s="4">
        <v>45873</v>
      </c>
      <c r="F212" t="s">
        <v>2064</v>
      </c>
      <c r="G212" s="4">
        <v>45873</v>
      </c>
      <c r="H212" s="13">
        <v>21</v>
      </c>
      <c r="I212" s="7" t="s">
        <v>648</v>
      </c>
      <c r="J212" s="7" t="s">
        <v>653</v>
      </c>
      <c r="K212" s="7" t="s">
        <v>681</v>
      </c>
      <c r="M212" s="7" t="s">
        <v>704</v>
      </c>
      <c r="N212" s="7" t="s">
        <v>708</v>
      </c>
      <c r="O212" s="7" t="s">
        <v>722</v>
      </c>
      <c r="P212" s="7" t="s">
        <v>732</v>
      </c>
      <c r="Q212" s="7" t="s">
        <v>1638</v>
      </c>
      <c r="R212" s="9">
        <v>90.3</v>
      </c>
      <c r="S212" s="9">
        <v>131.76</v>
      </c>
      <c r="T212" s="9">
        <v>131.76</v>
      </c>
      <c r="U212" s="9">
        <f t="shared" si="19"/>
        <v>836.9</v>
      </c>
      <c r="V212" s="9">
        <f t="shared" si="17"/>
        <v>1599.9859999999996</v>
      </c>
      <c r="W212" s="9" t="str">
        <f t="shared" si="18"/>
        <v>Low</v>
      </c>
      <c r="X212" t="s">
        <v>2065</v>
      </c>
      <c r="Y212" s="11">
        <v>0.10199999999999999</v>
      </c>
      <c r="Z212" t="s">
        <v>2065</v>
      </c>
      <c r="AA212" s="13">
        <v>15</v>
      </c>
      <c r="AB212" s="9">
        <v>1774.8072</v>
      </c>
      <c r="AC212" s="9">
        <v>1354.5</v>
      </c>
      <c r="AD212" s="9">
        <v>420.30719999999997</v>
      </c>
      <c r="AE212" s="11">
        <v>0.23681851189244668</v>
      </c>
    </row>
    <row r="213" spans="1:31" x14ac:dyDescent="0.3">
      <c r="A213" t="s">
        <v>226</v>
      </c>
      <c r="B213" s="4">
        <v>45544</v>
      </c>
      <c r="C213" s="4" t="str">
        <f t="shared" si="15"/>
        <v>Sep-2024</v>
      </c>
      <c r="D213" s="4" t="str">
        <f t="shared" si="16"/>
        <v>Q3-2024</v>
      </c>
      <c r="E213" s="4">
        <v>45566</v>
      </c>
      <c r="F213" t="s">
        <v>2064</v>
      </c>
      <c r="G213" s="4">
        <v>45566</v>
      </c>
      <c r="H213" s="13">
        <v>22</v>
      </c>
      <c r="I213" s="7" t="s">
        <v>647</v>
      </c>
      <c r="J213" s="7" t="s">
        <v>659</v>
      </c>
      <c r="K213" s="7" t="s">
        <v>676</v>
      </c>
      <c r="M213" s="7" t="s">
        <v>704</v>
      </c>
      <c r="N213" s="7" t="s">
        <v>711</v>
      </c>
      <c r="O213" s="7" t="s">
        <v>716</v>
      </c>
      <c r="P213" s="7" t="s">
        <v>728</v>
      </c>
      <c r="Q213" s="7" t="s">
        <v>1639</v>
      </c>
      <c r="R213" s="9">
        <v>1166.18</v>
      </c>
      <c r="S213" s="9">
        <v>1335.02</v>
      </c>
      <c r="T213" s="9">
        <v>1335.02</v>
      </c>
      <c r="U213" s="9">
        <f t="shared" si="19"/>
        <v>839.86350000000004</v>
      </c>
      <c r="V213" s="9">
        <f t="shared" si="17"/>
        <v>1607.5782000000004</v>
      </c>
      <c r="W213" s="9" t="str">
        <f t="shared" si="18"/>
        <v>Medium</v>
      </c>
      <c r="X213" t="s">
        <v>2065</v>
      </c>
      <c r="Y213" s="11">
        <v>0.128</v>
      </c>
      <c r="Z213" t="s">
        <v>2065</v>
      </c>
      <c r="AA213" s="13">
        <v>6</v>
      </c>
      <c r="AB213" s="9">
        <v>6984.8246399999998</v>
      </c>
      <c r="AC213" s="9">
        <v>6997.08</v>
      </c>
      <c r="AD213" s="9">
        <v>-12.25536000000011</v>
      </c>
      <c r="AE213" s="11">
        <v>-1.7545694604582242E-3</v>
      </c>
    </row>
    <row r="214" spans="1:31" x14ac:dyDescent="0.3">
      <c r="A214" t="s">
        <v>227</v>
      </c>
      <c r="B214" s="4">
        <v>45686</v>
      </c>
      <c r="C214" s="4" t="str">
        <f t="shared" si="15"/>
        <v>Jan-2025</v>
      </c>
      <c r="D214" s="4" t="str">
        <f t="shared" si="16"/>
        <v>Q1-2025</v>
      </c>
      <c r="E214" s="4">
        <v>45694</v>
      </c>
      <c r="F214" t="s">
        <v>2064</v>
      </c>
      <c r="G214" s="4">
        <v>45694</v>
      </c>
      <c r="H214" s="13">
        <v>8</v>
      </c>
      <c r="I214" s="7" t="s">
        <v>646</v>
      </c>
      <c r="J214" s="7" t="s">
        <v>650</v>
      </c>
      <c r="K214" s="7" t="s">
        <v>662</v>
      </c>
      <c r="M214" s="7" t="s">
        <v>702</v>
      </c>
      <c r="N214" s="7" t="s">
        <v>707</v>
      </c>
      <c r="O214" s="7" t="s">
        <v>717</v>
      </c>
      <c r="P214" s="7" t="s">
        <v>730</v>
      </c>
      <c r="Q214" s="7" t="s">
        <v>1640</v>
      </c>
      <c r="R214" s="9">
        <v>1445.27</v>
      </c>
      <c r="S214" s="9">
        <v>2691.45</v>
      </c>
      <c r="T214" s="9">
        <v>2691.45</v>
      </c>
      <c r="U214" s="9">
        <f t="shared" si="19"/>
        <v>838.71899999999994</v>
      </c>
      <c r="V214" s="9">
        <f t="shared" si="17"/>
        <v>1615.1703999999997</v>
      </c>
      <c r="W214" s="9" t="str">
        <f t="shared" si="18"/>
        <v>High</v>
      </c>
      <c r="X214" t="s">
        <v>2065</v>
      </c>
      <c r="Y214" s="11">
        <v>0</v>
      </c>
      <c r="Z214" t="s">
        <v>2065</v>
      </c>
      <c r="AA214" s="13">
        <v>9</v>
      </c>
      <c r="AB214" s="9">
        <v>24223.05</v>
      </c>
      <c r="AC214" s="9">
        <v>13007.43</v>
      </c>
      <c r="AD214" s="9">
        <v>11215.619999999999</v>
      </c>
      <c r="AE214" s="11">
        <v>0.46301436028906351</v>
      </c>
    </row>
    <row r="215" spans="1:31" x14ac:dyDescent="0.3">
      <c r="A215" t="s">
        <v>228</v>
      </c>
      <c r="B215" s="4">
        <v>45240</v>
      </c>
      <c r="C215" s="4" t="str">
        <f t="shared" si="15"/>
        <v>Nov-2023</v>
      </c>
      <c r="D215" s="4" t="str">
        <f t="shared" si="16"/>
        <v>Q4-2023</v>
      </c>
      <c r="E215" s="4">
        <v>45258</v>
      </c>
      <c r="F215" t="s">
        <v>2064</v>
      </c>
      <c r="G215" s="4">
        <v>45258</v>
      </c>
      <c r="H215" s="13">
        <v>18</v>
      </c>
      <c r="I215" s="7" t="s">
        <v>648</v>
      </c>
      <c r="J215" s="7" t="s">
        <v>655</v>
      </c>
      <c r="K215" s="7" t="s">
        <v>672</v>
      </c>
      <c r="M215" s="7" t="s">
        <v>702</v>
      </c>
      <c r="N215" s="7" t="s">
        <v>709</v>
      </c>
      <c r="O215" s="7" t="s">
        <v>716</v>
      </c>
      <c r="P215" s="7" t="s">
        <v>733</v>
      </c>
      <c r="Q215" s="7" t="s">
        <v>1641</v>
      </c>
      <c r="R215" s="9">
        <v>388.51</v>
      </c>
      <c r="S215" s="9">
        <v>776.46</v>
      </c>
      <c r="T215" s="9">
        <v>776.46</v>
      </c>
      <c r="U215" s="9">
        <f t="shared" si="19"/>
        <v>836.95350000000008</v>
      </c>
      <c r="V215" s="9">
        <f t="shared" si="17"/>
        <v>1600.4326000000005</v>
      </c>
      <c r="W215" s="9" t="str">
        <f t="shared" si="18"/>
        <v>Low</v>
      </c>
      <c r="X215" t="s">
        <v>2065</v>
      </c>
      <c r="Y215" s="11">
        <v>0.157</v>
      </c>
      <c r="Z215" t="s">
        <v>2065</v>
      </c>
      <c r="AA215" s="13">
        <v>12</v>
      </c>
      <c r="AB215" s="9">
        <v>7854.6693599999999</v>
      </c>
      <c r="AC215" s="9">
        <v>4662.12</v>
      </c>
      <c r="AD215" s="9">
        <v>3192.54936</v>
      </c>
      <c r="AE215" s="11">
        <v>0.40645241876864946</v>
      </c>
    </row>
    <row r="216" spans="1:31" x14ac:dyDescent="0.3">
      <c r="A216" t="s">
        <v>229</v>
      </c>
      <c r="B216" s="4">
        <v>45351</v>
      </c>
      <c r="C216" s="4" t="str">
        <f t="shared" si="15"/>
        <v>Feb-2024</v>
      </c>
      <c r="D216" s="4" t="str">
        <f t="shared" si="16"/>
        <v>Q1-2024</v>
      </c>
      <c r="E216" s="4">
        <v>45381</v>
      </c>
      <c r="F216" t="s">
        <v>2064</v>
      </c>
      <c r="G216" s="4">
        <v>45381</v>
      </c>
      <c r="H216" s="13">
        <v>30</v>
      </c>
      <c r="I216" s="7" t="s">
        <v>647</v>
      </c>
      <c r="J216" s="7" t="s">
        <v>652</v>
      </c>
      <c r="K216" s="7" t="s">
        <v>694</v>
      </c>
      <c r="M216" s="7" t="s">
        <v>705</v>
      </c>
      <c r="N216" s="7" t="s">
        <v>711</v>
      </c>
      <c r="O216" s="7" t="s">
        <v>714</v>
      </c>
      <c r="P216" s="7" t="s">
        <v>729</v>
      </c>
      <c r="Q216" s="7" t="s">
        <v>1642</v>
      </c>
      <c r="R216" s="9">
        <v>231.11</v>
      </c>
      <c r="S216" s="9">
        <v>318.17</v>
      </c>
      <c r="T216" s="9">
        <v>318.17</v>
      </c>
      <c r="U216" s="9">
        <f t="shared" si="19"/>
        <v>839.89400000000001</v>
      </c>
      <c r="V216" s="9">
        <f t="shared" si="17"/>
        <v>1608.0247999999999</v>
      </c>
      <c r="W216" s="9" t="str">
        <f t="shared" si="18"/>
        <v>Low</v>
      </c>
      <c r="X216" t="s">
        <v>2065</v>
      </c>
      <c r="Y216" s="11">
        <v>0.20100000000000001</v>
      </c>
      <c r="Z216" t="s">
        <v>2065</v>
      </c>
      <c r="AA216" s="13">
        <v>60</v>
      </c>
      <c r="AB216" s="9">
        <v>15253.069799999999</v>
      </c>
      <c r="AC216" s="9">
        <v>13866.6</v>
      </c>
      <c r="AD216" s="9">
        <v>1386.4697999999989</v>
      </c>
      <c r="AE216" s="11">
        <v>9.0897754889969692E-2</v>
      </c>
    </row>
    <row r="217" spans="1:31" x14ac:dyDescent="0.3">
      <c r="A217" t="s">
        <v>230</v>
      </c>
      <c r="B217" s="4">
        <v>45280</v>
      </c>
      <c r="C217" s="4" t="str">
        <f t="shared" si="15"/>
        <v>Dec-2023</v>
      </c>
      <c r="D217" s="4" t="str">
        <f t="shared" si="16"/>
        <v>Q4-2023</v>
      </c>
      <c r="E217" s="4">
        <v>45305</v>
      </c>
      <c r="F217" t="s">
        <v>2064</v>
      </c>
      <c r="G217" s="4">
        <v>45305</v>
      </c>
      <c r="H217" s="13">
        <v>25</v>
      </c>
      <c r="I217" s="7" t="s">
        <v>647</v>
      </c>
      <c r="J217" s="7" t="s">
        <v>654</v>
      </c>
      <c r="K217" s="7" t="s">
        <v>691</v>
      </c>
      <c r="M217" s="7" t="s">
        <v>703</v>
      </c>
      <c r="N217" s="7" t="s">
        <v>709</v>
      </c>
      <c r="O217" s="7" t="s">
        <v>716</v>
      </c>
      <c r="P217" s="7" t="s">
        <v>732</v>
      </c>
      <c r="Q217" s="7" t="s">
        <v>1643</v>
      </c>
      <c r="R217" s="9">
        <v>1085.6099999999999</v>
      </c>
      <c r="S217" s="9">
        <v>1246.4100000000001</v>
      </c>
      <c r="T217" s="9">
        <v>1246.4100000000001</v>
      </c>
      <c r="U217" s="9">
        <f t="shared" si="19"/>
        <v>841.93750000000011</v>
      </c>
      <c r="V217" s="9">
        <f t="shared" si="17"/>
        <v>1615.6170000000006</v>
      </c>
      <c r="W217" s="9" t="str">
        <f t="shared" si="18"/>
        <v>Medium</v>
      </c>
      <c r="X217" t="s">
        <v>2065</v>
      </c>
      <c r="Y217" s="11">
        <v>0.113</v>
      </c>
      <c r="Z217" t="s">
        <v>2065</v>
      </c>
      <c r="AA217" s="13">
        <v>7</v>
      </c>
      <c r="AB217" s="9">
        <v>7738.9596900000006</v>
      </c>
      <c r="AC217" s="9">
        <v>7599.2699999999995</v>
      </c>
      <c r="AD217" s="9">
        <v>139.68969000000106</v>
      </c>
      <c r="AE217" s="11">
        <v>1.8050189637310417E-2</v>
      </c>
    </row>
    <row r="218" spans="1:31" x14ac:dyDescent="0.3">
      <c r="A218" t="s">
        <v>231</v>
      </c>
      <c r="B218" s="4">
        <v>44948</v>
      </c>
      <c r="C218" s="4" t="str">
        <f t="shared" si="15"/>
        <v>Jan-2023</v>
      </c>
      <c r="D218" s="4" t="str">
        <f t="shared" si="16"/>
        <v>Q1-2023</v>
      </c>
      <c r="E218" s="4">
        <v>44947</v>
      </c>
      <c r="F218" t="s">
        <v>2066</v>
      </c>
      <c r="G218" s="4">
        <v>44948</v>
      </c>
      <c r="H218" s="13">
        <v>0</v>
      </c>
      <c r="I218" s="7" t="s">
        <v>649</v>
      </c>
      <c r="J218" s="7" t="s">
        <v>656</v>
      </c>
      <c r="K218" s="7" t="s">
        <v>684</v>
      </c>
      <c r="M218" s="7" t="s">
        <v>701</v>
      </c>
      <c r="N218" s="7" t="s">
        <v>711</v>
      </c>
      <c r="O218" s="7" t="s">
        <v>721</v>
      </c>
      <c r="P218" s="7" t="s">
        <v>732</v>
      </c>
      <c r="Q218" s="7" t="s">
        <v>1644</v>
      </c>
      <c r="R218" s="9">
        <v>150.86000000000001</v>
      </c>
      <c r="S218" s="9">
        <v>346.96</v>
      </c>
      <c r="T218" s="9">
        <v>346.96</v>
      </c>
      <c r="U218" s="9">
        <f t="shared" si="19"/>
        <v>840.93100000000004</v>
      </c>
      <c r="V218" s="9">
        <f t="shared" si="17"/>
        <v>1618.51</v>
      </c>
      <c r="W218" s="9" t="str">
        <f t="shared" si="18"/>
        <v>Low</v>
      </c>
      <c r="X218" t="s">
        <v>2065</v>
      </c>
      <c r="Y218" s="11">
        <v>0.19600000000000001</v>
      </c>
      <c r="Z218" t="s">
        <v>2065</v>
      </c>
      <c r="AA218" s="13">
        <v>8</v>
      </c>
      <c r="AB218" s="9">
        <v>2231.6467200000002</v>
      </c>
      <c r="AC218" s="9">
        <v>1206.8800000000001</v>
      </c>
      <c r="AD218" s="9">
        <v>1024.7667200000001</v>
      </c>
      <c r="AE218" s="11">
        <v>0.45919755614365343</v>
      </c>
    </row>
    <row r="219" spans="1:31" x14ac:dyDescent="0.3">
      <c r="A219" t="s">
        <v>232</v>
      </c>
      <c r="B219" s="4">
        <v>45576</v>
      </c>
      <c r="C219" s="4" t="str">
        <f t="shared" si="15"/>
        <v>Oct-2024</v>
      </c>
      <c r="D219" s="4" t="str">
        <f t="shared" si="16"/>
        <v>Q4-2024</v>
      </c>
      <c r="E219" s="4">
        <v>45605</v>
      </c>
      <c r="F219" t="s">
        <v>2064</v>
      </c>
      <c r="G219" s="4">
        <v>45605</v>
      </c>
      <c r="H219" s="13">
        <v>29</v>
      </c>
      <c r="I219" s="7" t="s">
        <v>647</v>
      </c>
      <c r="J219" s="7" t="s">
        <v>659</v>
      </c>
      <c r="K219" s="7" t="s">
        <v>685</v>
      </c>
      <c r="M219" s="7" t="s">
        <v>703</v>
      </c>
      <c r="N219" s="7" t="s">
        <v>708</v>
      </c>
      <c r="O219" s="7" t="s">
        <v>721</v>
      </c>
      <c r="P219" s="7" t="s">
        <v>728</v>
      </c>
      <c r="Q219" s="7" t="s">
        <v>1645</v>
      </c>
      <c r="R219" s="9">
        <v>391.64</v>
      </c>
      <c r="S219" s="9">
        <v>504.76</v>
      </c>
      <c r="T219" s="9">
        <v>504.76</v>
      </c>
      <c r="U219" s="9">
        <f t="shared" si="19"/>
        <v>847.62030000000038</v>
      </c>
      <c r="V219" s="9">
        <f t="shared" si="17"/>
        <v>1619.4449999999999</v>
      </c>
      <c r="W219" s="9" t="str">
        <f t="shared" si="18"/>
        <v>Low</v>
      </c>
      <c r="X219" t="s">
        <v>2065</v>
      </c>
      <c r="Y219" s="11">
        <v>4.0000000000000001E-3</v>
      </c>
      <c r="Z219" t="s">
        <v>2065</v>
      </c>
      <c r="AA219" s="13">
        <v>13</v>
      </c>
      <c r="AB219" s="9">
        <v>6535.6324800000002</v>
      </c>
      <c r="AC219" s="9">
        <v>5091.32</v>
      </c>
      <c r="AD219" s="9">
        <v>1444.3124800000005</v>
      </c>
      <c r="AE219" s="11">
        <v>0.22099046793402319</v>
      </c>
    </row>
    <row r="220" spans="1:31" x14ac:dyDescent="0.3">
      <c r="A220" t="s">
        <v>233</v>
      </c>
      <c r="B220" s="4">
        <v>45554</v>
      </c>
      <c r="C220" s="4" t="str">
        <f t="shared" si="15"/>
        <v>Sep-2024</v>
      </c>
      <c r="D220" s="4" t="str">
        <f t="shared" si="16"/>
        <v>Q3-2024</v>
      </c>
      <c r="E220" s="4">
        <v>45579</v>
      </c>
      <c r="F220" t="s">
        <v>2064</v>
      </c>
      <c r="G220" s="4">
        <v>45579</v>
      </c>
      <c r="H220" s="13">
        <v>25</v>
      </c>
      <c r="I220" s="7" t="s">
        <v>648</v>
      </c>
      <c r="J220" s="7" t="s">
        <v>655</v>
      </c>
      <c r="K220" s="7" t="s">
        <v>1426</v>
      </c>
      <c r="M220" s="7" t="s">
        <v>705</v>
      </c>
      <c r="N220" s="7" t="s">
        <v>707</v>
      </c>
      <c r="O220" s="7" t="s">
        <v>723</v>
      </c>
      <c r="P220" s="7" t="s">
        <v>728</v>
      </c>
      <c r="Q220" s="7" t="s">
        <v>1646</v>
      </c>
      <c r="R220" s="9">
        <v>386.96</v>
      </c>
      <c r="S220" s="9">
        <v>937.46</v>
      </c>
      <c r="T220" s="9">
        <v>937.46</v>
      </c>
      <c r="U220" s="9">
        <f t="shared" si="19"/>
        <v>860.39720000000011</v>
      </c>
      <c r="V220" s="9">
        <f t="shared" si="17"/>
        <v>1620.3799999999999</v>
      </c>
      <c r="W220" s="9" t="str">
        <f t="shared" si="18"/>
        <v>Medium</v>
      </c>
      <c r="X220" t="s">
        <v>2065</v>
      </c>
      <c r="Y220" s="11">
        <v>0.26600000000000001</v>
      </c>
      <c r="Z220" t="s">
        <v>2065</v>
      </c>
      <c r="AA220" s="13">
        <v>41</v>
      </c>
      <c r="AB220" s="9">
        <v>28211.92124</v>
      </c>
      <c r="AC220" s="9">
        <v>15865.359999999999</v>
      </c>
      <c r="AD220" s="9">
        <v>12346.561240000001</v>
      </c>
      <c r="AE220" s="11">
        <v>0.43763631462626335</v>
      </c>
    </row>
    <row r="221" spans="1:31" x14ac:dyDescent="0.3">
      <c r="A221" t="s">
        <v>234</v>
      </c>
      <c r="B221" s="4">
        <v>45894</v>
      </c>
      <c r="C221" s="4" t="str">
        <f t="shared" si="15"/>
        <v>Aug-2025</v>
      </c>
      <c r="D221" s="4" t="str">
        <f t="shared" si="16"/>
        <v>Q3-2025</v>
      </c>
      <c r="E221" s="4">
        <v>45924</v>
      </c>
      <c r="F221" t="s">
        <v>2064</v>
      </c>
      <c r="G221" s="4">
        <v>45924</v>
      </c>
      <c r="H221" s="13">
        <v>30</v>
      </c>
      <c r="I221" s="7" t="s">
        <v>646</v>
      </c>
      <c r="J221" s="7" t="s">
        <v>650</v>
      </c>
      <c r="K221" s="7" t="s">
        <v>664</v>
      </c>
      <c r="M221" s="7" t="s">
        <v>704</v>
      </c>
      <c r="N221" s="7" t="s">
        <v>711</v>
      </c>
      <c r="O221" s="7" t="s">
        <v>717</v>
      </c>
      <c r="P221" s="7" t="s">
        <v>727</v>
      </c>
      <c r="Q221" s="7" t="s">
        <v>1647</v>
      </c>
      <c r="R221" s="9">
        <v>589.14</v>
      </c>
      <c r="S221" s="9">
        <v>1300.58</v>
      </c>
      <c r="T221" s="9">
        <v>1300.58</v>
      </c>
      <c r="U221" s="9">
        <f t="shared" si="19"/>
        <v>854.1040999999999</v>
      </c>
      <c r="V221" s="9">
        <f t="shared" si="17"/>
        <v>1621.6581999999999</v>
      </c>
      <c r="W221" s="9" t="str">
        <f t="shared" si="18"/>
        <v>Medium</v>
      </c>
      <c r="X221" t="s">
        <v>2065</v>
      </c>
      <c r="Y221" s="11">
        <v>5.5E-2</v>
      </c>
      <c r="Z221" t="s">
        <v>2065</v>
      </c>
      <c r="AA221" s="13">
        <v>11</v>
      </c>
      <c r="AB221" s="9">
        <v>13519.529099999998</v>
      </c>
      <c r="AC221" s="9">
        <v>6480.54</v>
      </c>
      <c r="AD221" s="9">
        <v>7038.989099999998</v>
      </c>
      <c r="AE221" s="11">
        <v>0.52065342275863724</v>
      </c>
    </row>
    <row r="222" spans="1:31" x14ac:dyDescent="0.3">
      <c r="A222" t="s">
        <v>235</v>
      </c>
      <c r="B222" s="4">
        <v>45194</v>
      </c>
      <c r="C222" s="4" t="str">
        <f t="shared" si="15"/>
        <v>Sep-2023</v>
      </c>
      <c r="D222" s="4" t="str">
        <f t="shared" si="16"/>
        <v>Q3-2023</v>
      </c>
      <c r="E222" s="4">
        <v>45201</v>
      </c>
      <c r="F222" t="s">
        <v>2064</v>
      </c>
      <c r="G222" s="4">
        <v>45201</v>
      </c>
      <c r="H222" s="13">
        <v>7</v>
      </c>
      <c r="I222" s="7" t="s">
        <v>648</v>
      </c>
      <c r="J222" s="7" t="s">
        <v>1425</v>
      </c>
      <c r="K222" s="7" t="s">
        <v>700</v>
      </c>
      <c r="M222" s="7" t="s">
        <v>702</v>
      </c>
      <c r="N222" s="7" t="s">
        <v>709</v>
      </c>
      <c r="O222" s="7" t="s">
        <v>714</v>
      </c>
      <c r="P222" s="7" t="s">
        <v>733</v>
      </c>
      <c r="Q222" s="7" t="s">
        <v>1648</v>
      </c>
      <c r="R222" s="9">
        <v>145.58000000000001</v>
      </c>
      <c r="S222" s="9">
        <v>228.15</v>
      </c>
      <c r="T222" s="9">
        <v>228.15</v>
      </c>
      <c r="U222" s="9">
        <f t="shared" si="19"/>
        <v>847.81100000000026</v>
      </c>
      <c r="V222" s="9">
        <f t="shared" si="17"/>
        <v>1623.0420000000001</v>
      </c>
      <c r="W222" s="9" t="str">
        <f t="shared" si="18"/>
        <v>Low</v>
      </c>
      <c r="X222" t="s">
        <v>2065</v>
      </c>
      <c r="Y222" s="11">
        <v>0.20399999999999999</v>
      </c>
      <c r="Z222" t="s">
        <v>2065</v>
      </c>
      <c r="AA222" s="13">
        <v>5</v>
      </c>
      <c r="AB222" s="9">
        <v>908.03700000000003</v>
      </c>
      <c r="AC222" s="9">
        <v>727.90000000000009</v>
      </c>
      <c r="AD222" s="9">
        <v>180.13699999999994</v>
      </c>
      <c r="AE222" s="11">
        <v>0.19838068272548359</v>
      </c>
    </row>
    <row r="223" spans="1:31" x14ac:dyDescent="0.3">
      <c r="A223" t="s">
        <v>236</v>
      </c>
      <c r="B223" s="4">
        <v>45164</v>
      </c>
      <c r="C223" s="4" t="str">
        <f t="shared" si="15"/>
        <v>Aug-2023</v>
      </c>
      <c r="D223" s="4" t="str">
        <f t="shared" si="16"/>
        <v>Q3-2023</v>
      </c>
      <c r="E223" s="4">
        <v>45179</v>
      </c>
      <c r="F223" t="s">
        <v>2064</v>
      </c>
      <c r="G223" s="4">
        <v>45179</v>
      </c>
      <c r="H223" s="13">
        <v>15</v>
      </c>
      <c r="I223" s="7" t="s">
        <v>646</v>
      </c>
      <c r="J223" s="7" t="s">
        <v>661</v>
      </c>
      <c r="K223" s="7" t="s">
        <v>695</v>
      </c>
      <c r="M223" s="7" t="s">
        <v>703</v>
      </c>
      <c r="N223" s="7" t="s">
        <v>711</v>
      </c>
      <c r="O223" s="7" t="s">
        <v>725</v>
      </c>
      <c r="P223" s="7" t="s">
        <v>727</v>
      </c>
      <c r="Q223" s="7" t="s">
        <v>1649</v>
      </c>
      <c r="R223" s="9">
        <v>241.14</v>
      </c>
      <c r="S223" s="9">
        <v>496.52</v>
      </c>
      <c r="T223" s="9">
        <v>496.52</v>
      </c>
      <c r="U223" s="9">
        <f t="shared" si="19"/>
        <v>860.58789999999999</v>
      </c>
      <c r="V223" s="9">
        <f t="shared" si="17"/>
        <v>1624.4258</v>
      </c>
      <c r="W223" s="9" t="str">
        <f t="shared" si="18"/>
        <v>Low</v>
      </c>
      <c r="X223" t="s">
        <v>2065</v>
      </c>
      <c r="Y223" s="11">
        <v>9.2999999999999999E-2</v>
      </c>
      <c r="Z223" t="s">
        <v>2065</v>
      </c>
      <c r="AA223" s="13">
        <v>10</v>
      </c>
      <c r="AB223" s="9">
        <v>4503.4363999999996</v>
      </c>
      <c r="AC223" s="9">
        <v>2411.3999999999996</v>
      </c>
      <c r="AD223" s="9">
        <v>2092.0364</v>
      </c>
      <c r="AE223" s="11">
        <v>0.46454223268257994</v>
      </c>
    </row>
    <row r="224" spans="1:31" x14ac:dyDescent="0.3">
      <c r="A224" t="s">
        <v>237</v>
      </c>
      <c r="B224" s="4">
        <v>45854</v>
      </c>
      <c r="C224" s="4" t="str">
        <f t="shared" si="15"/>
        <v>Jul-2025</v>
      </c>
      <c r="D224" s="4" t="str">
        <f t="shared" si="16"/>
        <v>Q3-2025</v>
      </c>
      <c r="E224" s="4">
        <v>45855</v>
      </c>
      <c r="F224" t="s">
        <v>2064</v>
      </c>
      <c r="G224" s="4">
        <v>45855</v>
      </c>
      <c r="H224" s="13">
        <v>1</v>
      </c>
      <c r="I224" s="7" t="s">
        <v>646</v>
      </c>
      <c r="J224" s="7" t="s">
        <v>661</v>
      </c>
      <c r="K224" s="7" t="s">
        <v>687</v>
      </c>
      <c r="M224" s="7" t="s">
        <v>705</v>
      </c>
      <c r="N224" s="7" t="s">
        <v>710</v>
      </c>
      <c r="O224" s="7" t="s">
        <v>717</v>
      </c>
      <c r="P224" s="7" t="s">
        <v>729</v>
      </c>
      <c r="Q224" s="7" t="s">
        <v>1650</v>
      </c>
      <c r="R224" s="9">
        <v>1198.9000000000001</v>
      </c>
      <c r="S224" s="9">
        <v>2941.2</v>
      </c>
      <c r="T224" s="9">
        <v>2941.2</v>
      </c>
      <c r="U224" s="9">
        <f t="shared" si="19"/>
        <v>865.9344000000001</v>
      </c>
      <c r="V224" s="9">
        <f t="shared" si="17"/>
        <v>1624.88</v>
      </c>
      <c r="W224" s="9" t="str">
        <f t="shared" si="18"/>
        <v>High</v>
      </c>
      <c r="X224" t="s">
        <v>2065</v>
      </c>
      <c r="Y224" s="11">
        <v>5.0999999999999997E-2</v>
      </c>
      <c r="Z224" t="s">
        <v>2065</v>
      </c>
      <c r="AA224" s="13">
        <v>24</v>
      </c>
      <c r="AB224" s="9">
        <v>66988.771199999988</v>
      </c>
      <c r="AC224" s="9">
        <v>28773.600000000002</v>
      </c>
      <c r="AD224" s="9">
        <v>38215.171199999982</v>
      </c>
      <c r="AE224" s="11">
        <v>0.57047129713583977</v>
      </c>
    </row>
    <row r="225" spans="1:31" x14ac:dyDescent="0.3">
      <c r="A225" t="s">
        <v>238</v>
      </c>
      <c r="B225" s="4">
        <v>45035</v>
      </c>
      <c r="C225" s="4" t="str">
        <f t="shared" si="15"/>
        <v>Apr-2023</v>
      </c>
      <c r="D225" s="4" t="str">
        <f t="shared" si="16"/>
        <v>Q2-2023</v>
      </c>
      <c r="E225" s="4">
        <v>45053</v>
      </c>
      <c r="F225" t="s">
        <v>2064</v>
      </c>
      <c r="G225" s="4">
        <v>45053</v>
      </c>
      <c r="H225" s="13">
        <v>18</v>
      </c>
      <c r="I225" s="7" t="s">
        <v>649</v>
      </c>
      <c r="J225" s="7" t="s">
        <v>658</v>
      </c>
      <c r="K225" s="7" t="s">
        <v>674</v>
      </c>
      <c r="M225" s="7" t="s">
        <v>706</v>
      </c>
      <c r="N225" s="7" t="s">
        <v>707</v>
      </c>
      <c r="O225" s="7" t="s">
        <v>725</v>
      </c>
      <c r="P225" s="7" t="s">
        <v>731</v>
      </c>
      <c r="Q225" s="7" t="s">
        <v>1651</v>
      </c>
      <c r="R225" s="9">
        <v>1089.1500000000001</v>
      </c>
      <c r="S225" s="9">
        <v>1088.2</v>
      </c>
      <c r="T225" s="9">
        <v>1088.2</v>
      </c>
      <c r="U225" s="9">
        <f t="shared" si="19"/>
        <v>863.47259999999994</v>
      </c>
      <c r="V225" s="9">
        <f t="shared" si="17"/>
        <v>1623.1233999999999</v>
      </c>
      <c r="W225" s="9" t="str">
        <f t="shared" si="18"/>
        <v>Medium</v>
      </c>
      <c r="X225" t="s">
        <v>2065</v>
      </c>
      <c r="Y225" s="11">
        <v>5.0999999999999997E-2</v>
      </c>
      <c r="Z225" t="s">
        <v>2065</v>
      </c>
      <c r="AA225" s="13">
        <v>15</v>
      </c>
      <c r="AB225" s="9">
        <v>15490.527</v>
      </c>
      <c r="AC225" s="9">
        <v>16337.250000000002</v>
      </c>
      <c r="AD225" s="9">
        <v>-846.72300000000178</v>
      </c>
      <c r="AE225" s="11">
        <v>-5.4660696824582002E-2</v>
      </c>
    </row>
    <row r="226" spans="1:31" x14ac:dyDescent="0.3">
      <c r="A226" t="s">
        <v>239</v>
      </c>
      <c r="B226" s="4">
        <v>45279</v>
      </c>
      <c r="C226" s="4" t="str">
        <f t="shared" si="15"/>
        <v>Dec-2023</v>
      </c>
      <c r="D226" s="4" t="str">
        <f t="shared" si="16"/>
        <v>Q4-2023</v>
      </c>
      <c r="E226" s="4">
        <v>45280</v>
      </c>
      <c r="F226" t="s">
        <v>2064</v>
      </c>
      <c r="G226" s="4">
        <v>45280</v>
      </c>
      <c r="H226" s="13">
        <v>1</v>
      </c>
      <c r="I226" s="7" t="s">
        <v>648</v>
      </c>
      <c r="J226" s="7" t="s">
        <v>655</v>
      </c>
      <c r="K226" s="7" t="s">
        <v>1426</v>
      </c>
      <c r="M226" s="7" t="s">
        <v>704</v>
      </c>
      <c r="N226" s="7" t="s">
        <v>710</v>
      </c>
      <c r="O226" s="7" t="s">
        <v>713</v>
      </c>
      <c r="P226" s="7" t="s">
        <v>730</v>
      </c>
      <c r="Q226" s="7" t="s">
        <v>1652</v>
      </c>
      <c r="R226" s="9">
        <v>1080.43</v>
      </c>
      <c r="S226" s="9">
        <v>2529.15</v>
      </c>
      <c r="T226" s="9">
        <v>2529.15</v>
      </c>
      <c r="U226" s="9">
        <f t="shared" si="19"/>
        <v>860.77860000000032</v>
      </c>
      <c r="V226" s="9">
        <f t="shared" si="17"/>
        <v>1624.5072000000002</v>
      </c>
      <c r="W226" s="9" t="str">
        <f t="shared" si="18"/>
        <v>High</v>
      </c>
      <c r="X226" t="s">
        <v>2065</v>
      </c>
      <c r="Y226" s="11">
        <v>0.14699999999999999</v>
      </c>
      <c r="Z226" t="s">
        <v>2065</v>
      </c>
      <c r="AA226" s="13">
        <v>10</v>
      </c>
      <c r="AB226" s="9">
        <v>21573.6495</v>
      </c>
      <c r="AC226" s="9">
        <v>10804.300000000001</v>
      </c>
      <c r="AD226" s="9">
        <v>10769.349499999998</v>
      </c>
      <c r="AE226" s="11">
        <v>0.49918997247081437</v>
      </c>
    </row>
    <row r="227" spans="1:31" x14ac:dyDescent="0.3">
      <c r="A227" t="s">
        <v>240</v>
      </c>
      <c r="B227" s="4">
        <v>45137</v>
      </c>
      <c r="C227" s="4" t="str">
        <f t="shared" si="15"/>
        <v>Jul-2023</v>
      </c>
      <c r="D227" s="4" t="str">
        <f t="shared" si="16"/>
        <v>Q3-2023</v>
      </c>
      <c r="E227" s="4">
        <v>45145</v>
      </c>
      <c r="F227" t="s">
        <v>2064</v>
      </c>
      <c r="G227" s="4">
        <v>45145</v>
      </c>
      <c r="H227" s="13">
        <v>8</v>
      </c>
      <c r="I227" s="7" t="s">
        <v>647</v>
      </c>
      <c r="J227" s="7" t="s">
        <v>652</v>
      </c>
      <c r="K227" s="7" t="s">
        <v>694</v>
      </c>
      <c r="M227" s="7" t="s">
        <v>702</v>
      </c>
      <c r="N227" s="7" t="s">
        <v>709</v>
      </c>
      <c r="O227" s="7" t="s">
        <v>720</v>
      </c>
      <c r="P227" s="7" t="s">
        <v>729</v>
      </c>
      <c r="Q227" s="7" t="s">
        <v>1653</v>
      </c>
      <c r="R227" s="9">
        <v>1352.44</v>
      </c>
      <c r="S227" s="9">
        <v>2698.01</v>
      </c>
      <c r="T227" s="9">
        <v>2698.01</v>
      </c>
      <c r="U227" s="9">
        <f t="shared" si="19"/>
        <v>854.48550000000012</v>
      </c>
      <c r="V227" s="9">
        <f t="shared" si="17"/>
        <v>1621.8209999999999</v>
      </c>
      <c r="W227" s="9" t="str">
        <f t="shared" si="18"/>
        <v>High</v>
      </c>
      <c r="X227" t="s">
        <v>2065</v>
      </c>
      <c r="Y227" s="11">
        <v>0.13100000000000001</v>
      </c>
      <c r="Z227" t="s">
        <v>2065</v>
      </c>
      <c r="AA227" s="13">
        <v>13</v>
      </c>
      <c r="AB227" s="9">
        <v>30479.418970000002</v>
      </c>
      <c r="AC227" s="9">
        <v>17581.72</v>
      </c>
      <c r="AD227" s="9">
        <v>12897.698970000001</v>
      </c>
      <c r="AE227" s="11">
        <v>0.42316091992090887</v>
      </c>
    </row>
    <row r="228" spans="1:31" x14ac:dyDescent="0.3">
      <c r="A228" t="s">
        <v>241</v>
      </c>
      <c r="B228" s="4">
        <v>45203</v>
      </c>
      <c r="C228" s="4" t="str">
        <f t="shared" si="15"/>
        <v>Oct-2023</v>
      </c>
      <c r="D228" s="4" t="str">
        <f t="shared" si="16"/>
        <v>Q4-2023</v>
      </c>
      <c r="E228" s="4">
        <v>45228</v>
      </c>
      <c r="F228" t="s">
        <v>2064</v>
      </c>
      <c r="G228" s="4">
        <v>45228</v>
      </c>
      <c r="H228" s="13">
        <v>25</v>
      </c>
      <c r="I228" s="7" t="s">
        <v>648</v>
      </c>
      <c r="J228" s="7" t="s">
        <v>1425</v>
      </c>
      <c r="K228" s="7" t="s">
        <v>686</v>
      </c>
      <c r="M228" s="7" t="s">
        <v>705</v>
      </c>
      <c r="N228" s="7" t="s">
        <v>710</v>
      </c>
      <c r="O228" s="7" t="s">
        <v>719</v>
      </c>
      <c r="P228" s="7" t="s">
        <v>733</v>
      </c>
      <c r="Q228" s="7" t="s">
        <v>1654</v>
      </c>
      <c r="R228" s="9">
        <v>1239.8399999999999</v>
      </c>
      <c r="S228" s="9">
        <v>1482.75</v>
      </c>
      <c r="T228" s="9">
        <v>1482.75</v>
      </c>
      <c r="U228" s="9">
        <f t="shared" si="19"/>
        <v>848.19239999999991</v>
      </c>
      <c r="V228" s="9">
        <f t="shared" si="17"/>
        <v>1619.61</v>
      </c>
      <c r="W228" s="9" t="str">
        <f t="shared" si="18"/>
        <v>Medium</v>
      </c>
      <c r="X228" t="s">
        <v>2065</v>
      </c>
      <c r="Y228" s="11">
        <v>6.7000000000000004E-2</v>
      </c>
      <c r="Z228" t="s">
        <v>2065</v>
      </c>
      <c r="AA228" s="13">
        <v>4</v>
      </c>
      <c r="AB228" s="9">
        <v>5533.6230000000005</v>
      </c>
      <c r="AC228" s="9">
        <v>4959.3599999999997</v>
      </c>
      <c r="AD228" s="9">
        <v>574.26300000000083</v>
      </c>
      <c r="AE228" s="11">
        <v>0.10377703721413634</v>
      </c>
    </row>
    <row r="229" spans="1:31" x14ac:dyDescent="0.3">
      <c r="A229" t="s">
        <v>242</v>
      </c>
      <c r="B229" s="4">
        <v>45879</v>
      </c>
      <c r="C229" s="4" t="str">
        <f t="shared" si="15"/>
        <v>Aug-2025</v>
      </c>
      <c r="D229" s="4" t="str">
        <f t="shared" si="16"/>
        <v>Q3-2025</v>
      </c>
      <c r="E229" s="4">
        <v>45899</v>
      </c>
      <c r="F229" t="s">
        <v>2064</v>
      </c>
      <c r="G229" s="4">
        <v>45899</v>
      </c>
      <c r="H229" s="13">
        <v>20</v>
      </c>
      <c r="I229" s="7" t="s">
        <v>648</v>
      </c>
      <c r="J229" s="7" t="s">
        <v>1425</v>
      </c>
      <c r="K229" s="7" t="s">
        <v>686</v>
      </c>
      <c r="M229" s="7" t="s">
        <v>701</v>
      </c>
      <c r="N229" s="7" t="s">
        <v>709</v>
      </c>
      <c r="O229" s="7" t="s">
        <v>723</v>
      </c>
      <c r="P229" s="7" t="s">
        <v>728</v>
      </c>
      <c r="Q229" s="7" t="s">
        <v>1655</v>
      </c>
      <c r="R229" s="9">
        <v>933.29</v>
      </c>
      <c r="S229" s="9">
        <v>1456.81</v>
      </c>
      <c r="T229" s="9">
        <v>1456.81</v>
      </c>
      <c r="U229" s="9">
        <f t="shared" si="19"/>
        <v>842.05950000000007</v>
      </c>
      <c r="V229" s="9">
        <f t="shared" si="17"/>
        <v>1620.5450000000001</v>
      </c>
      <c r="W229" s="9" t="str">
        <f t="shared" si="18"/>
        <v>Medium</v>
      </c>
      <c r="X229" t="s">
        <v>2065</v>
      </c>
      <c r="Y229" s="11">
        <v>0.123</v>
      </c>
      <c r="Z229" t="s">
        <v>2065</v>
      </c>
      <c r="AA229" s="13">
        <v>13</v>
      </c>
      <c r="AB229" s="9">
        <v>16609.090809999998</v>
      </c>
      <c r="AC229" s="9">
        <v>12132.77</v>
      </c>
      <c r="AD229" s="9">
        <v>4476.3208099999974</v>
      </c>
      <c r="AE229" s="11">
        <v>0.26951028573489977</v>
      </c>
    </row>
    <row r="230" spans="1:31" x14ac:dyDescent="0.3">
      <c r="A230" t="s">
        <v>243</v>
      </c>
      <c r="B230" s="4">
        <v>44992</v>
      </c>
      <c r="C230" s="4" t="str">
        <f t="shared" si="15"/>
        <v>Mar-2023</v>
      </c>
      <c r="D230" s="4" t="str">
        <f t="shared" si="16"/>
        <v>Q1-2023</v>
      </c>
      <c r="E230" s="4">
        <v>45017</v>
      </c>
      <c r="F230" t="s">
        <v>2064</v>
      </c>
      <c r="G230" s="4">
        <v>45017</v>
      </c>
      <c r="H230" s="13">
        <v>25</v>
      </c>
      <c r="I230" s="7" t="s">
        <v>646</v>
      </c>
      <c r="J230" s="7" t="s">
        <v>650</v>
      </c>
      <c r="K230" s="7" t="s">
        <v>664</v>
      </c>
      <c r="M230" s="7" t="s">
        <v>704</v>
      </c>
      <c r="N230" s="7" t="s">
        <v>709</v>
      </c>
      <c r="O230" s="7" t="s">
        <v>726</v>
      </c>
      <c r="P230" s="7" t="s">
        <v>728</v>
      </c>
      <c r="Q230" s="7" t="s">
        <v>1656</v>
      </c>
      <c r="R230" s="9">
        <v>1024.0999999999999</v>
      </c>
      <c r="S230" s="9">
        <v>918.19</v>
      </c>
      <c r="T230" s="9">
        <v>918.19</v>
      </c>
      <c r="U230" s="9">
        <f t="shared" si="19"/>
        <v>841.053</v>
      </c>
      <c r="V230" s="9">
        <f t="shared" si="17"/>
        <v>1621.9023999999999</v>
      </c>
      <c r="W230" s="9" t="str">
        <f t="shared" si="18"/>
        <v>Medium</v>
      </c>
      <c r="X230" t="s">
        <v>2065</v>
      </c>
      <c r="Y230" s="11">
        <v>0.189</v>
      </c>
      <c r="Z230" t="s">
        <v>2065</v>
      </c>
      <c r="AA230" s="13">
        <v>10</v>
      </c>
      <c r="AB230" s="9">
        <v>7446.5209000000004</v>
      </c>
      <c r="AC230" s="9">
        <v>10241</v>
      </c>
      <c r="AD230" s="9">
        <v>-2794.4790999999996</v>
      </c>
      <c r="AE230" s="11">
        <v>-0.37527311579827827</v>
      </c>
    </row>
    <row r="231" spans="1:31" x14ac:dyDescent="0.3">
      <c r="A231" t="s">
        <v>244</v>
      </c>
      <c r="B231" s="4">
        <v>45069</v>
      </c>
      <c r="C231" s="4" t="str">
        <f t="shared" si="15"/>
        <v>May-2023</v>
      </c>
      <c r="D231" s="4" t="str">
        <f t="shared" si="16"/>
        <v>Q2-2023</v>
      </c>
      <c r="E231" s="4">
        <v>45087</v>
      </c>
      <c r="F231" t="s">
        <v>2064</v>
      </c>
      <c r="G231" s="4">
        <v>45087</v>
      </c>
      <c r="H231" s="13">
        <v>18</v>
      </c>
      <c r="I231" s="7" t="s">
        <v>647</v>
      </c>
      <c r="J231" s="7" t="s">
        <v>659</v>
      </c>
      <c r="K231" s="7" t="s">
        <v>685</v>
      </c>
      <c r="M231" s="7" t="s">
        <v>701</v>
      </c>
      <c r="N231" s="7" t="s">
        <v>710</v>
      </c>
      <c r="O231" s="7" t="s">
        <v>718</v>
      </c>
      <c r="P231" s="7" t="s">
        <v>727</v>
      </c>
      <c r="Q231" s="7" t="s">
        <v>1657</v>
      </c>
      <c r="R231" s="9">
        <v>54.62</v>
      </c>
      <c r="S231" s="9">
        <v>48.94</v>
      </c>
      <c r="T231" s="9">
        <v>48.94</v>
      </c>
      <c r="U231" s="9">
        <f t="shared" si="19"/>
        <v>840.04650000000004</v>
      </c>
      <c r="V231" s="9">
        <f t="shared" si="17"/>
        <v>1623.2862</v>
      </c>
      <c r="W231" s="9" t="str">
        <f t="shared" si="18"/>
        <v>Low</v>
      </c>
      <c r="X231" t="s">
        <v>2065</v>
      </c>
      <c r="Y231" s="11">
        <v>0.14799999999999999</v>
      </c>
      <c r="Z231" t="s">
        <v>2065</v>
      </c>
      <c r="AA231" s="13">
        <v>16</v>
      </c>
      <c r="AB231" s="9">
        <v>667.15008</v>
      </c>
      <c r="AC231" s="9">
        <v>873.92</v>
      </c>
      <c r="AD231" s="9">
        <v>-206.76991999999996</v>
      </c>
      <c r="AE231" s="11">
        <v>-0.3099301434543783</v>
      </c>
    </row>
    <row r="232" spans="1:31" x14ac:dyDescent="0.3">
      <c r="A232" t="s">
        <v>245</v>
      </c>
      <c r="B232" s="4">
        <v>45771</v>
      </c>
      <c r="C232" s="4" t="str">
        <f t="shared" si="15"/>
        <v>Apr-2025</v>
      </c>
      <c r="D232" s="4" t="str">
        <f t="shared" si="16"/>
        <v>Q2-2025</v>
      </c>
      <c r="E232" s="4">
        <v>45783</v>
      </c>
      <c r="F232" t="s">
        <v>2064</v>
      </c>
      <c r="G232" s="4">
        <v>45783</v>
      </c>
      <c r="H232" s="13">
        <v>12</v>
      </c>
      <c r="I232" s="7" t="s">
        <v>648</v>
      </c>
      <c r="J232" s="7" t="s">
        <v>655</v>
      </c>
      <c r="K232" s="7" t="s">
        <v>672</v>
      </c>
      <c r="M232" s="7" t="s">
        <v>704</v>
      </c>
      <c r="N232" s="7" t="s">
        <v>708</v>
      </c>
      <c r="O232" s="7" t="s">
        <v>712</v>
      </c>
      <c r="P232" s="7" t="s">
        <v>730</v>
      </c>
      <c r="Q232" s="7" t="s">
        <v>1658</v>
      </c>
      <c r="R232" s="9">
        <v>394.13</v>
      </c>
      <c r="S232" s="9">
        <v>932.29</v>
      </c>
      <c r="T232" s="9">
        <v>932.29</v>
      </c>
      <c r="U232" s="9">
        <f t="shared" si="19"/>
        <v>842.09</v>
      </c>
      <c r="V232" s="9">
        <f t="shared" si="17"/>
        <v>1624.67</v>
      </c>
      <c r="W232" s="9" t="str">
        <f t="shared" si="18"/>
        <v>Medium</v>
      </c>
      <c r="X232" t="s">
        <v>2065</v>
      </c>
      <c r="Y232" s="11">
        <v>0.109</v>
      </c>
      <c r="Z232" t="s">
        <v>2065</v>
      </c>
      <c r="AA232" s="13">
        <v>7</v>
      </c>
      <c r="AB232" s="9">
        <v>5814.6927299999998</v>
      </c>
      <c r="AC232" s="9">
        <v>2758.91</v>
      </c>
      <c r="AD232" s="9">
        <v>3055.7827299999999</v>
      </c>
      <c r="AE232" s="11">
        <v>0.5255278089303268</v>
      </c>
    </row>
    <row r="233" spans="1:31" x14ac:dyDescent="0.3">
      <c r="A233" t="s">
        <v>246</v>
      </c>
      <c r="B233" s="4">
        <v>45538</v>
      </c>
      <c r="C233" s="4" t="str">
        <f t="shared" si="15"/>
        <v>Sep-2024</v>
      </c>
      <c r="D233" s="4" t="str">
        <f t="shared" si="16"/>
        <v>Q3-2024</v>
      </c>
      <c r="E233" s="4">
        <v>45543</v>
      </c>
      <c r="F233" t="s">
        <v>2064</v>
      </c>
      <c r="G233" s="4">
        <v>45543</v>
      </c>
      <c r="H233" s="13">
        <v>5</v>
      </c>
      <c r="I233" s="7" t="s">
        <v>646</v>
      </c>
      <c r="J233" s="7" t="s">
        <v>651</v>
      </c>
      <c r="K233" s="7" t="s">
        <v>665</v>
      </c>
      <c r="M233" s="7" t="s">
        <v>705</v>
      </c>
      <c r="N233" s="7" t="s">
        <v>711</v>
      </c>
      <c r="O233" s="7" t="s">
        <v>723</v>
      </c>
      <c r="P233" s="7" t="s">
        <v>728</v>
      </c>
      <c r="Q233" s="7" t="s">
        <v>1659</v>
      </c>
      <c r="R233" s="9">
        <v>197.63</v>
      </c>
      <c r="S233" s="9">
        <v>325.79000000000002</v>
      </c>
      <c r="T233" s="9">
        <v>325.79000000000002</v>
      </c>
      <c r="U233" s="9">
        <f t="shared" si="19"/>
        <v>841.08350000000007</v>
      </c>
      <c r="V233" s="9">
        <f t="shared" si="17"/>
        <v>1624.9250000000002</v>
      </c>
      <c r="W233" s="9" t="str">
        <f t="shared" si="18"/>
        <v>Low</v>
      </c>
      <c r="X233" t="s">
        <v>2065</v>
      </c>
      <c r="Y233" s="11">
        <v>0.11600000000000001</v>
      </c>
      <c r="Z233" t="s">
        <v>2065</v>
      </c>
      <c r="AA233" s="13">
        <v>10</v>
      </c>
      <c r="AB233" s="9">
        <v>2879.9836</v>
      </c>
      <c r="AC233" s="9">
        <v>1976.3</v>
      </c>
      <c r="AD233" s="9">
        <v>903.68360000000007</v>
      </c>
      <c r="AE233" s="11">
        <v>0.31378081458519419</v>
      </c>
    </row>
    <row r="234" spans="1:31" x14ac:dyDescent="0.3">
      <c r="A234" t="s">
        <v>247</v>
      </c>
      <c r="B234" s="4">
        <v>45540</v>
      </c>
      <c r="C234" s="4" t="str">
        <f t="shared" si="15"/>
        <v>Sep-2024</v>
      </c>
      <c r="D234" s="4" t="str">
        <f t="shared" si="16"/>
        <v>Q3-2024</v>
      </c>
      <c r="E234" s="4">
        <v>45560</v>
      </c>
      <c r="F234" t="s">
        <v>2064</v>
      </c>
      <c r="G234" s="4">
        <v>45560</v>
      </c>
      <c r="H234" s="13">
        <v>20</v>
      </c>
      <c r="I234" s="7" t="s">
        <v>647</v>
      </c>
      <c r="J234" s="7" t="s">
        <v>652</v>
      </c>
      <c r="K234" s="7" t="s">
        <v>666</v>
      </c>
      <c r="M234" s="7" t="s">
        <v>706</v>
      </c>
      <c r="N234" s="7" t="s">
        <v>710</v>
      </c>
      <c r="O234" s="7" t="s">
        <v>726</v>
      </c>
      <c r="P234" s="7" t="s">
        <v>732</v>
      </c>
      <c r="Q234" s="7" t="s">
        <v>1660</v>
      </c>
      <c r="R234" s="9">
        <v>195.54</v>
      </c>
      <c r="S234" s="9">
        <v>405.97</v>
      </c>
      <c r="T234" s="9">
        <v>405.97</v>
      </c>
      <c r="U234" s="9">
        <f t="shared" si="19"/>
        <v>848.57380000000012</v>
      </c>
      <c r="V234" s="9">
        <f t="shared" si="17"/>
        <v>1625.18</v>
      </c>
      <c r="W234" s="9" t="str">
        <f t="shared" si="18"/>
        <v>Low</v>
      </c>
      <c r="X234" t="s">
        <v>2065</v>
      </c>
      <c r="Y234" s="11">
        <v>0.187</v>
      </c>
      <c r="Z234" t="s">
        <v>2065</v>
      </c>
      <c r="AA234" s="13">
        <v>16</v>
      </c>
      <c r="AB234" s="9">
        <v>5280.8577599999999</v>
      </c>
      <c r="AC234" s="9">
        <v>3128.64</v>
      </c>
      <c r="AD234" s="9">
        <v>2152.21776</v>
      </c>
      <c r="AE234" s="11">
        <v>0.40755079152141377</v>
      </c>
    </row>
    <row r="235" spans="1:31" x14ac:dyDescent="0.3">
      <c r="A235" t="s">
        <v>248</v>
      </c>
      <c r="B235" s="4">
        <v>44999</v>
      </c>
      <c r="C235" s="4" t="str">
        <f t="shared" si="15"/>
        <v>Mar-2023</v>
      </c>
      <c r="D235" s="4" t="str">
        <f t="shared" si="16"/>
        <v>Q1-2023</v>
      </c>
      <c r="E235" s="4">
        <v>45015</v>
      </c>
      <c r="F235" t="s">
        <v>2064</v>
      </c>
      <c r="G235" s="4">
        <v>45015</v>
      </c>
      <c r="H235" s="13">
        <v>16</v>
      </c>
      <c r="I235" s="7" t="s">
        <v>646</v>
      </c>
      <c r="J235" s="7" t="s">
        <v>661</v>
      </c>
      <c r="K235" s="7" t="s">
        <v>695</v>
      </c>
      <c r="M235" s="7" t="s">
        <v>704</v>
      </c>
      <c r="N235" s="7" t="s">
        <v>710</v>
      </c>
      <c r="O235" s="7" t="s">
        <v>723</v>
      </c>
      <c r="P235" s="7" t="s">
        <v>727</v>
      </c>
      <c r="Q235" s="7" t="s">
        <v>1661</v>
      </c>
      <c r="R235" s="9">
        <v>1309.77</v>
      </c>
      <c r="S235" s="9">
        <v>1589.07</v>
      </c>
      <c r="T235" s="9">
        <v>1589.07</v>
      </c>
      <c r="U235" s="9">
        <f t="shared" si="19"/>
        <v>861.23460000000011</v>
      </c>
      <c r="V235" s="9">
        <f t="shared" si="17"/>
        <v>1625.5194000000004</v>
      </c>
      <c r="W235" s="9" t="str">
        <f t="shared" si="18"/>
        <v>Medium</v>
      </c>
      <c r="X235" t="s">
        <v>2065</v>
      </c>
      <c r="Y235" s="11">
        <v>0.10199999999999999</v>
      </c>
      <c r="Z235" t="s">
        <v>2065</v>
      </c>
      <c r="AA235" s="13">
        <v>10</v>
      </c>
      <c r="AB235" s="9">
        <v>14269.848599999999</v>
      </c>
      <c r="AC235" s="9">
        <v>13097.7</v>
      </c>
      <c r="AD235" s="9">
        <v>1172.1485999999986</v>
      </c>
      <c r="AE235" s="11">
        <v>8.2141628328137886E-2</v>
      </c>
    </row>
    <row r="236" spans="1:31" x14ac:dyDescent="0.3">
      <c r="A236" t="s">
        <v>249</v>
      </c>
      <c r="B236" s="4">
        <v>45302</v>
      </c>
      <c r="C236" s="4" t="str">
        <f t="shared" si="15"/>
        <v>Jan-2024</v>
      </c>
      <c r="D236" s="4" t="str">
        <f t="shared" si="16"/>
        <v>Q1-2024</v>
      </c>
      <c r="E236" s="4">
        <v>45324</v>
      </c>
      <c r="F236" t="s">
        <v>2064</v>
      </c>
      <c r="G236" s="4">
        <v>45324</v>
      </c>
      <c r="H236" s="13">
        <v>22</v>
      </c>
      <c r="I236" s="7" t="s">
        <v>647</v>
      </c>
      <c r="J236" s="7" t="s">
        <v>652</v>
      </c>
      <c r="K236" s="7" t="s">
        <v>694</v>
      </c>
      <c r="M236" s="7" t="s">
        <v>705</v>
      </c>
      <c r="N236" s="7" t="s">
        <v>708</v>
      </c>
      <c r="O236" s="7" t="s">
        <v>2057</v>
      </c>
      <c r="P236" s="7" t="s">
        <v>728</v>
      </c>
      <c r="Q236" s="7" t="s">
        <v>1662</v>
      </c>
      <c r="R236" s="9">
        <v>1237.68</v>
      </c>
      <c r="S236" s="9">
        <v>1432.8</v>
      </c>
      <c r="T236" s="9">
        <v>1432.8</v>
      </c>
      <c r="U236" s="9">
        <f t="shared" si="19"/>
        <v>855.05760000000009</v>
      </c>
      <c r="V236" s="9">
        <f t="shared" si="17"/>
        <v>1627.2092000000002</v>
      </c>
      <c r="W236" s="9" t="str">
        <f t="shared" si="18"/>
        <v>Medium</v>
      </c>
      <c r="X236" t="s">
        <v>2065</v>
      </c>
      <c r="Y236" s="11">
        <v>6.8000000000000005E-2</v>
      </c>
      <c r="Z236" t="s">
        <v>2065</v>
      </c>
      <c r="AA236" s="13">
        <v>13</v>
      </c>
      <c r="AB236" s="9">
        <v>17359.804799999998</v>
      </c>
      <c r="AC236" s="9">
        <v>16089.84</v>
      </c>
      <c r="AD236" s="9">
        <v>1269.9647999999979</v>
      </c>
      <c r="AE236" s="11">
        <v>7.315547695559331E-2</v>
      </c>
    </row>
    <row r="237" spans="1:31" x14ac:dyDescent="0.3">
      <c r="A237" t="s">
        <v>250</v>
      </c>
      <c r="B237" s="4">
        <v>45548</v>
      </c>
      <c r="C237" s="4" t="str">
        <f t="shared" si="15"/>
        <v>Sep-2024</v>
      </c>
      <c r="D237" s="4" t="str">
        <f t="shared" si="16"/>
        <v>Q3-2024</v>
      </c>
      <c r="E237" s="4">
        <v>45567</v>
      </c>
      <c r="F237" t="s">
        <v>2064</v>
      </c>
      <c r="G237" s="4">
        <v>45567</v>
      </c>
      <c r="H237" s="13">
        <v>19</v>
      </c>
      <c r="I237" s="7" t="s">
        <v>646</v>
      </c>
      <c r="J237" s="7" t="s">
        <v>650</v>
      </c>
      <c r="K237" s="7" t="s">
        <v>675</v>
      </c>
      <c r="M237" s="7" t="s">
        <v>705</v>
      </c>
      <c r="N237" s="7" t="s">
        <v>707</v>
      </c>
      <c r="O237" s="7" t="s">
        <v>724</v>
      </c>
      <c r="P237" s="7" t="s">
        <v>730</v>
      </c>
      <c r="Q237" s="7" t="s">
        <v>1663</v>
      </c>
      <c r="R237" s="9">
        <v>1338.99</v>
      </c>
      <c r="S237" s="9">
        <v>1765.76</v>
      </c>
      <c r="T237" s="9">
        <v>1765.76</v>
      </c>
      <c r="U237" s="9">
        <f t="shared" si="19"/>
        <v>848.76449999999988</v>
      </c>
      <c r="V237" s="9">
        <f t="shared" si="17"/>
        <v>1628.8990000000001</v>
      </c>
      <c r="W237" s="9" t="str">
        <f t="shared" si="18"/>
        <v>High</v>
      </c>
      <c r="X237" t="s">
        <v>2065</v>
      </c>
      <c r="Y237" s="11">
        <v>0.126</v>
      </c>
      <c r="Z237" t="s">
        <v>2065</v>
      </c>
      <c r="AA237" s="13">
        <v>24</v>
      </c>
      <c r="AB237" s="9">
        <v>37038.581760000001</v>
      </c>
      <c r="AC237" s="9">
        <v>32135.760000000002</v>
      </c>
      <c r="AD237" s="9">
        <v>4902.8217599999989</v>
      </c>
      <c r="AE237" s="11">
        <v>0.1323706666677725</v>
      </c>
    </row>
    <row r="238" spans="1:31" x14ac:dyDescent="0.3">
      <c r="A238" t="s">
        <v>251</v>
      </c>
      <c r="B238" s="4">
        <v>45855</v>
      </c>
      <c r="C238" s="4" t="str">
        <f t="shared" si="15"/>
        <v>Jul-2025</v>
      </c>
      <c r="D238" s="4" t="str">
        <f t="shared" si="16"/>
        <v>Q3-2025</v>
      </c>
      <c r="E238" s="4">
        <v>45861</v>
      </c>
      <c r="F238" t="s">
        <v>2064</v>
      </c>
      <c r="G238" s="4">
        <v>45861</v>
      </c>
      <c r="H238" s="13">
        <v>6</v>
      </c>
      <c r="I238" s="7" t="s">
        <v>648</v>
      </c>
      <c r="J238" s="7" t="s">
        <v>653</v>
      </c>
      <c r="K238" s="7" t="s">
        <v>688</v>
      </c>
      <c r="M238" s="7" t="s">
        <v>704</v>
      </c>
      <c r="N238" s="7" t="s">
        <v>708</v>
      </c>
      <c r="O238" s="7" t="s">
        <v>722</v>
      </c>
      <c r="P238" s="7" t="s">
        <v>727</v>
      </c>
      <c r="Q238" s="7" t="s">
        <v>1664</v>
      </c>
      <c r="R238" s="9">
        <v>1364.89</v>
      </c>
      <c r="S238" s="9">
        <v>2757.54</v>
      </c>
      <c r="T238" s="9">
        <v>2757.54</v>
      </c>
      <c r="U238" s="9">
        <f t="shared" si="19"/>
        <v>842.47140000000024</v>
      </c>
      <c r="V238" s="9">
        <f t="shared" si="17"/>
        <v>1625.6188000000002</v>
      </c>
      <c r="W238" s="9" t="str">
        <f t="shared" si="18"/>
        <v>High</v>
      </c>
      <c r="X238" t="s">
        <v>2065</v>
      </c>
      <c r="Y238" s="11">
        <v>0.17199999999999999</v>
      </c>
      <c r="Z238" t="s">
        <v>2065</v>
      </c>
      <c r="AA238" s="13">
        <v>61</v>
      </c>
      <c r="AB238" s="9">
        <v>139277.83032000001</v>
      </c>
      <c r="AC238" s="9">
        <v>83258.290000000008</v>
      </c>
      <c r="AD238" s="9">
        <v>56019.54032</v>
      </c>
      <c r="AE238" s="11">
        <v>0.4022143379983118</v>
      </c>
    </row>
    <row r="239" spans="1:31" x14ac:dyDescent="0.3">
      <c r="A239" t="s">
        <v>252</v>
      </c>
      <c r="B239" s="4">
        <v>45258</v>
      </c>
      <c r="C239" s="4" t="str">
        <f t="shared" si="15"/>
        <v>Nov-2023</v>
      </c>
      <c r="D239" s="4" t="str">
        <f t="shared" si="16"/>
        <v>Q4-2023</v>
      </c>
      <c r="E239" s="4">
        <v>45267</v>
      </c>
      <c r="F239" t="s">
        <v>2064</v>
      </c>
      <c r="G239" s="4">
        <v>45267</v>
      </c>
      <c r="H239" s="13">
        <v>9</v>
      </c>
      <c r="I239" s="7" t="s">
        <v>647</v>
      </c>
      <c r="J239" s="7" t="s">
        <v>654</v>
      </c>
      <c r="K239" s="7" t="s">
        <v>680</v>
      </c>
      <c r="M239" s="7" t="s">
        <v>706</v>
      </c>
      <c r="N239" s="7" t="s">
        <v>709</v>
      </c>
      <c r="O239" s="7" t="s">
        <v>716</v>
      </c>
      <c r="P239" s="7" t="s">
        <v>730</v>
      </c>
      <c r="Q239" s="7" t="s">
        <v>1665</v>
      </c>
      <c r="R239" s="9">
        <v>699.33</v>
      </c>
      <c r="S239" s="9">
        <v>873.75</v>
      </c>
      <c r="T239" s="9">
        <v>873.75</v>
      </c>
      <c r="U239" s="9">
        <f t="shared" si="19"/>
        <v>841.14449999999999</v>
      </c>
      <c r="V239" s="9">
        <f t="shared" si="17"/>
        <v>1624.9550000000002</v>
      </c>
      <c r="W239" s="9" t="str">
        <f t="shared" si="18"/>
        <v>Medium</v>
      </c>
      <c r="X239" t="s">
        <v>2065</v>
      </c>
      <c r="Y239" s="11">
        <v>0.23499999999999999</v>
      </c>
      <c r="Z239" t="s">
        <v>2065</v>
      </c>
      <c r="AA239" s="13">
        <v>10</v>
      </c>
      <c r="AB239" s="9">
        <v>6684.1875</v>
      </c>
      <c r="AC239" s="9">
        <v>6993.3</v>
      </c>
      <c r="AD239" s="9">
        <v>-309.11250000000018</v>
      </c>
      <c r="AE239" s="11">
        <v>-4.6245336475076469E-2</v>
      </c>
    </row>
    <row r="240" spans="1:31" x14ac:dyDescent="0.3">
      <c r="A240" t="s">
        <v>253</v>
      </c>
      <c r="B240" s="4">
        <v>45381</v>
      </c>
      <c r="C240" s="4" t="str">
        <f t="shared" si="15"/>
        <v>Mar-2024</v>
      </c>
      <c r="D240" s="4" t="str">
        <f t="shared" si="16"/>
        <v>Q1-2024</v>
      </c>
      <c r="E240" s="4">
        <v>45406</v>
      </c>
      <c r="F240" t="s">
        <v>2064</v>
      </c>
      <c r="G240" s="4">
        <v>45406</v>
      </c>
      <c r="H240" s="13">
        <v>25</v>
      </c>
      <c r="I240" s="7" t="s">
        <v>648</v>
      </c>
      <c r="J240" s="7" t="s">
        <v>1425</v>
      </c>
      <c r="K240" s="7" t="s">
        <v>697</v>
      </c>
      <c r="M240" s="7" t="s">
        <v>703</v>
      </c>
      <c r="N240" s="7" t="s">
        <v>708</v>
      </c>
      <c r="O240" s="7" t="s">
        <v>715</v>
      </c>
      <c r="P240" s="7" t="s">
        <v>731</v>
      </c>
      <c r="Q240" s="7" t="s">
        <v>1666</v>
      </c>
      <c r="R240" s="9">
        <v>160.82</v>
      </c>
      <c r="S240" s="9">
        <v>258.52</v>
      </c>
      <c r="T240" s="9">
        <v>258.52</v>
      </c>
      <c r="U240" s="9">
        <f t="shared" si="19"/>
        <v>840.13800000000003</v>
      </c>
      <c r="V240" s="9">
        <f t="shared" si="17"/>
        <v>1625.21</v>
      </c>
      <c r="W240" s="9" t="str">
        <f t="shared" si="18"/>
        <v>Low</v>
      </c>
      <c r="X240" t="s">
        <v>2065</v>
      </c>
      <c r="Y240" s="11">
        <v>0.13</v>
      </c>
      <c r="Z240" t="s">
        <v>2065</v>
      </c>
      <c r="AA240" s="13">
        <v>17</v>
      </c>
      <c r="AB240" s="9">
        <v>3823.5108</v>
      </c>
      <c r="AC240" s="9">
        <v>2733.94</v>
      </c>
      <c r="AD240" s="9">
        <v>1089.5708</v>
      </c>
      <c r="AE240" s="11">
        <v>0.28496605789631874</v>
      </c>
    </row>
    <row r="241" spans="1:31" x14ac:dyDescent="0.3">
      <c r="A241" t="s">
        <v>254</v>
      </c>
      <c r="B241" s="4">
        <v>45188</v>
      </c>
      <c r="C241" s="4" t="str">
        <f t="shared" si="15"/>
        <v>Sep-2023</v>
      </c>
      <c r="D241" s="4" t="str">
        <f t="shared" si="16"/>
        <v>Q3-2023</v>
      </c>
      <c r="E241" s="4">
        <v>45207</v>
      </c>
      <c r="F241" t="s">
        <v>2064</v>
      </c>
      <c r="G241" s="4">
        <v>45207</v>
      </c>
      <c r="H241" s="13">
        <v>19</v>
      </c>
      <c r="I241" s="7" t="s">
        <v>647</v>
      </c>
      <c r="J241" s="7" t="s">
        <v>654</v>
      </c>
      <c r="K241" s="7" t="s">
        <v>668</v>
      </c>
      <c r="M241" s="7" t="s">
        <v>702</v>
      </c>
      <c r="N241" s="7" t="s">
        <v>711</v>
      </c>
      <c r="O241" s="7" t="s">
        <v>713</v>
      </c>
      <c r="P241" s="7" t="s">
        <v>728</v>
      </c>
      <c r="Q241" s="7" t="s">
        <v>1667</v>
      </c>
      <c r="R241" s="9">
        <v>385.32</v>
      </c>
      <c r="S241" s="9">
        <v>606.76</v>
      </c>
      <c r="T241" s="9">
        <v>606.76</v>
      </c>
      <c r="U241" s="9">
        <f t="shared" si="19"/>
        <v>842.66210000000001</v>
      </c>
      <c r="V241" s="9">
        <f t="shared" si="17"/>
        <v>1625.7182</v>
      </c>
      <c r="W241" s="9" t="str">
        <f t="shared" si="18"/>
        <v>Low</v>
      </c>
      <c r="X241" t="s">
        <v>2065</v>
      </c>
      <c r="Y241" s="11">
        <v>8.5999999999999993E-2</v>
      </c>
      <c r="Z241" t="s">
        <v>2065</v>
      </c>
      <c r="AA241" s="13">
        <v>8</v>
      </c>
      <c r="AB241" s="9">
        <v>4436.6291200000005</v>
      </c>
      <c r="AC241" s="9">
        <v>3082.56</v>
      </c>
      <c r="AD241" s="9">
        <v>1354.0691200000006</v>
      </c>
      <c r="AE241" s="11">
        <v>0.30520223425842735</v>
      </c>
    </row>
    <row r="242" spans="1:31" x14ac:dyDescent="0.3">
      <c r="A242" t="s">
        <v>255</v>
      </c>
      <c r="B242" s="4">
        <v>45793</v>
      </c>
      <c r="C242" s="4" t="str">
        <f t="shared" si="15"/>
        <v>May-2025</v>
      </c>
      <c r="D242" s="4" t="str">
        <f t="shared" si="16"/>
        <v>Q2-2025</v>
      </c>
      <c r="E242" s="4">
        <v>45804</v>
      </c>
      <c r="F242" t="s">
        <v>2064</v>
      </c>
      <c r="G242" s="4">
        <v>45804</v>
      </c>
      <c r="H242" s="13">
        <v>11</v>
      </c>
      <c r="I242" s="7" t="s">
        <v>647</v>
      </c>
      <c r="J242" s="7" t="s">
        <v>659</v>
      </c>
      <c r="K242" s="7" t="s">
        <v>699</v>
      </c>
      <c r="M242" s="7" t="s">
        <v>706</v>
      </c>
      <c r="N242" s="7" t="s">
        <v>708</v>
      </c>
      <c r="O242" s="7" t="s">
        <v>721</v>
      </c>
      <c r="P242" s="7" t="s">
        <v>730</v>
      </c>
      <c r="Q242" s="7" t="s">
        <v>1668</v>
      </c>
      <c r="R242" s="9">
        <v>918.12</v>
      </c>
      <c r="S242" s="9">
        <v>1337.69</v>
      </c>
      <c r="T242" s="9">
        <v>1337.69</v>
      </c>
      <c r="U242" s="9">
        <f t="shared" si="19"/>
        <v>855.43900000000031</v>
      </c>
      <c r="V242" s="9">
        <f t="shared" si="17"/>
        <v>1627.4080000000004</v>
      </c>
      <c r="W242" s="9" t="str">
        <f t="shared" si="18"/>
        <v>Medium</v>
      </c>
      <c r="X242" t="s">
        <v>2065</v>
      </c>
      <c r="Y242" s="11">
        <v>9.5000000000000001E-2</v>
      </c>
      <c r="Z242" t="s">
        <v>2065</v>
      </c>
      <c r="AA242" s="13">
        <v>8</v>
      </c>
      <c r="AB242" s="9">
        <v>9684.8756000000012</v>
      </c>
      <c r="AC242" s="9">
        <v>7344.96</v>
      </c>
      <c r="AD242" s="9">
        <v>2339.9156000000012</v>
      </c>
      <c r="AE242" s="11">
        <v>0.24160512707050164</v>
      </c>
    </row>
    <row r="243" spans="1:31" x14ac:dyDescent="0.3">
      <c r="A243" t="s">
        <v>256</v>
      </c>
      <c r="B243" s="4">
        <v>45871</v>
      </c>
      <c r="C243" s="4" t="str">
        <f t="shared" si="15"/>
        <v>Aug-2025</v>
      </c>
      <c r="D243" s="4" t="str">
        <f t="shared" si="16"/>
        <v>Q3-2025</v>
      </c>
      <c r="E243" s="4">
        <v>45877</v>
      </c>
      <c r="F243" t="s">
        <v>2064</v>
      </c>
      <c r="G243" s="4">
        <v>45877</v>
      </c>
      <c r="H243" s="13">
        <v>6</v>
      </c>
      <c r="I243" s="7" t="s">
        <v>647</v>
      </c>
      <c r="J243" s="7" t="s">
        <v>652</v>
      </c>
      <c r="K243" s="7" t="s">
        <v>666</v>
      </c>
      <c r="M243" s="7" t="s">
        <v>704</v>
      </c>
      <c r="N243" s="7" t="s">
        <v>711</v>
      </c>
      <c r="O243" s="7" t="s">
        <v>725</v>
      </c>
      <c r="P243" s="7" t="s">
        <v>731</v>
      </c>
      <c r="Q243" s="7" t="s">
        <v>1669</v>
      </c>
      <c r="R243" s="9">
        <v>1225.94</v>
      </c>
      <c r="S243" s="9">
        <v>1793.08</v>
      </c>
      <c r="T243" s="9">
        <v>1793.08</v>
      </c>
      <c r="U243" s="9">
        <f t="shared" si="19"/>
        <v>849.1459000000001</v>
      </c>
      <c r="V243" s="9">
        <f t="shared" si="17"/>
        <v>1629.0978000000002</v>
      </c>
      <c r="W243" s="9" t="str">
        <f t="shared" si="18"/>
        <v>High</v>
      </c>
      <c r="X243" t="s">
        <v>2065</v>
      </c>
      <c r="Y243" s="11">
        <v>0.13600000000000001</v>
      </c>
      <c r="Z243" t="s">
        <v>2065</v>
      </c>
      <c r="AA243" s="13">
        <v>22</v>
      </c>
      <c r="AB243" s="9">
        <v>34082.864639999993</v>
      </c>
      <c r="AC243" s="9">
        <v>26970.68</v>
      </c>
      <c r="AD243" s="9">
        <v>7112.1846399999922</v>
      </c>
      <c r="AE243" s="11">
        <v>0.20867332353434462</v>
      </c>
    </row>
    <row r="244" spans="1:31" x14ac:dyDescent="0.3">
      <c r="A244" t="s">
        <v>257</v>
      </c>
      <c r="B244" s="4">
        <v>45630</v>
      </c>
      <c r="C244" s="4" t="str">
        <f t="shared" si="15"/>
        <v>Dec-2024</v>
      </c>
      <c r="D244" s="4" t="str">
        <f t="shared" si="16"/>
        <v>Q4-2024</v>
      </c>
      <c r="E244" s="4">
        <v>45638</v>
      </c>
      <c r="F244" t="s">
        <v>2064</v>
      </c>
      <c r="G244" s="4">
        <v>45638</v>
      </c>
      <c r="H244" s="13">
        <v>8</v>
      </c>
      <c r="I244" s="7" t="s">
        <v>649</v>
      </c>
      <c r="J244" s="7" t="s">
        <v>656</v>
      </c>
      <c r="K244" s="7" t="s">
        <v>698</v>
      </c>
      <c r="M244" s="7" t="s">
        <v>706</v>
      </c>
      <c r="N244" s="7" t="s">
        <v>709</v>
      </c>
      <c r="O244" s="7" t="s">
        <v>717</v>
      </c>
      <c r="P244" s="7" t="s">
        <v>728</v>
      </c>
      <c r="Q244" s="7" t="s">
        <v>1670</v>
      </c>
      <c r="R244" s="9">
        <v>72.06</v>
      </c>
      <c r="S244" s="9">
        <v>122.74</v>
      </c>
      <c r="T244" s="9">
        <v>122.74</v>
      </c>
      <c r="U244" s="9">
        <f t="shared" si="19"/>
        <v>842.85279999999989</v>
      </c>
      <c r="V244" s="9">
        <f t="shared" si="17"/>
        <v>1625.8176000000001</v>
      </c>
      <c r="W244" s="9" t="str">
        <f t="shared" si="18"/>
        <v>Low</v>
      </c>
      <c r="X244" t="s">
        <v>2065</v>
      </c>
      <c r="Y244" s="11">
        <v>0.23799999999999999</v>
      </c>
      <c r="Z244" t="s">
        <v>2065</v>
      </c>
      <c r="AA244" s="13">
        <v>8</v>
      </c>
      <c r="AB244" s="9">
        <v>748.22303999999997</v>
      </c>
      <c r="AC244" s="9">
        <v>576.48</v>
      </c>
      <c r="AD244" s="9">
        <v>171.74303999999995</v>
      </c>
      <c r="AE244" s="11">
        <v>0.22953455162246802</v>
      </c>
    </row>
    <row r="245" spans="1:31" x14ac:dyDescent="0.3">
      <c r="A245" t="s">
        <v>258</v>
      </c>
      <c r="B245" s="4">
        <v>45035</v>
      </c>
      <c r="C245" s="4" t="str">
        <f t="shared" si="15"/>
        <v>Apr-2023</v>
      </c>
      <c r="D245" s="4" t="str">
        <f t="shared" si="16"/>
        <v>Q2-2023</v>
      </c>
      <c r="E245" s="4">
        <v>45044</v>
      </c>
      <c r="F245" t="s">
        <v>2064</v>
      </c>
      <c r="G245" s="4">
        <v>45044</v>
      </c>
      <c r="H245" s="13">
        <v>9</v>
      </c>
      <c r="I245" s="7" t="s">
        <v>648</v>
      </c>
      <c r="J245" s="7" t="s">
        <v>655</v>
      </c>
      <c r="K245" s="7" t="s">
        <v>1426</v>
      </c>
      <c r="M245" s="7" t="s">
        <v>701</v>
      </c>
      <c r="N245" s="7" t="s">
        <v>710</v>
      </c>
      <c r="O245" s="7" t="s">
        <v>724</v>
      </c>
      <c r="P245" s="7" t="s">
        <v>730</v>
      </c>
      <c r="Q245" s="7" t="s">
        <v>1671</v>
      </c>
      <c r="R245" s="9">
        <v>1013.54</v>
      </c>
      <c r="S245" s="9">
        <v>927.93</v>
      </c>
      <c r="T245" s="9">
        <v>927.93</v>
      </c>
      <c r="U245" s="9">
        <f t="shared" si="19"/>
        <v>855.62970000000018</v>
      </c>
      <c r="V245" s="9">
        <f t="shared" si="17"/>
        <v>1627.5074000000002</v>
      </c>
      <c r="W245" s="9" t="str">
        <f t="shared" si="18"/>
        <v>Medium</v>
      </c>
      <c r="X245" t="s">
        <v>2065</v>
      </c>
      <c r="Y245" s="11">
        <v>0.17499999999999999</v>
      </c>
      <c r="Z245" t="s">
        <v>2065</v>
      </c>
      <c r="AA245" s="13">
        <v>16</v>
      </c>
      <c r="AB245" s="9">
        <v>12248.675999999999</v>
      </c>
      <c r="AC245" s="9">
        <v>16216.64</v>
      </c>
      <c r="AD245" s="9">
        <v>-3967.9639999999999</v>
      </c>
      <c r="AE245" s="11">
        <v>-0.32395044166406234</v>
      </c>
    </row>
    <row r="246" spans="1:31" x14ac:dyDescent="0.3">
      <c r="A246" t="s">
        <v>259</v>
      </c>
      <c r="B246" s="4">
        <v>45357</v>
      </c>
      <c r="C246" s="4" t="str">
        <f t="shared" si="15"/>
        <v>Mar-2024</v>
      </c>
      <c r="D246" s="4" t="str">
        <f t="shared" si="16"/>
        <v>Q1-2024</v>
      </c>
      <c r="E246" s="4">
        <v>45377</v>
      </c>
      <c r="F246" t="s">
        <v>2064</v>
      </c>
      <c r="G246" s="4">
        <v>45377</v>
      </c>
      <c r="H246" s="13">
        <v>20</v>
      </c>
      <c r="I246" s="7" t="s">
        <v>646</v>
      </c>
      <c r="J246" s="7" t="s">
        <v>651</v>
      </c>
      <c r="K246" s="7" t="s">
        <v>663</v>
      </c>
      <c r="M246" s="7" t="s">
        <v>704</v>
      </c>
      <c r="N246" s="7" t="s">
        <v>709</v>
      </c>
      <c r="O246" s="7" t="s">
        <v>714</v>
      </c>
      <c r="P246" s="7" t="s">
        <v>730</v>
      </c>
      <c r="Q246" s="7" t="s">
        <v>1672</v>
      </c>
      <c r="R246" s="9">
        <v>65.64</v>
      </c>
      <c r="S246" s="9">
        <v>151.88</v>
      </c>
      <c r="T246" s="9">
        <v>151.88</v>
      </c>
      <c r="U246" s="9">
        <f t="shared" si="19"/>
        <v>849.33659999999998</v>
      </c>
      <c r="V246" s="9">
        <f t="shared" si="17"/>
        <v>1629.1972000000003</v>
      </c>
      <c r="W246" s="9" t="str">
        <f t="shared" si="18"/>
        <v>Low</v>
      </c>
      <c r="X246" t="s">
        <v>2065</v>
      </c>
      <c r="Y246" s="11">
        <v>0.16700000000000001</v>
      </c>
      <c r="Z246" t="s">
        <v>2065</v>
      </c>
      <c r="AA246" s="13">
        <v>23</v>
      </c>
      <c r="AB246" s="9">
        <v>2909.8689199999999</v>
      </c>
      <c r="AC246" s="9">
        <v>1509.72</v>
      </c>
      <c r="AD246" s="9">
        <v>1400.1489199999999</v>
      </c>
      <c r="AE246" s="11">
        <v>0.48117250587356353</v>
      </c>
    </row>
    <row r="247" spans="1:31" x14ac:dyDescent="0.3">
      <c r="A247" t="s">
        <v>260</v>
      </c>
      <c r="B247" s="4">
        <v>45338</v>
      </c>
      <c r="C247" s="4" t="str">
        <f t="shared" si="15"/>
        <v>Feb-2024</v>
      </c>
      <c r="D247" s="4" t="str">
        <f t="shared" si="16"/>
        <v>Q1-2024</v>
      </c>
      <c r="E247" s="4">
        <v>45355</v>
      </c>
      <c r="F247" t="s">
        <v>2064</v>
      </c>
      <c r="G247" s="4">
        <v>45355</v>
      </c>
      <c r="H247" s="13">
        <v>17</v>
      </c>
      <c r="I247" s="7" t="s">
        <v>648</v>
      </c>
      <c r="J247" s="7" t="s">
        <v>653</v>
      </c>
      <c r="K247" s="7" t="s">
        <v>681</v>
      </c>
      <c r="M247" s="7" t="s">
        <v>703</v>
      </c>
      <c r="N247" s="7" t="s">
        <v>707</v>
      </c>
      <c r="O247" s="7" t="s">
        <v>726</v>
      </c>
      <c r="P247" s="7" t="s">
        <v>731</v>
      </c>
      <c r="Q247" s="7" t="s">
        <v>1673</v>
      </c>
      <c r="R247" s="9">
        <v>1350.98</v>
      </c>
      <c r="S247" s="9">
        <v>2210.4</v>
      </c>
      <c r="T247" s="9">
        <v>2210.4</v>
      </c>
      <c r="U247" s="9">
        <f t="shared" si="19"/>
        <v>861.53300000000002</v>
      </c>
      <c r="V247" s="9">
        <f t="shared" si="17"/>
        <v>1630.8370000000002</v>
      </c>
      <c r="W247" s="9" t="str">
        <f t="shared" si="18"/>
        <v>High</v>
      </c>
      <c r="X247" t="s">
        <v>2065</v>
      </c>
      <c r="Y247" s="11">
        <v>0.26300000000000001</v>
      </c>
      <c r="Z247" t="s">
        <v>2065</v>
      </c>
      <c r="AA247" s="13">
        <v>6</v>
      </c>
      <c r="AB247" s="9">
        <v>9774.3888000000006</v>
      </c>
      <c r="AC247" s="9">
        <v>8105.88</v>
      </c>
      <c r="AD247" s="9">
        <v>1668.5088000000005</v>
      </c>
      <c r="AE247" s="11">
        <v>0.17070211080615091</v>
      </c>
    </row>
    <row r="248" spans="1:31" x14ac:dyDescent="0.3">
      <c r="A248" t="s">
        <v>261</v>
      </c>
      <c r="B248" s="4">
        <v>45769</v>
      </c>
      <c r="C248" s="4" t="str">
        <f t="shared" si="15"/>
        <v>Apr-2025</v>
      </c>
      <c r="D248" s="4" t="str">
        <f t="shared" si="16"/>
        <v>Q2-2025</v>
      </c>
      <c r="E248" s="4">
        <v>45779</v>
      </c>
      <c r="F248" t="s">
        <v>2064</v>
      </c>
      <c r="G248" s="4">
        <v>45779</v>
      </c>
      <c r="H248" s="13">
        <v>10</v>
      </c>
      <c r="I248" s="7" t="s">
        <v>649</v>
      </c>
      <c r="J248" s="7" t="s">
        <v>656</v>
      </c>
      <c r="K248" s="7" t="s">
        <v>671</v>
      </c>
      <c r="M248" s="7" t="s">
        <v>701</v>
      </c>
      <c r="N248" s="7" t="s">
        <v>709</v>
      </c>
      <c r="O248" s="7" t="s">
        <v>712</v>
      </c>
      <c r="P248" s="7" t="s">
        <v>732</v>
      </c>
      <c r="Q248" s="7" t="s">
        <v>1674</v>
      </c>
      <c r="R248" s="9">
        <v>20.149999999999999</v>
      </c>
      <c r="S248" s="9">
        <v>39.74</v>
      </c>
      <c r="T248" s="9">
        <v>39.74</v>
      </c>
      <c r="U248" s="9">
        <f t="shared" si="19"/>
        <v>855.82039999999995</v>
      </c>
      <c r="V248" s="9">
        <f t="shared" si="17"/>
        <v>1627.6068</v>
      </c>
      <c r="W248" s="9" t="str">
        <f t="shared" si="18"/>
        <v>Low</v>
      </c>
      <c r="X248" t="s">
        <v>2065</v>
      </c>
      <c r="Y248" s="11">
        <v>0.151</v>
      </c>
      <c r="Z248" t="s">
        <v>2065</v>
      </c>
      <c r="AA248" s="13">
        <v>18</v>
      </c>
      <c r="AB248" s="9">
        <v>607.30668000000003</v>
      </c>
      <c r="AC248" s="9">
        <v>362.7</v>
      </c>
      <c r="AD248" s="9">
        <v>244.60668000000004</v>
      </c>
      <c r="AE248" s="11">
        <v>0.4027729120318585</v>
      </c>
    </row>
    <row r="249" spans="1:31" x14ac:dyDescent="0.3">
      <c r="A249" t="s">
        <v>262</v>
      </c>
      <c r="B249" s="4">
        <v>45604</v>
      </c>
      <c r="C249" s="4" t="str">
        <f t="shared" si="15"/>
        <v>Nov-2024</v>
      </c>
      <c r="D249" s="4" t="str">
        <f t="shared" si="16"/>
        <v>Q4-2024</v>
      </c>
      <c r="E249" s="4">
        <v>45604</v>
      </c>
      <c r="F249" t="s">
        <v>2064</v>
      </c>
      <c r="G249" s="4">
        <v>45604</v>
      </c>
      <c r="H249" s="13">
        <v>0</v>
      </c>
      <c r="I249" s="7" t="s">
        <v>646</v>
      </c>
      <c r="J249" s="7" t="s">
        <v>650</v>
      </c>
      <c r="K249" s="7" t="s">
        <v>678</v>
      </c>
      <c r="M249" s="7" t="s">
        <v>706</v>
      </c>
      <c r="N249" s="7" t="s">
        <v>709</v>
      </c>
      <c r="O249" s="7" t="s">
        <v>724</v>
      </c>
      <c r="P249" s="7" t="s">
        <v>729</v>
      </c>
      <c r="Q249" s="7" t="s">
        <v>1675</v>
      </c>
      <c r="R249" s="9">
        <v>803.28</v>
      </c>
      <c r="S249" s="9">
        <v>1009</v>
      </c>
      <c r="T249" s="9">
        <v>1009</v>
      </c>
      <c r="U249" s="9">
        <f t="shared" si="19"/>
        <v>864.06939999999997</v>
      </c>
      <c r="V249" s="9">
        <f t="shared" si="17"/>
        <v>1629.2966000000001</v>
      </c>
      <c r="W249" s="9" t="str">
        <f t="shared" si="18"/>
        <v>Medium</v>
      </c>
      <c r="X249" t="s">
        <v>2065</v>
      </c>
      <c r="Y249" s="11">
        <v>0.11</v>
      </c>
      <c r="Z249" t="s">
        <v>2065</v>
      </c>
      <c r="AA249" s="13">
        <v>4</v>
      </c>
      <c r="AB249" s="9">
        <v>3592.04</v>
      </c>
      <c r="AC249" s="9">
        <v>3213.12</v>
      </c>
      <c r="AD249" s="9">
        <v>378.92000000000007</v>
      </c>
      <c r="AE249" s="11">
        <v>0.10548880302001093</v>
      </c>
    </row>
    <row r="250" spans="1:31" x14ac:dyDescent="0.3">
      <c r="A250" t="s">
        <v>263</v>
      </c>
      <c r="B250" s="4">
        <v>45912</v>
      </c>
      <c r="C250" s="4" t="str">
        <f t="shared" si="15"/>
        <v>Sep-2025</v>
      </c>
      <c r="D250" s="4" t="str">
        <f t="shared" si="16"/>
        <v>Q3-2025</v>
      </c>
      <c r="E250" s="4">
        <v>45930</v>
      </c>
      <c r="F250" t="s">
        <v>2064</v>
      </c>
      <c r="G250" s="4">
        <v>45930</v>
      </c>
      <c r="H250" s="13">
        <v>18</v>
      </c>
      <c r="I250" s="7" t="s">
        <v>647</v>
      </c>
      <c r="J250" s="7" t="s">
        <v>652</v>
      </c>
      <c r="K250" s="7" t="s">
        <v>694</v>
      </c>
      <c r="M250" s="7" t="s">
        <v>703</v>
      </c>
      <c r="N250" s="7" t="s">
        <v>709</v>
      </c>
      <c r="O250" s="7" t="s">
        <v>721</v>
      </c>
      <c r="P250" s="7" t="s">
        <v>732</v>
      </c>
      <c r="Q250" s="7" t="s">
        <v>1676</v>
      </c>
      <c r="R250" s="9">
        <v>1212.99</v>
      </c>
      <c r="S250" s="9">
        <v>1653.64</v>
      </c>
      <c r="T250" s="9">
        <v>1653.64</v>
      </c>
      <c r="U250" s="9">
        <f t="shared" si="19"/>
        <v>861.60759999999993</v>
      </c>
      <c r="V250" s="9">
        <f t="shared" si="17"/>
        <v>1630.9264000000001</v>
      </c>
      <c r="W250" s="9" t="str">
        <f t="shared" si="18"/>
        <v>High</v>
      </c>
      <c r="X250" t="s">
        <v>2065</v>
      </c>
      <c r="Y250" s="11">
        <v>0.107</v>
      </c>
      <c r="Z250" t="s">
        <v>2065</v>
      </c>
      <c r="AA250" s="13">
        <v>8</v>
      </c>
      <c r="AB250" s="9">
        <v>11813.604160000001</v>
      </c>
      <c r="AC250" s="9">
        <v>9703.92</v>
      </c>
      <c r="AD250" s="9">
        <v>2109.6841600000007</v>
      </c>
      <c r="AE250" s="11">
        <v>0.17858090819931455</v>
      </c>
    </row>
    <row r="251" spans="1:31" x14ac:dyDescent="0.3">
      <c r="A251" t="s">
        <v>264</v>
      </c>
      <c r="B251" s="4">
        <v>45537</v>
      </c>
      <c r="C251" s="4" t="str">
        <f t="shared" si="15"/>
        <v>Sep-2024</v>
      </c>
      <c r="D251" s="4" t="str">
        <f t="shared" si="16"/>
        <v>Q3-2024</v>
      </c>
      <c r="E251" s="4">
        <v>45543</v>
      </c>
      <c r="F251" t="s">
        <v>2064</v>
      </c>
      <c r="G251" s="4">
        <v>45543</v>
      </c>
      <c r="H251" s="13">
        <v>6</v>
      </c>
      <c r="I251" s="7" t="s">
        <v>648</v>
      </c>
      <c r="J251" s="7" t="s">
        <v>1425</v>
      </c>
      <c r="K251" s="7" t="s">
        <v>697</v>
      </c>
      <c r="M251" s="7" t="s">
        <v>704</v>
      </c>
      <c r="N251" s="7" t="s">
        <v>711</v>
      </c>
      <c r="O251" s="7" t="s">
        <v>722</v>
      </c>
      <c r="P251" s="7" t="s">
        <v>727</v>
      </c>
      <c r="Q251" s="7" t="s">
        <v>1677</v>
      </c>
      <c r="R251" s="9">
        <v>462.94</v>
      </c>
      <c r="S251" s="9">
        <v>1015.7</v>
      </c>
      <c r="T251" s="9">
        <v>1015.7</v>
      </c>
      <c r="U251" s="9">
        <f t="shared" si="19"/>
        <v>856.01110000000006</v>
      </c>
      <c r="V251" s="9">
        <f t="shared" si="17"/>
        <v>1627.7062000000001</v>
      </c>
      <c r="W251" s="9" t="str">
        <f t="shared" si="18"/>
        <v>Medium</v>
      </c>
      <c r="X251" t="s">
        <v>2065</v>
      </c>
      <c r="Y251" s="11">
        <v>0.14299999999999999</v>
      </c>
      <c r="Z251" t="s">
        <v>2065</v>
      </c>
      <c r="AA251" s="13">
        <v>14</v>
      </c>
      <c r="AB251" s="9">
        <v>12186.368600000002</v>
      </c>
      <c r="AC251" s="9">
        <v>6481.16</v>
      </c>
      <c r="AD251" s="9">
        <v>5705.2086000000018</v>
      </c>
      <c r="AE251" s="11">
        <v>0.46816314090483041</v>
      </c>
    </row>
    <row r="252" spans="1:31" x14ac:dyDescent="0.3">
      <c r="A252" t="s">
        <v>265</v>
      </c>
      <c r="B252" s="4">
        <v>44989</v>
      </c>
      <c r="C252" s="4" t="str">
        <f t="shared" si="15"/>
        <v>Mar-2023</v>
      </c>
      <c r="D252" s="4" t="str">
        <f t="shared" si="16"/>
        <v>Q1-2023</v>
      </c>
      <c r="E252" s="4">
        <v>45009</v>
      </c>
      <c r="F252" t="s">
        <v>2064</v>
      </c>
      <c r="G252" s="4">
        <v>45009</v>
      </c>
      <c r="H252" s="13">
        <v>20</v>
      </c>
      <c r="I252" s="7" t="s">
        <v>648</v>
      </c>
      <c r="J252" s="7" t="s">
        <v>653</v>
      </c>
      <c r="K252" s="7" t="s">
        <v>681</v>
      </c>
      <c r="M252" s="7" t="s">
        <v>704</v>
      </c>
      <c r="N252" s="7" t="s">
        <v>710</v>
      </c>
      <c r="O252" s="7" t="s">
        <v>714</v>
      </c>
      <c r="P252" s="7" t="s">
        <v>731</v>
      </c>
      <c r="Q252" s="7" t="s">
        <v>1678</v>
      </c>
      <c r="R252" s="9">
        <v>481.71</v>
      </c>
      <c r="S252" s="9">
        <v>912.45</v>
      </c>
      <c r="T252" s="9">
        <v>912.45</v>
      </c>
      <c r="U252" s="9">
        <f t="shared" si="19"/>
        <v>849.71800000000007</v>
      </c>
      <c r="V252" s="9">
        <f t="shared" si="17"/>
        <v>1629.3960000000002</v>
      </c>
      <c r="W252" s="9" t="str">
        <f t="shared" si="18"/>
        <v>Medium</v>
      </c>
      <c r="X252" t="s">
        <v>2065</v>
      </c>
      <c r="Y252" s="11">
        <v>0.20300000000000001</v>
      </c>
      <c r="Z252" t="s">
        <v>2065</v>
      </c>
      <c r="AA252" s="13">
        <v>24</v>
      </c>
      <c r="AB252" s="9">
        <v>17453.3436</v>
      </c>
      <c r="AC252" s="9">
        <v>11561.039999999999</v>
      </c>
      <c r="AD252" s="9">
        <v>5892.3036000000011</v>
      </c>
      <c r="AE252" s="11">
        <v>0.33760313983619739</v>
      </c>
    </row>
    <row r="253" spans="1:31" x14ac:dyDescent="0.3">
      <c r="A253" t="s">
        <v>266</v>
      </c>
      <c r="B253" s="4">
        <v>45366</v>
      </c>
      <c r="C253" s="4" t="str">
        <f t="shared" si="15"/>
        <v>Mar-2024</v>
      </c>
      <c r="D253" s="4" t="str">
        <f t="shared" si="16"/>
        <v>Q1-2024</v>
      </c>
      <c r="E253" s="4">
        <v>45391</v>
      </c>
      <c r="F253" t="s">
        <v>2064</v>
      </c>
      <c r="G253" s="4">
        <v>45391</v>
      </c>
      <c r="H253" s="13">
        <v>25</v>
      </c>
      <c r="I253" s="7" t="s">
        <v>648</v>
      </c>
      <c r="J253" s="7" t="s">
        <v>653</v>
      </c>
      <c r="K253" s="7" t="s">
        <v>688</v>
      </c>
      <c r="M253" s="7" t="s">
        <v>704</v>
      </c>
      <c r="N253" s="7" t="s">
        <v>708</v>
      </c>
      <c r="O253" s="7" t="s">
        <v>721</v>
      </c>
      <c r="P253" s="7" t="s">
        <v>732</v>
      </c>
      <c r="Q253" s="7" t="s">
        <v>1679</v>
      </c>
      <c r="R253" s="9">
        <v>648.64</v>
      </c>
      <c r="S253" s="9">
        <v>815.19</v>
      </c>
      <c r="T253" s="9">
        <v>815.19</v>
      </c>
      <c r="U253" s="9">
        <f t="shared" si="19"/>
        <v>843.42490000000021</v>
      </c>
      <c r="V253" s="9">
        <f t="shared" si="17"/>
        <v>1631.0158000000001</v>
      </c>
      <c r="W253" s="9" t="str">
        <f t="shared" si="18"/>
        <v>Low</v>
      </c>
      <c r="X253" t="s">
        <v>2065</v>
      </c>
      <c r="Y253" s="11">
        <v>0.22500000000000001</v>
      </c>
      <c r="Z253" t="s">
        <v>2065</v>
      </c>
      <c r="AA253" s="13">
        <v>28</v>
      </c>
      <c r="AB253" s="9">
        <v>17689.623</v>
      </c>
      <c r="AC253" s="9">
        <v>18161.919999999998</v>
      </c>
      <c r="AD253" s="9">
        <v>-472.29699999999866</v>
      </c>
      <c r="AE253" s="11">
        <v>-2.6699099240272032E-2</v>
      </c>
    </row>
    <row r="254" spans="1:31" x14ac:dyDescent="0.3">
      <c r="A254" t="s">
        <v>267</v>
      </c>
      <c r="B254" s="4">
        <v>45502</v>
      </c>
      <c r="C254" s="4" t="str">
        <f t="shared" si="15"/>
        <v>Jul-2024</v>
      </c>
      <c r="D254" s="4" t="str">
        <f t="shared" si="16"/>
        <v>Q3-2024</v>
      </c>
      <c r="E254" s="4">
        <v>45504</v>
      </c>
      <c r="F254" t="s">
        <v>2064</v>
      </c>
      <c r="G254" s="4">
        <v>45504</v>
      </c>
      <c r="H254" s="13">
        <v>2</v>
      </c>
      <c r="I254" s="7" t="s">
        <v>648</v>
      </c>
      <c r="J254" s="7" t="s">
        <v>1425</v>
      </c>
      <c r="K254" s="7" t="s">
        <v>700</v>
      </c>
      <c r="M254" s="7" t="s">
        <v>702</v>
      </c>
      <c r="N254" s="7" t="s">
        <v>709</v>
      </c>
      <c r="O254" s="7" t="s">
        <v>714</v>
      </c>
      <c r="P254" s="7" t="s">
        <v>728</v>
      </c>
      <c r="Q254" s="7" t="s">
        <v>1680</v>
      </c>
      <c r="R254" s="9">
        <v>798.97</v>
      </c>
      <c r="S254" s="9">
        <v>1814.06</v>
      </c>
      <c r="T254" s="9">
        <v>1814.06</v>
      </c>
      <c r="U254" s="9">
        <f t="shared" si="19"/>
        <v>856.20180000000016</v>
      </c>
      <c r="V254" s="9">
        <f t="shared" si="17"/>
        <v>1632.5356000000002</v>
      </c>
      <c r="W254" s="9" t="str">
        <f t="shared" si="18"/>
        <v>High</v>
      </c>
      <c r="X254" t="s">
        <v>2065</v>
      </c>
      <c r="Y254" s="11">
        <v>0.122</v>
      </c>
      <c r="Z254" t="s">
        <v>2065</v>
      </c>
      <c r="AA254" s="13">
        <v>16</v>
      </c>
      <c r="AB254" s="9">
        <v>25483.91488</v>
      </c>
      <c r="AC254" s="9">
        <v>12783.52</v>
      </c>
      <c r="AD254" s="9">
        <v>12700.39488</v>
      </c>
      <c r="AE254" s="11">
        <v>0.49836906691159061</v>
      </c>
    </row>
    <row r="255" spans="1:31" x14ac:dyDescent="0.3">
      <c r="A255" t="s">
        <v>268</v>
      </c>
      <c r="B255" s="4">
        <v>45592</v>
      </c>
      <c r="C255" s="4" t="str">
        <f t="shared" si="15"/>
        <v>Oct-2024</v>
      </c>
      <c r="D255" s="4" t="str">
        <f t="shared" si="16"/>
        <v>Q4-2024</v>
      </c>
      <c r="E255" s="4">
        <v>45616</v>
      </c>
      <c r="F255" t="s">
        <v>2064</v>
      </c>
      <c r="G255" s="4">
        <v>45616</v>
      </c>
      <c r="H255" s="13">
        <v>24</v>
      </c>
      <c r="I255" s="7" t="s">
        <v>647</v>
      </c>
      <c r="J255" s="7" t="s">
        <v>652</v>
      </c>
      <c r="K255" s="7" t="s">
        <v>694</v>
      </c>
      <c r="M255" s="7" t="s">
        <v>703</v>
      </c>
      <c r="N255" s="7" t="s">
        <v>708</v>
      </c>
      <c r="O255" s="7" t="s">
        <v>722</v>
      </c>
      <c r="P255" s="7" t="s">
        <v>732</v>
      </c>
      <c r="Q255" s="7" t="s">
        <v>1681</v>
      </c>
      <c r="R255" s="9">
        <v>317.25</v>
      </c>
      <c r="S255" s="9">
        <v>758.92</v>
      </c>
      <c r="T255" s="9">
        <v>758.92</v>
      </c>
      <c r="U255" s="9">
        <f t="shared" si="19"/>
        <v>849.90870000000018</v>
      </c>
      <c r="V255" s="9">
        <f t="shared" si="17"/>
        <v>1629.4954000000002</v>
      </c>
      <c r="W255" s="9" t="str">
        <f t="shared" si="18"/>
        <v>Low</v>
      </c>
      <c r="X255" t="s">
        <v>2065</v>
      </c>
      <c r="Y255" s="11">
        <v>5.2999999999999999E-2</v>
      </c>
      <c r="Z255" t="s">
        <v>2065</v>
      </c>
      <c r="AA255" s="13">
        <v>9</v>
      </c>
      <c r="AB255" s="9">
        <v>6468.2751599999992</v>
      </c>
      <c r="AC255" s="9">
        <v>2855.25</v>
      </c>
      <c r="AD255" s="9">
        <v>3613.0251599999992</v>
      </c>
      <c r="AE255" s="11">
        <v>0.5585762928489888</v>
      </c>
    </row>
    <row r="256" spans="1:31" x14ac:dyDescent="0.3">
      <c r="A256" t="s">
        <v>269</v>
      </c>
      <c r="B256" s="4">
        <v>45411</v>
      </c>
      <c r="C256" s="4" t="str">
        <f t="shared" si="15"/>
        <v>Apr-2024</v>
      </c>
      <c r="D256" s="4" t="str">
        <f t="shared" si="16"/>
        <v>Q2-2024</v>
      </c>
      <c r="E256" s="4">
        <v>45431</v>
      </c>
      <c r="F256" t="s">
        <v>2064</v>
      </c>
      <c r="G256" s="4">
        <v>45431</v>
      </c>
      <c r="H256" s="13">
        <v>20</v>
      </c>
      <c r="I256" s="7" t="s">
        <v>649</v>
      </c>
      <c r="J256" s="7" t="s">
        <v>656</v>
      </c>
      <c r="K256" s="7" t="s">
        <v>698</v>
      </c>
      <c r="M256" s="7" t="s">
        <v>706</v>
      </c>
      <c r="N256" s="7" t="s">
        <v>709</v>
      </c>
      <c r="O256" s="7" t="s">
        <v>712</v>
      </c>
      <c r="P256" s="7" t="s">
        <v>731</v>
      </c>
      <c r="Q256" s="7" t="s">
        <v>1682</v>
      </c>
      <c r="R256" s="9">
        <v>668.97</v>
      </c>
      <c r="S256" s="9">
        <v>1667.44</v>
      </c>
      <c r="T256" s="9">
        <v>1667.44</v>
      </c>
      <c r="U256" s="9">
        <f t="shared" si="19"/>
        <v>861.75680000000011</v>
      </c>
      <c r="V256" s="9">
        <f t="shared" si="17"/>
        <v>1631.1052000000002</v>
      </c>
      <c r="W256" s="9" t="str">
        <f t="shared" si="18"/>
        <v>High</v>
      </c>
      <c r="X256" t="s">
        <v>2065</v>
      </c>
      <c r="Y256" s="11">
        <v>3.4000000000000002E-2</v>
      </c>
      <c r="Z256" t="s">
        <v>2065</v>
      </c>
      <c r="AA256" s="13">
        <v>15</v>
      </c>
      <c r="AB256" s="9">
        <v>24161.205600000001</v>
      </c>
      <c r="AC256" s="9">
        <v>10034.550000000001</v>
      </c>
      <c r="AD256" s="9">
        <v>14126.6556</v>
      </c>
      <c r="AE256" s="11">
        <v>0.58468339013679016</v>
      </c>
    </row>
    <row r="257" spans="1:31" x14ac:dyDescent="0.3">
      <c r="A257" t="s">
        <v>270</v>
      </c>
      <c r="B257" s="4">
        <v>45204</v>
      </c>
      <c r="C257" s="4" t="str">
        <f t="shared" si="15"/>
        <v>Oct-2023</v>
      </c>
      <c r="D257" s="4" t="str">
        <f t="shared" si="16"/>
        <v>Q4-2023</v>
      </c>
      <c r="E257" s="4">
        <v>45205</v>
      </c>
      <c r="F257" t="s">
        <v>2064</v>
      </c>
      <c r="G257" s="4">
        <v>45205</v>
      </c>
      <c r="H257" s="13">
        <v>1</v>
      </c>
      <c r="I257" s="7" t="s">
        <v>647</v>
      </c>
      <c r="J257" s="7" t="s">
        <v>654</v>
      </c>
      <c r="K257" s="7" t="s">
        <v>668</v>
      </c>
      <c r="M257" s="7" t="s">
        <v>703</v>
      </c>
      <c r="N257" s="7" t="s">
        <v>708</v>
      </c>
      <c r="O257" s="7" t="s">
        <v>714</v>
      </c>
      <c r="P257" s="7" t="s">
        <v>727</v>
      </c>
      <c r="Q257" s="7" t="s">
        <v>1683</v>
      </c>
      <c r="R257" s="9">
        <v>1470.26</v>
      </c>
      <c r="S257" s="9">
        <v>2562.5500000000002</v>
      </c>
      <c r="T257" s="9">
        <v>2562.5500000000002</v>
      </c>
      <c r="U257" s="9">
        <f t="shared" si="19"/>
        <v>856.39249999999993</v>
      </c>
      <c r="V257" s="9">
        <f t="shared" si="17"/>
        <v>1627.9050000000002</v>
      </c>
      <c r="W257" s="9" t="str">
        <f t="shared" si="18"/>
        <v>High</v>
      </c>
      <c r="X257" t="s">
        <v>2065</v>
      </c>
      <c r="Y257" s="11">
        <v>0.17299999999999999</v>
      </c>
      <c r="Z257" t="s">
        <v>2065</v>
      </c>
      <c r="AA257" s="13">
        <v>9</v>
      </c>
      <c r="AB257" s="9">
        <v>19073.059649999999</v>
      </c>
      <c r="AC257" s="9">
        <v>13232.34</v>
      </c>
      <c r="AD257" s="9">
        <v>5840.7196499999991</v>
      </c>
      <c r="AE257" s="11">
        <v>0.30622877279157462</v>
      </c>
    </row>
    <row r="258" spans="1:31" x14ac:dyDescent="0.3">
      <c r="A258" t="s">
        <v>271</v>
      </c>
      <c r="B258" s="4">
        <v>45035</v>
      </c>
      <c r="C258" s="4" t="str">
        <f t="shared" si="15"/>
        <v>Apr-2023</v>
      </c>
      <c r="D258" s="4" t="str">
        <f t="shared" si="16"/>
        <v>Q2-2023</v>
      </c>
      <c r="E258" s="4">
        <v>45053</v>
      </c>
      <c r="F258" t="s">
        <v>2064</v>
      </c>
      <c r="G258" s="4">
        <v>45053</v>
      </c>
      <c r="H258" s="13">
        <v>18</v>
      </c>
      <c r="I258" s="7" t="s">
        <v>649</v>
      </c>
      <c r="J258" s="7" t="s">
        <v>658</v>
      </c>
      <c r="K258" s="7" t="s">
        <v>683</v>
      </c>
      <c r="M258" s="7" t="s">
        <v>703</v>
      </c>
      <c r="N258" s="7" t="s">
        <v>711</v>
      </c>
      <c r="O258" s="7" t="s">
        <v>722</v>
      </c>
      <c r="P258" s="7" t="s">
        <v>729</v>
      </c>
      <c r="Q258" s="7" t="s">
        <v>1684</v>
      </c>
      <c r="R258" s="9">
        <v>516.96</v>
      </c>
      <c r="S258" s="9">
        <v>745.38</v>
      </c>
      <c r="T258" s="9">
        <v>745.38</v>
      </c>
      <c r="U258" s="9">
        <f t="shared" si="19"/>
        <v>850.09940000000006</v>
      </c>
      <c r="V258" s="9">
        <f t="shared" si="17"/>
        <v>1625.3000000000002</v>
      </c>
      <c r="W258" s="9" t="str">
        <f t="shared" si="18"/>
        <v>Low</v>
      </c>
      <c r="X258" t="s">
        <v>2065</v>
      </c>
      <c r="Y258" s="11">
        <v>0.19700000000000001</v>
      </c>
      <c r="Z258" t="s">
        <v>2065</v>
      </c>
      <c r="AA258" s="13">
        <v>4</v>
      </c>
      <c r="AB258" s="9">
        <v>2394.1605599999998</v>
      </c>
      <c r="AC258" s="9">
        <v>2067.84</v>
      </c>
      <c r="AD258" s="9">
        <v>326.32055999999966</v>
      </c>
      <c r="AE258" s="11">
        <v>0.13629852794835101</v>
      </c>
    </row>
    <row r="259" spans="1:31" x14ac:dyDescent="0.3">
      <c r="A259" t="s">
        <v>272</v>
      </c>
      <c r="B259" s="4">
        <v>45835</v>
      </c>
      <c r="C259" s="4" t="str">
        <f t="shared" ref="C259:C322" si="20">TEXT(B259,"MMM-YYYY")</f>
        <v>Jun-2025</v>
      </c>
      <c r="D259" s="4" t="str">
        <f t="shared" ref="D259:D322" si="21">"Q" &amp; INT((MONTH(B259)-1)/3)+1 &amp; "-" &amp; YEAR(B259)</f>
        <v>Q2-2025</v>
      </c>
      <c r="E259" s="4">
        <v>45843</v>
      </c>
      <c r="F259" t="s">
        <v>2064</v>
      </c>
      <c r="G259" s="4">
        <v>45843</v>
      </c>
      <c r="H259" s="13">
        <v>8</v>
      </c>
      <c r="I259" s="7" t="s">
        <v>649</v>
      </c>
      <c r="J259" s="7" t="s">
        <v>656</v>
      </c>
      <c r="K259" s="7" t="s">
        <v>684</v>
      </c>
      <c r="M259" s="7" t="s">
        <v>705</v>
      </c>
      <c r="N259" s="7" t="s">
        <v>711</v>
      </c>
      <c r="O259" s="7" t="s">
        <v>715</v>
      </c>
      <c r="P259" s="7" t="s">
        <v>732</v>
      </c>
      <c r="Q259" s="7" t="s">
        <v>1685</v>
      </c>
      <c r="R259" s="9">
        <v>314.93</v>
      </c>
      <c r="S259" s="9">
        <v>687.95</v>
      </c>
      <c r="T259" s="9">
        <v>687.95</v>
      </c>
      <c r="U259" s="9">
        <f t="shared" si="19"/>
        <v>861.83140000000003</v>
      </c>
      <c r="V259" s="9">
        <f t="shared" ref="V259:V322" si="22">_xlfn.PERCENTILE.INC(T259:T889,0.66)</f>
        <v>1626.3146000000002</v>
      </c>
      <c r="W259" s="9" t="str">
        <f t="shared" ref="W259:W322" si="23">IF(T259&lt;=U259,"Low",IF(T259&lt;=V259,"Medium","High"))</f>
        <v>Low</v>
      </c>
      <c r="X259" t="s">
        <v>2065</v>
      </c>
      <c r="Y259" s="11">
        <v>0.20499999999999999</v>
      </c>
      <c r="Z259" t="s">
        <v>2065</v>
      </c>
      <c r="AA259" s="13">
        <v>8</v>
      </c>
      <c r="AB259" s="9">
        <v>4375.3620000000001</v>
      </c>
      <c r="AC259" s="9">
        <v>2519.44</v>
      </c>
      <c r="AD259" s="9">
        <v>1855.922</v>
      </c>
      <c r="AE259" s="11">
        <v>0.424175645352316</v>
      </c>
    </row>
    <row r="260" spans="1:31" x14ac:dyDescent="0.3">
      <c r="A260" t="s">
        <v>273</v>
      </c>
      <c r="B260" s="4">
        <v>45210</v>
      </c>
      <c r="C260" s="4" t="str">
        <f t="shared" si="20"/>
        <v>Oct-2023</v>
      </c>
      <c r="D260" s="4" t="str">
        <f t="shared" si="21"/>
        <v>Q4-2023</v>
      </c>
      <c r="E260" s="4">
        <v>45212</v>
      </c>
      <c r="F260" t="s">
        <v>2064</v>
      </c>
      <c r="G260" s="4">
        <v>45212</v>
      </c>
      <c r="H260" s="13">
        <v>2</v>
      </c>
      <c r="I260" s="7" t="s">
        <v>648</v>
      </c>
      <c r="J260" s="7" t="s">
        <v>655</v>
      </c>
      <c r="K260" s="7" t="s">
        <v>672</v>
      </c>
      <c r="M260" s="7" t="s">
        <v>704</v>
      </c>
      <c r="N260" s="7" t="s">
        <v>710</v>
      </c>
      <c r="O260" s="7" t="s">
        <v>2057</v>
      </c>
      <c r="P260" s="7" t="s">
        <v>733</v>
      </c>
      <c r="Q260" s="7" t="s">
        <v>1686</v>
      </c>
      <c r="R260" s="9">
        <v>715.94</v>
      </c>
      <c r="S260" s="9">
        <v>550.07000000000005</v>
      </c>
      <c r="T260" s="9">
        <v>550.07000000000005</v>
      </c>
      <c r="U260" s="9">
        <f t="shared" si="19"/>
        <v>866.82960000000003</v>
      </c>
      <c r="V260" s="9">
        <f t="shared" si="22"/>
        <v>1628.0044</v>
      </c>
      <c r="W260" s="9" t="str">
        <f t="shared" si="23"/>
        <v>Low</v>
      </c>
      <c r="X260" t="s">
        <v>2065</v>
      </c>
      <c r="Y260" s="11">
        <v>0.14000000000000001</v>
      </c>
      <c r="Z260" t="s">
        <v>2065</v>
      </c>
      <c r="AA260" s="13">
        <v>16</v>
      </c>
      <c r="AB260" s="9">
        <v>7568.9632000000001</v>
      </c>
      <c r="AC260" s="9">
        <v>11455.04</v>
      </c>
      <c r="AD260" s="9">
        <v>-3886.0768000000007</v>
      </c>
      <c r="AE260" s="11">
        <v>-0.51342260456491595</v>
      </c>
    </row>
    <row r="261" spans="1:31" x14ac:dyDescent="0.3">
      <c r="A261" t="s">
        <v>274</v>
      </c>
      <c r="B261" s="4">
        <v>45066</v>
      </c>
      <c r="C261" s="4" t="str">
        <f t="shared" si="20"/>
        <v>May-2023</v>
      </c>
      <c r="D261" s="4" t="str">
        <f t="shared" si="21"/>
        <v>Q2-2023</v>
      </c>
      <c r="E261" s="4">
        <v>45084</v>
      </c>
      <c r="F261" t="s">
        <v>2064</v>
      </c>
      <c r="G261" s="4">
        <v>45084</v>
      </c>
      <c r="H261" s="13">
        <v>18</v>
      </c>
      <c r="I261" s="7" t="s">
        <v>646</v>
      </c>
      <c r="J261" s="7" t="s">
        <v>651</v>
      </c>
      <c r="K261" s="7" t="s">
        <v>663</v>
      </c>
      <c r="M261" s="7" t="s">
        <v>706</v>
      </c>
      <c r="N261" s="7" t="s">
        <v>710</v>
      </c>
      <c r="O261" s="7" t="s">
        <v>718</v>
      </c>
      <c r="P261" s="7" t="s">
        <v>727</v>
      </c>
      <c r="Q261" s="7" t="s">
        <v>1687</v>
      </c>
      <c r="R261" s="9">
        <v>1120.06</v>
      </c>
      <c r="S261" s="9">
        <v>2068.21</v>
      </c>
      <c r="T261" s="9">
        <v>2068.21</v>
      </c>
      <c r="U261" s="9">
        <f t="shared" si="19"/>
        <v>872.14170000000001</v>
      </c>
      <c r="V261" s="9">
        <f t="shared" si="22"/>
        <v>1629.6942000000001</v>
      </c>
      <c r="W261" s="9" t="str">
        <f t="shared" si="23"/>
        <v>High</v>
      </c>
      <c r="X261" t="s">
        <v>2065</v>
      </c>
      <c r="Y261" s="11">
        <v>7.8E-2</v>
      </c>
      <c r="Z261" t="s">
        <v>2065</v>
      </c>
      <c r="AA261" s="13">
        <v>12</v>
      </c>
      <c r="AB261" s="9">
        <v>22882.675440000003</v>
      </c>
      <c r="AC261" s="9">
        <v>13440.72</v>
      </c>
      <c r="AD261" s="9">
        <v>9441.9554400000034</v>
      </c>
      <c r="AE261" s="11">
        <v>0.41262462795303284</v>
      </c>
    </row>
    <row r="262" spans="1:31" x14ac:dyDescent="0.3">
      <c r="A262" t="s">
        <v>275</v>
      </c>
      <c r="B262" s="4">
        <v>45073</v>
      </c>
      <c r="C262" s="4" t="str">
        <f t="shared" si="20"/>
        <v>May-2023</v>
      </c>
      <c r="D262" s="4" t="str">
        <f t="shared" si="21"/>
        <v>Q2-2023</v>
      </c>
      <c r="E262" s="4">
        <v>45096</v>
      </c>
      <c r="F262" t="s">
        <v>2064</v>
      </c>
      <c r="G262" s="4">
        <v>45096</v>
      </c>
      <c r="H262" s="13">
        <v>23</v>
      </c>
      <c r="I262" s="7" t="s">
        <v>649</v>
      </c>
      <c r="J262" s="7" t="s">
        <v>656</v>
      </c>
      <c r="K262" s="7" t="s">
        <v>671</v>
      </c>
      <c r="M262" s="7" t="s">
        <v>702</v>
      </c>
      <c r="N262" s="7" t="s">
        <v>707</v>
      </c>
      <c r="O262" s="7" t="s">
        <v>719</v>
      </c>
      <c r="P262" s="7" t="s">
        <v>733</v>
      </c>
      <c r="Q262" s="7" t="s">
        <v>1688</v>
      </c>
      <c r="R262" s="9">
        <v>1471.58</v>
      </c>
      <c r="S262" s="9">
        <v>2576.65</v>
      </c>
      <c r="T262" s="9">
        <v>2576.65</v>
      </c>
      <c r="U262" s="9">
        <f t="shared" si="19"/>
        <v>869.43900000000008</v>
      </c>
      <c r="V262" s="9">
        <f t="shared" si="22"/>
        <v>1626.4140000000002</v>
      </c>
      <c r="W262" s="9" t="str">
        <f t="shared" si="23"/>
        <v>High</v>
      </c>
      <c r="X262" t="s">
        <v>2065</v>
      </c>
      <c r="Y262" s="11">
        <v>4.0000000000000001E-3</v>
      </c>
      <c r="Z262" t="s">
        <v>2065</v>
      </c>
      <c r="AA262" s="13">
        <v>7</v>
      </c>
      <c r="AB262" s="9">
        <v>17964.4038</v>
      </c>
      <c r="AC262" s="9">
        <v>10301.06</v>
      </c>
      <c r="AD262" s="9">
        <v>7663.3438000000006</v>
      </c>
      <c r="AE262" s="11">
        <v>0.4265849223451546</v>
      </c>
    </row>
    <row r="263" spans="1:31" x14ac:dyDescent="0.3">
      <c r="A263" t="s">
        <v>276</v>
      </c>
      <c r="B263" s="4">
        <v>45142</v>
      </c>
      <c r="C263" s="4" t="str">
        <f t="shared" si="20"/>
        <v>Aug-2023</v>
      </c>
      <c r="D263" s="4" t="str">
        <f t="shared" si="21"/>
        <v>Q3-2023</v>
      </c>
      <c r="E263" s="4">
        <v>45162</v>
      </c>
      <c r="F263" t="s">
        <v>2064</v>
      </c>
      <c r="G263" s="4">
        <v>45162</v>
      </c>
      <c r="H263" s="13">
        <v>20</v>
      </c>
      <c r="I263" s="7" t="s">
        <v>648</v>
      </c>
      <c r="J263" s="7" t="s">
        <v>655</v>
      </c>
      <c r="K263" s="7" t="s">
        <v>672</v>
      </c>
      <c r="M263" s="7" t="s">
        <v>703</v>
      </c>
      <c r="N263" s="7" t="s">
        <v>711</v>
      </c>
      <c r="O263" s="7" t="s">
        <v>2057</v>
      </c>
      <c r="P263" s="7" t="s">
        <v>729</v>
      </c>
      <c r="Q263" s="7" t="s">
        <v>1689</v>
      </c>
      <c r="R263" s="9">
        <v>582.88</v>
      </c>
      <c r="S263" s="9">
        <v>1044.1400000000001</v>
      </c>
      <c r="T263" s="9">
        <v>1044.1400000000001</v>
      </c>
      <c r="U263" s="9">
        <f t="shared" ref="U263:U326" si="24">_xlfn.PERCENTILE.INC(T263:T893,0.33)</f>
        <v>866.90420000000006</v>
      </c>
      <c r="V263" s="9">
        <f t="shared" si="22"/>
        <v>1625.075</v>
      </c>
      <c r="W263" s="9" t="str">
        <f t="shared" si="23"/>
        <v>Medium</v>
      </c>
      <c r="X263" t="s">
        <v>2065</v>
      </c>
      <c r="Y263" s="11">
        <v>0.216</v>
      </c>
      <c r="Z263" t="s">
        <v>2065</v>
      </c>
      <c r="AA263" s="13">
        <v>10</v>
      </c>
      <c r="AB263" s="9">
        <v>8186.057600000001</v>
      </c>
      <c r="AC263" s="9">
        <v>5828.8</v>
      </c>
      <c r="AD263" s="9">
        <v>2357.2576000000008</v>
      </c>
      <c r="AE263" s="11">
        <v>0.28796005539956138</v>
      </c>
    </row>
    <row r="264" spans="1:31" x14ac:dyDescent="0.3">
      <c r="A264" t="s">
        <v>277</v>
      </c>
      <c r="B264" s="4">
        <v>45829</v>
      </c>
      <c r="C264" s="4" t="str">
        <f t="shared" si="20"/>
        <v>Jun-2025</v>
      </c>
      <c r="D264" s="4" t="str">
        <f t="shared" si="21"/>
        <v>Q2-2025</v>
      </c>
      <c r="E264" s="4">
        <v>45835</v>
      </c>
      <c r="F264" t="s">
        <v>2064</v>
      </c>
      <c r="G264" s="4">
        <v>45835</v>
      </c>
      <c r="H264" s="13">
        <v>6</v>
      </c>
      <c r="I264" s="7" t="s">
        <v>646</v>
      </c>
      <c r="J264" s="7" t="s">
        <v>661</v>
      </c>
      <c r="K264" s="7" t="s">
        <v>687</v>
      </c>
      <c r="M264" s="7" t="s">
        <v>706</v>
      </c>
      <c r="N264" s="7" t="s">
        <v>710</v>
      </c>
      <c r="O264" s="7" t="s">
        <v>725</v>
      </c>
      <c r="P264" s="7" t="s">
        <v>730</v>
      </c>
      <c r="Q264" s="7" t="s">
        <v>1690</v>
      </c>
      <c r="R264" s="9">
        <v>93.91</v>
      </c>
      <c r="S264" s="9">
        <v>99.04</v>
      </c>
      <c r="T264" s="9">
        <v>99.04</v>
      </c>
      <c r="U264" s="9">
        <f t="shared" si="24"/>
        <v>864.44240000000002</v>
      </c>
      <c r="V264" s="9">
        <f t="shared" si="22"/>
        <v>1625.3300000000002</v>
      </c>
      <c r="W264" s="9" t="str">
        <f t="shared" si="23"/>
        <v>Low</v>
      </c>
      <c r="X264" t="s">
        <v>2065</v>
      </c>
      <c r="Y264" s="11">
        <v>5.7000000000000002E-2</v>
      </c>
      <c r="Z264" t="s">
        <v>2065</v>
      </c>
      <c r="AA264" s="13">
        <v>6</v>
      </c>
      <c r="AB264" s="9">
        <v>560.36831999999993</v>
      </c>
      <c r="AC264" s="9">
        <v>563.46</v>
      </c>
      <c r="AD264" s="9">
        <v>-3.0916800000001103</v>
      </c>
      <c r="AE264" s="11">
        <v>-5.5172283829323376E-3</v>
      </c>
    </row>
    <row r="265" spans="1:31" x14ac:dyDescent="0.3">
      <c r="A265" t="s">
        <v>278</v>
      </c>
      <c r="B265" s="4">
        <v>45763</v>
      </c>
      <c r="C265" s="4" t="str">
        <f t="shared" si="20"/>
        <v>Apr-2025</v>
      </c>
      <c r="D265" s="4" t="str">
        <f t="shared" si="21"/>
        <v>Q2-2025</v>
      </c>
      <c r="E265" s="4">
        <v>45773</v>
      </c>
      <c r="F265" t="s">
        <v>2064</v>
      </c>
      <c r="G265" s="4">
        <v>45773</v>
      </c>
      <c r="H265" s="13">
        <v>10</v>
      </c>
      <c r="I265" s="7" t="s">
        <v>646</v>
      </c>
      <c r="J265" s="7" t="s">
        <v>651</v>
      </c>
      <c r="K265" s="7" t="s">
        <v>663</v>
      </c>
      <c r="M265" s="7" t="s">
        <v>706</v>
      </c>
      <c r="N265" s="7" t="s">
        <v>709</v>
      </c>
      <c r="O265" s="7" t="s">
        <v>721</v>
      </c>
      <c r="P265" s="7" t="s">
        <v>731</v>
      </c>
      <c r="Q265" s="7" t="s">
        <v>1691</v>
      </c>
      <c r="R265" s="9">
        <v>1457.44</v>
      </c>
      <c r="S265" s="9">
        <v>1996.81</v>
      </c>
      <c r="T265" s="9">
        <v>1996.81</v>
      </c>
      <c r="U265" s="9">
        <f t="shared" si="24"/>
        <v>869.52089999999998</v>
      </c>
      <c r="V265" s="9">
        <f t="shared" si="22"/>
        <v>1626.5134</v>
      </c>
      <c r="W265" s="9" t="str">
        <f t="shared" si="23"/>
        <v>High</v>
      </c>
      <c r="X265" t="s">
        <v>2065</v>
      </c>
      <c r="Y265" s="11">
        <v>0.126</v>
      </c>
      <c r="Z265" t="s">
        <v>2065</v>
      </c>
      <c r="AA265" s="13">
        <v>23</v>
      </c>
      <c r="AB265" s="9">
        <v>40139.874619999995</v>
      </c>
      <c r="AC265" s="9">
        <v>33521.120000000003</v>
      </c>
      <c r="AD265" s="9">
        <v>6618.7546199999924</v>
      </c>
      <c r="AE265" s="11">
        <v>0.16489225944672353</v>
      </c>
    </row>
    <row r="266" spans="1:31" x14ac:dyDescent="0.3">
      <c r="A266" t="s">
        <v>279</v>
      </c>
      <c r="B266" s="4">
        <v>45902</v>
      </c>
      <c r="C266" s="4" t="str">
        <f t="shared" si="20"/>
        <v>Sep-2025</v>
      </c>
      <c r="D266" s="4" t="str">
        <f t="shared" si="21"/>
        <v>Q3-2025</v>
      </c>
      <c r="E266" s="4">
        <v>45911</v>
      </c>
      <c r="F266" t="s">
        <v>2064</v>
      </c>
      <c r="G266" s="4">
        <v>45911</v>
      </c>
      <c r="H266" s="13">
        <v>9</v>
      </c>
      <c r="I266" s="7" t="s">
        <v>648</v>
      </c>
      <c r="J266" s="7" t="s">
        <v>653</v>
      </c>
      <c r="K266" s="7" t="s">
        <v>667</v>
      </c>
      <c r="M266" s="7" t="s">
        <v>701</v>
      </c>
      <c r="N266" s="7" t="s">
        <v>710</v>
      </c>
      <c r="O266" s="7" t="s">
        <v>724</v>
      </c>
      <c r="P266" s="7" t="s">
        <v>728</v>
      </c>
      <c r="Q266" s="7" t="s">
        <v>1692</v>
      </c>
      <c r="R266" s="9">
        <v>1207.6300000000001</v>
      </c>
      <c r="S266" s="9">
        <v>921.68</v>
      </c>
      <c r="T266" s="9">
        <v>921.68</v>
      </c>
      <c r="U266" s="9">
        <f t="shared" si="24"/>
        <v>866.97879999999998</v>
      </c>
      <c r="V266" s="9">
        <f t="shared" si="22"/>
        <v>1625.0900000000001</v>
      </c>
      <c r="W266" s="9" t="str">
        <f t="shared" si="23"/>
        <v>Medium</v>
      </c>
      <c r="X266" t="s">
        <v>2065</v>
      </c>
      <c r="Y266" s="11">
        <v>0.19600000000000001</v>
      </c>
      <c r="Z266" t="s">
        <v>2065</v>
      </c>
      <c r="AA266" s="13">
        <v>17</v>
      </c>
      <c r="AB266" s="9">
        <v>12597.52224</v>
      </c>
      <c r="AC266" s="9">
        <v>20529.710000000003</v>
      </c>
      <c r="AD266" s="9">
        <v>-7932.1877600000025</v>
      </c>
      <c r="AE266" s="11">
        <v>-0.62966253274897988</v>
      </c>
    </row>
    <row r="267" spans="1:31" x14ac:dyDescent="0.3">
      <c r="A267" t="s">
        <v>280</v>
      </c>
      <c r="B267" s="4">
        <v>45573</v>
      </c>
      <c r="C267" s="4" t="str">
        <f t="shared" si="20"/>
        <v>Oct-2024</v>
      </c>
      <c r="D267" s="4" t="str">
        <f t="shared" si="21"/>
        <v>Q4-2024</v>
      </c>
      <c r="E267" s="4">
        <v>45573</v>
      </c>
      <c r="F267" t="s">
        <v>2064</v>
      </c>
      <c r="G267" s="4">
        <v>45573</v>
      </c>
      <c r="H267" s="13">
        <v>0</v>
      </c>
      <c r="I267" s="7" t="s">
        <v>649</v>
      </c>
      <c r="J267" s="7" t="s">
        <v>658</v>
      </c>
      <c r="K267" s="7" t="s">
        <v>683</v>
      </c>
      <c r="M267" s="7" t="s">
        <v>701</v>
      </c>
      <c r="N267" s="7" t="s">
        <v>708</v>
      </c>
      <c r="O267" s="7" t="s">
        <v>718</v>
      </c>
      <c r="P267" s="7" t="s">
        <v>732</v>
      </c>
      <c r="Q267" s="7" t="s">
        <v>1693</v>
      </c>
      <c r="R267" s="9">
        <v>1108.1099999999999</v>
      </c>
      <c r="S267" s="9">
        <v>2503.79</v>
      </c>
      <c r="T267" s="9">
        <v>2503.79</v>
      </c>
      <c r="U267" s="9">
        <f t="shared" si="24"/>
        <v>864.51700000000005</v>
      </c>
      <c r="V267" s="9">
        <f t="shared" si="22"/>
        <v>1625.345</v>
      </c>
      <c r="W267" s="9" t="str">
        <f t="shared" si="23"/>
        <v>High</v>
      </c>
      <c r="X267" t="s">
        <v>2065</v>
      </c>
      <c r="Y267" s="11">
        <v>0.184</v>
      </c>
      <c r="Z267" t="s">
        <v>2065</v>
      </c>
      <c r="AA267" s="13">
        <v>19</v>
      </c>
      <c r="AB267" s="9">
        <v>38818.760160000005</v>
      </c>
      <c r="AC267" s="9">
        <v>21054.089999999997</v>
      </c>
      <c r="AD267" s="9">
        <v>17764.670160000009</v>
      </c>
      <c r="AE267" s="11">
        <v>0.45763105485025896</v>
      </c>
    </row>
    <row r="268" spans="1:31" x14ac:dyDescent="0.3">
      <c r="A268" t="s">
        <v>281</v>
      </c>
      <c r="B268" s="4">
        <v>45053</v>
      </c>
      <c r="C268" s="4" t="str">
        <f t="shared" si="20"/>
        <v>May-2023</v>
      </c>
      <c r="D268" s="4" t="str">
        <f t="shared" si="21"/>
        <v>Q2-2023</v>
      </c>
      <c r="E268" s="4">
        <v>45051</v>
      </c>
      <c r="F268" t="s">
        <v>2066</v>
      </c>
      <c r="G268" s="4">
        <v>45053</v>
      </c>
      <c r="H268" s="13">
        <v>0</v>
      </c>
      <c r="I268" s="7" t="s">
        <v>646</v>
      </c>
      <c r="J268" s="7" t="s">
        <v>651</v>
      </c>
      <c r="K268" s="7" t="s">
        <v>663</v>
      </c>
      <c r="M268" s="7" t="s">
        <v>703</v>
      </c>
      <c r="N268" s="7" t="s">
        <v>709</v>
      </c>
      <c r="O268" s="7" t="s">
        <v>720</v>
      </c>
      <c r="P268" s="7" t="s">
        <v>727</v>
      </c>
      <c r="Q268" s="7" t="s">
        <v>1694</v>
      </c>
      <c r="R268" s="9">
        <v>1269.6500000000001</v>
      </c>
      <c r="S268" s="9">
        <v>2462.77</v>
      </c>
      <c r="T268" s="9">
        <v>2462.77</v>
      </c>
      <c r="U268" s="9">
        <f t="shared" si="24"/>
        <v>862.05520000000001</v>
      </c>
      <c r="V268" s="9">
        <f t="shared" si="22"/>
        <v>1624.8500000000001</v>
      </c>
      <c r="W268" s="9" t="str">
        <f t="shared" si="23"/>
        <v>High</v>
      </c>
      <c r="X268" t="s">
        <v>2065</v>
      </c>
      <c r="Y268" s="11">
        <v>0.107</v>
      </c>
      <c r="Z268" t="s">
        <v>2065</v>
      </c>
      <c r="AA268" s="13">
        <v>8</v>
      </c>
      <c r="AB268" s="9">
        <v>17594.028880000002</v>
      </c>
      <c r="AC268" s="9">
        <v>10157.200000000001</v>
      </c>
      <c r="AD268" s="9">
        <v>7436.8288800000009</v>
      </c>
      <c r="AE268" s="11">
        <v>0.42269050089225502</v>
      </c>
    </row>
    <row r="269" spans="1:31" x14ac:dyDescent="0.3">
      <c r="A269" t="s">
        <v>282</v>
      </c>
      <c r="B269" s="4">
        <v>45284</v>
      </c>
      <c r="C269" s="4" t="str">
        <f t="shared" si="20"/>
        <v>Dec-2023</v>
      </c>
      <c r="D269" s="4" t="str">
        <f t="shared" si="21"/>
        <v>Q4-2023</v>
      </c>
      <c r="E269" s="4">
        <v>45292</v>
      </c>
      <c r="F269" t="s">
        <v>2064</v>
      </c>
      <c r="G269" s="4">
        <v>45292</v>
      </c>
      <c r="H269" s="13">
        <v>8</v>
      </c>
      <c r="I269" s="7" t="s">
        <v>648</v>
      </c>
      <c r="J269" s="7" t="s">
        <v>655</v>
      </c>
      <c r="K269" s="7" t="s">
        <v>670</v>
      </c>
      <c r="M269" s="7" t="s">
        <v>702</v>
      </c>
      <c r="N269" s="7" t="s">
        <v>711</v>
      </c>
      <c r="O269" s="7" t="s">
        <v>712</v>
      </c>
      <c r="P269" s="7" t="s">
        <v>730</v>
      </c>
      <c r="Q269" s="7" t="s">
        <v>1695</v>
      </c>
      <c r="R269" s="9">
        <v>526.49</v>
      </c>
      <c r="S269" s="9">
        <v>496.2</v>
      </c>
      <c r="T269" s="9">
        <v>496.2</v>
      </c>
      <c r="U269" s="9">
        <f t="shared" si="24"/>
        <v>857.15530000000012</v>
      </c>
      <c r="V269" s="9">
        <f t="shared" si="22"/>
        <v>1622.9606000000001</v>
      </c>
      <c r="W269" s="9" t="str">
        <f t="shared" si="23"/>
        <v>Low</v>
      </c>
      <c r="X269" t="s">
        <v>2065</v>
      </c>
      <c r="Y269" s="11">
        <v>0</v>
      </c>
      <c r="Z269" t="s">
        <v>2065</v>
      </c>
      <c r="AA269" s="13">
        <v>14</v>
      </c>
      <c r="AB269" s="9">
        <v>6946.8</v>
      </c>
      <c r="AC269" s="9">
        <v>7370.8600000000006</v>
      </c>
      <c r="AD269" s="9">
        <v>-424.0600000000004</v>
      </c>
      <c r="AE269" s="11">
        <v>-6.1043933897621985E-2</v>
      </c>
    </row>
    <row r="270" spans="1:31" x14ac:dyDescent="0.3">
      <c r="A270" t="s">
        <v>283</v>
      </c>
      <c r="B270" s="4">
        <v>45301</v>
      </c>
      <c r="C270" s="4" t="str">
        <f t="shared" si="20"/>
        <v>Jan-2024</v>
      </c>
      <c r="D270" s="4" t="str">
        <f t="shared" si="21"/>
        <v>Q1-2024</v>
      </c>
      <c r="E270" s="4">
        <v>45314</v>
      </c>
      <c r="F270" t="s">
        <v>2064</v>
      </c>
      <c r="G270" s="4">
        <v>45314</v>
      </c>
      <c r="H270" s="13">
        <v>13</v>
      </c>
      <c r="I270" s="7" t="s">
        <v>649</v>
      </c>
      <c r="J270" s="7" t="s">
        <v>657</v>
      </c>
      <c r="K270" s="7" t="s">
        <v>673</v>
      </c>
      <c r="M270" s="7" t="s">
        <v>701</v>
      </c>
      <c r="N270" s="7" t="s">
        <v>711</v>
      </c>
      <c r="O270" s="7" t="s">
        <v>720</v>
      </c>
      <c r="P270" s="7" t="s">
        <v>728</v>
      </c>
      <c r="Q270" s="7" t="s">
        <v>1696</v>
      </c>
      <c r="R270" s="9">
        <v>720</v>
      </c>
      <c r="S270" s="9">
        <v>907.59</v>
      </c>
      <c r="T270" s="9">
        <v>907.59</v>
      </c>
      <c r="U270" s="9">
        <f t="shared" si="24"/>
        <v>864.59160000000008</v>
      </c>
      <c r="V270" s="9">
        <f t="shared" si="22"/>
        <v>1624.3444000000002</v>
      </c>
      <c r="W270" s="9" t="str">
        <f t="shared" si="23"/>
        <v>Medium</v>
      </c>
      <c r="X270" t="s">
        <v>2065</v>
      </c>
      <c r="Y270" s="11">
        <v>0.154</v>
      </c>
      <c r="Z270" t="s">
        <v>2065</v>
      </c>
      <c r="AA270" s="13">
        <v>10</v>
      </c>
      <c r="AB270" s="9">
        <v>7678.2113999999992</v>
      </c>
      <c r="AC270" s="9">
        <v>7200</v>
      </c>
      <c r="AD270" s="9">
        <v>478.21139999999923</v>
      </c>
      <c r="AE270" s="11">
        <v>6.2281614179052078E-2</v>
      </c>
    </row>
    <row r="271" spans="1:31" x14ac:dyDescent="0.3">
      <c r="A271" t="s">
        <v>284</v>
      </c>
      <c r="B271" s="4">
        <v>45141</v>
      </c>
      <c r="C271" s="4" t="str">
        <f t="shared" si="20"/>
        <v>Aug-2023</v>
      </c>
      <c r="D271" s="4" t="str">
        <f t="shared" si="21"/>
        <v>Q3-2023</v>
      </c>
      <c r="E271" s="4">
        <v>45152</v>
      </c>
      <c r="F271" t="s">
        <v>2064</v>
      </c>
      <c r="G271" s="4">
        <v>45152</v>
      </c>
      <c r="H271" s="13">
        <v>11</v>
      </c>
      <c r="I271" s="7" t="s">
        <v>648</v>
      </c>
      <c r="J271" s="7" t="s">
        <v>655</v>
      </c>
      <c r="K271" s="7" t="s">
        <v>672</v>
      </c>
      <c r="M271" s="7" t="s">
        <v>701</v>
      </c>
      <c r="N271" s="7" t="s">
        <v>711</v>
      </c>
      <c r="O271" s="7" t="s">
        <v>713</v>
      </c>
      <c r="P271" s="7" t="s">
        <v>733</v>
      </c>
      <c r="Q271" s="7" t="s">
        <v>1697</v>
      </c>
      <c r="R271" s="9">
        <v>232.73</v>
      </c>
      <c r="S271" s="9">
        <v>334.19</v>
      </c>
      <c r="T271" s="9">
        <v>334.19</v>
      </c>
      <c r="U271" s="9">
        <f t="shared" si="24"/>
        <v>862.12980000000005</v>
      </c>
      <c r="V271" s="9">
        <f t="shared" si="22"/>
        <v>1624.865</v>
      </c>
      <c r="W271" s="9" t="str">
        <f t="shared" si="23"/>
        <v>Low</v>
      </c>
      <c r="X271" t="s">
        <v>2065</v>
      </c>
      <c r="Y271" s="11">
        <v>0.13400000000000001</v>
      </c>
      <c r="Z271" t="s">
        <v>2065</v>
      </c>
      <c r="AA271" s="13">
        <v>25</v>
      </c>
      <c r="AB271" s="9">
        <v>7235.2134999999998</v>
      </c>
      <c r="AC271" s="9">
        <v>5818.25</v>
      </c>
      <c r="AD271" s="9">
        <v>1416.9634999999998</v>
      </c>
      <c r="AE271" s="11">
        <v>0.1958426658729559</v>
      </c>
    </row>
    <row r="272" spans="1:31" x14ac:dyDescent="0.3">
      <c r="A272" t="s">
        <v>285</v>
      </c>
      <c r="B272" s="4">
        <v>45707</v>
      </c>
      <c r="C272" s="4" t="str">
        <f t="shared" si="20"/>
        <v>Feb-2025</v>
      </c>
      <c r="D272" s="4" t="str">
        <f t="shared" si="21"/>
        <v>Q1-2025</v>
      </c>
      <c r="E272" s="4">
        <v>45725</v>
      </c>
      <c r="F272" t="s">
        <v>2064</v>
      </c>
      <c r="G272" s="4">
        <v>45725</v>
      </c>
      <c r="H272" s="13">
        <v>18</v>
      </c>
      <c r="I272" s="7" t="s">
        <v>647</v>
      </c>
      <c r="J272" s="7" t="s">
        <v>654</v>
      </c>
      <c r="K272" s="7" t="s">
        <v>680</v>
      </c>
      <c r="M272" s="7" t="s">
        <v>705</v>
      </c>
      <c r="N272" s="7" t="s">
        <v>711</v>
      </c>
      <c r="O272" s="7" t="s">
        <v>719</v>
      </c>
      <c r="P272" s="7" t="s">
        <v>732</v>
      </c>
      <c r="Q272" s="7" t="s">
        <v>1698</v>
      </c>
      <c r="R272" s="9">
        <v>325.87</v>
      </c>
      <c r="S272" s="9">
        <v>538.79</v>
      </c>
      <c r="T272" s="9">
        <v>538.79</v>
      </c>
      <c r="U272" s="9">
        <f t="shared" si="24"/>
        <v>867.12800000000004</v>
      </c>
      <c r="V272" s="9">
        <f t="shared" si="22"/>
        <v>1625.1200000000001</v>
      </c>
      <c r="W272" s="9" t="str">
        <f t="shared" si="23"/>
        <v>Low</v>
      </c>
      <c r="X272" t="s">
        <v>2065</v>
      </c>
      <c r="Y272" s="11">
        <v>0.17399999999999999</v>
      </c>
      <c r="Z272" t="s">
        <v>2065</v>
      </c>
      <c r="AA272" s="13">
        <v>16</v>
      </c>
      <c r="AB272" s="9">
        <v>7120.6486400000003</v>
      </c>
      <c r="AC272" s="9">
        <v>5213.92</v>
      </c>
      <c r="AD272" s="9">
        <v>1906.7286400000003</v>
      </c>
      <c r="AE272" s="11">
        <v>0.26777457172778013</v>
      </c>
    </row>
    <row r="273" spans="1:31" x14ac:dyDescent="0.3">
      <c r="A273" t="s">
        <v>286</v>
      </c>
      <c r="B273" s="4">
        <v>45382</v>
      </c>
      <c r="C273" s="4" t="str">
        <f t="shared" si="20"/>
        <v>Mar-2024</v>
      </c>
      <c r="D273" s="4" t="str">
        <f t="shared" si="21"/>
        <v>Q1-2024</v>
      </c>
      <c r="E273" s="4">
        <v>45399</v>
      </c>
      <c r="F273" t="s">
        <v>2064</v>
      </c>
      <c r="G273" s="4">
        <v>45399</v>
      </c>
      <c r="H273" s="13">
        <v>17</v>
      </c>
      <c r="I273" s="7" t="s">
        <v>649</v>
      </c>
      <c r="J273" s="7" t="s">
        <v>656</v>
      </c>
      <c r="K273" s="7" t="s">
        <v>698</v>
      </c>
      <c r="M273" s="7" t="s">
        <v>702</v>
      </c>
      <c r="N273" s="7" t="s">
        <v>711</v>
      </c>
      <c r="O273" s="7" t="s">
        <v>722</v>
      </c>
      <c r="P273" s="7" t="s">
        <v>732</v>
      </c>
      <c r="Q273" s="7" t="s">
        <v>1699</v>
      </c>
      <c r="R273" s="9">
        <v>1025.51</v>
      </c>
      <c r="S273" s="9">
        <v>1436.54</v>
      </c>
      <c r="T273" s="9">
        <v>1436.54</v>
      </c>
      <c r="U273" s="9">
        <f t="shared" si="24"/>
        <v>872.46929999999998</v>
      </c>
      <c r="V273" s="9">
        <f t="shared" si="22"/>
        <v>1625.375</v>
      </c>
      <c r="W273" s="9" t="str">
        <f t="shared" si="23"/>
        <v>Medium</v>
      </c>
      <c r="X273" t="s">
        <v>2065</v>
      </c>
      <c r="Y273" s="11">
        <v>0.13900000000000001</v>
      </c>
      <c r="Z273" t="s">
        <v>2065</v>
      </c>
      <c r="AA273" s="13">
        <v>28</v>
      </c>
      <c r="AB273" s="9">
        <v>34632.106319999999</v>
      </c>
      <c r="AC273" s="9">
        <v>28714.28</v>
      </c>
      <c r="AD273" s="9">
        <v>5917.8263200000001</v>
      </c>
      <c r="AE273" s="11">
        <v>0.17087688127656453</v>
      </c>
    </row>
    <row r="274" spans="1:31" x14ac:dyDescent="0.3">
      <c r="A274" t="s">
        <v>287</v>
      </c>
      <c r="B274" s="4">
        <v>45131</v>
      </c>
      <c r="C274" s="4" t="str">
        <f t="shared" si="20"/>
        <v>Jul-2023</v>
      </c>
      <c r="D274" s="4" t="str">
        <f t="shared" si="21"/>
        <v>Q3-2023</v>
      </c>
      <c r="E274" s="4">
        <v>45151</v>
      </c>
      <c r="F274" t="s">
        <v>2064</v>
      </c>
      <c r="G274" s="4">
        <v>45151</v>
      </c>
      <c r="H274" s="13">
        <v>20</v>
      </c>
      <c r="I274" s="7" t="s">
        <v>648</v>
      </c>
      <c r="J274" s="7" t="s">
        <v>653</v>
      </c>
      <c r="K274" s="7" t="s">
        <v>681</v>
      </c>
      <c r="M274" s="7" t="s">
        <v>702</v>
      </c>
      <c r="N274" s="7" t="s">
        <v>711</v>
      </c>
      <c r="O274" s="7" t="s">
        <v>712</v>
      </c>
      <c r="P274" s="7" t="s">
        <v>732</v>
      </c>
      <c r="Q274" s="7" t="s">
        <v>1700</v>
      </c>
      <c r="R274" s="9">
        <v>1082.3800000000001</v>
      </c>
      <c r="S274" s="9">
        <v>1766.55</v>
      </c>
      <c r="T274" s="9">
        <v>1766.55</v>
      </c>
      <c r="U274" s="9">
        <f t="shared" si="24"/>
        <v>869.76660000000004</v>
      </c>
      <c r="V274" s="9">
        <f t="shared" si="22"/>
        <v>1626.8116</v>
      </c>
      <c r="W274" s="9" t="str">
        <f t="shared" si="23"/>
        <v>High</v>
      </c>
      <c r="X274" t="s">
        <v>2065</v>
      </c>
      <c r="Y274" s="11">
        <v>0.16400000000000001</v>
      </c>
      <c r="Z274" t="s">
        <v>2065</v>
      </c>
      <c r="AA274" s="13">
        <v>20</v>
      </c>
      <c r="AB274" s="9">
        <v>29536.716</v>
      </c>
      <c r="AC274" s="9">
        <v>21647.600000000002</v>
      </c>
      <c r="AD274" s="9">
        <v>7889.1159999999982</v>
      </c>
      <c r="AE274" s="11">
        <v>0.26709523157550752</v>
      </c>
    </row>
    <row r="275" spans="1:31" x14ac:dyDescent="0.3">
      <c r="A275" t="s">
        <v>288</v>
      </c>
      <c r="B275" s="4">
        <v>45367</v>
      </c>
      <c r="C275" s="4" t="str">
        <f t="shared" si="20"/>
        <v>Mar-2024</v>
      </c>
      <c r="D275" s="4" t="str">
        <f t="shared" si="21"/>
        <v>Q1-2024</v>
      </c>
      <c r="E275" s="4">
        <v>45395</v>
      </c>
      <c r="F275" t="s">
        <v>2064</v>
      </c>
      <c r="G275" s="4">
        <v>45395</v>
      </c>
      <c r="H275" s="13">
        <v>28</v>
      </c>
      <c r="I275" s="7" t="s">
        <v>649</v>
      </c>
      <c r="J275" s="7" t="s">
        <v>657</v>
      </c>
      <c r="K275" s="7" t="s">
        <v>690</v>
      </c>
      <c r="M275" s="7" t="s">
        <v>705</v>
      </c>
      <c r="N275" s="7" t="s">
        <v>708</v>
      </c>
      <c r="O275" s="7" t="s">
        <v>723</v>
      </c>
      <c r="P275" s="7" t="s">
        <v>728</v>
      </c>
      <c r="Q275" s="7" t="s">
        <v>1701</v>
      </c>
      <c r="R275" s="9">
        <v>287.61</v>
      </c>
      <c r="S275" s="9">
        <v>628.54</v>
      </c>
      <c r="T275" s="9">
        <v>628.54</v>
      </c>
      <c r="U275" s="9">
        <f t="shared" si="24"/>
        <v>867.20259999999996</v>
      </c>
      <c r="V275" s="9">
        <f t="shared" si="22"/>
        <v>1625.135</v>
      </c>
      <c r="W275" s="9" t="str">
        <f t="shared" si="23"/>
        <v>Low</v>
      </c>
      <c r="X275" t="s">
        <v>2065</v>
      </c>
      <c r="Y275" s="11">
        <v>0.13500000000000001</v>
      </c>
      <c r="Z275" t="s">
        <v>2065</v>
      </c>
      <c r="AA275" s="13">
        <v>21</v>
      </c>
      <c r="AB275" s="9">
        <v>11417.429099999999</v>
      </c>
      <c r="AC275" s="9">
        <v>6039.81</v>
      </c>
      <c r="AD275" s="9">
        <v>5377.619099999999</v>
      </c>
      <c r="AE275" s="11">
        <v>0.47100087531964613</v>
      </c>
    </row>
    <row r="276" spans="1:31" x14ac:dyDescent="0.3">
      <c r="A276" t="s">
        <v>289</v>
      </c>
      <c r="B276" s="4">
        <v>45316</v>
      </c>
      <c r="C276" s="4" t="str">
        <f t="shared" si="20"/>
        <v>Jan-2024</v>
      </c>
      <c r="D276" s="4" t="str">
        <f t="shared" si="21"/>
        <v>Q1-2024</v>
      </c>
      <c r="E276" s="4">
        <v>45318</v>
      </c>
      <c r="F276" t="s">
        <v>2064</v>
      </c>
      <c r="G276" s="4">
        <v>45318</v>
      </c>
      <c r="H276" s="13">
        <v>2</v>
      </c>
      <c r="I276" s="7" t="s">
        <v>648</v>
      </c>
      <c r="J276" s="7" t="s">
        <v>655</v>
      </c>
      <c r="K276" s="7" t="s">
        <v>670</v>
      </c>
      <c r="M276" s="7" t="s">
        <v>703</v>
      </c>
      <c r="N276" s="7" t="s">
        <v>709</v>
      </c>
      <c r="O276" s="7" t="s">
        <v>725</v>
      </c>
      <c r="P276" s="7" t="s">
        <v>731</v>
      </c>
      <c r="Q276" s="7" t="s">
        <v>1702</v>
      </c>
      <c r="R276" s="9">
        <v>1410.97</v>
      </c>
      <c r="S276" s="9">
        <v>1650.75</v>
      </c>
      <c r="T276" s="9">
        <v>1650.75</v>
      </c>
      <c r="U276" s="9">
        <f t="shared" si="24"/>
        <v>872.55119999999999</v>
      </c>
      <c r="V276" s="9">
        <f t="shared" si="22"/>
        <v>1625.39</v>
      </c>
      <c r="W276" s="9" t="str">
        <f t="shared" si="23"/>
        <v>High</v>
      </c>
      <c r="X276" t="s">
        <v>2065</v>
      </c>
      <c r="Y276" s="11">
        <v>0.13500000000000001</v>
      </c>
      <c r="Z276" t="s">
        <v>2065</v>
      </c>
      <c r="AA276" s="13">
        <v>6</v>
      </c>
      <c r="AB276" s="9">
        <v>8567.3924999999999</v>
      </c>
      <c r="AC276" s="9">
        <v>8465.82</v>
      </c>
      <c r="AD276" s="9">
        <v>101.57250000000022</v>
      </c>
      <c r="AE276" s="11">
        <v>1.1855707556295596E-2</v>
      </c>
    </row>
    <row r="277" spans="1:31" x14ac:dyDescent="0.3">
      <c r="A277" t="s">
        <v>290</v>
      </c>
      <c r="B277" s="4">
        <v>45378</v>
      </c>
      <c r="C277" s="4" t="str">
        <f t="shared" si="20"/>
        <v>Mar-2024</v>
      </c>
      <c r="D277" s="4" t="str">
        <f t="shared" si="21"/>
        <v>Q1-2024</v>
      </c>
      <c r="E277" s="4">
        <v>45393</v>
      </c>
      <c r="F277" t="s">
        <v>2064</v>
      </c>
      <c r="G277" s="4">
        <v>45393</v>
      </c>
      <c r="H277" s="13">
        <v>15</v>
      </c>
      <c r="I277" s="7" t="s">
        <v>648</v>
      </c>
      <c r="J277" s="7" t="s">
        <v>1425</v>
      </c>
      <c r="K277" s="7" t="s">
        <v>686</v>
      </c>
      <c r="M277" s="7" t="s">
        <v>705</v>
      </c>
      <c r="N277" s="7" t="s">
        <v>711</v>
      </c>
      <c r="O277" s="7" t="s">
        <v>719</v>
      </c>
      <c r="P277" s="7" t="s">
        <v>729</v>
      </c>
      <c r="Q277" s="7" t="s">
        <v>1703</v>
      </c>
      <c r="R277" s="9">
        <v>1338.35</v>
      </c>
      <c r="S277" s="9">
        <v>2247.14</v>
      </c>
      <c r="T277" s="9">
        <v>2247.14</v>
      </c>
      <c r="U277" s="9">
        <f t="shared" si="24"/>
        <v>869.84850000000006</v>
      </c>
      <c r="V277" s="9">
        <f t="shared" si="22"/>
        <v>1624.895</v>
      </c>
      <c r="W277" s="9" t="str">
        <f t="shared" si="23"/>
        <v>High</v>
      </c>
      <c r="X277" t="s">
        <v>2065</v>
      </c>
      <c r="Y277" s="11">
        <v>0.115</v>
      </c>
      <c r="Z277" t="s">
        <v>2065</v>
      </c>
      <c r="AA277" s="13">
        <v>40</v>
      </c>
      <c r="AB277" s="9">
        <v>79548.755999999994</v>
      </c>
      <c r="AC277" s="9">
        <v>53534</v>
      </c>
      <c r="AD277" s="9">
        <v>26014.755999999994</v>
      </c>
      <c r="AE277" s="11">
        <v>0.32702907384246205</v>
      </c>
    </row>
    <row r="278" spans="1:31" x14ac:dyDescent="0.3">
      <c r="A278" t="s">
        <v>291</v>
      </c>
      <c r="B278" s="4">
        <v>45832</v>
      </c>
      <c r="C278" s="4" t="str">
        <f t="shared" si="20"/>
        <v>Jun-2025</v>
      </c>
      <c r="D278" s="4" t="str">
        <f t="shared" si="21"/>
        <v>Q2-2025</v>
      </c>
      <c r="E278" s="4">
        <v>45852</v>
      </c>
      <c r="F278" t="s">
        <v>2064</v>
      </c>
      <c r="G278" s="4">
        <v>45852</v>
      </c>
      <c r="H278" s="13">
        <v>20</v>
      </c>
      <c r="I278" s="7" t="s">
        <v>649</v>
      </c>
      <c r="J278" s="7" t="s">
        <v>656</v>
      </c>
      <c r="K278" s="7" t="s">
        <v>671</v>
      </c>
      <c r="M278" s="7" t="s">
        <v>701</v>
      </c>
      <c r="N278" s="7" t="s">
        <v>711</v>
      </c>
      <c r="O278" s="7" t="s">
        <v>719</v>
      </c>
      <c r="P278" s="7" t="s">
        <v>733</v>
      </c>
      <c r="Q278" s="7" t="s">
        <v>1704</v>
      </c>
      <c r="R278" s="9">
        <v>385.08</v>
      </c>
      <c r="S278" s="9">
        <v>893.19</v>
      </c>
      <c r="T278" s="9">
        <v>893.19</v>
      </c>
      <c r="U278" s="9">
        <f t="shared" si="24"/>
        <v>867.27720000000011</v>
      </c>
      <c r="V278" s="9">
        <f t="shared" si="22"/>
        <v>1623.2048</v>
      </c>
      <c r="W278" s="9" t="str">
        <f t="shared" si="23"/>
        <v>Medium</v>
      </c>
      <c r="X278" t="s">
        <v>2065</v>
      </c>
      <c r="Y278" s="11">
        <v>0.151</v>
      </c>
      <c r="Z278" t="s">
        <v>2065</v>
      </c>
      <c r="AA278" s="13">
        <v>8</v>
      </c>
      <c r="AB278" s="9">
        <v>6066.54648</v>
      </c>
      <c r="AC278" s="9">
        <v>3080.64</v>
      </c>
      <c r="AD278" s="9">
        <v>2985.9064800000001</v>
      </c>
      <c r="AE278" s="11">
        <v>0.49219213762621666</v>
      </c>
    </row>
    <row r="279" spans="1:31" x14ac:dyDescent="0.3">
      <c r="A279" t="s">
        <v>292</v>
      </c>
      <c r="B279" s="4">
        <v>45459</v>
      </c>
      <c r="C279" s="4" t="str">
        <f t="shared" si="20"/>
        <v>Jun-2024</v>
      </c>
      <c r="D279" s="4" t="str">
        <f t="shared" si="21"/>
        <v>Q2-2024</v>
      </c>
      <c r="E279" s="4">
        <v>45476</v>
      </c>
      <c r="F279" t="s">
        <v>2064</v>
      </c>
      <c r="G279" s="4">
        <v>45476</v>
      </c>
      <c r="H279" s="13">
        <v>17</v>
      </c>
      <c r="I279" s="7" t="s">
        <v>646</v>
      </c>
      <c r="J279" s="7" t="s">
        <v>661</v>
      </c>
      <c r="K279" s="7" t="s">
        <v>682</v>
      </c>
      <c r="M279" s="7" t="s">
        <v>706</v>
      </c>
      <c r="N279" s="7" t="s">
        <v>709</v>
      </c>
      <c r="O279" s="7" t="s">
        <v>721</v>
      </c>
      <c r="P279" s="7" t="s">
        <v>730</v>
      </c>
      <c r="Q279" s="7" t="s">
        <v>1705</v>
      </c>
      <c r="R279" s="9">
        <v>1173.83</v>
      </c>
      <c r="S279" s="9">
        <v>2328.9</v>
      </c>
      <c r="T279" s="9">
        <v>2328.9</v>
      </c>
      <c r="U279" s="9">
        <f t="shared" si="24"/>
        <v>864.81540000000007</v>
      </c>
      <c r="V279" s="9">
        <f t="shared" si="22"/>
        <v>1624.5886</v>
      </c>
      <c r="W279" s="9" t="str">
        <f t="shared" si="23"/>
        <v>High</v>
      </c>
      <c r="X279" t="s">
        <v>2065</v>
      </c>
      <c r="Y279" s="11">
        <v>0.12</v>
      </c>
      <c r="Z279" t="s">
        <v>2065</v>
      </c>
      <c r="AA279" s="13">
        <v>17</v>
      </c>
      <c r="AB279" s="9">
        <v>34840.344000000005</v>
      </c>
      <c r="AC279" s="9">
        <v>19955.11</v>
      </c>
      <c r="AD279" s="9">
        <v>14885.234000000004</v>
      </c>
      <c r="AE279" s="11">
        <v>0.42724130393201637</v>
      </c>
    </row>
    <row r="280" spans="1:31" x14ac:dyDescent="0.3">
      <c r="A280" t="s">
        <v>293</v>
      </c>
      <c r="B280" s="4">
        <v>45229</v>
      </c>
      <c r="C280" s="4" t="str">
        <f t="shared" si="20"/>
        <v>Oct-2023</v>
      </c>
      <c r="D280" s="4" t="str">
        <f t="shared" si="21"/>
        <v>Q4-2023</v>
      </c>
      <c r="E280" s="4">
        <v>45244</v>
      </c>
      <c r="F280" t="s">
        <v>2064</v>
      </c>
      <c r="G280" s="4">
        <v>45244</v>
      </c>
      <c r="H280" s="13">
        <v>15</v>
      </c>
      <c r="I280" s="7" t="s">
        <v>647</v>
      </c>
      <c r="J280" s="7" t="s">
        <v>654</v>
      </c>
      <c r="K280" s="7" t="s">
        <v>668</v>
      </c>
      <c r="M280" s="7" t="s">
        <v>701</v>
      </c>
      <c r="N280" s="7" t="s">
        <v>708</v>
      </c>
      <c r="O280" s="7" t="s">
        <v>721</v>
      </c>
      <c r="P280" s="7" t="s">
        <v>731</v>
      </c>
      <c r="Q280" s="7" t="s">
        <v>1706</v>
      </c>
      <c r="R280" s="9">
        <v>953.46</v>
      </c>
      <c r="S280" s="9">
        <v>2066.75</v>
      </c>
      <c r="T280" s="9">
        <v>2066.75</v>
      </c>
      <c r="U280" s="9">
        <f t="shared" si="24"/>
        <v>862.35360000000003</v>
      </c>
      <c r="V280" s="9">
        <f t="shared" si="22"/>
        <v>1621.9023999999999</v>
      </c>
      <c r="W280" s="9" t="str">
        <f t="shared" si="23"/>
        <v>High</v>
      </c>
      <c r="X280" t="s">
        <v>2065</v>
      </c>
      <c r="Y280" s="11">
        <v>0.13800000000000001</v>
      </c>
      <c r="Z280" t="s">
        <v>2065</v>
      </c>
      <c r="AA280" s="13">
        <v>5</v>
      </c>
      <c r="AB280" s="9">
        <v>8907.6924999999992</v>
      </c>
      <c r="AC280" s="9">
        <v>4767.3</v>
      </c>
      <c r="AD280" s="9">
        <v>4140.392499999999</v>
      </c>
      <c r="AE280" s="11">
        <v>0.46481089238318446</v>
      </c>
    </row>
    <row r="281" spans="1:31" x14ac:dyDescent="0.3">
      <c r="A281" t="s">
        <v>294</v>
      </c>
      <c r="B281" s="4">
        <v>45092</v>
      </c>
      <c r="C281" s="4" t="str">
        <f t="shared" si="20"/>
        <v>Jun-2023</v>
      </c>
      <c r="D281" s="4" t="str">
        <f t="shared" si="21"/>
        <v>Q2-2023</v>
      </c>
      <c r="E281" s="4">
        <v>45100</v>
      </c>
      <c r="F281" t="s">
        <v>2064</v>
      </c>
      <c r="G281" s="4">
        <v>45100</v>
      </c>
      <c r="H281" s="13">
        <v>8</v>
      </c>
      <c r="I281" s="7" t="s">
        <v>648</v>
      </c>
      <c r="J281" s="7" t="s">
        <v>1425</v>
      </c>
      <c r="K281" s="7" t="s">
        <v>686</v>
      </c>
      <c r="M281" s="7" t="s">
        <v>704</v>
      </c>
      <c r="N281" s="7" t="s">
        <v>710</v>
      </c>
      <c r="O281" s="7" t="s">
        <v>719</v>
      </c>
      <c r="P281" s="7" t="s">
        <v>732</v>
      </c>
      <c r="Q281" s="7" t="s">
        <v>1707</v>
      </c>
      <c r="R281" s="9">
        <v>1097.0899999999999</v>
      </c>
      <c r="S281" s="9">
        <v>2182.31</v>
      </c>
      <c r="T281" s="9">
        <v>2182.31</v>
      </c>
      <c r="U281" s="9">
        <f t="shared" si="24"/>
        <v>857.91810000000021</v>
      </c>
      <c r="V281" s="9">
        <f t="shared" si="22"/>
        <v>1619.665</v>
      </c>
      <c r="W281" s="9" t="str">
        <f t="shared" si="23"/>
        <v>High</v>
      </c>
      <c r="X281" t="s">
        <v>2065</v>
      </c>
      <c r="Y281" s="11">
        <v>0.112</v>
      </c>
      <c r="Z281" t="s">
        <v>2065</v>
      </c>
      <c r="AA281" s="13">
        <v>9</v>
      </c>
      <c r="AB281" s="9">
        <v>17441.021520000002</v>
      </c>
      <c r="AC281" s="9">
        <v>9873.81</v>
      </c>
      <c r="AD281" s="9">
        <v>7567.2115200000026</v>
      </c>
      <c r="AE281" s="11">
        <v>0.43387432962699546</v>
      </c>
    </row>
    <row r="282" spans="1:31" x14ac:dyDescent="0.3">
      <c r="A282" t="s">
        <v>295</v>
      </c>
      <c r="B282" s="4">
        <v>45730</v>
      </c>
      <c r="C282" s="4" t="str">
        <f t="shared" si="20"/>
        <v>Mar-2025</v>
      </c>
      <c r="D282" s="4" t="str">
        <f t="shared" si="21"/>
        <v>Q1-2025</v>
      </c>
      <c r="E282" s="4">
        <v>45745</v>
      </c>
      <c r="F282" t="s">
        <v>2064</v>
      </c>
      <c r="G282" s="4">
        <v>45745</v>
      </c>
      <c r="H282" s="13">
        <v>15</v>
      </c>
      <c r="I282" s="7" t="s">
        <v>647</v>
      </c>
      <c r="J282" s="7" t="s">
        <v>652</v>
      </c>
      <c r="K282" s="7" t="s">
        <v>689</v>
      </c>
      <c r="M282" s="7" t="s">
        <v>703</v>
      </c>
      <c r="N282" s="7" t="s">
        <v>711</v>
      </c>
      <c r="O282" s="7" t="s">
        <v>722</v>
      </c>
      <c r="P282" s="7" t="s">
        <v>729</v>
      </c>
      <c r="Q282" s="7" t="s">
        <v>1708</v>
      </c>
      <c r="R282" s="9">
        <v>1106.96</v>
      </c>
      <c r="S282" s="9">
        <v>2726.62</v>
      </c>
      <c r="T282" s="9">
        <v>2726.62</v>
      </c>
      <c r="U282" s="9">
        <f t="shared" si="24"/>
        <v>851.625</v>
      </c>
      <c r="V282" s="9">
        <f t="shared" si="22"/>
        <v>1617.85</v>
      </c>
      <c r="W282" s="9" t="str">
        <f t="shared" si="23"/>
        <v>High</v>
      </c>
      <c r="X282" t="s">
        <v>2065</v>
      </c>
      <c r="Y282" s="11">
        <v>0.317</v>
      </c>
      <c r="Z282" t="s">
        <v>2067</v>
      </c>
      <c r="AA282" s="13">
        <v>7</v>
      </c>
      <c r="AB282" s="9">
        <v>13035.970220000001</v>
      </c>
      <c r="AC282" s="9">
        <v>7748.72</v>
      </c>
      <c r="AD282" s="9">
        <v>5287.2502200000008</v>
      </c>
      <c r="AE282" s="11">
        <v>0.40558931408789306</v>
      </c>
    </row>
    <row r="283" spans="1:31" x14ac:dyDescent="0.3">
      <c r="A283" t="s">
        <v>296</v>
      </c>
      <c r="B283" s="4">
        <v>45153</v>
      </c>
      <c r="C283" s="4" t="str">
        <f t="shared" si="20"/>
        <v>Aug-2023</v>
      </c>
      <c r="D283" s="4" t="str">
        <f t="shared" si="21"/>
        <v>Q3-2023</v>
      </c>
      <c r="E283" s="4">
        <v>45163</v>
      </c>
      <c r="F283" t="s">
        <v>2064</v>
      </c>
      <c r="G283" s="4">
        <v>45163</v>
      </c>
      <c r="H283" s="13">
        <v>10</v>
      </c>
      <c r="I283" s="7" t="s">
        <v>646</v>
      </c>
      <c r="J283" s="7" t="s">
        <v>650</v>
      </c>
      <c r="K283" s="7" t="s">
        <v>664</v>
      </c>
      <c r="M283" s="7" t="s">
        <v>705</v>
      </c>
      <c r="N283" s="7" t="s">
        <v>707</v>
      </c>
      <c r="O283" s="7" t="s">
        <v>725</v>
      </c>
      <c r="P283" s="7" t="s">
        <v>730</v>
      </c>
      <c r="Q283" s="7" t="s">
        <v>1709</v>
      </c>
      <c r="R283" s="9">
        <v>91.85</v>
      </c>
      <c r="S283" s="9">
        <v>111.29</v>
      </c>
      <c r="T283" s="9">
        <v>111.29</v>
      </c>
      <c r="U283" s="9">
        <f t="shared" si="24"/>
        <v>845.33190000000002</v>
      </c>
      <c r="V283" s="9">
        <f t="shared" si="22"/>
        <v>1603.1122</v>
      </c>
      <c r="W283" s="9" t="str">
        <f t="shared" si="23"/>
        <v>Low</v>
      </c>
      <c r="X283" t="s">
        <v>2065</v>
      </c>
      <c r="Y283" s="11">
        <v>0</v>
      </c>
      <c r="Z283" t="s">
        <v>2065</v>
      </c>
      <c r="AA283" s="13">
        <v>6</v>
      </c>
      <c r="AB283" s="9">
        <v>667.74</v>
      </c>
      <c r="AC283" s="9">
        <v>551.09999999999991</v>
      </c>
      <c r="AD283" s="9">
        <v>116.6400000000001</v>
      </c>
      <c r="AE283" s="11">
        <v>0.17467876718483258</v>
      </c>
    </row>
    <row r="284" spans="1:31" x14ac:dyDescent="0.3">
      <c r="A284" t="s">
        <v>297</v>
      </c>
      <c r="B284" s="4">
        <v>45794</v>
      </c>
      <c r="C284" s="4" t="str">
        <f t="shared" si="20"/>
        <v>May-2025</v>
      </c>
      <c r="D284" s="4" t="str">
        <f t="shared" si="21"/>
        <v>Q2-2025</v>
      </c>
      <c r="E284" s="4">
        <v>45805</v>
      </c>
      <c r="F284" t="s">
        <v>2064</v>
      </c>
      <c r="G284" s="4">
        <v>45805</v>
      </c>
      <c r="H284" s="13">
        <v>11</v>
      </c>
      <c r="I284" s="7" t="s">
        <v>647</v>
      </c>
      <c r="J284" s="7" t="s">
        <v>654</v>
      </c>
      <c r="K284" s="7" t="s">
        <v>668</v>
      </c>
      <c r="M284" s="7" t="s">
        <v>701</v>
      </c>
      <c r="N284" s="7" t="s">
        <v>710</v>
      </c>
      <c r="O284" s="7" t="s">
        <v>717</v>
      </c>
      <c r="P284" s="7" t="s">
        <v>731</v>
      </c>
      <c r="Q284" s="7" t="s">
        <v>1710</v>
      </c>
      <c r="R284" s="9">
        <v>623.4</v>
      </c>
      <c r="S284" s="9">
        <v>1100.0899999999999</v>
      </c>
      <c r="T284" s="9">
        <v>1100.0899999999999</v>
      </c>
      <c r="U284" s="9">
        <f t="shared" si="24"/>
        <v>858.10880000000009</v>
      </c>
      <c r="V284" s="9">
        <f t="shared" si="22"/>
        <v>1610.7044000000001</v>
      </c>
      <c r="W284" s="9" t="str">
        <f t="shared" si="23"/>
        <v>Medium</v>
      </c>
      <c r="X284" t="s">
        <v>2065</v>
      </c>
      <c r="Y284" s="11">
        <v>0.114</v>
      </c>
      <c r="Z284" t="s">
        <v>2065</v>
      </c>
      <c r="AA284" s="13">
        <v>12</v>
      </c>
      <c r="AB284" s="9">
        <v>11696.156879999999</v>
      </c>
      <c r="AC284" s="9">
        <v>7480.7999999999993</v>
      </c>
      <c r="AD284" s="9">
        <v>4215.3568799999994</v>
      </c>
      <c r="AE284" s="11">
        <v>0.36040529579490388</v>
      </c>
    </row>
    <row r="285" spans="1:31" x14ac:dyDescent="0.3">
      <c r="A285" t="s">
        <v>298</v>
      </c>
      <c r="B285" s="4">
        <v>45304</v>
      </c>
      <c r="C285" s="4" t="str">
        <f t="shared" si="20"/>
        <v>Jan-2024</v>
      </c>
      <c r="D285" s="4" t="str">
        <f t="shared" si="21"/>
        <v>Q1-2024</v>
      </c>
      <c r="E285" s="4">
        <v>45327</v>
      </c>
      <c r="F285" t="s">
        <v>2064</v>
      </c>
      <c r="G285" s="4">
        <v>45327</v>
      </c>
      <c r="H285" s="13">
        <v>23</v>
      </c>
      <c r="I285" s="7" t="s">
        <v>649</v>
      </c>
      <c r="J285" s="7" t="s">
        <v>656</v>
      </c>
      <c r="K285" s="7" t="s">
        <v>698</v>
      </c>
      <c r="M285" s="7" t="s">
        <v>702</v>
      </c>
      <c r="N285" s="7" t="s">
        <v>711</v>
      </c>
      <c r="O285" s="7" t="s">
        <v>717</v>
      </c>
      <c r="P285" s="7" t="s">
        <v>731</v>
      </c>
      <c r="Q285" s="7" t="s">
        <v>1711</v>
      </c>
      <c r="R285" s="9">
        <v>1017.93</v>
      </c>
      <c r="S285" s="9">
        <v>1529.14</v>
      </c>
      <c r="T285" s="9">
        <v>1529.14</v>
      </c>
      <c r="U285" s="9">
        <f t="shared" si="24"/>
        <v>851.81570000000011</v>
      </c>
      <c r="V285" s="9">
        <f t="shared" si="22"/>
        <v>1617.905</v>
      </c>
      <c r="W285" s="9" t="str">
        <f t="shared" si="23"/>
        <v>Medium</v>
      </c>
      <c r="X285" t="s">
        <v>2065</v>
      </c>
      <c r="Y285" s="11">
        <v>0.155</v>
      </c>
      <c r="Z285" t="s">
        <v>2065</v>
      </c>
      <c r="AA285" s="13">
        <v>12</v>
      </c>
      <c r="AB285" s="9">
        <v>15505.479600000001</v>
      </c>
      <c r="AC285" s="9">
        <v>12215.16</v>
      </c>
      <c r="AD285" s="9">
        <v>3290.3196000000007</v>
      </c>
      <c r="AE285" s="11">
        <v>0.21220366508366503</v>
      </c>
    </row>
    <row r="286" spans="1:31" x14ac:dyDescent="0.3">
      <c r="A286" t="s">
        <v>299</v>
      </c>
      <c r="B286" s="4">
        <v>45101</v>
      </c>
      <c r="C286" s="4" t="str">
        <f t="shared" si="20"/>
        <v>Jun-2023</v>
      </c>
      <c r="D286" s="4" t="str">
        <f t="shared" si="21"/>
        <v>Q2-2023</v>
      </c>
      <c r="E286" s="4">
        <v>45128</v>
      </c>
      <c r="F286" t="s">
        <v>2064</v>
      </c>
      <c r="G286" s="4">
        <v>45128</v>
      </c>
      <c r="H286" s="13">
        <v>27</v>
      </c>
      <c r="I286" s="7" t="s">
        <v>647</v>
      </c>
      <c r="J286" s="7" t="s">
        <v>652</v>
      </c>
      <c r="K286" s="7" t="s">
        <v>694</v>
      </c>
      <c r="M286" s="7" t="s">
        <v>704</v>
      </c>
      <c r="N286" s="7" t="s">
        <v>709</v>
      </c>
      <c r="O286" s="7" t="s">
        <v>713</v>
      </c>
      <c r="P286" s="7" t="s">
        <v>730</v>
      </c>
      <c r="Q286" s="7" t="s">
        <v>1712</v>
      </c>
      <c r="R286" s="9">
        <v>554.76</v>
      </c>
      <c r="S286" s="9">
        <v>728.69</v>
      </c>
      <c r="T286" s="9">
        <v>728.69</v>
      </c>
      <c r="U286" s="9">
        <f t="shared" si="24"/>
        <v>845.52260000000012</v>
      </c>
      <c r="V286" s="9">
        <f t="shared" si="22"/>
        <v>1618.84</v>
      </c>
      <c r="W286" s="9" t="str">
        <f t="shared" si="23"/>
        <v>Low</v>
      </c>
      <c r="X286" t="s">
        <v>2065</v>
      </c>
      <c r="Y286" s="11">
        <v>0.22</v>
      </c>
      <c r="Z286" t="s">
        <v>2065</v>
      </c>
      <c r="AA286" s="13">
        <v>7</v>
      </c>
      <c r="AB286" s="9">
        <v>3978.6474000000003</v>
      </c>
      <c r="AC286" s="9">
        <v>3883.3199999999997</v>
      </c>
      <c r="AD286" s="9">
        <v>95.32740000000058</v>
      </c>
      <c r="AE286" s="11">
        <v>2.395975074343119E-2</v>
      </c>
    </row>
    <row r="287" spans="1:31" x14ac:dyDescent="0.3">
      <c r="A287" t="s">
        <v>300</v>
      </c>
      <c r="B287" s="4">
        <v>45751</v>
      </c>
      <c r="C287" s="4" t="str">
        <f t="shared" si="20"/>
        <v>Apr-2025</v>
      </c>
      <c r="D287" s="4" t="str">
        <f t="shared" si="21"/>
        <v>Q2-2025</v>
      </c>
      <c r="E287" s="4">
        <v>45760</v>
      </c>
      <c r="F287" t="s">
        <v>2064</v>
      </c>
      <c r="G287" s="4">
        <v>45760</v>
      </c>
      <c r="H287" s="13">
        <v>9</v>
      </c>
      <c r="I287" s="7" t="s">
        <v>649</v>
      </c>
      <c r="J287" s="7" t="s">
        <v>656</v>
      </c>
      <c r="K287" s="7" t="s">
        <v>684</v>
      </c>
      <c r="M287" s="7" t="s">
        <v>704</v>
      </c>
      <c r="N287" s="7" t="s">
        <v>709</v>
      </c>
      <c r="O287" s="7" t="s">
        <v>721</v>
      </c>
      <c r="P287" s="7" t="s">
        <v>730</v>
      </c>
      <c r="Q287" s="7" t="s">
        <v>1713</v>
      </c>
      <c r="R287" s="9">
        <v>7.02</v>
      </c>
      <c r="S287" s="9">
        <v>6.28</v>
      </c>
      <c r="T287" s="9">
        <v>6.28</v>
      </c>
      <c r="U287" s="9">
        <f t="shared" si="24"/>
        <v>858.29950000000019</v>
      </c>
      <c r="V287" s="9">
        <f t="shared" si="22"/>
        <v>1619.7749999999999</v>
      </c>
      <c r="W287" s="9" t="str">
        <f t="shared" si="23"/>
        <v>Low</v>
      </c>
      <c r="X287" t="s">
        <v>2065</v>
      </c>
      <c r="Y287" s="11">
        <v>0.13400000000000001</v>
      </c>
      <c r="Z287" t="s">
        <v>2065</v>
      </c>
      <c r="AA287" s="13">
        <v>14</v>
      </c>
      <c r="AB287" s="9">
        <v>76.138720000000006</v>
      </c>
      <c r="AC287" s="9">
        <v>98.28</v>
      </c>
      <c r="AD287" s="9">
        <v>-22.141279999999995</v>
      </c>
      <c r="AE287" s="11">
        <v>-0.29080184169106066</v>
      </c>
    </row>
    <row r="288" spans="1:31" x14ac:dyDescent="0.3">
      <c r="A288" t="s">
        <v>301</v>
      </c>
      <c r="B288" s="4">
        <v>45542</v>
      </c>
      <c r="C288" s="4" t="str">
        <f t="shared" si="20"/>
        <v>Sep-2024</v>
      </c>
      <c r="D288" s="4" t="str">
        <f t="shared" si="21"/>
        <v>Q3-2024</v>
      </c>
      <c r="E288" s="4">
        <v>45542</v>
      </c>
      <c r="F288" t="s">
        <v>2064</v>
      </c>
      <c r="G288" s="4">
        <v>45542</v>
      </c>
      <c r="H288" s="13">
        <v>0</v>
      </c>
      <c r="I288" s="7" t="s">
        <v>647</v>
      </c>
      <c r="J288" s="7" t="s">
        <v>654</v>
      </c>
      <c r="K288" s="7" t="s">
        <v>691</v>
      </c>
      <c r="M288" s="7" t="s">
        <v>702</v>
      </c>
      <c r="N288" s="7" t="s">
        <v>710</v>
      </c>
      <c r="O288" s="7" t="s">
        <v>717</v>
      </c>
      <c r="P288" s="7" t="s">
        <v>729</v>
      </c>
      <c r="Q288" s="7" t="s">
        <v>1714</v>
      </c>
      <c r="R288" s="9">
        <v>1066.6500000000001</v>
      </c>
      <c r="S288" s="9">
        <v>2569.77</v>
      </c>
      <c r="T288" s="9">
        <v>2569.77</v>
      </c>
      <c r="U288" s="9">
        <f t="shared" si="24"/>
        <v>865.03920000000005</v>
      </c>
      <c r="V288" s="9">
        <f t="shared" si="22"/>
        <v>1620.7628</v>
      </c>
      <c r="W288" s="9" t="str">
        <f t="shared" si="23"/>
        <v>High</v>
      </c>
      <c r="X288" t="s">
        <v>2065</v>
      </c>
      <c r="Y288" s="11">
        <v>0.13400000000000001</v>
      </c>
      <c r="Z288" t="s">
        <v>2065</v>
      </c>
      <c r="AA288" s="13">
        <v>9</v>
      </c>
      <c r="AB288" s="9">
        <v>20028.787380000002</v>
      </c>
      <c r="AC288" s="9">
        <v>9599.85</v>
      </c>
      <c r="AD288" s="9">
        <v>10428.937380000001</v>
      </c>
      <c r="AE288" s="11">
        <v>0.52069739331368348</v>
      </c>
    </row>
    <row r="289" spans="1:31" x14ac:dyDescent="0.3">
      <c r="A289" t="s">
        <v>302</v>
      </c>
      <c r="B289" s="4">
        <v>45319</v>
      </c>
      <c r="C289" s="4" t="str">
        <f t="shared" si="20"/>
        <v>Jan-2024</v>
      </c>
      <c r="D289" s="4" t="str">
        <f t="shared" si="21"/>
        <v>Q1-2024</v>
      </c>
      <c r="E289" s="4">
        <v>45321</v>
      </c>
      <c r="F289" t="s">
        <v>2064</v>
      </c>
      <c r="G289" s="4">
        <v>45321</v>
      </c>
      <c r="H289" s="13">
        <v>2</v>
      </c>
      <c r="I289" s="7" t="s">
        <v>646</v>
      </c>
      <c r="J289" s="7" t="s">
        <v>661</v>
      </c>
      <c r="K289" s="7" t="s">
        <v>695</v>
      </c>
      <c r="M289" s="7" t="s">
        <v>704</v>
      </c>
      <c r="N289" s="7" t="s">
        <v>711</v>
      </c>
      <c r="O289" s="7" t="s">
        <v>721</v>
      </c>
      <c r="P289" s="7" t="s">
        <v>733</v>
      </c>
      <c r="Q289" s="7" t="s">
        <v>1715</v>
      </c>
      <c r="R289" s="9">
        <v>798.45</v>
      </c>
      <c r="S289" s="9">
        <v>1592.02</v>
      </c>
      <c r="T289" s="9">
        <v>1592.02</v>
      </c>
      <c r="U289" s="9">
        <f t="shared" si="24"/>
        <v>862.57740000000001</v>
      </c>
      <c r="V289" s="9">
        <f t="shared" si="22"/>
        <v>1618.895</v>
      </c>
      <c r="W289" s="9" t="str">
        <f t="shared" si="23"/>
        <v>Medium</v>
      </c>
      <c r="X289" t="s">
        <v>2065</v>
      </c>
      <c r="Y289" s="11">
        <v>6.6000000000000003E-2</v>
      </c>
      <c r="Z289" t="s">
        <v>2065</v>
      </c>
      <c r="AA289" s="13">
        <v>18</v>
      </c>
      <c r="AB289" s="9">
        <v>26765.040239999998</v>
      </c>
      <c r="AC289" s="9">
        <v>14372.1</v>
      </c>
      <c r="AD289" s="9">
        <v>12392.940239999998</v>
      </c>
      <c r="AE289" s="11">
        <v>0.46302714768494585</v>
      </c>
    </row>
    <row r="290" spans="1:31" x14ac:dyDescent="0.3">
      <c r="A290" t="s">
        <v>303</v>
      </c>
      <c r="B290" s="4">
        <v>45125</v>
      </c>
      <c r="C290" s="4" t="str">
        <f t="shared" si="20"/>
        <v>Jul-2023</v>
      </c>
      <c r="D290" s="4" t="str">
        <f t="shared" si="21"/>
        <v>Q3-2023</v>
      </c>
      <c r="E290" s="4">
        <v>45148</v>
      </c>
      <c r="F290" t="s">
        <v>2064</v>
      </c>
      <c r="G290" s="4">
        <v>45148</v>
      </c>
      <c r="H290" s="13">
        <v>23</v>
      </c>
      <c r="I290" s="7" t="s">
        <v>646</v>
      </c>
      <c r="J290" s="7" t="s">
        <v>661</v>
      </c>
      <c r="K290" s="7" t="s">
        <v>682</v>
      </c>
      <c r="M290" s="7" t="s">
        <v>705</v>
      </c>
      <c r="N290" s="7" t="s">
        <v>707</v>
      </c>
      <c r="O290" s="7" t="s">
        <v>716</v>
      </c>
      <c r="P290" s="7" t="s">
        <v>727</v>
      </c>
      <c r="Q290" s="7" t="s">
        <v>1716</v>
      </c>
      <c r="R290" s="9">
        <v>1271.56</v>
      </c>
      <c r="S290" s="9">
        <v>995.47</v>
      </c>
      <c r="T290" s="9">
        <v>995.47</v>
      </c>
      <c r="U290" s="9">
        <f t="shared" si="24"/>
        <v>858.49019999999996</v>
      </c>
      <c r="V290" s="9">
        <f t="shared" si="22"/>
        <v>1619.83</v>
      </c>
      <c r="W290" s="9" t="str">
        <f t="shared" si="23"/>
        <v>Medium</v>
      </c>
      <c r="X290" t="s">
        <v>2065</v>
      </c>
      <c r="Y290" s="11">
        <v>0.192</v>
      </c>
      <c r="Z290" t="s">
        <v>2065</v>
      </c>
      <c r="AA290" s="13">
        <v>13</v>
      </c>
      <c r="AB290" s="9">
        <v>10456.416880000001</v>
      </c>
      <c r="AC290" s="9">
        <v>16530.28</v>
      </c>
      <c r="AD290" s="9">
        <v>-6073.8631199999982</v>
      </c>
      <c r="AE290" s="11">
        <v>-0.58087423155607754</v>
      </c>
    </row>
    <row r="291" spans="1:31" x14ac:dyDescent="0.3">
      <c r="A291" t="s">
        <v>304</v>
      </c>
      <c r="B291" s="4">
        <v>45897</v>
      </c>
      <c r="C291" s="4" t="str">
        <f t="shared" si="20"/>
        <v>Aug-2025</v>
      </c>
      <c r="D291" s="4" t="str">
        <f t="shared" si="21"/>
        <v>Q3-2025</v>
      </c>
      <c r="E291" s="4">
        <v>45895</v>
      </c>
      <c r="F291" t="s">
        <v>2066</v>
      </c>
      <c r="G291" s="4">
        <v>45897</v>
      </c>
      <c r="H291" s="13">
        <v>0</v>
      </c>
      <c r="I291" s="7" t="s">
        <v>646</v>
      </c>
      <c r="J291" s="7" t="s">
        <v>651</v>
      </c>
      <c r="K291" s="7" t="s">
        <v>663</v>
      </c>
      <c r="M291" s="7" t="s">
        <v>705</v>
      </c>
      <c r="N291" s="7" t="s">
        <v>707</v>
      </c>
      <c r="O291" s="7" t="s">
        <v>720</v>
      </c>
      <c r="P291" s="7" t="s">
        <v>733</v>
      </c>
      <c r="Q291" s="7" t="s">
        <v>1717</v>
      </c>
      <c r="R291" s="9">
        <v>521.05999999999995</v>
      </c>
      <c r="S291" s="9">
        <v>1240.31</v>
      </c>
      <c r="T291" s="9">
        <v>1240.31</v>
      </c>
      <c r="U291" s="9">
        <f t="shared" si="24"/>
        <v>852.19709999999998</v>
      </c>
      <c r="V291" s="9">
        <f t="shared" si="22"/>
        <v>1620.8442</v>
      </c>
      <c r="W291" s="9" t="str">
        <f t="shared" si="23"/>
        <v>Medium</v>
      </c>
      <c r="X291" t="s">
        <v>2065</v>
      </c>
      <c r="Y291" s="11">
        <v>0.14599999999999999</v>
      </c>
      <c r="Z291" t="s">
        <v>2065</v>
      </c>
      <c r="AA291" s="13">
        <v>18</v>
      </c>
      <c r="AB291" s="9">
        <v>19066.045319999997</v>
      </c>
      <c r="AC291" s="9">
        <v>9379.0799999999981</v>
      </c>
      <c r="AD291" s="9">
        <v>9686.9653199999993</v>
      </c>
      <c r="AE291" s="11">
        <v>0.50807417885650974</v>
      </c>
    </row>
    <row r="292" spans="1:31" x14ac:dyDescent="0.3">
      <c r="A292" t="s">
        <v>305</v>
      </c>
      <c r="B292" s="4">
        <v>45746</v>
      </c>
      <c r="C292" s="4" t="str">
        <f t="shared" si="20"/>
        <v>Mar-2025</v>
      </c>
      <c r="D292" s="4" t="str">
        <f t="shared" si="21"/>
        <v>Q1-2025</v>
      </c>
      <c r="E292" s="4">
        <v>45754</v>
      </c>
      <c r="F292" t="s">
        <v>2064</v>
      </c>
      <c r="G292" s="4">
        <v>45754</v>
      </c>
      <c r="H292" s="13">
        <v>8</v>
      </c>
      <c r="I292" s="7" t="s">
        <v>648</v>
      </c>
      <c r="J292" s="7" t="s">
        <v>655</v>
      </c>
      <c r="K292" s="7" t="s">
        <v>670</v>
      </c>
      <c r="M292" s="7" t="s">
        <v>703</v>
      </c>
      <c r="N292" s="7" t="s">
        <v>711</v>
      </c>
      <c r="O292" s="7" t="s">
        <v>716</v>
      </c>
      <c r="P292" s="7" t="s">
        <v>728</v>
      </c>
      <c r="Q292" s="7" t="s">
        <v>1718</v>
      </c>
      <c r="R292" s="9">
        <v>71.62</v>
      </c>
      <c r="S292" s="9">
        <v>118.37</v>
      </c>
      <c r="T292" s="9">
        <v>118.37</v>
      </c>
      <c r="U292" s="9">
        <f t="shared" si="24"/>
        <v>845.90400000000011</v>
      </c>
      <c r="V292" s="9">
        <f t="shared" si="22"/>
        <v>1622.2280000000001</v>
      </c>
      <c r="W292" s="9" t="str">
        <f t="shared" si="23"/>
        <v>Low</v>
      </c>
      <c r="X292" t="s">
        <v>2065</v>
      </c>
      <c r="Y292" s="11">
        <v>0.156</v>
      </c>
      <c r="Z292" t="s">
        <v>2065</v>
      </c>
      <c r="AA292" s="13">
        <v>11</v>
      </c>
      <c r="AB292" s="9">
        <v>1098.9470800000001</v>
      </c>
      <c r="AC292" s="9">
        <v>787.82</v>
      </c>
      <c r="AD292" s="9">
        <v>311.12708000000009</v>
      </c>
      <c r="AE292" s="11">
        <v>0.28311379652603474</v>
      </c>
    </row>
    <row r="293" spans="1:31" x14ac:dyDescent="0.3">
      <c r="A293" t="s">
        <v>306</v>
      </c>
      <c r="B293" s="4">
        <v>45220</v>
      </c>
      <c r="C293" s="4" t="str">
        <f t="shared" si="20"/>
        <v>Oct-2023</v>
      </c>
      <c r="D293" s="4" t="str">
        <f t="shared" si="21"/>
        <v>Q4-2023</v>
      </c>
      <c r="E293" s="4">
        <v>45239</v>
      </c>
      <c r="F293" t="s">
        <v>2064</v>
      </c>
      <c r="G293" s="4">
        <v>45239</v>
      </c>
      <c r="H293" s="13">
        <v>19</v>
      </c>
      <c r="I293" s="7" t="s">
        <v>649</v>
      </c>
      <c r="J293" s="7" t="s">
        <v>658</v>
      </c>
      <c r="K293" s="7" t="s">
        <v>683</v>
      </c>
      <c r="M293" s="7" t="s">
        <v>703</v>
      </c>
      <c r="N293" s="7" t="s">
        <v>711</v>
      </c>
      <c r="O293" s="7" t="s">
        <v>720</v>
      </c>
      <c r="P293" s="7" t="s">
        <v>733</v>
      </c>
      <c r="Q293" s="7" t="s">
        <v>1719</v>
      </c>
      <c r="R293" s="9">
        <v>1142.48</v>
      </c>
      <c r="S293" s="9">
        <v>2105.5300000000002</v>
      </c>
      <c r="T293" s="9">
        <v>2105.5300000000002</v>
      </c>
      <c r="U293" s="9">
        <f t="shared" si="24"/>
        <v>858.68090000000007</v>
      </c>
      <c r="V293" s="9">
        <f t="shared" si="22"/>
        <v>1623.6118000000001</v>
      </c>
      <c r="W293" s="9" t="str">
        <f t="shared" si="23"/>
        <v>High</v>
      </c>
      <c r="X293" t="s">
        <v>2065</v>
      </c>
      <c r="Y293" s="11">
        <v>0.20699999999999999</v>
      </c>
      <c r="Z293" t="s">
        <v>2065</v>
      </c>
      <c r="AA293" s="13">
        <v>14</v>
      </c>
      <c r="AB293" s="9">
        <v>23375.594060000003</v>
      </c>
      <c r="AC293" s="9">
        <v>15994.720000000001</v>
      </c>
      <c r="AD293" s="9">
        <v>7380.8740600000019</v>
      </c>
      <c r="AE293" s="11">
        <v>0.31575129346680658</v>
      </c>
    </row>
    <row r="294" spans="1:31" x14ac:dyDescent="0.3">
      <c r="A294" t="s">
        <v>307</v>
      </c>
      <c r="B294" s="4">
        <v>45161</v>
      </c>
      <c r="C294" s="4" t="str">
        <f t="shared" si="20"/>
        <v>Aug-2023</v>
      </c>
      <c r="D294" s="4" t="str">
        <f t="shared" si="21"/>
        <v>Q3-2023</v>
      </c>
      <c r="E294" s="4">
        <v>45191</v>
      </c>
      <c r="F294" t="s">
        <v>2064</v>
      </c>
      <c r="G294" s="4">
        <v>45191</v>
      </c>
      <c r="H294" s="13">
        <v>30</v>
      </c>
      <c r="I294" s="7" t="s">
        <v>649</v>
      </c>
      <c r="J294" s="7" t="s">
        <v>658</v>
      </c>
      <c r="K294" s="7" t="s">
        <v>683</v>
      </c>
      <c r="M294" s="7" t="s">
        <v>704</v>
      </c>
      <c r="N294" s="7" t="s">
        <v>710</v>
      </c>
      <c r="O294" s="7" t="s">
        <v>719</v>
      </c>
      <c r="P294" s="7" t="s">
        <v>733</v>
      </c>
      <c r="Q294" s="7" t="s">
        <v>1720</v>
      </c>
      <c r="R294" s="9">
        <v>209.81</v>
      </c>
      <c r="S294" s="9">
        <v>523</v>
      </c>
      <c r="T294" s="9">
        <v>523</v>
      </c>
      <c r="U294" s="9">
        <f t="shared" si="24"/>
        <v>852.38780000000008</v>
      </c>
      <c r="V294" s="9">
        <f t="shared" si="22"/>
        <v>1620.9256</v>
      </c>
      <c r="W294" s="9" t="str">
        <f t="shared" si="23"/>
        <v>Low</v>
      </c>
      <c r="X294" t="s">
        <v>2065</v>
      </c>
      <c r="Y294" s="11">
        <v>5.8999999999999997E-2</v>
      </c>
      <c r="Z294" t="s">
        <v>2065</v>
      </c>
      <c r="AA294" s="13">
        <v>15</v>
      </c>
      <c r="AB294" s="9">
        <v>7382.1450000000004</v>
      </c>
      <c r="AC294" s="9">
        <v>3147.15</v>
      </c>
      <c r="AD294" s="9">
        <v>4234.9950000000008</v>
      </c>
      <c r="AE294" s="11">
        <v>0.57368082041195356</v>
      </c>
    </row>
    <row r="295" spans="1:31" x14ac:dyDescent="0.3">
      <c r="A295" t="s">
        <v>308</v>
      </c>
      <c r="B295" s="4">
        <v>45758</v>
      </c>
      <c r="C295" s="4" t="str">
        <f t="shared" si="20"/>
        <v>Apr-2025</v>
      </c>
      <c r="D295" s="4" t="str">
        <f t="shared" si="21"/>
        <v>Q2-2025</v>
      </c>
      <c r="E295" s="4">
        <v>45781</v>
      </c>
      <c r="F295" t="s">
        <v>2064</v>
      </c>
      <c r="G295" s="4">
        <v>45781</v>
      </c>
      <c r="H295" s="13">
        <v>23</v>
      </c>
      <c r="I295" s="7" t="s">
        <v>647</v>
      </c>
      <c r="J295" s="7" t="s">
        <v>652</v>
      </c>
      <c r="K295" s="7" t="s">
        <v>666</v>
      </c>
      <c r="M295" s="7" t="s">
        <v>705</v>
      </c>
      <c r="N295" s="7" t="s">
        <v>708</v>
      </c>
      <c r="O295" s="7" t="s">
        <v>724</v>
      </c>
      <c r="P295" s="7" t="s">
        <v>727</v>
      </c>
      <c r="Q295" s="7" t="s">
        <v>1721</v>
      </c>
      <c r="R295" s="9">
        <v>786.2</v>
      </c>
      <c r="S295" s="9">
        <v>1075.3</v>
      </c>
      <c r="T295" s="9">
        <v>1075.3</v>
      </c>
      <c r="U295" s="9">
        <f t="shared" si="24"/>
        <v>862.72660000000008</v>
      </c>
      <c r="V295" s="9">
        <f t="shared" si="22"/>
        <v>1622.3094000000001</v>
      </c>
      <c r="W295" s="9" t="str">
        <f t="shared" si="23"/>
        <v>Medium</v>
      </c>
      <c r="X295" t="s">
        <v>2065</v>
      </c>
      <c r="Y295" s="11">
        <v>0.08</v>
      </c>
      <c r="Z295" t="s">
        <v>2065</v>
      </c>
      <c r="AA295" s="13">
        <v>9</v>
      </c>
      <c r="AB295" s="9">
        <v>8903.4839999999986</v>
      </c>
      <c r="AC295" s="9">
        <v>7075.8</v>
      </c>
      <c r="AD295" s="9">
        <v>1827.6839999999984</v>
      </c>
      <c r="AE295" s="11">
        <v>0.20527739478163815</v>
      </c>
    </row>
    <row r="296" spans="1:31" x14ac:dyDescent="0.3">
      <c r="A296" t="s">
        <v>309</v>
      </c>
      <c r="B296" s="4">
        <v>45809</v>
      </c>
      <c r="C296" s="4" t="str">
        <f t="shared" si="20"/>
        <v>Jun-2025</v>
      </c>
      <c r="D296" s="4" t="str">
        <f t="shared" si="21"/>
        <v>Q2-2025</v>
      </c>
      <c r="E296" s="4">
        <v>45835</v>
      </c>
      <c r="F296" t="s">
        <v>2064</v>
      </c>
      <c r="G296" s="4">
        <v>45835</v>
      </c>
      <c r="H296" s="13">
        <v>26</v>
      </c>
      <c r="I296" s="7" t="s">
        <v>649</v>
      </c>
      <c r="J296" s="7" t="s">
        <v>656</v>
      </c>
      <c r="K296" s="7" t="s">
        <v>684</v>
      </c>
      <c r="M296" s="7" t="s">
        <v>704</v>
      </c>
      <c r="N296" s="7" t="s">
        <v>710</v>
      </c>
      <c r="O296" s="7" t="s">
        <v>718</v>
      </c>
      <c r="P296" s="7" t="s">
        <v>731</v>
      </c>
      <c r="Q296" s="7" t="s">
        <v>1722</v>
      </c>
      <c r="R296" s="9">
        <v>1362.31</v>
      </c>
      <c r="S296" s="9">
        <v>3294.57</v>
      </c>
      <c r="T296" s="9">
        <v>3294.57</v>
      </c>
      <c r="U296" s="9">
        <f t="shared" si="24"/>
        <v>858.87160000000017</v>
      </c>
      <c r="V296" s="9">
        <f t="shared" si="22"/>
        <v>1623.6932000000002</v>
      </c>
      <c r="W296" s="9" t="str">
        <f t="shared" si="23"/>
        <v>High</v>
      </c>
      <c r="X296" t="s">
        <v>2065</v>
      </c>
      <c r="Y296" s="11">
        <v>0.113</v>
      </c>
      <c r="Z296" t="s">
        <v>2065</v>
      </c>
      <c r="AA296" s="13">
        <v>7</v>
      </c>
      <c r="AB296" s="9">
        <v>20455.985130000001</v>
      </c>
      <c r="AC296" s="9">
        <v>9536.17</v>
      </c>
      <c r="AD296" s="9">
        <v>10919.815130000001</v>
      </c>
      <c r="AE296" s="11">
        <v>0.5338200561157721</v>
      </c>
    </row>
    <row r="297" spans="1:31" x14ac:dyDescent="0.3">
      <c r="A297" t="s">
        <v>310</v>
      </c>
      <c r="B297" s="4">
        <v>45353</v>
      </c>
      <c r="C297" s="4" t="str">
        <f t="shared" si="20"/>
        <v>Mar-2024</v>
      </c>
      <c r="D297" s="4" t="str">
        <f t="shared" si="21"/>
        <v>Q1-2024</v>
      </c>
      <c r="E297" s="4">
        <v>45367</v>
      </c>
      <c r="F297" t="s">
        <v>2064</v>
      </c>
      <c r="G297" s="4">
        <v>45367</v>
      </c>
      <c r="H297" s="13">
        <v>14</v>
      </c>
      <c r="I297" s="7" t="s">
        <v>648</v>
      </c>
      <c r="J297" s="7" t="s">
        <v>653</v>
      </c>
      <c r="K297" s="7" t="s">
        <v>688</v>
      </c>
      <c r="M297" s="7" t="s">
        <v>703</v>
      </c>
      <c r="N297" s="7" t="s">
        <v>711</v>
      </c>
      <c r="O297" s="7" t="s">
        <v>719</v>
      </c>
      <c r="P297" s="7" t="s">
        <v>728</v>
      </c>
      <c r="Q297" s="7" t="s">
        <v>1723</v>
      </c>
      <c r="R297" s="9">
        <v>248.24</v>
      </c>
      <c r="S297" s="9">
        <v>464.05</v>
      </c>
      <c r="T297" s="9">
        <v>464.05</v>
      </c>
      <c r="U297" s="9">
        <f t="shared" si="24"/>
        <v>852.57850000000019</v>
      </c>
      <c r="V297" s="9">
        <f t="shared" si="22"/>
        <v>1621.0070000000001</v>
      </c>
      <c r="W297" s="9" t="str">
        <f t="shared" si="23"/>
        <v>Low</v>
      </c>
      <c r="X297" t="s">
        <v>2065</v>
      </c>
      <c r="Y297" s="11">
        <v>0.16900000000000001</v>
      </c>
      <c r="Z297" t="s">
        <v>2065</v>
      </c>
      <c r="AA297" s="13">
        <v>11</v>
      </c>
      <c r="AB297" s="9">
        <v>4241.88105</v>
      </c>
      <c r="AC297" s="9">
        <v>2730.6400000000003</v>
      </c>
      <c r="AD297" s="9">
        <v>1511.2410499999996</v>
      </c>
      <c r="AE297" s="11">
        <v>0.3562667203975462</v>
      </c>
    </row>
    <row r="298" spans="1:31" x14ac:dyDescent="0.3">
      <c r="A298" t="s">
        <v>311</v>
      </c>
      <c r="B298" s="4">
        <v>45097</v>
      </c>
      <c r="C298" s="4" t="str">
        <f t="shared" si="20"/>
        <v>Jun-2023</v>
      </c>
      <c r="D298" s="4" t="str">
        <f t="shared" si="21"/>
        <v>Q2-2023</v>
      </c>
      <c r="E298" s="4">
        <v>45115</v>
      </c>
      <c r="F298" t="s">
        <v>2064</v>
      </c>
      <c r="G298" s="4">
        <v>45115</v>
      </c>
      <c r="H298" s="13">
        <v>18</v>
      </c>
      <c r="I298" s="7" t="s">
        <v>648</v>
      </c>
      <c r="J298" s="7" t="s">
        <v>1425</v>
      </c>
      <c r="K298" s="7" t="s">
        <v>697</v>
      </c>
      <c r="M298" s="7" t="s">
        <v>703</v>
      </c>
      <c r="N298" s="7" t="s">
        <v>711</v>
      </c>
      <c r="O298" s="7" t="s">
        <v>721</v>
      </c>
      <c r="P298" s="7" t="s">
        <v>732</v>
      </c>
      <c r="Q298" s="7" t="s">
        <v>1724</v>
      </c>
      <c r="R298" s="9">
        <v>337</v>
      </c>
      <c r="S298" s="9">
        <v>511.03</v>
      </c>
      <c r="T298" s="9">
        <v>511.03</v>
      </c>
      <c r="U298" s="9">
        <f t="shared" si="24"/>
        <v>862.80119999999999</v>
      </c>
      <c r="V298" s="9">
        <f t="shared" si="22"/>
        <v>1622.3907999999999</v>
      </c>
      <c r="W298" s="9" t="str">
        <f t="shared" si="23"/>
        <v>Low</v>
      </c>
      <c r="X298" t="s">
        <v>2065</v>
      </c>
      <c r="Y298" s="11">
        <v>0.108</v>
      </c>
      <c r="Z298" t="s">
        <v>2065</v>
      </c>
      <c r="AA298" s="13">
        <v>7</v>
      </c>
      <c r="AB298" s="9">
        <v>3190.8713200000002</v>
      </c>
      <c r="AC298" s="9">
        <v>2359</v>
      </c>
      <c r="AD298" s="9">
        <v>831.8713200000002</v>
      </c>
      <c r="AE298" s="11">
        <v>0.26070349963219458</v>
      </c>
    </row>
    <row r="299" spans="1:31" x14ac:dyDescent="0.3">
      <c r="A299" t="s">
        <v>312</v>
      </c>
      <c r="B299" s="4">
        <v>45377</v>
      </c>
      <c r="C299" s="4" t="str">
        <f t="shared" si="20"/>
        <v>Mar-2024</v>
      </c>
      <c r="D299" s="4" t="str">
        <f t="shared" si="21"/>
        <v>Q1-2024</v>
      </c>
      <c r="E299" s="4">
        <v>45387</v>
      </c>
      <c r="F299" t="s">
        <v>2064</v>
      </c>
      <c r="G299" s="4">
        <v>45387</v>
      </c>
      <c r="H299" s="13">
        <v>10</v>
      </c>
      <c r="I299" s="7" t="s">
        <v>648</v>
      </c>
      <c r="J299" s="7" t="s">
        <v>1425</v>
      </c>
      <c r="K299" s="7" t="s">
        <v>697</v>
      </c>
      <c r="M299" s="7" t="s">
        <v>704</v>
      </c>
      <c r="N299" s="7" t="s">
        <v>711</v>
      </c>
      <c r="O299" s="7" t="s">
        <v>713</v>
      </c>
      <c r="P299" s="7" t="s">
        <v>732</v>
      </c>
      <c r="Q299" s="7" t="s">
        <v>1725</v>
      </c>
      <c r="R299" s="9">
        <v>5.66</v>
      </c>
      <c r="S299" s="9">
        <v>4.22</v>
      </c>
      <c r="T299" s="9">
        <v>4.22</v>
      </c>
      <c r="U299" s="9">
        <f t="shared" si="24"/>
        <v>867.79939999999999</v>
      </c>
      <c r="V299" s="9">
        <f t="shared" si="22"/>
        <v>1623.7746</v>
      </c>
      <c r="W299" s="9" t="str">
        <f t="shared" si="23"/>
        <v>Low</v>
      </c>
      <c r="X299" t="s">
        <v>2065</v>
      </c>
      <c r="Y299" s="11">
        <v>0.11899999999999999</v>
      </c>
      <c r="Z299" t="s">
        <v>2065</v>
      </c>
      <c r="AA299" s="13">
        <v>18</v>
      </c>
      <c r="AB299" s="9">
        <v>66.920760000000001</v>
      </c>
      <c r="AC299" s="9">
        <v>101.88</v>
      </c>
      <c r="AD299" s="9">
        <v>-34.959239999999994</v>
      </c>
      <c r="AE299" s="11">
        <v>-0.52239753403876454</v>
      </c>
    </row>
    <row r="300" spans="1:31" x14ac:dyDescent="0.3">
      <c r="A300" t="s">
        <v>313</v>
      </c>
      <c r="B300" s="4">
        <v>45679</v>
      </c>
      <c r="C300" s="4" t="str">
        <f t="shared" si="20"/>
        <v>Jan-2025</v>
      </c>
      <c r="D300" s="4" t="str">
        <f t="shared" si="21"/>
        <v>Q1-2025</v>
      </c>
      <c r="E300" s="4">
        <v>45679</v>
      </c>
      <c r="F300" t="s">
        <v>2064</v>
      </c>
      <c r="G300" s="4">
        <v>45679</v>
      </c>
      <c r="H300" s="13">
        <v>0</v>
      </c>
      <c r="I300" s="7" t="s">
        <v>649</v>
      </c>
      <c r="J300" s="7" t="s">
        <v>657</v>
      </c>
      <c r="K300" s="7" t="s">
        <v>679</v>
      </c>
      <c r="M300" s="7" t="s">
        <v>705</v>
      </c>
      <c r="N300" s="7" t="s">
        <v>708</v>
      </c>
      <c r="O300" s="7" t="s">
        <v>717</v>
      </c>
      <c r="P300" s="7" t="s">
        <v>733</v>
      </c>
      <c r="Q300" s="7" t="s">
        <v>1726</v>
      </c>
      <c r="R300" s="9">
        <v>591.72</v>
      </c>
      <c r="S300" s="9">
        <v>577.24</v>
      </c>
      <c r="T300" s="9">
        <v>577.24</v>
      </c>
      <c r="U300" s="9">
        <f t="shared" si="24"/>
        <v>873.20640000000003</v>
      </c>
      <c r="V300" s="9">
        <f t="shared" si="22"/>
        <v>1624.76</v>
      </c>
      <c r="W300" s="9" t="str">
        <f t="shared" si="23"/>
        <v>Low</v>
      </c>
      <c r="X300" t="s">
        <v>2065</v>
      </c>
      <c r="Y300" s="11">
        <v>0</v>
      </c>
      <c r="Z300" t="s">
        <v>2065</v>
      </c>
      <c r="AA300" s="13">
        <v>22</v>
      </c>
      <c r="AB300" s="9">
        <v>12699.28</v>
      </c>
      <c r="AC300" s="9">
        <v>13017.84</v>
      </c>
      <c r="AD300" s="9">
        <v>-318.55999999999949</v>
      </c>
      <c r="AE300" s="11">
        <v>-2.5084886702238195E-2</v>
      </c>
    </row>
    <row r="301" spans="1:31" x14ac:dyDescent="0.3">
      <c r="A301" t="s">
        <v>314</v>
      </c>
      <c r="B301" s="4">
        <v>45787</v>
      </c>
      <c r="C301" s="4" t="str">
        <f t="shared" si="20"/>
        <v>May-2025</v>
      </c>
      <c r="D301" s="4" t="str">
        <f t="shared" si="21"/>
        <v>Q2-2025</v>
      </c>
      <c r="E301" s="4">
        <v>45804</v>
      </c>
      <c r="F301" t="s">
        <v>2064</v>
      </c>
      <c r="G301" s="4">
        <v>45804</v>
      </c>
      <c r="H301" s="13">
        <v>17</v>
      </c>
      <c r="I301" s="7" t="s">
        <v>648</v>
      </c>
      <c r="J301" s="7" t="s">
        <v>653</v>
      </c>
      <c r="K301" s="7" t="s">
        <v>688</v>
      </c>
      <c r="M301" s="7" t="s">
        <v>702</v>
      </c>
      <c r="N301" s="7" t="s">
        <v>711</v>
      </c>
      <c r="O301" s="7" t="s">
        <v>712</v>
      </c>
      <c r="P301" s="7" t="s">
        <v>727</v>
      </c>
      <c r="Q301" s="7" t="s">
        <v>1727</v>
      </c>
      <c r="R301" s="9">
        <v>862.89</v>
      </c>
      <c r="S301" s="9">
        <v>1426.03</v>
      </c>
      <c r="T301" s="9">
        <v>1426.03</v>
      </c>
      <c r="U301" s="9">
        <f t="shared" si="24"/>
        <v>877.25159999999994</v>
      </c>
      <c r="V301" s="9">
        <f t="shared" si="22"/>
        <v>1625.0150000000001</v>
      </c>
      <c r="W301" s="9" t="str">
        <f t="shared" si="23"/>
        <v>Medium</v>
      </c>
      <c r="X301" t="s">
        <v>2065</v>
      </c>
      <c r="Y301" s="11">
        <v>5.6000000000000001E-2</v>
      </c>
      <c r="Z301" t="s">
        <v>2065</v>
      </c>
      <c r="AA301" s="13">
        <v>19</v>
      </c>
      <c r="AB301" s="9">
        <v>25577.274079999999</v>
      </c>
      <c r="AC301" s="9">
        <v>16394.91</v>
      </c>
      <c r="AD301" s="9">
        <v>9182.3640799999994</v>
      </c>
      <c r="AE301" s="11">
        <v>0.35900479665188778</v>
      </c>
    </row>
    <row r="302" spans="1:31" x14ac:dyDescent="0.3">
      <c r="A302" t="s">
        <v>315</v>
      </c>
      <c r="B302" s="4">
        <v>45204</v>
      </c>
      <c r="C302" s="4" t="str">
        <f t="shared" si="20"/>
        <v>Oct-2023</v>
      </c>
      <c r="D302" s="4" t="str">
        <f t="shared" si="21"/>
        <v>Q4-2023</v>
      </c>
      <c r="E302" s="4">
        <v>45230</v>
      </c>
      <c r="F302" t="s">
        <v>2064</v>
      </c>
      <c r="G302" s="4">
        <v>45230</v>
      </c>
      <c r="H302" s="13">
        <v>26</v>
      </c>
      <c r="I302" s="7" t="s">
        <v>647</v>
      </c>
      <c r="J302" s="7" t="s">
        <v>659</v>
      </c>
      <c r="K302" s="7" t="s">
        <v>685</v>
      </c>
      <c r="M302" s="7" t="s">
        <v>704</v>
      </c>
      <c r="N302" s="7" t="s">
        <v>2057</v>
      </c>
      <c r="O302" s="7" t="s">
        <v>713</v>
      </c>
      <c r="P302" s="7" t="s">
        <v>728</v>
      </c>
      <c r="Q302" s="7" t="s">
        <v>1728</v>
      </c>
      <c r="R302" s="9">
        <v>649.91</v>
      </c>
      <c r="S302" s="9">
        <v>1360.12</v>
      </c>
      <c r="T302" s="9">
        <v>1360.12</v>
      </c>
      <c r="U302" s="9">
        <f t="shared" si="24"/>
        <v>875.99099999999999</v>
      </c>
      <c r="V302" s="9">
        <f t="shared" si="22"/>
        <v>1625.27</v>
      </c>
      <c r="W302" s="9" t="str">
        <f t="shared" si="23"/>
        <v>Medium</v>
      </c>
      <c r="X302" t="s">
        <v>2065</v>
      </c>
      <c r="Y302" s="11">
        <v>0.19400000000000001</v>
      </c>
      <c r="Z302" t="s">
        <v>2065</v>
      </c>
      <c r="AA302" s="13">
        <v>9</v>
      </c>
      <c r="AB302" s="9">
        <v>9866.3104799999983</v>
      </c>
      <c r="AC302" s="9">
        <v>5849.19</v>
      </c>
      <c r="AD302" s="9">
        <v>4017.1204799999987</v>
      </c>
      <c r="AE302" s="11">
        <v>0.40715528749506769</v>
      </c>
    </row>
    <row r="303" spans="1:31" x14ac:dyDescent="0.3">
      <c r="A303" t="s">
        <v>316</v>
      </c>
      <c r="B303" s="4">
        <v>45125</v>
      </c>
      <c r="C303" s="4" t="str">
        <f t="shared" si="20"/>
        <v>Jul-2023</v>
      </c>
      <c r="D303" s="4" t="str">
        <f t="shared" si="21"/>
        <v>Q3-2023</v>
      </c>
      <c r="E303" s="4">
        <v>45129</v>
      </c>
      <c r="F303" t="s">
        <v>2064</v>
      </c>
      <c r="G303" s="4">
        <v>45129</v>
      </c>
      <c r="H303" s="13">
        <v>4</v>
      </c>
      <c r="I303" s="7" t="s">
        <v>648</v>
      </c>
      <c r="J303" s="7" t="s">
        <v>655</v>
      </c>
      <c r="K303" s="7" t="s">
        <v>670</v>
      </c>
      <c r="M303" s="7" t="s">
        <v>704</v>
      </c>
      <c r="N303" s="7" t="s">
        <v>711</v>
      </c>
      <c r="O303" s="7" t="s">
        <v>721</v>
      </c>
      <c r="P303" s="7" t="s">
        <v>729</v>
      </c>
      <c r="Q303" s="7" t="s">
        <v>1729</v>
      </c>
      <c r="R303" s="9">
        <v>1269.55</v>
      </c>
      <c r="S303" s="9">
        <v>2071.1</v>
      </c>
      <c r="T303" s="9">
        <v>2071.1</v>
      </c>
      <c r="U303" s="9">
        <f t="shared" si="24"/>
        <v>873.28830000000005</v>
      </c>
      <c r="V303" s="9">
        <f t="shared" si="22"/>
        <v>1626.1158000000003</v>
      </c>
      <c r="W303" s="9" t="str">
        <f t="shared" si="23"/>
        <v>High</v>
      </c>
      <c r="X303" t="s">
        <v>2065</v>
      </c>
      <c r="Y303" s="11">
        <v>0.129</v>
      </c>
      <c r="Z303" t="s">
        <v>2065</v>
      </c>
      <c r="AA303" s="13">
        <v>22</v>
      </c>
      <c r="AB303" s="9">
        <v>39686.4182</v>
      </c>
      <c r="AC303" s="9">
        <v>27930.1</v>
      </c>
      <c r="AD303" s="9">
        <v>11756.318200000002</v>
      </c>
      <c r="AE303" s="11">
        <v>0.29623026549672354</v>
      </c>
    </row>
    <row r="304" spans="1:31" x14ac:dyDescent="0.3">
      <c r="A304" t="s">
        <v>317</v>
      </c>
      <c r="B304" s="4">
        <v>45830</v>
      </c>
      <c r="C304" s="4" t="str">
        <f t="shared" si="20"/>
        <v>Jun-2025</v>
      </c>
      <c r="D304" s="4" t="str">
        <f t="shared" si="21"/>
        <v>Q2-2025</v>
      </c>
      <c r="E304" s="4">
        <v>45846</v>
      </c>
      <c r="F304" t="s">
        <v>2064</v>
      </c>
      <c r="G304" s="4">
        <v>45846</v>
      </c>
      <c r="H304" s="13">
        <v>16</v>
      </c>
      <c r="I304" s="7" t="s">
        <v>649</v>
      </c>
      <c r="J304" s="7" t="s">
        <v>658</v>
      </c>
      <c r="K304" s="7" t="s">
        <v>683</v>
      </c>
      <c r="M304" s="7" t="s">
        <v>702</v>
      </c>
      <c r="N304" s="7" t="s">
        <v>711</v>
      </c>
      <c r="O304" s="7" t="s">
        <v>720</v>
      </c>
      <c r="P304" s="7" t="s">
        <v>730</v>
      </c>
      <c r="Q304" s="7" t="s">
        <v>1730</v>
      </c>
      <c r="R304" s="9">
        <v>892.73</v>
      </c>
      <c r="S304" s="9">
        <v>979.84</v>
      </c>
      <c r="T304" s="9">
        <v>979.84</v>
      </c>
      <c r="U304" s="9">
        <f t="shared" si="24"/>
        <v>870.58560000000011</v>
      </c>
      <c r="V304" s="9">
        <f t="shared" si="22"/>
        <v>1625.0300000000002</v>
      </c>
      <c r="W304" s="9" t="str">
        <f t="shared" si="23"/>
        <v>Medium</v>
      </c>
      <c r="X304" t="s">
        <v>2065</v>
      </c>
      <c r="Y304" s="11">
        <v>0.17399999999999999</v>
      </c>
      <c r="Z304" t="s">
        <v>2065</v>
      </c>
      <c r="AA304" s="13">
        <v>10</v>
      </c>
      <c r="AB304" s="9">
        <v>8093.4784</v>
      </c>
      <c r="AC304" s="9">
        <v>8927.2999999999993</v>
      </c>
      <c r="AD304" s="9">
        <v>-833.82159999999931</v>
      </c>
      <c r="AE304" s="11">
        <v>-0.10302388649112838</v>
      </c>
    </row>
    <row r="305" spans="1:31" x14ac:dyDescent="0.3">
      <c r="A305" t="s">
        <v>318</v>
      </c>
      <c r="B305" s="4">
        <v>45462</v>
      </c>
      <c r="C305" s="4" t="str">
        <f t="shared" si="20"/>
        <v>Jun-2024</v>
      </c>
      <c r="D305" s="4" t="str">
        <f t="shared" si="21"/>
        <v>Q2-2024</v>
      </c>
      <c r="E305" s="4">
        <v>45463</v>
      </c>
      <c r="F305" t="s">
        <v>2064</v>
      </c>
      <c r="G305" s="4">
        <v>45463</v>
      </c>
      <c r="H305" s="13">
        <v>1</v>
      </c>
      <c r="I305" s="7" t="s">
        <v>646</v>
      </c>
      <c r="J305" s="7" t="s">
        <v>650</v>
      </c>
      <c r="K305" s="7" t="s">
        <v>662</v>
      </c>
      <c r="M305" s="7" t="s">
        <v>705</v>
      </c>
      <c r="N305" s="7" t="s">
        <v>711</v>
      </c>
      <c r="O305" s="7" t="s">
        <v>713</v>
      </c>
      <c r="P305" s="7" t="s">
        <v>731</v>
      </c>
      <c r="Q305" s="7" t="s">
        <v>1731</v>
      </c>
      <c r="R305" s="9">
        <v>231.63</v>
      </c>
      <c r="S305" s="9">
        <v>537.39</v>
      </c>
      <c r="T305" s="9">
        <v>537.39</v>
      </c>
      <c r="U305" s="9">
        <f t="shared" si="24"/>
        <v>867.94860000000006</v>
      </c>
      <c r="V305" s="9">
        <f t="shared" si="22"/>
        <v>1625.2850000000001</v>
      </c>
      <c r="W305" s="9" t="str">
        <f t="shared" si="23"/>
        <v>Low</v>
      </c>
      <c r="X305" t="s">
        <v>2065</v>
      </c>
      <c r="Y305" s="11">
        <v>0.08</v>
      </c>
      <c r="Z305" t="s">
        <v>2065</v>
      </c>
      <c r="AA305" s="13">
        <v>12</v>
      </c>
      <c r="AB305" s="9">
        <v>5932.7856000000002</v>
      </c>
      <c r="AC305" s="9">
        <v>2779.56</v>
      </c>
      <c r="AD305" s="9">
        <v>3153.2256000000002</v>
      </c>
      <c r="AE305" s="11">
        <v>0.53149158129024587</v>
      </c>
    </row>
    <row r="306" spans="1:31" x14ac:dyDescent="0.3">
      <c r="A306" t="s">
        <v>319</v>
      </c>
      <c r="B306" s="4">
        <v>45756</v>
      </c>
      <c r="C306" s="4" t="str">
        <f t="shared" si="20"/>
        <v>Apr-2025</v>
      </c>
      <c r="D306" s="4" t="str">
        <f t="shared" si="21"/>
        <v>Q2-2025</v>
      </c>
      <c r="E306" s="4">
        <v>45759</v>
      </c>
      <c r="F306" t="s">
        <v>2064</v>
      </c>
      <c r="G306" s="4">
        <v>45759</v>
      </c>
      <c r="H306" s="13">
        <v>3</v>
      </c>
      <c r="I306" s="7" t="s">
        <v>649</v>
      </c>
      <c r="J306" s="7" t="s">
        <v>657</v>
      </c>
      <c r="K306" s="7" t="s">
        <v>679</v>
      </c>
      <c r="M306" s="7" t="s">
        <v>705</v>
      </c>
      <c r="N306" s="7" t="s">
        <v>710</v>
      </c>
      <c r="O306" s="7" t="s">
        <v>722</v>
      </c>
      <c r="P306" s="7" t="s">
        <v>732</v>
      </c>
      <c r="Q306" s="7" t="s">
        <v>1732</v>
      </c>
      <c r="R306" s="9">
        <v>86.68</v>
      </c>
      <c r="S306" s="9">
        <v>213.32</v>
      </c>
      <c r="T306" s="9">
        <v>213.32</v>
      </c>
      <c r="U306" s="9">
        <f t="shared" si="24"/>
        <v>873.37019999999995</v>
      </c>
      <c r="V306" s="9">
        <f t="shared" si="22"/>
        <v>1626.2152000000001</v>
      </c>
      <c r="W306" s="9" t="str">
        <f t="shared" si="23"/>
        <v>Low</v>
      </c>
      <c r="X306" t="s">
        <v>2065</v>
      </c>
      <c r="Y306" s="11">
        <v>3.7999999999999999E-2</v>
      </c>
      <c r="Z306" t="s">
        <v>2065</v>
      </c>
      <c r="AA306" s="13">
        <v>8</v>
      </c>
      <c r="AB306" s="9">
        <v>1641.7107199999998</v>
      </c>
      <c r="AC306" s="9">
        <v>693.44</v>
      </c>
      <c r="AD306" s="9">
        <v>948.27071999999976</v>
      </c>
      <c r="AE306" s="11">
        <v>0.57761133459614611</v>
      </c>
    </row>
    <row r="307" spans="1:31" x14ac:dyDescent="0.3">
      <c r="A307" t="s">
        <v>320</v>
      </c>
      <c r="B307" s="4">
        <v>45741</v>
      </c>
      <c r="C307" s="4" t="str">
        <f t="shared" si="20"/>
        <v>Mar-2025</v>
      </c>
      <c r="D307" s="4" t="str">
        <f t="shared" si="21"/>
        <v>Q1-2025</v>
      </c>
      <c r="E307" s="4">
        <v>45742</v>
      </c>
      <c r="F307" t="s">
        <v>2064</v>
      </c>
      <c r="G307" s="4">
        <v>45742</v>
      </c>
      <c r="H307" s="13">
        <v>1</v>
      </c>
      <c r="I307" s="7" t="s">
        <v>646</v>
      </c>
      <c r="J307" s="7" t="s">
        <v>651</v>
      </c>
      <c r="K307" s="7" t="s">
        <v>665</v>
      </c>
      <c r="M307" s="7" t="s">
        <v>702</v>
      </c>
      <c r="N307" s="7" t="s">
        <v>710</v>
      </c>
      <c r="O307" s="7" t="s">
        <v>715</v>
      </c>
      <c r="P307" s="7" t="s">
        <v>733</v>
      </c>
      <c r="Q307" s="7" t="s">
        <v>1733</v>
      </c>
      <c r="R307" s="9">
        <v>1450.43</v>
      </c>
      <c r="S307" s="9">
        <v>1994.67</v>
      </c>
      <c r="T307" s="9">
        <v>1994.67</v>
      </c>
      <c r="U307" s="9">
        <f t="shared" si="24"/>
        <v>877.29</v>
      </c>
      <c r="V307" s="9">
        <f t="shared" si="22"/>
        <v>1627.9050000000002</v>
      </c>
      <c r="W307" s="9" t="str">
        <f t="shared" si="23"/>
        <v>High</v>
      </c>
      <c r="X307" t="s">
        <v>2065</v>
      </c>
      <c r="Y307" s="11">
        <v>0.1</v>
      </c>
      <c r="Z307" t="s">
        <v>2065</v>
      </c>
      <c r="AA307" s="13">
        <v>24</v>
      </c>
      <c r="AB307" s="9">
        <v>43084.872000000003</v>
      </c>
      <c r="AC307" s="9">
        <v>34810.32</v>
      </c>
      <c r="AD307" s="9">
        <v>8274.5520000000033</v>
      </c>
      <c r="AE307" s="11">
        <v>0.19205237513529116</v>
      </c>
    </row>
    <row r="308" spans="1:31" x14ac:dyDescent="0.3">
      <c r="A308" t="s">
        <v>321</v>
      </c>
      <c r="B308" s="4">
        <v>45795</v>
      </c>
      <c r="C308" s="4" t="str">
        <f t="shared" si="20"/>
        <v>May-2025</v>
      </c>
      <c r="D308" s="4" t="str">
        <f t="shared" si="21"/>
        <v>Q2-2025</v>
      </c>
      <c r="E308" s="4">
        <v>45817</v>
      </c>
      <c r="F308" t="s">
        <v>2064</v>
      </c>
      <c r="G308" s="4">
        <v>45817</v>
      </c>
      <c r="H308" s="13">
        <v>22</v>
      </c>
      <c r="I308" s="7" t="s">
        <v>648</v>
      </c>
      <c r="J308" s="7" t="s">
        <v>1425</v>
      </c>
      <c r="K308" s="7" t="s">
        <v>700</v>
      </c>
      <c r="M308" s="7" t="s">
        <v>704</v>
      </c>
      <c r="N308" s="7" t="s">
        <v>707</v>
      </c>
      <c r="O308" s="7" t="s">
        <v>722</v>
      </c>
      <c r="P308" s="7" t="s">
        <v>729</v>
      </c>
      <c r="Q308" s="7" t="s">
        <v>1734</v>
      </c>
      <c r="R308" s="9">
        <v>382.96</v>
      </c>
      <c r="S308" s="9">
        <v>552.84</v>
      </c>
      <c r="T308" s="9">
        <v>552.84</v>
      </c>
      <c r="U308" s="9">
        <f t="shared" si="24"/>
        <v>876.15479999999991</v>
      </c>
      <c r="V308" s="9">
        <f t="shared" si="22"/>
        <v>1625.3000000000002</v>
      </c>
      <c r="W308" s="9" t="str">
        <f t="shared" si="23"/>
        <v>Low</v>
      </c>
      <c r="X308" t="s">
        <v>2065</v>
      </c>
      <c r="Y308" s="11">
        <v>0.17599999999999999</v>
      </c>
      <c r="Z308" t="s">
        <v>2065</v>
      </c>
      <c r="AA308" s="13">
        <v>8</v>
      </c>
      <c r="AB308" s="9">
        <v>3644.3212800000006</v>
      </c>
      <c r="AC308" s="9">
        <v>3063.68</v>
      </c>
      <c r="AD308" s="9">
        <v>580.64128000000073</v>
      </c>
      <c r="AE308" s="11">
        <v>0.15932768693763483</v>
      </c>
    </row>
    <row r="309" spans="1:31" x14ac:dyDescent="0.3">
      <c r="A309" t="s">
        <v>322</v>
      </c>
      <c r="B309" s="4">
        <v>45679</v>
      </c>
      <c r="C309" s="4" t="str">
        <f t="shared" si="20"/>
        <v>Jan-2025</v>
      </c>
      <c r="D309" s="4" t="str">
        <f t="shared" si="21"/>
        <v>Q1-2025</v>
      </c>
      <c r="E309" s="4">
        <v>45692</v>
      </c>
      <c r="F309" t="s">
        <v>2064</v>
      </c>
      <c r="G309" s="4">
        <v>45692</v>
      </c>
      <c r="H309" s="13">
        <v>13</v>
      </c>
      <c r="I309" s="7" t="s">
        <v>647</v>
      </c>
      <c r="J309" s="7" t="s">
        <v>652</v>
      </c>
      <c r="K309" s="7" t="s">
        <v>689</v>
      </c>
      <c r="M309" s="7" t="s">
        <v>705</v>
      </c>
      <c r="N309" s="7" t="s">
        <v>710</v>
      </c>
      <c r="O309" s="7" t="s">
        <v>716</v>
      </c>
      <c r="P309" s="7" t="s">
        <v>728</v>
      </c>
      <c r="Q309" s="7" t="s">
        <v>1735</v>
      </c>
      <c r="R309" s="9">
        <v>122.29</v>
      </c>
      <c r="S309" s="9">
        <v>224.95</v>
      </c>
      <c r="T309" s="9">
        <v>224.95</v>
      </c>
      <c r="U309" s="9">
        <f t="shared" si="24"/>
        <v>877.94280000000003</v>
      </c>
      <c r="V309" s="9">
        <f t="shared" si="22"/>
        <v>1626.3146000000002</v>
      </c>
      <c r="W309" s="9" t="str">
        <f t="shared" si="23"/>
        <v>Low</v>
      </c>
      <c r="X309" t="s">
        <v>2065</v>
      </c>
      <c r="Y309" s="11">
        <v>0.153</v>
      </c>
      <c r="Z309" t="s">
        <v>2065</v>
      </c>
      <c r="AA309" s="13">
        <v>28</v>
      </c>
      <c r="AB309" s="9">
        <v>5334.9141999999993</v>
      </c>
      <c r="AC309" s="9">
        <v>3424.1200000000003</v>
      </c>
      <c r="AD309" s="9">
        <v>1910.7941999999989</v>
      </c>
      <c r="AE309" s="11">
        <v>0.3581677471026618</v>
      </c>
    </row>
    <row r="310" spans="1:31" x14ac:dyDescent="0.3">
      <c r="A310" t="s">
        <v>323</v>
      </c>
      <c r="B310" s="4">
        <v>44936</v>
      </c>
      <c r="C310" s="4" t="str">
        <f t="shared" si="20"/>
        <v>Jan-2023</v>
      </c>
      <c r="D310" s="4" t="str">
        <f t="shared" si="21"/>
        <v>Q1-2023</v>
      </c>
      <c r="E310" s="4">
        <v>44955</v>
      </c>
      <c r="F310" t="s">
        <v>2064</v>
      </c>
      <c r="G310" s="4">
        <v>44955</v>
      </c>
      <c r="H310" s="13">
        <v>19</v>
      </c>
      <c r="I310" s="7" t="s">
        <v>649</v>
      </c>
      <c r="J310" s="7" t="s">
        <v>657</v>
      </c>
      <c r="K310" s="7" t="s">
        <v>679</v>
      </c>
      <c r="M310" s="7" t="s">
        <v>703</v>
      </c>
      <c r="N310" s="7" t="s">
        <v>711</v>
      </c>
      <c r="O310" s="7" t="s">
        <v>726</v>
      </c>
      <c r="P310" s="7" t="s">
        <v>731</v>
      </c>
      <c r="Q310" s="7" t="s">
        <v>1736</v>
      </c>
      <c r="R310" s="9">
        <v>401.66</v>
      </c>
      <c r="S310" s="9">
        <v>772.09</v>
      </c>
      <c r="T310" s="9">
        <v>772.09</v>
      </c>
      <c r="U310" s="9">
        <f t="shared" si="24"/>
        <v>879.31760000000008</v>
      </c>
      <c r="V310" s="9">
        <f t="shared" si="22"/>
        <v>1628.0044</v>
      </c>
      <c r="W310" s="9" t="str">
        <f t="shared" si="23"/>
        <v>Low</v>
      </c>
      <c r="X310" t="s">
        <v>2065</v>
      </c>
      <c r="Y310" s="11">
        <v>8.8999999999999996E-2</v>
      </c>
      <c r="Z310" t="s">
        <v>2065</v>
      </c>
      <c r="AA310" s="13">
        <v>14</v>
      </c>
      <c r="AB310" s="9">
        <v>9847.2358600000007</v>
      </c>
      <c r="AC310" s="9">
        <v>5623.2400000000007</v>
      </c>
      <c r="AD310" s="9">
        <v>4223.99586</v>
      </c>
      <c r="AE310" s="11">
        <v>0.42895244107619046</v>
      </c>
    </row>
    <row r="311" spans="1:31" x14ac:dyDescent="0.3">
      <c r="A311" t="s">
        <v>324</v>
      </c>
      <c r="B311" s="4">
        <v>45655</v>
      </c>
      <c r="C311" s="4" t="str">
        <f t="shared" si="20"/>
        <v>Dec-2024</v>
      </c>
      <c r="D311" s="4" t="str">
        <f t="shared" si="21"/>
        <v>Q4-2024</v>
      </c>
      <c r="E311" s="4">
        <v>45669</v>
      </c>
      <c r="F311" t="s">
        <v>2064</v>
      </c>
      <c r="G311" s="4">
        <v>45669</v>
      </c>
      <c r="H311" s="13">
        <v>14</v>
      </c>
      <c r="I311" s="7" t="s">
        <v>649</v>
      </c>
      <c r="J311" s="7" t="s">
        <v>658</v>
      </c>
      <c r="K311" s="7" t="s">
        <v>693</v>
      </c>
      <c r="M311" s="7" t="s">
        <v>701</v>
      </c>
      <c r="N311" s="7" t="s">
        <v>711</v>
      </c>
      <c r="O311" s="7" t="s">
        <v>717</v>
      </c>
      <c r="P311" s="7" t="s">
        <v>732</v>
      </c>
      <c r="Q311" s="7" t="s">
        <v>1737</v>
      </c>
      <c r="R311" s="9">
        <v>1399.72</v>
      </c>
      <c r="S311" s="9">
        <v>3149.21</v>
      </c>
      <c r="T311" s="9">
        <v>3149.21</v>
      </c>
      <c r="U311" s="9">
        <f t="shared" si="24"/>
        <v>880.83180000000004</v>
      </c>
      <c r="V311" s="9">
        <f t="shared" si="22"/>
        <v>1629.6942000000001</v>
      </c>
      <c r="W311" s="9" t="str">
        <f t="shared" si="23"/>
        <v>High</v>
      </c>
      <c r="X311" t="s">
        <v>2065</v>
      </c>
      <c r="Y311" s="11">
        <v>0.185</v>
      </c>
      <c r="Z311" t="s">
        <v>2065</v>
      </c>
      <c r="AA311" s="13">
        <v>12</v>
      </c>
      <c r="AB311" s="9">
        <v>30799.273800000003</v>
      </c>
      <c r="AC311" s="9">
        <v>16796.64</v>
      </c>
      <c r="AD311" s="9">
        <v>14002.633800000003</v>
      </c>
      <c r="AE311" s="11">
        <v>0.45464168703873797</v>
      </c>
    </row>
    <row r="312" spans="1:31" x14ac:dyDescent="0.3">
      <c r="A312" t="s">
        <v>325</v>
      </c>
      <c r="B312" s="4">
        <v>45435</v>
      </c>
      <c r="C312" s="4" t="str">
        <f t="shared" si="20"/>
        <v>May-2024</v>
      </c>
      <c r="D312" s="4" t="str">
        <f t="shared" si="21"/>
        <v>Q2-2024</v>
      </c>
      <c r="E312" s="4">
        <v>45449</v>
      </c>
      <c r="F312" t="s">
        <v>2064</v>
      </c>
      <c r="G312" s="4">
        <v>45449</v>
      </c>
      <c r="H312" s="13">
        <v>14</v>
      </c>
      <c r="I312" s="7" t="s">
        <v>648</v>
      </c>
      <c r="J312" s="7" t="s">
        <v>655</v>
      </c>
      <c r="K312" s="7" t="s">
        <v>1426</v>
      </c>
      <c r="M312" s="7" t="s">
        <v>703</v>
      </c>
      <c r="N312" s="7" t="s">
        <v>708</v>
      </c>
      <c r="O312" s="7" t="s">
        <v>714</v>
      </c>
      <c r="P312" s="7" t="s">
        <v>729</v>
      </c>
      <c r="Q312" s="7" t="s">
        <v>1738</v>
      </c>
      <c r="R312" s="9">
        <v>51.13</v>
      </c>
      <c r="S312" s="9">
        <v>57.53</v>
      </c>
      <c r="T312" s="9">
        <v>57.53</v>
      </c>
      <c r="U312" s="9">
        <f t="shared" si="24"/>
        <v>880.08600000000001</v>
      </c>
      <c r="V312" s="9">
        <f t="shared" si="22"/>
        <v>1626.4140000000002</v>
      </c>
      <c r="W312" s="9" t="str">
        <f t="shared" si="23"/>
        <v>Low</v>
      </c>
      <c r="X312" t="s">
        <v>2065</v>
      </c>
      <c r="Y312" s="11">
        <v>4.4999999999999998E-2</v>
      </c>
      <c r="Z312" t="s">
        <v>2065</v>
      </c>
      <c r="AA312" s="13">
        <v>16</v>
      </c>
      <c r="AB312" s="9">
        <v>879.05840000000001</v>
      </c>
      <c r="AC312" s="9">
        <v>818.08</v>
      </c>
      <c r="AD312" s="9">
        <v>60.978399999999965</v>
      </c>
      <c r="AE312" s="11">
        <v>6.9367859973808302E-2</v>
      </c>
    </row>
    <row r="313" spans="1:31" x14ac:dyDescent="0.3">
      <c r="A313" t="s">
        <v>326</v>
      </c>
      <c r="B313" s="4">
        <v>45101</v>
      </c>
      <c r="C313" s="4" t="str">
        <f t="shared" si="20"/>
        <v>Jun-2023</v>
      </c>
      <c r="D313" s="4" t="str">
        <f t="shared" si="21"/>
        <v>Q2-2023</v>
      </c>
      <c r="E313" s="4">
        <v>45099</v>
      </c>
      <c r="F313" t="s">
        <v>2066</v>
      </c>
      <c r="G313" s="4">
        <v>45101</v>
      </c>
      <c r="H313" s="13">
        <v>0</v>
      </c>
      <c r="I313" s="7" t="s">
        <v>648</v>
      </c>
      <c r="J313" s="7" t="s">
        <v>653</v>
      </c>
      <c r="K313" s="7" t="s">
        <v>667</v>
      </c>
      <c r="M313" s="7" t="s">
        <v>703</v>
      </c>
      <c r="N313" s="7" t="s">
        <v>707</v>
      </c>
      <c r="O313" s="7" t="s">
        <v>724</v>
      </c>
      <c r="P313" s="7" t="s">
        <v>733</v>
      </c>
      <c r="Q313" s="7" t="s">
        <v>1739</v>
      </c>
      <c r="R313" s="9">
        <v>471.42</v>
      </c>
      <c r="S313" s="9">
        <v>824.81</v>
      </c>
      <c r="T313" s="9">
        <v>824.81</v>
      </c>
      <c r="U313" s="9">
        <f t="shared" si="24"/>
        <v>882.3211</v>
      </c>
      <c r="V313" s="9">
        <f t="shared" si="22"/>
        <v>1628.1038000000001</v>
      </c>
      <c r="W313" s="9" t="str">
        <f t="shared" si="23"/>
        <v>Low</v>
      </c>
      <c r="X313" t="s">
        <v>2065</v>
      </c>
      <c r="Y313" s="11">
        <v>8.7999999999999995E-2</v>
      </c>
      <c r="Z313" t="s">
        <v>2065</v>
      </c>
      <c r="AA313" s="13">
        <v>15</v>
      </c>
      <c r="AB313" s="9">
        <v>11283.400799999999</v>
      </c>
      <c r="AC313" s="9">
        <v>7071.3</v>
      </c>
      <c r="AD313" s="9">
        <v>4212.1007999999993</v>
      </c>
      <c r="AE313" s="11">
        <v>0.37330064531608231</v>
      </c>
    </row>
    <row r="314" spans="1:31" x14ac:dyDescent="0.3">
      <c r="A314" t="s">
        <v>327</v>
      </c>
      <c r="B314" s="4">
        <v>45600</v>
      </c>
      <c r="C314" s="4" t="str">
        <f t="shared" si="20"/>
        <v>Nov-2024</v>
      </c>
      <c r="D314" s="4" t="str">
        <f t="shared" si="21"/>
        <v>Q4-2024</v>
      </c>
      <c r="E314" s="4">
        <v>45601</v>
      </c>
      <c r="F314" t="s">
        <v>2064</v>
      </c>
      <c r="G314" s="4">
        <v>45601</v>
      </c>
      <c r="H314" s="13">
        <v>1</v>
      </c>
      <c r="I314" s="7" t="s">
        <v>649</v>
      </c>
      <c r="J314" s="7" t="s">
        <v>658</v>
      </c>
      <c r="K314" s="7" t="s">
        <v>683</v>
      </c>
      <c r="M314" s="7" t="s">
        <v>701</v>
      </c>
      <c r="N314" s="7" t="s">
        <v>707</v>
      </c>
      <c r="O314" s="7" t="s">
        <v>724</v>
      </c>
      <c r="P314" s="7" t="s">
        <v>728</v>
      </c>
      <c r="Q314" s="7" t="s">
        <v>1740</v>
      </c>
      <c r="R314" s="9">
        <v>840.68</v>
      </c>
      <c r="S314" s="9">
        <v>1493.53</v>
      </c>
      <c r="T314" s="9">
        <v>1493.53</v>
      </c>
      <c r="U314" s="9">
        <f t="shared" si="24"/>
        <v>885.62419999999997</v>
      </c>
      <c r="V314" s="9">
        <f t="shared" si="22"/>
        <v>1629.7936000000002</v>
      </c>
      <c r="W314" s="9" t="str">
        <f t="shared" si="23"/>
        <v>Medium</v>
      </c>
      <c r="X314" t="s">
        <v>2065</v>
      </c>
      <c r="Y314" s="11">
        <v>0</v>
      </c>
      <c r="Z314" t="s">
        <v>2065</v>
      </c>
      <c r="AA314" s="13">
        <v>27</v>
      </c>
      <c r="AB314" s="9">
        <v>40325.31</v>
      </c>
      <c r="AC314" s="9">
        <v>22698.359999999997</v>
      </c>
      <c r="AD314" s="9">
        <v>17626.95</v>
      </c>
      <c r="AE314" s="11">
        <v>0.43711877230454027</v>
      </c>
    </row>
    <row r="315" spans="1:31" x14ac:dyDescent="0.3">
      <c r="A315" t="s">
        <v>328</v>
      </c>
      <c r="B315" s="4">
        <v>45451</v>
      </c>
      <c r="C315" s="4" t="str">
        <f t="shared" si="20"/>
        <v>Jun-2024</v>
      </c>
      <c r="D315" s="4" t="str">
        <f t="shared" si="21"/>
        <v>Q2-2024</v>
      </c>
      <c r="E315" s="4">
        <v>45467</v>
      </c>
      <c r="F315" t="s">
        <v>2064</v>
      </c>
      <c r="G315" s="4">
        <v>45467</v>
      </c>
      <c r="H315" s="13">
        <v>16</v>
      </c>
      <c r="I315" s="7" t="s">
        <v>646</v>
      </c>
      <c r="J315" s="7" t="s">
        <v>661</v>
      </c>
      <c r="K315" s="7" t="s">
        <v>687</v>
      </c>
      <c r="M315" s="7" t="s">
        <v>702</v>
      </c>
      <c r="N315" s="7" t="s">
        <v>710</v>
      </c>
      <c r="O315" s="7" t="s">
        <v>722</v>
      </c>
      <c r="P315" s="7" t="s">
        <v>732</v>
      </c>
      <c r="Q315" s="7" t="s">
        <v>1741</v>
      </c>
      <c r="R315" s="9">
        <v>597.85</v>
      </c>
      <c r="S315" s="9">
        <v>741.92</v>
      </c>
      <c r="T315" s="9">
        <v>741.92</v>
      </c>
      <c r="U315" s="9">
        <f t="shared" si="24"/>
        <v>883.9973</v>
      </c>
      <c r="V315" s="9">
        <f t="shared" si="22"/>
        <v>1631.3733999999999</v>
      </c>
      <c r="W315" s="9" t="str">
        <f t="shared" si="23"/>
        <v>Low</v>
      </c>
      <c r="X315" t="s">
        <v>2065</v>
      </c>
      <c r="Y315" s="11">
        <v>3.1E-2</v>
      </c>
      <c r="Z315" t="s">
        <v>2065</v>
      </c>
      <c r="AA315" s="13">
        <v>7</v>
      </c>
      <c r="AB315" s="9">
        <v>5032.4433599999993</v>
      </c>
      <c r="AC315" s="9">
        <v>4184.95</v>
      </c>
      <c r="AD315" s="9">
        <v>847.49335999999948</v>
      </c>
      <c r="AE315" s="11">
        <v>0.16840594108544515</v>
      </c>
    </row>
    <row r="316" spans="1:31" x14ac:dyDescent="0.3">
      <c r="A316" t="s">
        <v>329</v>
      </c>
      <c r="B316" s="4">
        <v>45809</v>
      </c>
      <c r="C316" s="4" t="str">
        <f t="shared" si="20"/>
        <v>Jun-2025</v>
      </c>
      <c r="D316" s="4" t="str">
        <f t="shared" si="21"/>
        <v>Q2-2025</v>
      </c>
      <c r="E316" s="4">
        <v>45814</v>
      </c>
      <c r="F316" t="s">
        <v>2064</v>
      </c>
      <c r="G316" s="4">
        <v>45814</v>
      </c>
      <c r="H316" s="13">
        <v>5</v>
      </c>
      <c r="I316" s="7" t="s">
        <v>649</v>
      </c>
      <c r="J316" s="7" t="s">
        <v>657</v>
      </c>
      <c r="K316" s="7" t="s">
        <v>690</v>
      </c>
      <c r="M316" s="7" t="s">
        <v>704</v>
      </c>
      <c r="N316" s="7" t="s">
        <v>710</v>
      </c>
      <c r="O316" s="7" t="s">
        <v>715</v>
      </c>
      <c r="P316" s="7" t="s">
        <v>727</v>
      </c>
      <c r="Q316" s="7" t="s">
        <v>1742</v>
      </c>
      <c r="R316" s="9">
        <v>379.45</v>
      </c>
      <c r="S316" s="9">
        <v>742.23</v>
      </c>
      <c r="T316" s="9">
        <v>742.23</v>
      </c>
      <c r="U316" s="9">
        <f t="shared" si="24"/>
        <v>887.54679999999996</v>
      </c>
      <c r="V316" s="9">
        <f t="shared" si="22"/>
        <v>1632.8932</v>
      </c>
      <c r="W316" s="9" t="str">
        <f t="shared" si="23"/>
        <v>Low</v>
      </c>
      <c r="X316" t="s">
        <v>2065</v>
      </c>
      <c r="Y316" s="11">
        <v>0.09</v>
      </c>
      <c r="Z316" t="s">
        <v>2065</v>
      </c>
      <c r="AA316" s="13">
        <v>13</v>
      </c>
      <c r="AB316" s="9">
        <v>8780.5809000000008</v>
      </c>
      <c r="AC316" s="9">
        <v>4932.8499999999995</v>
      </c>
      <c r="AD316" s="9">
        <v>3847.7309000000014</v>
      </c>
      <c r="AE316" s="11">
        <v>0.43820915083192286</v>
      </c>
    </row>
    <row r="317" spans="1:31" x14ac:dyDescent="0.3">
      <c r="A317" t="s">
        <v>330</v>
      </c>
      <c r="B317" s="4">
        <v>45052</v>
      </c>
      <c r="C317" s="4" t="str">
        <f t="shared" si="20"/>
        <v>May-2023</v>
      </c>
      <c r="D317" s="4" t="str">
        <f t="shared" si="21"/>
        <v>Q2-2023</v>
      </c>
      <c r="E317" s="4">
        <v>45060</v>
      </c>
      <c r="F317" t="s">
        <v>2064</v>
      </c>
      <c r="G317" s="4">
        <v>45060</v>
      </c>
      <c r="H317" s="13">
        <v>8</v>
      </c>
      <c r="I317" s="7" t="s">
        <v>647</v>
      </c>
      <c r="J317" s="7" t="s">
        <v>652</v>
      </c>
      <c r="K317" s="7" t="s">
        <v>666</v>
      </c>
      <c r="M317" s="7" t="s">
        <v>706</v>
      </c>
      <c r="N317" s="7" t="s">
        <v>709</v>
      </c>
      <c r="O317" s="7" t="s">
        <v>717</v>
      </c>
      <c r="P317" s="7" t="s">
        <v>730</v>
      </c>
      <c r="Q317" s="7" t="s">
        <v>1743</v>
      </c>
      <c r="R317" s="9">
        <v>291.18</v>
      </c>
      <c r="S317" s="9">
        <v>479.54</v>
      </c>
      <c r="T317" s="9">
        <v>479.54</v>
      </c>
      <c r="U317" s="9">
        <f t="shared" si="24"/>
        <v>891.43950000000007</v>
      </c>
      <c r="V317" s="9">
        <f t="shared" si="22"/>
        <v>1634.413</v>
      </c>
      <c r="W317" s="9" t="str">
        <f t="shared" si="23"/>
        <v>Low</v>
      </c>
      <c r="X317" t="s">
        <v>2065</v>
      </c>
      <c r="Y317" s="11">
        <v>0.14099999999999999</v>
      </c>
      <c r="Z317" t="s">
        <v>2065</v>
      </c>
      <c r="AA317" s="13">
        <v>22</v>
      </c>
      <c r="AB317" s="9">
        <v>9062.34692</v>
      </c>
      <c r="AC317" s="9">
        <v>6405.96</v>
      </c>
      <c r="AD317" s="9">
        <v>2656.3869199999999</v>
      </c>
      <c r="AE317" s="11">
        <v>0.29312350801066001</v>
      </c>
    </row>
    <row r="318" spans="1:31" x14ac:dyDescent="0.3">
      <c r="A318" t="s">
        <v>331</v>
      </c>
      <c r="B318" s="4">
        <v>45244</v>
      </c>
      <c r="C318" s="4" t="str">
        <f t="shared" si="20"/>
        <v>Nov-2023</v>
      </c>
      <c r="D318" s="4" t="str">
        <f t="shared" si="21"/>
        <v>Q4-2023</v>
      </c>
      <c r="E318" s="4">
        <v>45260</v>
      </c>
      <c r="F318" t="s">
        <v>2064</v>
      </c>
      <c r="G318" s="4">
        <v>45260</v>
      </c>
      <c r="H318" s="13">
        <v>16</v>
      </c>
      <c r="I318" s="7" t="s">
        <v>648</v>
      </c>
      <c r="J318" s="7" t="s">
        <v>655</v>
      </c>
      <c r="K318" s="7" t="s">
        <v>670</v>
      </c>
      <c r="M318" s="7" t="s">
        <v>706</v>
      </c>
      <c r="N318" s="7" t="s">
        <v>711</v>
      </c>
      <c r="O318" s="7" t="s">
        <v>723</v>
      </c>
      <c r="P318" s="7" t="s">
        <v>729</v>
      </c>
      <c r="Q318" s="7" t="s">
        <v>1744</v>
      </c>
      <c r="R318" s="9">
        <v>1017.92</v>
      </c>
      <c r="S318" s="9">
        <v>1175.25</v>
      </c>
      <c r="T318" s="9">
        <v>1175.25</v>
      </c>
      <c r="U318" s="9">
        <f t="shared" si="24"/>
        <v>896.75200000000007</v>
      </c>
      <c r="V318" s="9">
        <f t="shared" si="22"/>
        <v>1636.48</v>
      </c>
      <c r="W318" s="9" t="str">
        <f t="shared" si="23"/>
        <v>Medium</v>
      </c>
      <c r="X318" t="s">
        <v>2065</v>
      </c>
      <c r="Y318" s="11">
        <v>7.4999999999999997E-2</v>
      </c>
      <c r="Z318" t="s">
        <v>2065</v>
      </c>
      <c r="AA318" s="13">
        <v>15</v>
      </c>
      <c r="AB318" s="9">
        <v>16306.59375</v>
      </c>
      <c r="AC318" s="9">
        <v>15268.8</v>
      </c>
      <c r="AD318" s="9">
        <v>1037.7937500000007</v>
      </c>
      <c r="AE318" s="11">
        <v>6.3642583234159542E-2</v>
      </c>
    </row>
    <row r="319" spans="1:31" x14ac:dyDescent="0.3">
      <c r="A319" t="s">
        <v>332</v>
      </c>
      <c r="B319" s="4">
        <v>45748</v>
      </c>
      <c r="C319" s="4" t="str">
        <f t="shared" si="20"/>
        <v>Apr-2025</v>
      </c>
      <c r="D319" s="4" t="str">
        <f t="shared" si="21"/>
        <v>Q2-2025</v>
      </c>
      <c r="E319" s="4">
        <v>45774</v>
      </c>
      <c r="F319" t="s">
        <v>2064</v>
      </c>
      <c r="G319" s="4">
        <v>45774</v>
      </c>
      <c r="H319" s="13">
        <v>26</v>
      </c>
      <c r="I319" s="7" t="s">
        <v>648</v>
      </c>
      <c r="J319" s="7" t="s">
        <v>1425</v>
      </c>
      <c r="K319" s="7" t="s">
        <v>686</v>
      </c>
      <c r="M319" s="7" t="s">
        <v>701</v>
      </c>
      <c r="N319" s="7" t="s">
        <v>711</v>
      </c>
      <c r="O319" s="7" t="s">
        <v>714</v>
      </c>
      <c r="P319" s="7" t="s">
        <v>732</v>
      </c>
      <c r="Q319" s="7" t="s">
        <v>1745</v>
      </c>
      <c r="R319" s="9">
        <v>156.55000000000001</v>
      </c>
      <c r="S319" s="9">
        <v>227.45</v>
      </c>
      <c r="T319" s="9">
        <v>227.45</v>
      </c>
      <c r="U319" s="9">
        <f t="shared" si="24"/>
        <v>894.07900000000006</v>
      </c>
      <c r="V319" s="9">
        <f t="shared" si="22"/>
        <v>1638.7750000000001</v>
      </c>
      <c r="W319" s="9" t="str">
        <f t="shared" si="23"/>
        <v>Low</v>
      </c>
      <c r="X319" t="s">
        <v>2065</v>
      </c>
      <c r="Y319" s="11">
        <v>1.4E-2</v>
      </c>
      <c r="Z319" t="s">
        <v>2065</v>
      </c>
      <c r="AA319" s="13">
        <v>13</v>
      </c>
      <c r="AB319" s="9">
        <v>2915.4540999999999</v>
      </c>
      <c r="AC319" s="9">
        <v>2035.15</v>
      </c>
      <c r="AD319" s="9">
        <v>880.30409999999983</v>
      </c>
      <c r="AE319" s="11">
        <v>0.3019440779396938</v>
      </c>
    </row>
    <row r="320" spans="1:31" x14ac:dyDescent="0.3">
      <c r="A320" t="s">
        <v>333</v>
      </c>
      <c r="B320" s="4">
        <v>45008</v>
      </c>
      <c r="C320" s="4" t="str">
        <f t="shared" si="20"/>
        <v>Mar-2023</v>
      </c>
      <c r="D320" s="4" t="str">
        <f t="shared" si="21"/>
        <v>Q1-2023</v>
      </c>
      <c r="E320" s="4">
        <v>45031</v>
      </c>
      <c r="F320" t="s">
        <v>2064</v>
      </c>
      <c r="G320" s="4">
        <v>45031</v>
      </c>
      <c r="H320" s="13">
        <v>23</v>
      </c>
      <c r="I320" s="7" t="s">
        <v>646</v>
      </c>
      <c r="J320" s="7" t="s">
        <v>650</v>
      </c>
      <c r="K320" s="7" t="s">
        <v>675</v>
      </c>
      <c r="M320" s="7" t="s">
        <v>705</v>
      </c>
      <c r="N320" s="7" t="s">
        <v>707</v>
      </c>
      <c r="O320" s="7" t="s">
        <v>712</v>
      </c>
      <c r="P320" s="7" t="s">
        <v>733</v>
      </c>
      <c r="Q320" s="7" t="s">
        <v>1746</v>
      </c>
      <c r="R320" s="9">
        <v>875.36</v>
      </c>
      <c r="S320" s="9">
        <v>1178.6199999999999</v>
      </c>
      <c r="T320" s="9">
        <v>1178.6199999999999</v>
      </c>
      <c r="U320" s="9">
        <f t="shared" si="24"/>
        <v>899.50600000000009</v>
      </c>
      <c r="V320" s="9">
        <f t="shared" si="22"/>
        <v>1641.07</v>
      </c>
      <c r="W320" s="9" t="str">
        <f t="shared" si="23"/>
        <v>Medium</v>
      </c>
      <c r="X320" t="s">
        <v>2065</v>
      </c>
      <c r="Y320" s="11">
        <v>0.151</v>
      </c>
      <c r="Z320" t="s">
        <v>2065</v>
      </c>
      <c r="AA320" s="13">
        <v>53</v>
      </c>
      <c r="AB320" s="9">
        <v>53034.364139999991</v>
      </c>
      <c r="AC320" s="9">
        <v>46394.080000000002</v>
      </c>
      <c r="AD320" s="9">
        <v>6640.2841399999888</v>
      </c>
      <c r="AE320" s="11">
        <v>0.12520719815685888</v>
      </c>
    </row>
    <row r="321" spans="1:31" x14ac:dyDescent="0.3">
      <c r="A321" t="s">
        <v>334</v>
      </c>
      <c r="B321" s="4">
        <v>45440</v>
      </c>
      <c r="C321" s="4" t="str">
        <f t="shared" si="20"/>
        <v>May-2024</v>
      </c>
      <c r="D321" s="4" t="str">
        <f t="shared" si="21"/>
        <v>Q2-2024</v>
      </c>
      <c r="E321" s="4">
        <v>45461</v>
      </c>
      <c r="F321" t="s">
        <v>2064</v>
      </c>
      <c r="G321" s="4">
        <v>45461</v>
      </c>
      <c r="H321" s="13">
        <v>21</v>
      </c>
      <c r="I321" s="7" t="s">
        <v>649</v>
      </c>
      <c r="J321" s="7" t="s">
        <v>656</v>
      </c>
      <c r="K321" s="7" t="s">
        <v>698</v>
      </c>
      <c r="M321" s="7" t="s">
        <v>705</v>
      </c>
      <c r="N321" s="7" t="s">
        <v>708</v>
      </c>
      <c r="O321" s="7" t="s">
        <v>718</v>
      </c>
      <c r="P321" s="7" t="s">
        <v>730</v>
      </c>
      <c r="Q321" s="7" t="s">
        <v>1747</v>
      </c>
      <c r="R321" s="9">
        <v>986.85</v>
      </c>
      <c r="S321" s="9">
        <v>2422.1</v>
      </c>
      <c r="T321" s="9">
        <v>2422.1</v>
      </c>
      <c r="U321" s="9">
        <f t="shared" si="24"/>
        <v>896.83300000000008</v>
      </c>
      <c r="V321" s="9">
        <f t="shared" si="22"/>
        <v>1642.6161999999999</v>
      </c>
      <c r="W321" s="9" t="str">
        <f t="shared" si="23"/>
        <v>High</v>
      </c>
      <c r="X321" t="s">
        <v>2065</v>
      </c>
      <c r="Y321" s="11">
        <v>7.5999999999999998E-2</v>
      </c>
      <c r="Z321" t="s">
        <v>2065</v>
      </c>
      <c r="AA321" s="13">
        <v>10</v>
      </c>
      <c r="AB321" s="9">
        <v>22380.204000000002</v>
      </c>
      <c r="AC321" s="9">
        <v>9868.5</v>
      </c>
      <c r="AD321" s="9">
        <v>12511.704000000002</v>
      </c>
      <c r="AE321" s="11">
        <v>0.55905227673527913</v>
      </c>
    </row>
    <row r="322" spans="1:31" x14ac:dyDescent="0.3">
      <c r="A322" t="s">
        <v>335</v>
      </c>
      <c r="B322" s="4">
        <v>45293</v>
      </c>
      <c r="C322" s="4" t="str">
        <f t="shared" si="20"/>
        <v>Jan-2024</v>
      </c>
      <c r="D322" s="4" t="str">
        <f t="shared" si="21"/>
        <v>Q1-2024</v>
      </c>
      <c r="E322" s="4">
        <v>45292</v>
      </c>
      <c r="F322" t="s">
        <v>2066</v>
      </c>
      <c r="G322" s="4">
        <v>45293</v>
      </c>
      <c r="H322" s="13">
        <v>0</v>
      </c>
      <c r="I322" s="7" t="s">
        <v>648</v>
      </c>
      <c r="J322" s="7" t="s">
        <v>1425</v>
      </c>
      <c r="K322" s="7" t="s">
        <v>677</v>
      </c>
      <c r="M322" s="7" t="s">
        <v>702</v>
      </c>
      <c r="N322" s="7" t="s">
        <v>709</v>
      </c>
      <c r="O322" s="7" t="s">
        <v>717</v>
      </c>
      <c r="P322" s="7" t="s">
        <v>729</v>
      </c>
      <c r="Q322" s="7" t="s">
        <v>1748</v>
      </c>
      <c r="R322" s="9">
        <v>404.77</v>
      </c>
      <c r="S322" s="9">
        <v>433.88</v>
      </c>
      <c r="T322" s="9">
        <v>433.88</v>
      </c>
      <c r="U322" s="9">
        <f t="shared" si="24"/>
        <v>894.16000000000008</v>
      </c>
      <c r="V322" s="9">
        <f t="shared" si="22"/>
        <v>1638.91</v>
      </c>
      <c r="W322" s="9" t="str">
        <f t="shared" si="23"/>
        <v>Low</v>
      </c>
      <c r="X322" t="s">
        <v>2065</v>
      </c>
      <c r="Y322" s="11">
        <v>0.215</v>
      </c>
      <c r="Z322" t="s">
        <v>2065</v>
      </c>
      <c r="AA322" s="13">
        <v>22</v>
      </c>
      <c r="AB322" s="9">
        <v>7493.1076000000012</v>
      </c>
      <c r="AC322" s="9">
        <v>8904.9399999999987</v>
      </c>
      <c r="AD322" s="9">
        <v>-1411.8323999999975</v>
      </c>
      <c r="AE322" s="11">
        <v>-0.18841747314558746</v>
      </c>
    </row>
    <row r="323" spans="1:31" x14ac:dyDescent="0.3">
      <c r="A323" t="s">
        <v>336</v>
      </c>
      <c r="B323" s="4">
        <v>44985</v>
      </c>
      <c r="C323" s="4" t="str">
        <f t="shared" ref="C323:C386" si="25">TEXT(B323,"MMM-YYYY")</f>
        <v>Feb-2023</v>
      </c>
      <c r="D323" s="4" t="str">
        <f t="shared" ref="D323:D386" si="26">"Q" &amp; INT((MONTH(B323)-1)/3)+1 &amp; "-" &amp; YEAR(B323)</f>
        <v>Q1-2023</v>
      </c>
      <c r="E323" s="4">
        <v>44984</v>
      </c>
      <c r="F323" t="s">
        <v>2066</v>
      </c>
      <c r="G323" s="4">
        <v>44985</v>
      </c>
      <c r="H323" s="13">
        <v>0</v>
      </c>
      <c r="I323" s="7" t="s">
        <v>649</v>
      </c>
      <c r="J323" s="7" t="s">
        <v>657</v>
      </c>
      <c r="K323" s="7" t="s">
        <v>673</v>
      </c>
      <c r="M323" s="7" t="s">
        <v>701</v>
      </c>
      <c r="N323" s="7" t="s">
        <v>707</v>
      </c>
      <c r="O323" s="7" t="s">
        <v>723</v>
      </c>
      <c r="P323" s="7" t="s">
        <v>729</v>
      </c>
      <c r="Q323" s="7" t="s">
        <v>1749</v>
      </c>
      <c r="R323" s="9">
        <v>1299.81</v>
      </c>
      <c r="S323" s="9">
        <v>3149.13</v>
      </c>
      <c r="T323" s="9">
        <v>3149.13</v>
      </c>
      <c r="U323" s="9">
        <f t="shared" si="24"/>
        <v>899.58699999999999</v>
      </c>
      <c r="V323" s="9">
        <f t="shared" ref="V323:V386" si="27">_xlfn.PERCENTILE.INC(T323:T953,0.66)</f>
        <v>1641.2049999999999</v>
      </c>
      <c r="W323" s="9" t="str">
        <f t="shared" ref="W323:W386" si="28">IF(T323&lt;=U323,"Low",IF(T323&lt;=V323,"Medium","High"))</f>
        <v>High</v>
      </c>
      <c r="X323" t="s">
        <v>2065</v>
      </c>
      <c r="Y323" s="11">
        <v>0.10299999999999999</v>
      </c>
      <c r="Z323" t="s">
        <v>2065</v>
      </c>
      <c r="AA323" s="13">
        <v>14</v>
      </c>
      <c r="AB323" s="9">
        <v>39546.774539999999</v>
      </c>
      <c r="AC323" s="9">
        <v>18197.34</v>
      </c>
      <c r="AD323" s="9">
        <v>21349.434539999998</v>
      </c>
      <c r="AE323" s="11">
        <v>0.53985273864511729</v>
      </c>
    </row>
    <row r="324" spans="1:31" x14ac:dyDescent="0.3">
      <c r="A324" t="s">
        <v>337</v>
      </c>
      <c r="B324" s="4">
        <v>45340</v>
      </c>
      <c r="C324" s="4" t="str">
        <f t="shared" si="25"/>
        <v>Feb-2024</v>
      </c>
      <c r="D324" s="4" t="str">
        <f t="shared" si="26"/>
        <v>Q1-2024</v>
      </c>
      <c r="E324" s="4">
        <v>45362</v>
      </c>
      <c r="F324" t="s">
        <v>2064</v>
      </c>
      <c r="G324" s="4">
        <v>45362</v>
      </c>
      <c r="H324" s="13">
        <v>22</v>
      </c>
      <c r="I324" s="7" t="s">
        <v>648</v>
      </c>
      <c r="J324" s="7" t="s">
        <v>655</v>
      </c>
      <c r="K324" s="7" t="s">
        <v>670</v>
      </c>
      <c r="M324" s="7" t="s">
        <v>704</v>
      </c>
      <c r="N324" s="7" t="s">
        <v>708</v>
      </c>
      <c r="O324" s="7" t="s">
        <v>720</v>
      </c>
      <c r="P324" s="7" t="s">
        <v>727</v>
      </c>
      <c r="Q324" s="7" t="s">
        <v>1750</v>
      </c>
      <c r="R324" s="9">
        <v>80.48</v>
      </c>
      <c r="S324" s="9">
        <v>65.650000000000006</v>
      </c>
      <c r="T324" s="9">
        <v>65.650000000000006</v>
      </c>
      <c r="U324" s="9">
        <f t="shared" si="24"/>
        <v>896.91399999999999</v>
      </c>
      <c r="V324" s="9">
        <f t="shared" si="27"/>
        <v>1636.75</v>
      </c>
      <c r="W324" s="9" t="str">
        <f t="shared" si="28"/>
        <v>Low</v>
      </c>
      <c r="X324" t="s">
        <v>2065</v>
      </c>
      <c r="Y324" s="11">
        <v>0.17599999999999999</v>
      </c>
      <c r="Z324" t="s">
        <v>2065</v>
      </c>
      <c r="AA324" s="13">
        <v>13</v>
      </c>
      <c r="AB324" s="9">
        <v>703.2428000000001</v>
      </c>
      <c r="AC324" s="9">
        <v>1046.24</v>
      </c>
      <c r="AD324" s="9">
        <v>-342.99719999999991</v>
      </c>
      <c r="AE324" s="11">
        <v>-0.48773652570634191</v>
      </c>
    </row>
    <row r="325" spans="1:31" x14ac:dyDescent="0.3">
      <c r="A325" t="s">
        <v>338</v>
      </c>
      <c r="B325" s="4">
        <v>45544</v>
      </c>
      <c r="C325" s="4" t="str">
        <f t="shared" si="25"/>
        <v>Sep-2024</v>
      </c>
      <c r="D325" s="4" t="str">
        <f t="shared" si="26"/>
        <v>Q3-2024</v>
      </c>
      <c r="E325" s="4">
        <v>45573</v>
      </c>
      <c r="F325" t="s">
        <v>2064</v>
      </c>
      <c r="G325" s="4">
        <v>45573</v>
      </c>
      <c r="H325" s="13">
        <v>29</v>
      </c>
      <c r="I325" s="7" t="s">
        <v>648</v>
      </c>
      <c r="J325" s="7" t="s">
        <v>655</v>
      </c>
      <c r="K325" s="7" t="s">
        <v>670</v>
      </c>
      <c r="M325" s="7" t="s">
        <v>702</v>
      </c>
      <c r="N325" s="7" t="s">
        <v>711</v>
      </c>
      <c r="O325" s="7" t="s">
        <v>713</v>
      </c>
      <c r="P325" s="7" t="s">
        <v>727</v>
      </c>
      <c r="Q325" s="7" t="s">
        <v>1751</v>
      </c>
      <c r="R325" s="9">
        <v>1010.33</v>
      </c>
      <c r="S325" s="9">
        <v>2492.14</v>
      </c>
      <c r="T325" s="9">
        <v>2492.14</v>
      </c>
      <c r="U325" s="9">
        <f t="shared" si="24"/>
        <v>900.3415</v>
      </c>
      <c r="V325" s="9">
        <f t="shared" si="27"/>
        <v>1639.0449999999998</v>
      </c>
      <c r="W325" s="9" t="str">
        <f t="shared" si="28"/>
        <v>High</v>
      </c>
      <c r="X325" t="s">
        <v>2065</v>
      </c>
      <c r="Y325" s="11">
        <v>5.0999999999999997E-2</v>
      </c>
      <c r="Z325" t="s">
        <v>2065</v>
      </c>
      <c r="AA325" s="13">
        <v>11</v>
      </c>
      <c r="AB325" s="9">
        <v>26015.449459999996</v>
      </c>
      <c r="AC325" s="9">
        <v>11113.630000000001</v>
      </c>
      <c r="AD325" s="9">
        <v>14901.819459999995</v>
      </c>
      <c r="AE325" s="11">
        <v>0.57280653493656752</v>
      </c>
    </row>
    <row r="326" spans="1:31" x14ac:dyDescent="0.3">
      <c r="A326" t="s">
        <v>339</v>
      </c>
      <c r="B326" s="4">
        <v>45053</v>
      </c>
      <c r="C326" s="4" t="str">
        <f t="shared" si="25"/>
        <v>May-2023</v>
      </c>
      <c r="D326" s="4" t="str">
        <f t="shared" si="26"/>
        <v>Q2-2023</v>
      </c>
      <c r="E326" s="4">
        <v>45075</v>
      </c>
      <c r="F326" t="s">
        <v>2064</v>
      </c>
      <c r="G326" s="4">
        <v>45075</v>
      </c>
      <c r="H326" s="13">
        <v>22</v>
      </c>
      <c r="I326" s="7" t="s">
        <v>646</v>
      </c>
      <c r="J326" s="7" t="s">
        <v>661</v>
      </c>
      <c r="K326" s="7" t="s">
        <v>687</v>
      </c>
      <c r="M326" s="7" t="s">
        <v>702</v>
      </c>
      <c r="N326" s="7" t="s">
        <v>710</v>
      </c>
      <c r="O326" s="7" t="s">
        <v>723</v>
      </c>
      <c r="P326" s="7" t="s">
        <v>733</v>
      </c>
      <c r="Q326" s="7" t="s">
        <v>1752</v>
      </c>
      <c r="R326" s="9">
        <v>653.86</v>
      </c>
      <c r="S326" s="9">
        <v>931.84</v>
      </c>
      <c r="T326" s="9">
        <v>931.84</v>
      </c>
      <c r="U326" s="9">
        <f t="shared" si="24"/>
        <v>899.66800000000012</v>
      </c>
      <c r="V326" s="9">
        <f t="shared" si="27"/>
        <v>1634.6812</v>
      </c>
      <c r="W326" s="9" t="str">
        <f t="shared" si="28"/>
        <v>Medium</v>
      </c>
      <c r="X326" t="s">
        <v>2065</v>
      </c>
      <c r="Y326" s="11">
        <v>0.121</v>
      </c>
      <c r="Z326" t="s">
        <v>2065</v>
      </c>
      <c r="AA326" s="13">
        <v>12</v>
      </c>
      <c r="AB326" s="9">
        <v>9829.0483199999999</v>
      </c>
      <c r="AC326" s="9">
        <v>7846.32</v>
      </c>
      <c r="AD326" s="9">
        <v>1982.7283200000002</v>
      </c>
      <c r="AE326" s="11">
        <v>0.20172129136506273</v>
      </c>
    </row>
    <row r="327" spans="1:31" x14ac:dyDescent="0.3">
      <c r="A327" t="s">
        <v>340</v>
      </c>
      <c r="B327" s="4">
        <v>45303</v>
      </c>
      <c r="C327" s="4" t="str">
        <f t="shared" si="25"/>
        <v>Jan-2024</v>
      </c>
      <c r="D327" s="4" t="str">
        <f t="shared" si="26"/>
        <v>Q1-2024</v>
      </c>
      <c r="E327" s="4">
        <v>45320</v>
      </c>
      <c r="F327" t="s">
        <v>2064</v>
      </c>
      <c r="G327" s="4">
        <v>45320</v>
      </c>
      <c r="H327" s="13">
        <v>17</v>
      </c>
      <c r="I327" s="7" t="s">
        <v>647</v>
      </c>
      <c r="J327" s="7" t="s">
        <v>654</v>
      </c>
      <c r="K327" s="7" t="s">
        <v>696</v>
      </c>
      <c r="M327" s="7" t="s">
        <v>705</v>
      </c>
      <c r="N327" s="7" t="s">
        <v>711</v>
      </c>
      <c r="O327" s="7" t="s">
        <v>717</v>
      </c>
      <c r="P327" s="7" t="s">
        <v>727</v>
      </c>
      <c r="Q327" s="7" t="s">
        <v>1753</v>
      </c>
      <c r="R327" s="9">
        <v>310.02</v>
      </c>
      <c r="S327" s="9">
        <v>619.51</v>
      </c>
      <c r="T327" s="9">
        <v>619.51</v>
      </c>
      <c r="U327" s="9">
        <f t="shared" ref="U327:U390" si="29">_xlfn.PERCENTILE.INC(T327:T957,0.33)</f>
        <v>896.99500000000012</v>
      </c>
      <c r="V327" s="9">
        <f t="shared" si="27"/>
        <v>1636.885</v>
      </c>
      <c r="W327" s="9" t="str">
        <f t="shared" si="28"/>
        <v>Low</v>
      </c>
      <c r="X327" t="s">
        <v>2065</v>
      </c>
      <c r="Y327" s="11">
        <v>4.2000000000000003E-2</v>
      </c>
      <c r="Z327" t="s">
        <v>2065</v>
      </c>
      <c r="AA327" s="13">
        <v>4</v>
      </c>
      <c r="AB327" s="9">
        <v>2373.9623200000001</v>
      </c>
      <c r="AC327" s="9">
        <v>1240.08</v>
      </c>
      <c r="AD327" s="9">
        <v>1133.8823200000002</v>
      </c>
      <c r="AE327" s="11">
        <v>0.47763282106347843</v>
      </c>
    </row>
    <row r="328" spans="1:31" x14ac:dyDescent="0.3">
      <c r="A328" t="s">
        <v>341</v>
      </c>
      <c r="B328" s="4">
        <v>45087</v>
      </c>
      <c r="C328" s="4" t="str">
        <f t="shared" si="25"/>
        <v>Jun-2023</v>
      </c>
      <c r="D328" s="4" t="str">
        <f t="shared" si="26"/>
        <v>Q2-2023</v>
      </c>
      <c r="E328" s="4">
        <v>45095</v>
      </c>
      <c r="F328" t="s">
        <v>2064</v>
      </c>
      <c r="G328" s="4">
        <v>45095</v>
      </c>
      <c r="H328" s="13">
        <v>8</v>
      </c>
      <c r="I328" s="7" t="s">
        <v>646</v>
      </c>
      <c r="J328" s="7" t="s">
        <v>650</v>
      </c>
      <c r="K328" s="7" t="s">
        <v>678</v>
      </c>
      <c r="M328" s="7" t="s">
        <v>706</v>
      </c>
      <c r="N328" s="7" t="s">
        <v>711</v>
      </c>
      <c r="O328" s="7" t="s">
        <v>722</v>
      </c>
      <c r="P328" s="7" t="s">
        <v>730</v>
      </c>
      <c r="Q328" s="7" t="s">
        <v>1754</v>
      </c>
      <c r="R328" s="9">
        <v>894.23</v>
      </c>
      <c r="S328" s="9">
        <v>1421.55</v>
      </c>
      <c r="T328" s="9">
        <v>1421.55</v>
      </c>
      <c r="U328" s="9">
        <f t="shared" si="29"/>
        <v>900.35800000000006</v>
      </c>
      <c r="V328" s="9">
        <f t="shared" si="27"/>
        <v>1639.18</v>
      </c>
      <c r="W328" s="9" t="str">
        <f t="shared" si="28"/>
        <v>Medium</v>
      </c>
      <c r="X328" t="s">
        <v>2065</v>
      </c>
      <c r="Y328" s="11">
        <v>0.109</v>
      </c>
      <c r="Z328" t="s">
        <v>2065</v>
      </c>
      <c r="AA328" s="13">
        <v>3</v>
      </c>
      <c r="AB328" s="9">
        <v>3799.8031499999997</v>
      </c>
      <c r="AC328" s="9">
        <v>2682.69</v>
      </c>
      <c r="AD328" s="9">
        <v>1117.1131499999997</v>
      </c>
      <c r="AE328" s="11">
        <v>0.29399237431549574</v>
      </c>
    </row>
    <row r="329" spans="1:31" x14ac:dyDescent="0.3">
      <c r="A329" t="s">
        <v>342</v>
      </c>
      <c r="B329" s="4">
        <v>45796</v>
      </c>
      <c r="C329" s="4" t="str">
        <f t="shared" si="25"/>
        <v>May-2025</v>
      </c>
      <c r="D329" s="4" t="str">
        <f t="shared" si="26"/>
        <v>Q2-2025</v>
      </c>
      <c r="E329" s="4">
        <v>45794</v>
      </c>
      <c r="F329" t="s">
        <v>2066</v>
      </c>
      <c r="G329" s="4">
        <v>45796</v>
      </c>
      <c r="H329" s="13">
        <v>0</v>
      </c>
      <c r="I329" s="7" t="s">
        <v>648</v>
      </c>
      <c r="J329" s="7" t="s">
        <v>655</v>
      </c>
      <c r="K329" s="7" t="s">
        <v>670</v>
      </c>
      <c r="M329" s="7" t="s">
        <v>705</v>
      </c>
      <c r="N329" s="7" t="s">
        <v>710</v>
      </c>
      <c r="O329" s="7" t="s">
        <v>716</v>
      </c>
      <c r="P329" s="7" t="s">
        <v>732</v>
      </c>
      <c r="Q329" s="7" t="s">
        <v>1755</v>
      </c>
      <c r="R329" s="9">
        <v>383.77</v>
      </c>
      <c r="S329" s="9">
        <v>952.56</v>
      </c>
      <c r="T329" s="9">
        <v>952.56</v>
      </c>
      <c r="U329" s="9">
        <f t="shared" si="29"/>
        <v>899.74900000000014</v>
      </c>
      <c r="V329" s="9">
        <f t="shared" si="27"/>
        <v>1641.4749999999999</v>
      </c>
      <c r="W329" s="9" t="str">
        <f t="shared" si="28"/>
        <v>Medium</v>
      </c>
      <c r="X329" t="s">
        <v>2065</v>
      </c>
      <c r="Y329" s="11">
        <v>0.34599999999999997</v>
      </c>
      <c r="Z329" t="s">
        <v>2067</v>
      </c>
      <c r="AA329" s="13">
        <v>10</v>
      </c>
      <c r="AB329" s="9">
        <v>6229.7423999999992</v>
      </c>
      <c r="AC329" s="9">
        <v>3837.7</v>
      </c>
      <c r="AD329" s="9">
        <v>2392.0423999999994</v>
      </c>
      <c r="AE329" s="11">
        <v>0.38397131797937578</v>
      </c>
    </row>
    <row r="330" spans="1:31" x14ac:dyDescent="0.3">
      <c r="A330" t="s">
        <v>343</v>
      </c>
      <c r="B330" s="4">
        <v>45221</v>
      </c>
      <c r="C330" s="4" t="str">
        <f t="shared" si="25"/>
        <v>Oct-2023</v>
      </c>
      <c r="D330" s="4" t="str">
        <f t="shared" si="26"/>
        <v>Q4-2023</v>
      </c>
      <c r="E330" s="4">
        <v>45246</v>
      </c>
      <c r="F330" t="s">
        <v>2064</v>
      </c>
      <c r="G330" s="4">
        <v>45246</v>
      </c>
      <c r="H330" s="13">
        <v>25</v>
      </c>
      <c r="I330" s="7" t="s">
        <v>648</v>
      </c>
      <c r="J330" s="7" t="s">
        <v>653</v>
      </c>
      <c r="K330" s="7" t="s">
        <v>667</v>
      </c>
      <c r="M330" s="7" t="s">
        <v>705</v>
      </c>
      <c r="N330" s="7" t="s">
        <v>709</v>
      </c>
      <c r="O330" s="7" t="s">
        <v>714</v>
      </c>
      <c r="P330" s="7" t="s">
        <v>731</v>
      </c>
      <c r="Q330" s="7" t="s">
        <v>1756</v>
      </c>
      <c r="R330" s="9">
        <v>1373.31</v>
      </c>
      <c r="S330" s="9">
        <v>3154.14</v>
      </c>
      <c r="T330" s="9">
        <v>3154.14</v>
      </c>
      <c r="U330" s="9">
        <f t="shared" si="29"/>
        <v>897.07600000000014</v>
      </c>
      <c r="V330" s="9">
        <f t="shared" si="27"/>
        <v>1642.8484000000001</v>
      </c>
      <c r="W330" s="9" t="str">
        <f t="shared" si="28"/>
        <v>High</v>
      </c>
      <c r="X330" t="s">
        <v>2065</v>
      </c>
      <c r="Y330" s="11">
        <v>0.2</v>
      </c>
      <c r="Z330" t="s">
        <v>2065</v>
      </c>
      <c r="AA330" s="13">
        <v>11</v>
      </c>
      <c r="AB330" s="9">
        <v>27756.432000000001</v>
      </c>
      <c r="AC330" s="9">
        <v>15106.41</v>
      </c>
      <c r="AD330" s="9">
        <v>12650.022000000001</v>
      </c>
      <c r="AE330" s="11">
        <v>0.45575101295440279</v>
      </c>
    </row>
    <row r="331" spans="1:31" x14ac:dyDescent="0.3">
      <c r="A331" t="s">
        <v>344</v>
      </c>
      <c r="B331" s="4">
        <v>45668</v>
      </c>
      <c r="C331" s="4" t="str">
        <f t="shared" si="25"/>
        <v>Jan-2025</v>
      </c>
      <c r="D331" s="4" t="str">
        <f t="shared" si="26"/>
        <v>Q1-2025</v>
      </c>
      <c r="E331" s="4">
        <v>45680</v>
      </c>
      <c r="F331" t="s">
        <v>2064</v>
      </c>
      <c r="G331" s="4">
        <v>45680</v>
      </c>
      <c r="H331" s="13">
        <v>12</v>
      </c>
      <c r="I331" s="7" t="s">
        <v>648</v>
      </c>
      <c r="J331" s="7" t="s">
        <v>1425</v>
      </c>
      <c r="K331" s="7" t="s">
        <v>697</v>
      </c>
      <c r="M331" s="7" t="s">
        <v>704</v>
      </c>
      <c r="N331" s="7" t="s">
        <v>710</v>
      </c>
      <c r="O331" s="7" t="s">
        <v>722</v>
      </c>
      <c r="P331" s="7" t="s">
        <v>730</v>
      </c>
      <c r="Q331" s="7" t="s">
        <v>1757</v>
      </c>
      <c r="R331" s="9">
        <v>100.69</v>
      </c>
      <c r="S331" s="9">
        <v>226.14</v>
      </c>
      <c r="T331" s="9">
        <v>226.14</v>
      </c>
      <c r="U331" s="9">
        <f t="shared" si="29"/>
        <v>894.40300000000002</v>
      </c>
      <c r="V331" s="9">
        <f t="shared" si="27"/>
        <v>1639.3149999999998</v>
      </c>
      <c r="W331" s="9" t="str">
        <f t="shared" si="28"/>
        <v>Low</v>
      </c>
      <c r="X331" t="s">
        <v>2065</v>
      </c>
      <c r="Y331" s="11">
        <v>6.5000000000000002E-2</v>
      </c>
      <c r="Z331" t="s">
        <v>2065</v>
      </c>
      <c r="AA331" s="13">
        <v>12</v>
      </c>
      <c r="AB331" s="9">
        <v>2537.2908000000002</v>
      </c>
      <c r="AC331" s="9">
        <v>1208.28</v>
      </c>
      <c r="AD331" s="9">
        <v>1329.0108000000002</v>
      </c>
      <c r="AE331" s="11">
        <v>0.52379128162999689</v>
      </c>
    </row>
    <row r="332" spans="1:31" x14ac:dyDescent="0.3">
      <c r="A332" t="s">
        <v>345</v>
      </c>
      <c r="B332" s="4">
        <v>45914</v>
      </c>
      <c r="C332" s="4" t="str">
        <f t="shared" si="25"/>
        <v>Sep-2025</v>
      </c>
      <c r="D332" s="4" t="str">
        <f t="shared" si="26"/>
        <v>Q3-2025</v>
      </c>
      <c r="E332" s="4">
        <v>45926</v>
      </c>
      <c r="F332" t="s">
        <v>2064</v>
      </c>
      <c r="G332" s="4">
        <v>45926</v>
      </c>
      <c r="H332" s="13">
        <v>12</v>
      </c>
      <c r="I332" s="7" t="s">
        <v>649</v>
      </c>
      <c r="J332" s="7" t="s">
        <v>658</v>
      </c>
      <c r="K332" s="7" t="s">
        <v>683</v>
      </c>
      <c r="M332" s="7" t="s">
        <v>705</v>
      </c>
      <c r="N332" s="7" t="s">
        <v>711</v>
      </c>
      <c r="O332" s="7" t="s">
        <v>725</v>
      </c>
      <c r="P332" s="7" t="s">
        <v>729</v>
      </c>
      <c r="Q332" s="7" t="s">
        <v>1758</v>
      </c>
      <c r="R332" s="9">
        <v>425.15</v>
      </c>
      <c r="S332" s="9">
        <v>885.92</v>
      </c>
      <c r="T332" s="9">
        <v>885.92</v>
      </c>
      <c r="U332" s="9">
        <f t="shared" si="29"/>
        <v>899.83</v>
      </c>
      <c r="V332" s="9">
        <f t="shared" si="27"/>
        <v>1641.61</v>
      </c>
      <c r="W332" s="9" t="str">
        <f t="shared" si="28"/>
        <v>Low</v>
      </c>
      <c r="X332" t="s">
        <v>2065</v>
      </c>
      <c r="Y332" s="11">
        <v>0.23899999999999999</v>
      </c>
      <c r="Z332" t="s">
        <v>2065</v>
      </c>
      <c r="AA332" s="13">
        <v>13</v>
      </c>
      <c r="AB332" s="9">
        <v>8764.4065599999994</v>
      </c>
      <c r="AC332" s="9">
        <v>5526.95</v>
      </c>
      <c r="AD332" s="9">
        <v>3237.4565599999996</v>
      </c>
      <c r="AE332" s="11">
        <v>0.3693868532725848</v>
      </c>
    </row>
    <row r="333" spans="1:31" x14ac:dyDescent="0.3">
      <c r="A333" t="s">
        <v>346</v>
      </c>
      <c r="B333" s="4">
        <v>45168</v>
      </c>
      <c r="C333" s="4" t="str">
        <f t="shared" si="25"/>
        <v>Aug-2023</v>
      </c>
      <c r="D333" s="4" t="str">
        <f t="shared" si="26"/>
        <v>Q3-2023</v>
      </c>
      <c r="E333" s="4">
        <v>45172</v>
      </c>
      <c r="F333" t="s">
        <v>2064</v>
      </c>
      <c r="G333" s="4">
        <v>45172</v>
      </c>
      <c r="H333" s="13">
        <v>4</v>
      </c>
      <c r="I333" s="7" t="s">
        <v>647</v>
      </c>
      <c r="J333" s="7" t="s">
        <v>654</v>
      </c>
      <c r="K333" s="7" t="s">
        <v>680</v>
      </c>
      <c r="M333" s="7" t="s">
        <v>705</v>
      </c>
      <c r="N333" s="7" t="s">
        <v>709</v>
      </c>
      <c r="O333" s="7" t="s">
        <v>716</v>
      </c>
      <c r="P333" s="7" t="s">
        <v>733</v>
      </c>
      <c r="Q333" s="7" t="s">
        <v>1759</v>
      </c>
      <c r="R333" s="9">
        <v>1082.25</v>
      </c>
      <c r="S333" s="9">
        <v>2433.34</v>
      </c>
      <c r="T333" s="9">
        <v>2433.34</v>
      </c>
      <c r="U333" s="9">
        <f t="shared" si="29"/>
        <v>900.93550000000005</v>
      </c>
      <c r="V333" s="9">
        <f t="shared" si="27"/>
        <v>1642.9258</v>
      </c>
      <c r="W333" s="9" t="str">
        <f t="shared" si="28"/>
        <v>High</v>
      </c>
      <c r="X333" t="s">
        <v>2065</v>
      </c>
      <c r="Y333" s="11">
        <v>0.27</v>
      </c>
      <c r="Z333" t="s">
        <v>2065</v>
      </c>
      <c r="AA333" s="13">
        <v>4</v>
      </c>
      <c r="AB333" s="9">
        <v>7105.3528000000006</v>
      </c>
      <c r="AC333" s="9">
        <v>4329</v>
      </c>
      <c r="AD333" s="9">
        <v>2776.3528000000006</v>
      </c>
      <c r="AE333" s="11">
        <v>0.3907410199251472</v>
      </c>
    </row>
    <row r="334" spans="1:31" x14ac:dyDescent="0.3">
      <c r="A334" t="s">
        <v>347</v>
      </c>
      <c r="B334" s="4">
        <v>45245</v>
      </c>
      <c r="C334" s="4" t="str">
        <f t="shared" si="25"/>
        <v>Nov-2023</v>
      </c>
      <c r="D334" s="4" t="str">
        <f t="shared" si="26"/>
        <v>Q4-2023</v>
      </c>
      <c r="E334" s="4">
        <v>45266</v>
      </c>
      <c r="F334" t="s">
        <v>2064</v>
      </c>
      <c r="G334" s="4">
        <v>45266</v>
      </c>
      <c r="H334" s="13">
        <v>21</v>
      </c>
      <c r="I334" s="7" t="s">
        <v>649</v>
      </c>
      <c r="J334" s="7" t="s">
        <v>658</v>
      </c>
      <c r="K334" s="7" t="s">
        <v>693</v>
      </c>
      <c r="M334" s="7" t="s">
        <v>702</v>
      </c>
      <c r="N334" s="7" t="s">
        <v>711</v>
      </c>
      <c r="O334" s="7" t="s">
        <v>722</v>
      </c>
      <c r="P334" s="7" t="s">
        <v>733</v>
      </c>
      <c r="Q334" s="7" t="s">
        <v>1760</v>
      </c>
      <c r="R334" s="9">
        <v>1184.99</v>
      </c>
      <c r="S334" s="9">
        <v>1154.3399999999999</v>
      </c>
      <c r="T334" s="9">
        <v>1154.3399999999999</v>
      </c>
      <c r="U334" s="9">
        <f t="shared" si="29"/>
        <v>900.39100000000008</v>
      </c>
      <c r="V334" s="9">
        <f t="shared" si="27"/>
        <v>1639.45</v>
      </c>
      <c r="W334" s="9" t="str">
        <f t="shared" si="28"/>
        <v>Medium</v>
      </c>
      <c r="X334" t="s">
        <v>2065</v>
      </c>
      <c r="Y334" s="11">
        <v>2.8000000000000001E-2</v>
      </c>
      <c r="Z334" t="s">
        <v>2065</v>
      </c>
      <c r="AA334" s="13">
        <v>5</v>
      </c>
      <c r="AB334" s="9">
        <v>5610.0923999999995</v>
      </c>
      <c r="AC334" s="9">
        <v>5924.95</v>
      </c>
      <c r="AD334" s="9">
        <v>-314.85760000000028</v>
      </c>
      <c r="AE334" s="11">
        <v>-5.6123424990290764E-2</v>
      </c>
    </row>
    <row r="335" spans="1:31" x14ac:dyDescent="0.3">
      <c r="A335" t="s">
        <v>348</v>
      </c>
      <c r="B335" s="4">
        <v>45774</v>
      </c>
      <c r="C335" s="4" t="str">
        <f t="shared" si="25"/>
        <v>Apr-2025</v>
      </c>
      <c r="D335" s="4" t="str">
        <f t="shared" si="26"/>
        <v>Q2-2025</v>
      </c>
      <c r="E335" s="4">
        <v>45804</v>
      </c>
      <c r="F335" t="s">
        <v>2064</v>
      </c>
      <c r="G335" s="4">
        <v>45804</v>
      </c>
      <c r="H335" s="13">
        <v>30</v>
      </c>
      <c r="I335" s="7" t="s">
        <v>647</v>
      </c>
      <c r="J335" s="7" t="s">
        <v>654</v>
      </c>
      <c r="K335" s="7" t="s">
        <v>2057</v>
      </c>
      <c r="M335" s="7" t="s">
        <v>706</v>
      </c>
      <c r="N335" s="7" t="s">
        <v>709</v>
      </c>
      <c r="O335" s="7" t="s">
        <v>722</v>
      </c>
      <c r="P335" s="7" t="s">
        <v>730</v>
      </c>
      <c r="Q335" s="7" t="s">
        <v>1761</v>
      </c>
      <c r="R335" s="9">
        <v>481.32</v>
      </c>
      <c r="S335" s="9">
        <v>1135.99</v>
      </c>
      <c r="T335" s="9">
        <v>1135.99</v>
      </c>
      <c r="U335" s="9">
        <f t="shared" si="29"/>
        <v>899.84650000000011</v>
      </c>
      <c r="V335" s="9">
        <f t="shared" si="27"/>
        <v>1641.6874</v>
      </c>
      <c r="W335" s="9" t="str">
        <f t="shared" si="28"/>
        <v>Medium</v>
      </c>
      <c r="X335" t="s">
        <v>2065</v>
      </c>
      <c r="Y335" s="11">
        <v>0.14499999999999999</v>
      </c>
      <c r="Z335" t="s">
        <v>2065</v>
      </c>
      <c r="AA335" s="13">
        <v>5</v>
      </c>
      <c r="AB335" s="9">
        <v>4856.35725</v>
      </c>
      <c r="AC335" s="9">
        <v>2406.6</v>
      </c>
      <c r="AD335" s="9">
        <v>2449.7572500000001</v>
      </c>
      <c r="AE335" s="11">
        <v>0.50444337677175621</v>
      </c>
    </row>
    <row r="336" spans="1:31" x14ac:dyDescent="0.3">
      <c r="A336" t="s">
        <v>349</v>
      </c>
      <c r="B336" s="4">
        <v>45391</v>
      </c>
      <c r="C336" s="4" t="str">
        <f t="shared" si="25"/>
        <v>Apr-2024</v>
      </c>
      <c r="D336" s="4" t="str">
        <f t="shared" si="26"/>
        <v>Q2-2024</v>
      </c>
      <c r="E336" s="4">
        <v>45400</v>
      </c>
      <c r="F336" t="s">
        <v>2064</v>
      </c>
      <c r="G336" s="4">
        <v>45400</v>
      </c>
      <c r="H336" s="13">
        <v>9</v>
      </c>
      <c r="I336" s="7" t="s">
        <v>649</v>
      </c>
      <c r="J336" s="7" t="s">
        <v>657</v>
      </c>
      <c r="K336" s="7" t="s">
        <v>679</v>
      </c>
      <c r="M336" s="7" t="s">
        <v>704</v>
      </c>
      <c r="N336" s="7" t="s">
        <v>708</v>
      </c>
      <c r="O336" s="7" t="s">
        <v>718</v>
      </c>
      <c r="P336" s="7" t="s">
        <v>728</v>
      </c>
      <c r="Q336" s="7" t="s">
        <v>1762</v>
      </c>
      <c r="R336" s="9">
        <v>1288.8499999999999</v>
      </c>
      <c r="S336" s="9">
        <v>2751.84</v>
      </c>
      <c r="T336" s="9">
        <v>2751.84</v>
      </c>
      <c r="U336" s="9">
        <f t="shared" si="29"/>
        <v>897.23800000000006</v>
      </c>
      <c r="V336" s="9">
        <f t="shared" si="27"/>
        <v>1643.0032000000001</v>
      </c>
      <c r="W336" s="9" t="str">
        <f t="shared" si="28"/>
        <v>High</v>
      </c>
      <c r="X336" t="s">
        <v>2065</v>
      </c>
      <c r="Y336" s="11">
        <v>0.158</v>
      </c>
      <c r="Z336" t="s">
        <v>2065</v>
      </c>
      <c r="AA336" s="13">
        <v>7</v>
      </c>
      <c r="AB336" s="9">
        <v>16219.34496</v>
      </c>
      <c r="AC336" s="9">
        <v>9021.9499999999989</v>
      </c>
      <c r="AD336" s="9">
        <v>7197.3949600000014</v>
      </c>
      <c r="AE336" s="11">
        <v>0.44375373837538756</v>
      </c>
    </row>
    <row r="337" spans="1:31" x14ac:dyDescent="0.3">
      <c r="A337" t="s">
        <v>350</v>
      </c>
      <c r="B337" s="4">
        <v>45484</v>
      </c>
      <c r="C337" s="4" t="str">
        <f t="shared" si="25"/>
        <v>Jul-2024</v>
      </c>
      <c r="D337" s="4" t="str">
        <f t="shared" si="26"/>
        <v>Q3-2024</v>
      </c>
      <c r="E337" s="4">
        <v>45504</v>
      </c>
      <c r="F337" t="s">
        <v>2064</v>
      </c>
      <c r="G337" s="4">
        <v>45504</v>
      </c>
      <c r="H337" s="13">
        <v>20</v>
      </c>
      <c r="I337" s="7" t="s">
        <v>647</v>
      </c>
      <c r="J337" s="7" t="s">
        <v>659</v>
      </c>
      <c r="K337" s="7" t="s">
        <v>676</v>
      </c>
      <c r="M337" s="7" t="s">
        <v>704</v>
      </c>
      <c r="N337" s="7" t="s">
        <v>708</v>
      </c>
      <c r="O337" s="7" t="s">
        <v>715</v>
      </c>
      <c r="P337" s="7" t="s">
        <v>730</v>
      </c>
      <c r="Q337" s="7" t="s">
        <v>1763</v>
      </c>
      <c r="R337" s="9">
        <v>647.26</v>
      </c>
      <c r="S337" s="9">
        <v>1374.72</v>
      </c>
      <c r="T337" s="9">
        <v>1374.72</v>
      </c>
      <c r="U337" s="9">
        <f t="shared" si="29"/>
        <v>894.56500000000005</v>
      </c>
      <c r="V337" s="9">
        <f t="shared" si="27"/>
        <v>1639.585</v>
      </c>
      <c r="W337" s="9" t="str">
        <f t="shared" si="28"/>
        <v>Medium</v>
      </c>
      <c r="X337" t="s">
        <v>2065</v>
      </c>
      <c r="Y337" s="11">
        <v>6.6000000000000003E-2</v>
      </c>
      <c r="Z337" t="s">
        <v>2065</v>
      </c>
      <c r="AA337" s="13">
        <v>22</v>
      </c>
      <c r="AB337" s="9">
        <v>28247.74656</v>
      </c>
      <c r="AC337" s="9">
        <v>14239.72</v>
      </c>
      <c r="AD337" s="9">
        <v>14008.02656</v>
      </c>
      <c r="AE337" s="11">
        <v>0.49589890401508901</v>
      </c>
    </row>
    <row r="338" spans="1:31" x14ac:dyDescent="0.3">
      <c r="A338" t="s">
        <v>351</v>
      </c>
      <c r="B338" s="4">
        <v>45340</v>
      </c>
      <c r="C338" s="4" t="str">
        <f t="shared" si="25"/>
        <v>Feb-2024</v>
      </c>
      <c r="D338" s="4" t="str">
        <f t="shared" si="26"/>
        <v>Q1-2024</v>
      </c>
      <c r="E338" s="4">
        <v>45354</v>
      </c>
      <c r="F338" t="s">
        <v>2064</v>
      </c>
      <c r="G338" s="4">
        <v>45354</v>
      </c>
      <c r="H338" s="13">
        <v>14</v>
      </c>
      <c r="I338" s="7" t="s">
        <v>648</v>
      </c>
      <c r="J338" s="7" t="s">
        <v>655</v>
      </c>
      <c r="K338" s="7" t="s">
        <v>2057</v>
      </c>
      <c r="M338" s="7" t="s">
        <v>706</v>
      </c>
      <c r="N338" s="7" t="s">
        <v>710</v>
      </c>
      <c r="O338" s="7" t="s">
        <v>720</v>
      </c>
      <c r="P338" s="7" t="s">
        <v>728</v>
      </c>
      <c r="Q338" s="7" t="s">
        <v>1764</v>
      </c>
      <c r="R338" s="9">
        <v>624.23</v>
      </c>
      <c r="S338" s="9">
        <v>1318.37</v>
      </c>
      <c r="T338" s="9">
        <v>1318.37</v>
      </c>
      <c r="U338" s="9">
        <f t="shared" si="29"/>
        <v>891.89200000000005</v>
      </c>
      <c r="V338" s="9">
        <f t="shared" si="27"/>
        <v>1641.7647999999999</v>
      </c>
      <c r="W338" s="9" t="str">
        <f t="shared" si="28"/>
        <v>Medium</v>
      </c>
      <c r="X338" t="s">
        <v>2065</v>
      </c>
      <c r="Y338" s="11">
        <v>0.21</v>
      </c>
      <c r="Z338" t="s">
        <v>2065</v>
      </c>
      <c r="AA338" s="13">
        <v>37</v>
      </c>
      <c r="AB338" s="9">
        <v>38535.955099999999</v>
      </c>
      <c r="AC338" s="9">
        <v>23096.510000000002</v>
      </c>
      <c r="AD338" s="9">
        <v>15439.445099999997</v>
      </c>
      <c r="AE338" s="11">
        <v>0.40065038118128793</v>
      </c>
    </row>
    <row r="339" spans="1:31" x14ac:dyDescent="0.3">
      <c r="A339" t="s">
        <v>352</v>
      </c>
      <c r="B339" s="4">
        <v>45132</v>
      </c>
      <c r="C339" s="4" t="str">
        <f t="shared" si="25"/>
        <v>Jul-2023</v>
      </c>
      <c r="D339" s="4" t="str">
        <f t="shared" si="26"/>
        <v>Q3-2023</v>
      </c>
      <c r="E339" s="4">
        <v>45148</v>
      </c>
      <c r="F339" t="s">
        <v>2064</v>
      </c>
      <c r="G339" s="4">
        <v>45148</v>
      </c>
      <c r="H339" s="13">
        <v>16</v>
      </c>
      <c r="I339" s="7" t="s">
        <v>646</v>
      </c>
      <c r="J339" s="7" t="s">
        <v>651</v>
      </c>
      <c r="K339" s="7" t="s">
        <v>663</v>
      </c>
      <c r="M339" s="7" t="s">
        <v>701</v>
      </c>
      <c r="N339" s="7" t="s">
        <v>710</v>
      </c>
      <c r="O339" s="7" t="s">
        <v>714</v>
      </c>
      <c r="P339" s="7" t="s">
        <v>733</v>
      </c>
      <c r="Q339" s="7" t="s">
        <v>1765</v>
      </c>
      <c r="R339" s="9">
        <v>506.83</v>
      </c>
      <c r="S339" s="9">
        <v>441.74</v>
      </c>
      <c r="T339" s="9">
        <v>441.74</v>
      </c>
      <c r="U339" s="9">
        <f t="shared" si="29"/>
        <v>888.40059999999994</v>
      </c>
      <c r="V339" s="9">
        <f t="shared" si="27"/>
        <v>1643.0806</v>
      </c>
      <c r="W339" s="9" t="str">
        <f t="shared" si="28"/>
        <v>Low</v>
      </c>
      <c r="X339" t="s">
        <v>2065</v>
      </c>
      <c r="Y339" s="11">
        <v>0.24</v>
      </c>
      <c r="Z339" t="s">
        <v>2065</v>
      </c>
      <c r="AA339" s="13">
        <v>9</v>
      </c>
      <c r="AB339" s="9">
        <v>3021.5016000000001</v>
      </c>
      <c r="AC339" s="9">
        <v>4561.47</v>
      </c>
      <c r="AD339" s="9">
        <v>-1539.9684000000002</v>
      </c>
      <c r="AE339" s="11">
        <v>-0.50966989393618067</v>
      </c>
    </row>
    <row r="340" spans="1:31" x14ac:dyDescent="0.3">
      <c r="A340" t="s">
        <v>353</v>
      </c>
      <c r="B340" s="4">
        <v>45121</v>
      </c>
      <c r="C340" s="4" t="str">
        <f t="shared" si="25"/>
        <v>Jul-2023</v>
      </c>
      <c r="D340" s="4" t="str">
        <f t="shared" si="26"/>
        <v>Q3-2023</v>
      </c>
      <c r="E340" s="4">
        <v>45128</v>
      </c>
      <c r="F340" t="s">
        <v>2064</v>
      </c>
      <c r="G340" s="4">
        <v>45128</v>
      </c>
      <c r="H340" s="13">
        <v>7</v>
      </c>
      <c r="I340" s="7" t="s">
        <v>646</v>
      </c>
      <c r="J340" s="7" t="s">
        <v>661</v>
      </c>
      <c r="K340" s="7" t="s">
        <v>687</v>
      </c>
      <c r="M340" s="7" t="s">
        <v>706</v>
      </c>
      <c r="N340" s="7" t="s">
        <v>709</v>
      </c>
      <c r="O340" s="7" t="s">
        <v>2057</v>
      </c>
      <c r="P340" s="7" t="s">
        <v>732</v>
      </c>
      <c r="Q340" s="7" t="s">
        <v>1766</v>
      </c>
      <c r="R340" s="9">
        <v>620.74</v>
      </c>
      <c r="S340" s="9">
        <v>1330.07</v>
      </c>
      <c r="T340" s="9">
        <v>1330.07</v>
      </c>
      <c r="U340" s="9">
        <f t="shared" si="29"/>
        <v>894.64600000000007</v>
      </c>
      <c r="V340" s="9">
        <f t="shared" si="27"/>
        <v>1644.3964000000001</v>
      </c>
      <c r="W340" s="9" t="str">
        <f t="shared" si="28"/>
        <v>Medium</v>
      </c>
      <c r="X340" t="s">
        <v>2065</v>
      </c>
      <c r="Y340" s="11">
        <v>0.29899999999999999</v>
      </c>
      <c r="Z340" t="s">
        <v>2065</v>
      </c>
      <c r="AA340" s="13">
        <v>28</v>
      </c>
      <c r="AB340" s="9">
        <v>26106.613960000002</v>
      </c>
      <c r="AC340" s="9">
        <v>17380.72</v>
      </c>
      <c r="AD340" s="9">
        <v>8725.8939600000012</v>
      </c>
      <c r="AE340" s="11">
        <v>0.33424073965967516</v>
      </c>
    </row>
    <row r="341" spans="1:31" x14ac:dyDescent="0.3">
      <c r="A341" t="s">
        <v>354</v>
      </c>
      <c r="B341" s="4">
        <v>45131</v>
      </c>
      <c r="C341" s="4" t="str">
        <f t="shared" si="25"/>
        <v>Jul-2023</v>
      </c>
      <c r="D341" s="4" t="str">
        <f t="shared" si="26"/>
        <v>Q3-2023</v>
      </c>
      <c r="E341" s="4">
        <v>45157</v>
      </c>
      <c r="F341" t="s">
        <v>2064</v>
      </c>
      <c r="G341" s="4">
        <v>45157</v>
      </c>
      <c r="H341" s="13">
        <v>26</v>
      </c>
      <c r="I341" s="7" t="s">
        <v>646</v>
      </c>
      <c r="J341" s="7" t="s">
        <v>650</v>
      </c>
      <c r="K341" s="7" t="s">
        <v>664</v>
      </c>
      <c r="M341" s="7" t="s">
        <v>706</v>
      </c>
      <c r="N341" s="7" t="s">
        <v>710</v>
      </c>
      <c r="O341" s="7" t="s">
        <v>724</v>
      </c>
      <c r="P341" s="7" t="s">
        <v>733</v>
      </c>
      <c r="Q341" s="7" t="s">
        <v>1767</v>
      </c>
      <c r="R341" s="9">
        <v>661.45</v>
      </c>
      <c r="S341" s="9">
        <v>1634.86</v>
      </c>
      <c r="T341" s="9">
        <v>1634.86</v>
      </c>
      <c r="U341" s="9">
        <f t="shared" si="29"/>
        <v>891.97300000000007</v>
      </c>
      <c r="V341" s="9">
        <f t="shared" si="27"/>
        <v>1645.537</v>
      </c>
      <c r="W341" s="9" t="str">
        <f t="shared" si="28"/>
        <v>Medium</v>
      </c>
      <c r="X341" t="s">
        <v>2065</v>
      </c>
      <c r="Y341" s="11">
        <v>0.56499999999999995</v>
      </c>
      <c r="Z341" t="s">
        <v>2067</v>
      </c>
      <c r="AA341" s="13">
        <v>24</v>
      </c>
      <c r="AB341" s="9">
        <v>17067.938400000003</v>
      </c>
      <c r="AC341" s="9">
        <v>15874.800000000001</v>
      </c>
      <c r="AD341" s="9">
        <v>1193.1384000000016</v>
      </c>
      <c r="AE341" s="11">
        <v>6.9905244092045793E-2</v>
      </c>
    </row>
    <row r="342" spans="1:31" x14ac:dyDescent="0.3">
      <c r="A342" t="s">
        <v>355</v>
      </c>
      <c r="B342" s="4">
        <v>45029</v>
      </c>
      <c r="C342" s="4" t="str">
        <f t="shared" si="25"/>
        <v>Apr-2023</v>
      </c>
      <c r="D342" s="4" t="str">
        <f t="shared" si="26"/>
        <v>Q2-2023</v>
      </c>
      <c r="E342" s="4">
        <v>45027</v>
      </c>
      <c r="F342" t="s">
        <v>2066</v>
      </c>
      <c r="G342" s="4">
        <v>45029</v>
      </c>
      <c r="H342" s="13">
        <v>0</v>
      </c>
      <c r="I342" s="7" t="s">
        <v>648</v>
      </c>
      <c r="J342" s="7" t="s">
        <v>1425</v>
      </c>
      <c r="K342" s="7" t="s">
        <v>686</v>
      </c>
      <c r="M342" s="7" t="s">
        <v>702</v>
      </c>
      <c r="N342" s="7" t="s">
        <v>709</v>
      </c>
      <c r="O342" s="7" t="s">
        <v>715</v>
      </c>
      <c r="P342" s="7" t="s">
        <v>729</v>
      </c>
      <c r="Q342" s="7" t="s">
        <v>1768</v>
      </c>
      <c r="R342" s="9">
        <v>32.1</v>
      </c>
      <c r="S342" s="9">
        <v>70.599999999999994</v>
      </c>
      <c r="T342" s="9">
        <v>70.599999999999994</v>
      </c>
      <c r="U342" s="9">
        <f t="shared" si="29"/>
        <v>888.50800000000004</v>
      </c>
      <c r="V342" s="9">
        <f t="shared" si="27"/>
        <v>1645.8600000000001</v>
      </c>
      <c r="W342" s="9" t="str">
        <f t="shared" si="28"/>
        <v>Low</v>
      </c>
      <c r="X342" t="s">
        <v>2065</v>
      </c>
      <c r="Y342" s="11">
        <v>0.28199999999999997</v>
      </c>
      <c r="Z342" t="s">
        <v>2065</v>
      </c>
      <c r="AA342" s="13">
        <v>22</v>
      </c>
      <c r="AB342" s="9">
        <v>1115.1975999999997</v>
      </c>
      <c r="AC342" s="9">
        <v>706.2</v>
      </c>
      <c r="AD342" s="9">
        <v>408.99759999999969</v>
      </c>
      <c r="AE342" s="11">
        <v>0.36674899587301818</v>
      </c>
    </row>
    <row r="343" spans="1:31" x14ac:dyDescent="0.3">
      <c r="A343" t="s">
        <v>356</v>
      </c>
      <c r="B343" s="4">
        <v>45594</v>
      </c>
      <c r="C343" s="4" t="str">
        <f t="shared" si="25"/>
        <v>Oct-2024</v>
      </c>
      <c r="D343" s="4" t="str">
        <f t="shared" si="26"/>
        <v>Q4-2024</v>
      </c>
      <c r="E343" s="4">
        <v>45600</v>
      </c>
      <c r="F343" t="s">
        <v>2064</v>
      </c>
      <c r="G343" s="4">
        <v>45600</v>
      </c>
      <c r="H343" s="13">
        <v>6</v>
      </c>
      <c r="I343" s="7" t="s">
        <v>646</v>
      </c>
      <c r="J343" s="7" t="s">
        <v>650</v>
      </c>
      <c r="K343" s="7" t="s">
        <v>664</v>
      </c>
      <c r="M343" s="7" t="s">
        <v>701</v>
      </c>
      <c r="N343" s="7" t="s">
        <v>710</v>
      </c>
      <c r="O343" s="7" t="s">
        <v>724</v>
      </c>
      <c r="P343" s="7" t="s">
        <v>728</v>
      </c>
      <c r="Q343" s="7" t="s">
        <v>1769</v>
      </c>
      <c r="R343" s="9">
        <v>805.81</v>
      </c>
      <c r="S343" s="9">
        <v>1823.04</v>
      </c>
      <c r="T343" s="9">
        <v>1823.04</v>
      </c>
      <c r="U343" s="9">
        <f t="shared" si="29"/>
        <v>894.72700000000009</v>
      </c>
      <c r="V343" s="9">
        <f t="shared" si="27"/>
        <v>1646.183</v>
      </c>
      <c r="W343" s="9" t="str">
        <f t="shared" si="28"/>
        <v>High</v>
      </c>
      <c r="X343" t="s">
        <v>2065</v>
      </c>
      <c r="Y343" s="11">
        <v>0</v>
      </c>
      <c r="Z343" t="s">
        <v>2065</v>
      </c>
      <c r="AA343" s="13">
        <v>11</v>
      </c>
      <c r="AB343" s="9">
        <v>20053.439999999999</v>
      </c>
      <c r="AC343" s="9">
        <v>8863.91</v>
      </c>
      <c r="AD343" s="9">
        <v>11189.529999999999</v>
      </c>
      <c r="AE343" s="11">
        <v>0.55798556257679477</v>
      </c>
    </row>
    <row r="344" spans="1:31" x14ac:dyDescent="0.3">
      <c r="A344" t="s">
        <v>357</v>
      </c>
      <c r="B344" s="4">
        <v>45339</v>
      </c>
      <c r="C344" s="4" t="str">
        <f t="shared" si="25"/>
        <v>Feb-2024</v>
      </c>
      <c r="D344" s="4" t="str">
        <f t="shared" si="26"/>
        <v>Q1-2024</v>
      </c>
      <c r="E344" s="4">
        <v>45355</v>
      </c>
      <c r="F344" t="s">
        <v>2064</v>
      </c>
      <c r="G344" s="4">
        <v>45355</v>
      </c>
      <c r="H344" s="13">
        <v>16</v>
      </c>
      <c r="I344" s="7" t="s">
        <v>647</v>
      </c>
      <c r="J344" s="7" t="s">
        <v>654</v>
      </c>
      <c r="K344" s="7" t="s">
        <v>680</v>
      </c>
      <c r="M344" s="7" t="s">
        <v>705</v>
      </c>
      <c r="N344" s="7" t="s">
        <v>709</v>
      </c>
      <c r="O344" s="7" t="s">
        <v>721</v>
      </c>
      <c r="P344" s="7" t="s">
        <v>730</v>
      </c>
      <c r="Q344" s="7" t="s">
        <v>1770</v>
      </c>
      <c r="R344" s="9">
        <v>1231.8</v>
      </c>
      <c r="S344" s="9">
        <v>2015.99</v>
      </c>
      <c r="T344" s="9">
        <v>2015.99</v>
      </c>
      <c r="U344" s="9">
        <f t="shared" si="29"/>
        <v>892.05400000000009</v>
      </c>
      <c r="V344" s="9">
        <f t="shared" si="27"/>
        <v>1645.556</v>
      </c>
      <c r="W344" s="9" t="str">
        <f t="shared" si="28"/>
        <v>High</v>
      </c>
      <c r="X344" t="s">
        <v>2065</v>
      </c>
      <c r="Y344" s="11">
        <v>0.26100000000000001</v>
      </c>
      <c r="Z344" t="s">
        <v>2065</v>
      </c>
      <c r="AA344" s="13">
        <v>6</v>
      </c>
      <c r="AB344" s="9">
        <v>8938.8996600000009</v>
      </c>
      <c r="AC344" s="9">
        <v>7390.7999999999993</v>
      </c>
      <c r="AD344" s="9">
        <v>1548.0996600000017</v>
      </c>
      <c r="AE344" s="11">
        <v>0.17318682599464391</v>
      </c>
    </row>
    <row r="345" spans="1:31" x14ac:dyDescent="0.3">
      <c r="A345" t="s">
        <v>358</v>
      </c>
      <c r="B345" s="4">
        <v>45486</v>
      </c>
      <c r="C345" s="4" t="str">
        <f t="shared" si="25"/>
        <v>Jul-2024</v>
      </c>
      <c r="D345" s="4" t="str">
        <f t="shared" si="26"/>
        <v>Q3-2024</v>
      </c>
      <c r="E345" s="4">
        <v>45485</v>
      </c>
      <c r="F345" t="s">
        <v>2066</v>
      </c>
      <c r="G345" s="4">
        <v>45486</v>
      </c>
      <c r="H345" s="13">
        <v>0</v>
      </c>
      <c r="I345" s="7" t="s">
        <v>647</v>
      </c>
      <c r="J345" s="7" t="s">
        <v>652</v>
      </c>
      <c r="K345" s="7" t="s">
        <v>694</v>
      </c>
      <c r="M345" s="7" t="s">
        <v>705</v>
      </c>
      <c r="N345" s="7" t="s">
        <v>709</v>
      </c>
      <c r="O345" s="7" t="s">
        <v>721</v>
      </c>
      <c r="P345" s="7" t="s">
        <v>729</v>
      </c>
      <c r="Q345" s="7" t="s">
        <v>1771</v>
      </c>
      <c r="R345" s="9">
        <v>105.13</v>
      </c>
      <c r="S345" s="9">
        <v>244.13</v>
      </c>
      <c r="T345" s="9">
        <v>244.13</v>
      </c>
      <c r="U345" s="9">
        <f t="shared" si="29"/>
        <v>888.61540000000014</v>
      </c>
      <c r="V345" s="9">
        <f t="shared" si="27"/>
        <v>1643.2354</v>
      </c>
      <c r="W345" s="9" t="str">
        <f t="shared" si="28"/>
        <v>Low</v>
      </c>
      <c r="X345" t="s">
        <v>2065</v>
      </c>
      <c r="Y345" s="11">
        <v>7.0999999999999994E-2</v>
      </c>
      <c r="Z345" t="s">
        <v>2065</v>
      </c>
      <c r="AA345" s="13">
        <v>14</v>
      </c>
      <c r="AB345" s="9">
        <v>3175.1547799999998</v>
      </c>
      <c r="AC345" s="9">
        <v>1471.82</v>
      </c>
      <c r="AD345" s="9">
        <v>1703.3347799999999</v>
      </c>
      <c r="AE345" s="11">
        <v>0.53645724319618837</v>
      </c>
    </row>
    <row r="346" spans="1:31" x14ac:dyDescent="0.3">
      <c r="A346" t="s">
        <v>359</v>
      </c>
      <c r="B346" s="4">
        <v>45261</v>
      </c>
      <c r="C346" s="4" t="str">
        <f t="shared" si="25"/>
        <v>Dec-2023</v>
      </c>
      <c r="D346" s="4" t="str">
        <f t="shared" si="26"/>
        <v>Q4-2023</v>
      </c>
      <c r="E346" s="4">
        <v>45278</v>
      </c>
      <c r="F346" t="s">
        <v>2064</v>
      </c>
      <c r="G346" s="4">
        <v>45278</v>
      </c>
      <c r="H346" s="13">
        <v>17</v>
      </c>
      <c r="I346" s="7" t="s">
        <v>647</v>
      </c>
      <c r="J346" s="7" t="s">
        <v>652</v>
      </c>
      <c r="K346" s="7" t="s">
        <v>694</v>
      </c>
      <c r="M346" s="7" t="s">
        <v>705</v>
      </c>
      <c r="N346" s="7" t="s">
        <v>711</v>
      </c>
      <c r="O346" s="7" t="s">
        <v>725</v>
      </c>
      <c r="P346" s="7" t="s">
        <v>731</v>
      </c>
      <c r="Q346" s="7" t="s">
        <v>1772</v>
      </c>
      <c r="R346" s="9">
        <v>1495.79</v>
      </c>
      <c r="S346" s="9">
        <v>2783.12</v>
      </c>
      <c r="T346" s="9">
        <v>2783.12</v>
      </c>
      <c r="U346" s="9">
        <f t="shared" si="29"/>
        <v>894.80800000000011</v>
      </c>
      <c r="V346" s="9">
        <f t="shared" si="27"/>
        <v>1644.5512000000001</v>
      </c>
      <c r="W346" s="9" t="str">
        <f t="shared" si="28"/>
        <v>High</v>
      </c>
      <c r="X346" t="s">
        <v>2065</v>
      </c>
      <c r="Y346" s="11">
        <v>0.02</v>
      </c>
      <c r="Z346" t="s">
        <v>2065</v>
      </c>
      <c r="AA346" s="13">
        <v>5</v>
      </c>
      <c r="AB346" s="9">
        <v>13637.287999999999</v>
      </c>
      <c r="AC346" s="9">
        <v>7478.95</v>
      </c>
      <c r="AD346" s="9">
        <v>6158.3379999999988</v>
      </c>
      <c r="AE346" s="11">
        <v>0.45158084217331185</v>
      </c>
    </row>
    <row r="347" spans="1:31" x14ac:dyDescent="0.3">
      <c r="A347" t="s">
        <v>360</v>
      </c>
      <c r="B347" s="4">
        <v>45498</v>
      </c>
      <c r="C347" s="4" t="str">
        <f t="shared" si="25"/>
        <v>Jul-2024</v>
      </c>
      <c r="D347" s="4" t="str">
        <f t="shared" si="26"/>
        <v>Q3-2024</v>
      </c>
      <c r="E347" s="4">
        <v>45506</v>
      </c>
      <c r="F347" t="s">
        <v>2064</v>
      </c>
      <c r="G347" s="4">
        <v>45506</v>
      </c>
      <c r="H347" s="13">
        <v>8</v>
      </c>
      <c r="I347" s="7" t="s">
        <v>648</v>
      </c>
      <c r="J347" s="7" t="s">
        <v>653</v>
      </c>
      <c r="K347" s="7" t="s">
        <v>681</v>
      </c>
      <c r="M347" s="7" t="s">
        <v>704</v>
      </c>
      <c r="N347" s="7" t="s">
        <v>711</v>
      </c>
      <c r="O347" s="7" t="s">
        <v>713</v>
      </c>
      <c r="P347" s="7" t="s">
        <v>733</v>
      </c>
      <c r="Q347" s="7" t="s">
        <v>1773</v>
      </c>
      <c r="R347" s="9">
        <v>986.81</v>
      </c>
      <c r="S347" s="9">
        <v>2050.31</v>
      </c>
      <c r="T347" s="9">
        <v>2050.31</v>
      </c>
      <c r="U347" s="9">
        <f t="shared" si="29"/>
        <v>892.1350000000001</v>
      </c>
      <c r="V347" s="9">
        <f t="shared" si="27"/>
        <v>1641.9970000000001</v>
      </c>
      <c r="W347" s="9" t="str">
        <f t="shared" si="28"/>
        <v>High</v>
      </c>
      <c r="X347" t="s">
        <v>2065</v>
      </c>
      <c r="Y347" s="11">
        <v>0.10299999999999999</v>
      </c>
      <c r="Z347" t="s">
        <v>2065</v>
      </c>
      <c r="AA347" s="13">
        <v>43</v>
      </c>
      <c r="AB347" s="9">
        <v>79082.507010000001</v>
      </c>
      <c r="AC347" s="9">
        <v>42432.829999999994</v>
      </c>
      <c r="AD347" s="9">
        <v>36649.677010000007</v>
      </c>
      <c r="AE347" s="11">
        <v>0.46343595310358138</v>
      </c>
    </row>
    <row r="348" spans="1:31" x14ac:dyDescent="0.3">
      <c r="A348" t="s">
        <v>361</v>
      </c>
      <c r="B348" s="4">
        <v>45050</v>
      </c>
      <c r="C348" s="4" t="str">
        <f t="shared" si="25"/>
        <v>May-2023</v>
      </c>
      <c r="D348" s="4" t="str">
        <f t="shared" si="26"/>
        <v>Q2-2023</v>
      </c>
      <c r="E348" s="4">
        <v>45062</v>
      </c>
      <c r="F348" t="s">
        <v>2064</v>
      </c>
      <c r="G348" s="4">
        <v>45062</v>
      </c>
      <c r="H348" s="13">
        <v>12</v>
      </c>
      <c r="I348" s="7" t="s">
        <v>646</v>
      </c>
      <c r="J348" s="7" t="s">
        <v>651</v>
      </c>
      <c r="K348" s="7" t="s">
        <v>669</v>
      </c>
      <c r="M348" s="7" t="s">
        <v>705</v>
      </c>
      <c r="N348" s="7" t="s">
        <v>709</v>
      </c>
      <c r="O348" s="7" t="s">
        <v>713</v>
      </c>
      <c r="P348" s="7" t="s">
        <v>730</v>
      </c>
      <c r="Q348" s="7" t="s">
        <v>1774</v>
      </c>
      <c r="R348" s="9">
        <v>77.739999999999995</v>
      </c>
      <c r="S348" s="9">
        <v>147.12</v>
      </c>
      <c r="T348" s="9">
        <v>147.12</v>
      </c>
      <c r="U348" s="9">
        <f t="shared" si="29"/>
        <v>888.72280000000001</v>
      </c>
      <c r="V348" s="9">
        <f t="shared" si="27"/>
        <v>1635.3268</v>
      </c>
      <c r="W348" s="9" t="str">
        <f t="shared" si="28"/>
        <v>Low</v>
      </c>
      <c r="X348" t="s">
        <v>2065</v>
      </c>
      <c r="Y348" s="11">
        <v>0</v>
      </c>
      <c r="Z348" t="s">
        <v>2065</v>
      </c>
      <c r="AA348" s="13">
        <v>15</v>
      </c>
      <c r="AB348" s="9">
        <v>2206.8000000000002</v>
      </c>
      <c r="AC348" s="9">
        <v>1166.0999999999999</v>
      </c>
      <c r="AD348" s="9">
        <v>1040.7000000000003</v>
      </c>
      <c r="AE348" s="11">
        <v>0.47158781946710177</v>
      </c>
    </row>
    <row r="349" spans="1:31" x14ac:dyDescent="0.3">
      <c r="A349" t="s">
        <v>362</v>
      </c>
      <c r="B349" s="4">
        <v>45281</v>
      </c>
      <c r="C349" s="4" t="str">
        <f t="shared" si="25"/>
        <v>Dec-2023</v>
      </c>
      <c r="D349" s="4" t="str">
        <f t="shared" si="26"/>
        <v>Q4-2023</v>
      </c>
      <c r="E349" s="4">
        <v>45297</v>
      </c>
      <c r="F349" t="s">
        <v>2064</v>
      </c>
      <c r="G349" s="4">
        <v>45297</v>
      </c>
      <c r="H349" s="13">
        <v>16</v>
      </c>
      <c r="I349" s="7" t="s">
        <v>646</v>
      </c>
      <c r="J349" s="7" t="s">
        <v>651</v>
      </c>
      <c r="K349" s="7" t="s">
        <v>2057</v>
      </c>
      <c r="M349" s="7" t="s">
        <v>701</v>
      </c>
      <c r="N349" s="7" t="s">
        <v>709</v>
      </c>
      <c r="O349" s="7" t="s">
        <v>723</v>
      </c>
      <c r="P349" s="7" t="s">
        <v>727</v>
      </c>
      <c r="Q349" s="7" t="s">
        <v>1775</v>
      </c>
      <c r="R349" s="9">
        <v>932.61</v>
      </c>
      <c r="S349" s="9">
        <v>1982.98</v>
      </c>
      <c r="T349" s="9">
        <v>1982.98</v>
      </c>
      <c r="U349" s="9">
        <f t="shared" si="29"/>
        <v>894.88900000000001</v>
      </c>
      <c r="V349" s="9">
        <f t="shared" si="27"/>
        <v>1639.1415999999999</v>
      </c>
      <c r="W349" s="9" t="str">
        <f t="shared" si="28"/>
        <v>High</v>
      </c>
      <c r="X349" t="s">
        <v>2065</v>
      </c>
      <c r="Y349" s="11">
        <v>0.14399999999999999</v>
      </c>
      <c r="Z349" t="s">
        <v>2065</v>
      </c>
      <c r="AA349" s="13">
        <v>16</v>
      </c>
      <c r="AB349" s="9">
        <v>27158.894079999998</v>
      </c>
      <c r="AC349" s="9">
        <v>14921.76</v>
      </c>
      <c r="AD349" s="9">
        <v>12237.134079999998</v>
      </c>
      <c r="AE349" s="11">
        <v>0.45057556629345635</v>
      </c>
    </row>
    <row r="350" spans="1:31" x14ac:dyDescent="0.3">
      <c r="A350" t="s">
        <v>363</v>
      </c>
      <c r="B350" s="4">
        <v>45825</v>
      </c>
      <c r="C350" s="4" t="str">
        <f t="shared" si="25"/>
        <v>Jun-2025</v>
      </c>
      <c r="D350" s="4" t="str">
        <f t="shared" si="26"/>
        <v>Q2-2025</v>
      </c>
      <c r="E350" s="4">
        <v>45843</v>
      </c>
      <c r="F350" t="s">
        <v>2064</v>
      </c>
      <c r="G350" s="4">
        <v>45843</v>
      </c>
      <c r="H350" s="13">
        <v>18</v>
      </c>
      <c r="I350" s="7" t="s">
        <v>647</v>
      </c>
      <c r="J350" s="7" t="s">
        <v>654</v>
      </c>
      <c r="K350" s="7" t="s">
        <v>680</v>
      </c>
      <c r="M350" s="7" t="s">
        <v>704</v>
      </c>
      <c r="N350" s="7" t="s">
        <v>709</v>
      </c>
      <c r="O350" s="7" t="s">
        <v>716</v>
      </c>
      <c r="P350" s="7" t="s">
        <v>731</v>
      </c>
      <c r="Q350" s="7" t="s">
        <v>1776</v>
      </c>
      <c r="R350" s="9">
        <v>982.93</v>
      </c>
      <c r="S350" s="9">
        <v>2299.3000000000002</v>
      </c>
      <c r="T350" s="9">
        <v>2299.3000000000002</v>
      </c>
      <c r="U350" s="9">
        <f t="shared" si="29"/>
        <v>892.21600000000001</v>
      </c>
      <c r="V350" s="9">
        <f t="shared" si="27"/>
        <v>1631.7364000000002</v>
      </c>
      <c r="W350" s="9" t="str">
        <f t="shared" si="28"/>
        <v>High</v>
      </c>
      <c r="X350" t="s">
        <v>2065</v>
      </c>
      <c r="Y350" s="11">
        <v>0.113</v>
      </c>
      <c r="Z350" t="s">
        <v>2065</v>
      </c>
      <c r="AA350" s="13">
        <v>6</v>
      </c>
      <c r="AB350" s="9">
        <v>12236.874600000001</v>
      </c>
      <c r="AC350" s="9">
        <v>5897.58</v>
      </c>
      <c r="AD350" s="9">
        <v>6339.2946000000011</v>
      </c>
      <c r="AE350" s="11">
        <v>0.51804850562087157</v>
      </c>
    </row>
    <row r="351" spans="1:31" x14ac:dyDescent="0.3">
      <c r="A351" t="s">
        <v>364</v>
      </c>
      <c r="B351" s="4">
        <v>44980</v>
      </c>
      <c r="C351" s="4" t="str">
        <f t="shared" si="25"/>
        <v>Feb-2023</v>
      </c>
      <c r="D351" s="4" t="str">
        <f t="shared" si="26"/>
        <v>Q1-2023</v>
      </c>
      <c r="E351" s="4">
        <v>44993</v>
      </c>
      <c r="F351" t="s">
        <v>2064</v>
      </c>
      <c r="G351" s="4">
        <v>44993</v>
      </c>
      <c r="H351" s="13">
        <v>13</v>
      </c>
      <c r="I351" s="7" t="s">
        <v>649</v>
      </c>
      <c r="J351" s="7" t="s">
        <v>658</v>
      </c>
      <c r="K351" s="7" t="s">
        <v>693</v>
      </c>
      <c r="M351" s="7" t="s">
        <v>705</v>
      </c>
      <c r="N351" s="7" t="s">
        <v>711</v>
      </c>
      <c r="O351" s="7" t="s">
        <v>712</v>
      </c>
      <c r="P351" s="7" t="s">
        <v>728</v>
      </c>
      <c r="Q351" s="7" t="s">
        <v>1777</v>
      </c>
      <c r="R351" s="9">
        <v>307.37</v>
      </c>
      <c r="S351" s="9">
        <v>462.61</v>
      </c>
      <c r="T351" s="9">
        <v>462.61</v>
      </c>
      <c r="U351" s="9">
        <f t="shared" si="29"/>
        <v>888.8302000000001</v>
      </c>
      <c r="V351" s="9">
        <f t="shared" si="27"/>
        <v>1627.7062000000001</v>
      </c>
      <c r="W351" s="9" t="str">
        <f t="shared" si="28"/>
        <v>Low</v>
      </c>
      <c r="X351" t="s">
        <v>2065</v>
      </c>
      <c r="Y351" s="11">
        <v>0.188</v>
      </c>
      <c r="Z351" t="s">
        <v>2065</v>
      </c>
      <c r="AA351" s="13">
        <v>11</v>
      </c>
      <c r="AB351" s="9">
        <v>4132.0325200000007</v>
      </c>
      <c r="AC351" s="9">
        <v>3381.07</v>
      </c>
      <c r="AD351" s="9">
        <v>750.9625200000005</v>
      </c>
      <c r="AE351" s="11">
        <v>0.18174167709599739</v>
      </c>
    </row>
    <row r="352" spans="1:31" x14ac:dyDescent="0.3">
      <c r="A352" t="s">
        <v>365</v>
      </c>
      <c r="B352" s="4">
        <v>45262</v>
      </c>
      <c r="C352" s="4" t="str">
        <f t="shared" si="25"/>
        <v>Dec-2023</v>
      </c>
      <c r="D352" s="4" t="str">
        <f t="shared" si="26"/>
        <v>Q4-2023</v>
      </c>
      <c r="E352" s="4">
        <v>45276</v>
      </c>
      <c r="F352" t="s">
        <v>2064</v>
      </c>
      <c r="G352" s="4">
        <v>45276</v>
      </c>
      <c r="H352" s="13">
        <v>14</v>
      </c>
      <c r="I352" s="7" t="s">
        <v>649</v>
      </c>
      <c r="J352" s="7" t="s">
        <v>656</v>
      </c>
      <c r="K352" s="7" t="s">
        <v>698</v>
      </c>
      <c r="M352" s="7" t="s">
        <v>702</v>
      </c>
      <c r="N352" s="7" t="s">
        <v>711</v>
      </c>
      <c r="O352" s="7" t="s">
        <v>725</v>
      </c>
      <c r="P352" s="7" t="s">
        <v>732</v>
      </c>
      <c r="Q352" s="7" t="s">
        <v>1778</v>
      </c>
      <c r="R352" s="9">
        <v>879.08</v>
      </c>
      <c r="S352" s="9">
        <v>1093.3900000000001</v>
      </c>
      <c r="T352" s="9">
        <v>1093.3900000000001</v>
      </c>
      <c r="U352" s="9">
        <f t="shared" si="29"/>
        <v>894.97</v>
      </c>
      <c r="V352" s="9">
        <f t="shared" si="27"/>
        <v>1629.3960000000002</v>
      </c>
      <c r="W352" s="9" t="str">
        <f t="shared" si="28"/>
        <v>Medium</v>
      </c>
      <c r="X352" t="s">
        <v>2065</v>
      </c>
      <c r="Y352" s="11">
        <v>0.113</v>
      </c>
      <c r="Z352" t="s">
        <v>2065</v>
      </c>
      <c r="AA352" s="13">
        <v>17</v>
      </c>
      <c r="AB352" s="9">
        <v>16487.22781</v>
      </c>
      <c r="AC352" s="9">
        <v>14944.36</v>
      </c>
      <c r="AD352" s="9">
        <v>1542.8678099999997</v>
      </c>
      <c r="AE352" s="11">
        <v>9.3579577341935186E-2</v>
      </c>
    </row>
    <row r="353" spans="1:31" x14ac:dyDescent="0.3">
      <c r="A353" t="s">
        <v>366</v>
      </c>
      <c r="B353" s="4">
        <v>45121</v>
      </c>
      <c r="C353" s="4" t="str">
        <f t="shared" si="25"/>
        <v>Jul-2023</v>
      </c>
      <c r="D353" s="4" t="str">
        <f t="shared" si="26"/>
        <v>Q3-2023</v>
      </c>
      <c r="E353" s="4">
        <v>45121</v>
      </c>
      <c r="F353" t="s">
        <v>2064</v>
      </c>
      <c r="G353" s="4">
        <v>45121</v>
      </c>
      <c r="H353" s="13">
        <v>0</v>
      </c>
      <c r="I353" s="7" t="s">
        <v>646</v>
      </c>
      <c r="J353" s="7" t="s">
        <v>651</v>
      </c>
      <c r="K353" s="7" t="s">
        <v>665</v>
      </c>
      <c r="M353" s="7" t="s">
        <v>702</v>
      </c>
      <c r="N353" s="7" t="s">
        <v>707</v>
      </c>
      <c r="O353" s="7" t="s">
        <v>714</v>
      </c>
      <c r="P353" s="7" t="s">
        <v>733</v>
      </c>
      <c r="Q353" s="7" t="s">
        <v>1779</v>
      </c>
      <c r="R353" s="9">
        <v>956.38</v>
      </c>
      <c r="S353" s="9">
        <v>1454.22</v>
      </c>
      <c r="T353" s="9">
        <v>1454.22</v>
      </c>
      <c r="U353" s="9">
        <f t="shared" si="29"/>
        <v>892.29700000000003</v>
      </c>
      <c r="V353" s="9">
        <f t="shared" si="27"/>
        <v>1631.9608000000003</v>
      </c>
      <c r="W353" s="9" t="str">
        <f t="shared" si="28"/>
        <v>Medium</v>
      </c>
      <c r="X353" t="s">
        <v>2065</v>
      </c>
      <c r="Y353" s="11">
        <v>3.9E-2</v>
      </c>
      <c r="Z353" t="s">
        <v>2065</v>
      </c>
      <c r="AA353" s="13">
        <v>19</v>
      </c>
      <c r="AB353" s="9">
        <v>26552.60298</v>
      </c>
      <c r="AC353" s="9">
        <v>18171.22</v>
      </c>
      <c r="AD353" s="9">
        <v>8381.3829799999985</v>
      </c>
      <c r="AE353" s="11">
        <v>0.31565202802576603</v>
      </c>
    </row>
    <row r="354" spans="1:31" x14ac:dyDescent="0.3">
      <c r="A354" t="s">
        <v>367</v>
      </c>
      <c r="B354" s="4">
        <v>45512</v>
      </c>
      <c r="C354" s="4" t="str">
        <f t="shared" si="25"/>
        <v>Aug-2024</v>
      </c>
      <c r="D354" s="4" t="str">
        <f t="shared" si="26"/>
        <v>Q3-2024</v>
      </c>
      <c r="E354" s="4">
        <v>45524</v>
      </c>
      <c r="F354" t="s">
        <v>2064</v>
      </c>
      <c r="G354" s="4">
        <v>45524</v>
      </c>
      <c r="H354" s="13">
        <v>12</v>
      </c>
      <c r="I354" s="7" t="s">
        <v>647</v>
      </c>
      <c r="J354" s="7" t="s">
        <v>652</v>
      </c>
      <c r="K354" s="7" t="s">
        <v>666</v>
      </c>
      <c r="M354" s="7" t="s">
        <v>705</v>
      </c>
      <c r="N354" s="7" t="s">
        <v>707</v>
      </c>
      <c r="O354" s="7" t="s">
        <v>722</v>
      </c>
      <c r="P354" s="7" t="s">
        <v>729</v>
      </c>
      <c r="Q354" s="7" t="s">
        <v>1780</v>
      </c>
      <c r="R354" s="9">
        <v>1233.3599999999999</v>
      </c>
      <c r="S354" s="9">
        <v>2120.4</v>
      </c>
      <c r="T354" s="9">
        <v>2120.4</v>
      </c>
      <c r="U354" s="9">
        <f t="shared" si="29"/>
        <v>888.93760000000009</v>
      </c>
      <c r="V354" s="9">
        <f t="shared" si="27"/>
        <v>1635.7756000000002</v>
      </c>
      <c r="W354" s="9" t="str">
        <f t="shared" si="28"/>
        <v>High</v>
      </c>
      <c r="X354" t="s">
        <v>2065</v>
      </c>
      <c r="Y354" s="11">
        <v>0.17899999999999999</v>
      </c>
      <c r="Z354" t="s">
        <v>2065</v>
      </c>
      <c r="AA354" s="13">
        <v>20</v>
      </c>
      <c r="AB354" s="9">
        <v>34816.968000000001</v>
      </c>
      <c r="AC354" s="9">
        <v>24667.199999999997</v>
      </c>
      <c r="AD354" s="9">
        <v>10149.768000000004</v>
      </c>
      <c r="AE354" s="11">
        <v>0.29151785991244278</v>
      </c>
    </row>
    <row r="355" spans="1:31" x14ac:dyDescent="0.3">
      <c r="A355" t="s">
        <v>368</v>
      </c>
      <c r="B355" s="4">
        <v>45603</v>
      </c>
      <c r="C355" s="4" t="str">
        <f t="shared" si="25"/>
        <v>Nov-2024</v>
      </c>
      <c r="D355" s="4" t="str">
        <f t="shared" si="26"/>
        <v>Q4-2024</v>
      </c>
      <c r="E355" s="4">
        <v>45622</v>
      </c>
      <c r="F355" t="s">
        <v>2064</v>
      </c>
      <c r="G355" s="4">
        <v>45622</v>
      </c>
      <c r="H355" s="13">
        <v>19</v>
      </c>
      <c r="I355" s="7" t="s">
        <v>648</v>
      </c>
      <c r="J355" s="7" t="s">
        <v>655</v>
      </c>
      <c r="K355" s="7" t="s">
        <v>1426</v>
      </c>
      <c r="M355" s="7" t="s">
        <v>703</v>
      </c>
      <c r="N355" s="7" t="s">
        <v>710</v>
      </c>
      <c r="O355" s="7" t="s">
        <v>713</v>
      </c>
      <c r="P355" s="7" t="s">
        <v>728</v>
      </c>
      <c r="Q355" s="7" t="s">
        <v>1781</v>
      </c>
      <c r="R355" s="9">
        <v>55.35</v>
      </c>
      <c r="S355" s="9">
        <v>128.68</v>
      </c>
      <c r="T355" s="9">
        <v>128.68</v>
      </c>
      <c r="U355" s="9">
        <f t="shared" si="29"/>
        <v>885.39340000000016</v>
      </c>
      <c r="V355" s="9">
        <f t="shared" si="27"/>
        <v>1629.4954000000002</v>
      </c>
      <c r="W355" s="9" t="str">
        <f t="shared" si="28"/>
        <v>Low</v>
      </c>
      <c r="X355" t="s">
        <v>2065</v>
      </c>
      <c r="Y355" s="11">
        <v>0.128</v>
      </c>
      <c r="Z355" t="s">
        <v>2065</v>
      </c>
      <c r="AA355" s="13">
        <v>10</v>
      </c>
      <c r="AB355" s="9">
        <v>1122.0896000000002</v>
      </c>
      <c r="AC355" s="9">
        <v>553.5</v>
      </c>
      <c r="AD355" s="9">
        <v>568.58960000000025</v>
      </c>
      <c r="AE355" s="11">
        <v>0.50672388372550647</v>
      </c>
    </row>
    <row r="356" spans="1:31" x14ac:dyDescent="0.3">
      <c r="A356" t="s">
        <v>369</v>
      </c>
      <c r="B356" s="4">
        <v>45292</v>
      </c>
      <c r="C356" s="4" t="str">
        <f t="shared" si="25"/>
        <v>Jan-2024</v>
      </c>
      <c r="D356" s="4" t="str">
        <f t="shared" si="26"/>
        <v>Q1-2024</v>
      </c>
      <c r="E356" s="4">
        <v>45318</v>
      </c>
      <c r="F356" t="s">
        <v>2064</v>
      </c>
      <c r="G356" s="4">
        <v>45318</v>
      </c>
      <c r="H356" s="13">
        <v>26</v>
      </c>
      <c r="I356" s="7" t="s">
        <v>649</v>
      </c>
      <c r="J356" s="7" t="s">
        <v>658</v>
      </c>
      <c r="K356" s="7" t="s">
        <v>693</v>
      </c>
      <c r="M356" s="7" t="s">
        <v>702</v>
      </c>
      <c r="N356" s="7" t="s">
        <v>710</v>
      </c>
      <c r="O356" s="7" t="s">
        <v>726</v>
      </c>
      <c r="P356" s="7" t="s">
        <v>733</v>
      </c>
      <c r="Q356" s="7" t="s">
        <v>1782</v>
      </c>
      <c r="R356" s="9">
        <v>657.45</v>
      </c>
      <c r="S356" s="9">
        <v>1325.96</v>
      </c>
      <c r="T356" s="9">
        <v>1325.96</v>
      </c>
      <c r="U356" s="9">
        <f t="shared" si="29"/>
        <v>892.37800000000004</v>
      </c>
      <c r="V356" s="9">
        <f t="shared" si="27"/>
        <v>1632.1852000000001</v>
      </c>
      <c r="W356" s="9" t="str">
        <f t="shared" si="28"/>
        <v>Medium</v>
      </c>
      <c r="X356" t="s">
        <v>2065</v>
      </c>
      <c r="Y356" s="11">
        <v>0.16700000000000001</v>
      </c>
      <c r="Z356" t="s">
        <v>2065</v>
      </c>
      <c r="AA356" s="13">
        <v>21</v>
      </c>
      <c r="AB356" s="9">
        <v>23195.01828</v>
      </c>
      <c r="AC356" s="9">
        <v>13806.45</v>
      </c>
      <c r="AD356" s="9">
        <v>9388.5682799999995</v>
      </c>
      <c r="AE356" s="11">
        <v>0.40476658249048808</v>
      </c>
    </row>
    <row r="357" spans="1:31" x14ac:dyDescent="0.3">
      <c r="A357" t="s">
        <v>370</v>
      </c>
      <c r="B357" s="4">
        <v>45883</v>
      </c>
      <c r="C357" s="4" t="str">
        <f t="shared" si="25"/>
        <v>Aug-2025</v>
      </c>
      <c r="D357" s="4" t="str">
        <f t="shared" si="26"/>
        <v>Q3-2025</v>
      </c>
      <c r="E357" s="4">
        <v>45911</v>
      </c>
      <c r="F357" t="s">
        <v>2064</v>
      </c>
      <c r="G357" s="4">
        <v>45911</v>
      </c>
      <c r="H357" s="13">
        <v>28</v>
      </c>
      <c r="I357" s="7" t="s">
        <v>648</v>
      </c>
      <c r="J357" s="7" t="s">
        <v>655</v>
      </c>
      <c r="K357" s="7" t="s">
        <v>670</v>
      </c>
      <c r="M357" s="7" t="s">
        <v>703</v>
      </c>
      <c r="N357" s="7" t="s">
        <v>711</v>
      </c>
      <c r="O357" s="7" t="s">
        <v>721</v>
      </c>
      <c r="P357" s="7" t="s">
        <v>728</v>
      </c>
      <c r="Q357" s="7" t="s">
        <v>1783</v>
      </c>
      <c r="R357" s="9">
        <v>1203.02</v>
      </c>
      <c r="S357" s="9">
        <v>2439.33</v>
      </c>
      <c r="T357" s="9">
        <v>2439.33</v>
      </c>
      <c r="U357" s="9">
        <f t="shared" si="29"/>
        <v>889.04500000000007</v>
      </c>
      <c r="V357" s="9">
        <f t="shared" si="27"/>
        <v>1636</v>
      </c>
      <c r="W357" s="9" t="str">
        <f t="shared" si="28"/>
        <v>High</v>
      </c>
      <c r="X357" t="s">
        <v>2065</v>
      </c>
      <c r="Y357" s="11">
        <v>0</v>
      </c>
      <c r="Z357" t="s">
        <v>2065</v>
      </c>
      <c r="AA357" s="13">
        <v>18</v>
      </c>
      <c r="AB357" s="9">
        <v>43907.94</v>
      </c>
      <c r="AC357" s="9">
        <v>21654.36</v>
      </c>
      <c r="AD357" s="9">
        <v>22253.58</v>
      </c>
      <c r="AE357" s="11">
        <v>0.50682359500354612</v>
      </c>
    </row>
    <row r="358" spans="1:31" x14ac:dyDescent="0.3">
      <c r="A358" t="s">
        <v>371</v>
      </c>
      <c r="B358" s="4">
        <v>45385</v>
      </c>
      <c r="C358" s="4" t="str">
        <f t="shared" si="25"/>
        <v>Apr-2024</v>
      </c>
      <c r="D358" s="4" t="str">
        <f t="shared" si="26"/>
        <v>Q2-2024</v>
      </c>
      <c r="E358" s="4">
        <v>45403</v>
      </c>
      <c r="F358" t="s">
        <v>2064</v>
      </c>
      <c r="G358" s="4">
        <v>45403</v>
      </c>
      <c r="H358" s="13">
        <v>18</v>
      </c>
      <c r="I358" s="7" t="s">
        <v>648</v>
      </c>
      <c r="J358" s="7" t="s">
        <v>655</v>
      </c>
      <c r="K358" s="7" t="s">
        <v>672</v>
      </c>
      <c r="M358" s="7" t="s">
        <v>705</v>
      </c>
      <c r="N358" s="7" t="s">
        <v>710</v>
      </c>
      <c r="O358" s="7" t="s">
        <v>717</v>
      </c>
      <c r="P358" s="7" t="s">
        <v>729</v>
      </c>
      <c r="Q358" s="7" t="s">
        <v>1784</v>
      </c>
      <c r="R358" s="9">
        <v>1176.69</v>
      </c>
      <c r="S358" s="9">
        <v>2201.54</v>
      </c>
      <c r="T358" s="9">
        <v>2201.54</v>
      </c>
      <c r="U358" s="9">
        <f t="shared" si="29"/>
        <v>885.50080000000003</v>
      </c>
      <c r="V358" s="9">
        <f t="shared" si="27"/>
        <v>1629.5948000000001</v>
      </c>
      <c r="W358" s="9" t="str">
        <f t="shared" si="28"/>
        <v>High</v>
      </c>
      <c r="X358" t="s">
        <v>2065</v>
      </c>
      <c r="Y358" s="11">
        <v>0.17</v>
      </c>
      <c r="Z358" t="s">
        <v>2065</v>
      </c>
      <c r="AA358" s="13">
        <v>27</v>
      </c>
      <c r="AB358" s="9">
        <v>49336.511399999996</v>
      </c>
      <c r="AC358" s="9">
        <v>31770.63</v>
      </c>
      <c r="AD358" s="9">
        <v>17565.881399999995</v>
      </c>
      <c r="AE358" s="11">
        <v>0.35604222717701106</v>
      </c>
    </row>
    <row r="359" spans="1:31" x14ac:dyDescent="0.3">
      <c r="A359" t="s">
        <v>372</v>
      </c>
      <c r="B359" s="4">
        <v>45621</v>
      </c>
      <c r="C359" s="4" t="str">
        <f t="shared" si="25"/>
        <v>Nov-2024</v>
      </c>
      <c r="D359" s="4" t="str">
        <f t="shared" si="26"/>
        <v>Q4-2024</v>
      </c>
      <c r="E359" s="4">
        <v>45633</v>
      </c>
      <c r="F359" t="s">
        <v>2064</v>
      </c>
      <c r="G359" s="4">
        <v>45633</v>
      </c>
      <c r="H359" s="13">
        <v>12</v>
      </c>
      <c r="I359" s="7" t="s">
        <v>647</v>
      </c>
      <c r="J359" s="7" t="s">
        <v>659</v>
      </c>
      <c r="K359" s="7" t="s">
        <v>685</v>
      </c>
      <c r="M359" s="7" t="s">
        <v>701</v>
      </c>
      <c r="N359" s="7" t="s">
        <v>710</v>
      </c>
      <c r="O359" s="7" t="s">
        <v>720</v>
      </c>
      <c r="P359" s="7" t="s">
        <v>733</v>
      </c>
      <c r="Q359" s="7" t="s">
        <v>1785</v>
      </c>
      <c r="R359" s="9">
        <v>769.9</v>
      </c>
      <c r="S359" s="9">
        <v>814.36</v>
      </c>
      <c r="T359" s="9">
        <v>814.36</v>
      </c>
      <c r="U359" s="9">
        <f t="shared" si="29"/>
        <v>881.95660000000009</v>
      </c>
      <c r="V359" s="9">
        <f t="shared" si="27"/>
        <v>1626.3146000000002</v>
      </c>
      <c r="W359" s="9" t="str">
        <f t="shared" si="28"/>
        <v>Low</v>
      </c>
      <c r="X359" t="s">
        <v>2065</v>
      </c>
      <c r="Y359" s="11">
        <v>0</v>
      </c>
      <c r="Z359" t="s">
        <v>2065</v>
      </c>
      <c r="AA359" s="13">
        <v>5</v>
      </c>
      <c r="AB359" s="9">
        <v>4071.8</v>
      </c>
      <c r="AC359" s="9">
        <v>3849.5</v>
      </c>
      <c r="AD359" s="9">
        <v>222.30000000000018</v>
      </c>
      <c r="AE359" s="11">
        <v>5.4595019401738831E-2</v>
      </c>
    </row>
    <row r="360" spans="1:31" x14ac:dyDescent="0.3">
      <c r="A360" t="s">
        <v>373</v>
      </c>
      <c r="B360" s="4">
        <v>45309</v>
      </c>
      <c r="C360" s="4" t="str">
        <f t="shared" si="25"/>
        <v>Jan-2024</v>
      </c>
      <c r="D360" s="4" t="str">
        <f t="shared" si="26"/>
        <v>Q1-2024</v>
      </c>
      <c r="E360" s="4">
        <v>45325</v>
      </c>
      <c r="F360" t="s">
        <v>2064</v>
      </c>
      <c r="G360" s="4">
        <v>45325</v>
      </c>
      <c r="H360" s="13">
        <v>16</v>
      </c>
      <c r="I360" s="7" t="s">
        <v>646</v>
      </c>
      <c r="J360" s="7" t="s">
        <v>661</v>
      </c>
      <c r="K360" s="7" t="s">
        <v>695</v>
      </c>
      <c r="M360" s="7" t="s">
        <v>703</v>
      </c>
      <c r="N360" s="7" t="s">
        <v>710</v>
      </c>
      <c r="O360" s="7" t="s">
        <v>716</v>
      </c>
      <c r="P360" s="7" t="s">
        <v>728</v>
      </c>
      <c r="Q360" s="7" t="s">
        <v>1786</v>
      </c>
      <c r="R360" s="9">
        <v>666.23</v>
      </c>
      <c r="S360" s="9">
        <v>1382.91</v>
      </c>
      <c r="T360" s="9">
        <v>1382.91</v>
      </c>
      <c r="U360" s="9">
        <f t="shared" si="29"/>
        <v>889.15240000000006</v>
      </c>
      <c r="V360" s="9">
        <f t="shared" si="27"/>
        <v>1628.0044</v>
      </c>
      <c r="W360" s="9" t="str">
        <f t="shared" si="28"/>
        <v>Medium</v>
      </c>
      <c r="X360" t="s">
        <v>2065</v>
      </c>
      <c r="Y360" s="11">
        <v>0.17599999999999999</v>
      </c>
      <c r="Z360" t="s">
        <v>2065</v>
      </c>
      <c r="AA360" s="13">
        <v>13</v>
      </c>
      <c r="AB360" s="9">
        <v>14813.731920000002</v>
      </c>
      <c r="AC360" s="9">
        <v>8660.99</v>
      </c>
      <c r="AD360" s="9">
        <v>6152.7419200000022</v>
      </c>
      <c r="AE360" s="11">
        <v>0.41534043907553048</v>
      </c>
    </row>
    <row r="361" spans="1:31" x14ac:dyDescent="0.3">
      <c r="A361" t="s">
        <v>374</v>
      </c>
      <c r="B361" s="4">
        <v>45466</v>
      </c>
      <c r="C361" s="4" t="str">
        <f t="shared" si="25"/>
        <v>Jun-2024</v>
      </c>
      <c r="D361" s="4" t="str">
        <f t="shared" si="26"/>
        <v>Q2-2024</v>
      </c>
      <c r="E361" s="4">
        <v>45468</v>
      </c>
      <c r="F361" t="s">
        <v>2064</v>
      </c>
      <c r="G361" s="4">
        <v>45468</v>
      </c>
      <c r="H361" s="13">
        <v>2</v>
      </c>
      <c r="I361" s="7" t="s">
        <v>649</v>
      </c>
      <c r="J361" s="7" t="s">
        <v>658</v>
      </c>
      <c r="K361" s="7" t="s">
        <v>674</v>
      </c>
      <c r="M361" s="7" t="s">
        <v>705</v>
      </c>
      <c r="N361" s="7" t="s">
        <v>709</v>
      </c>
      <c r="O361" s="7" t="s">
        <v>716</v>
      </c>
      <c r="P361" s="7" t="s">
        <v>733</v>
      </c>
      <c r="Q361" s="7" t="s">
        <v>1787</v>
      </c>
      <c r="R361" s="9">
        <v>951.44</v>
      </c>
      <c r="S361" s="9">
        <v>1646.43</v>
      </c>
      <c r="T361" s="9">
        <v>1646.43</v>
      </c>
      <c r="U361" s="9">
        <f t="shared" si="29"/>
        <v>885.60820000000012</v>
      </c>
      <c r="V361" s="9">
        <f t="shared" si="27"/>
        <v>1629.6942000000001</v>
      </c>
      <c r="W361" s="9" t="str">
        <f t="shared" si="28"/>
        <v>High</v>
      </c>
      <c r="X361" t="s">
        <v>2065</v>
      </c>
      <c r="Y361" s="11">
        <v>0.11</v>
      </c>
      <c r="Z361" t="s">
        <v>2065</v>
      </c>
      <c r="AA361" s="13">
        <v>24</v>
      </c>
      <c r="AB361" s="9">
        <v>35167.7448</v>
      </c>
      <c r="AC361" s="9">
        <v>22834.560000000001</v>
      </c>
      <c r="AD361" s="9">
        <v>12333.184799999999</v>
      </c>
      <c r="AE361" s="11">
        <v>0.35069592520473475</v>
      </c>
    </row>
    <row r="362" spans="1:31" x14ac:dyDescent="0.3">
      <c r="A362" t="s">
        <v>375</v>
      </c>
      <c r="B362" s="4">
        <v>45833</v>
      </c>
      <c r="C362" s="4" t="str">
        <f t="shared" si="25"/>
        <v>Jun-2025</v>
      </c>
      <c r="D362" s="4" t="str">
        <f t="shared" si="26"/>
        <v>Q2-2025</v>
      </c>
      <c r="E362" s="4">
        <v>45848</v>
      </c>
      <c r="F362" t="s">
        <v>2064</v>
      </c>
      <c r="G362" s="4">
        <v>45848</v>
      </c>
      <c r="H362" s="13">
        <v>15</v>
      </c>
      <c r="I362" s="7" t="s">
        <v>649</v>
      </c>
      <c r="J362" s="7" t="s">
        <v>658</v>
      </c>
      <c r="K362" s="7" t="s">
        <v>674</v>
      </c>
      <c r="M362" s="7" t="s">
        <v>703</v>
      </c>
      <c r="N362" s="7" t="s">
        <v>709</v>
      </c>
      <c r="O362" s="7" t="s">
        <v>726</v>
      </c>
      <c r="P362" s="7" t="s">
        <v>730</v>
      </c>
      <c r="Q362" s="7" t="s">
        <v>1788</v>
      </c>
      <c r="R362" s="9">
        <v>546.83000000000004</v>
      </c>
      <c r="S362" s="9">
        <v>400.84</v>
      </c>
      <c r="T362" s="9">
        <v>400.84</v>
      </c>
      <c r="U362" s="9">
        <f t="shared" si="29"/>
        <v>882.06400000000008</v>
      </c>
      <c r="V362" s="9">
        <f t="shared" si="27"/>
        <v>1626.4140000000002</v>
      </c>
      <c r="W362" s="9" t="str">
        <f t="shared" si="28"/>
        <v>Low</v>
      </c>
      <c r="X362" t="s">
        <v>2065</v>
      </c>
      <c r="Y362" s="11">
        <v>7.8E-2</v>
      </c>
      <c r="Z362" t="s">
        <v>2065</v>
      </c>
      <c r="AA362" s="13">
        <v>13</v>
      </c>
      <c r="AB362" s="9">
        <v>4804.4682400000002</v>
      </c>
      <c r="AC362" s="9">
        <v>7108.7900000000009</v>
      </c>
      <c r="AD362" s="9">
        <v>-2304.3217600000007</v>
      </c>
      <c r="AE362" s="11">
        <v>-0.47962056254533608</v>
      </c>
    </row>
    <row r="363" spans="1:31" x14ac:dyDescent="0.3">
      <c r="A363" t="s">
        <v>376</v>
      </c>
      <c r="B363" s="4">
        <v>45108</v>
      </c>
      <c r="C363" s="4" t="str">
        <f t="shared" si="25"/>
        <v>Jul-2023</v>
      </c>
      <c r="D363" s="4" t="str">
        <f t="shared" si="26"/>
        <v>Q3-2023</v>
      </c>
      <c r="E363" s="4">
        <v>45115</v>
      </c>
      <c r="F363" t="s">
        <v>2064</v>
      </c>
      <c r="G363" s="4">
        <v>45115</v>
      </c>
      <c r="H363" s="13">
        <v>7</v>
      </c>
      <c r="I363" s="7" t="s">
        <v>646</v>
      </c>
      <c r="J363" s="7" t="s">
        <v>651</v>
      </c>
      <c r="K363" s="7" t="s">
        <v>663</v>
      </c>
      <c r="M363" s="7" t="s">
        <v>701</v>
      </c>
      <c r="N363" s="7" t="s">
        <v>707</v>
      </c>
      <c r="O363" s="7" t="s">
        <v>720</v>
      </c>
      <c r="P363" s="7" t="s">
        <v>731</v>
      </c>
      <c r="Q363" s="7" t="s">
        <v>1789</v>
      </c>
      <c r="R363" s="9">
        <v>834.26</v>
      </c>
      <c r="S363" s="9">
        <v>1780.56</v>
      </c>
      <c r="T363" s="9">
        <v>1780.56</v>
      </c>
      <c r="U363" s="9">
        <f t="shared" si="29"/>
        <v>889.25980000000015</v>
      </c>
      <c r="V363" s="9">
        <f t="shared" si="27"/>
        <v>1628.1038000000001</v>
      </c>
      <c r="W363" s="9" t="str">
        <f t="shared" si="28"/>
        <v>High</v>
      </c>
      <c r="X363" t="s">
        <v>2065</v>
      </c>
      <c r="Y363" s="11">
        <v>1.4E-2</v>
      </c>
      <c r="Z363" t="s">
        <v>2065</v>
      </c>
      <c r="AA363" s="13">
        <v>47</v>
      </c>
      <c r="AB363" s="9">
        <v>82514.711519999997</v>
      </c>
      <c r="AC363" s="9">
        <v>39210.22</v>
      </c>
      <c r="AD363" s="9">
        <v>43304.491519999996</v>
      </c>
      <c r="AE363" s="11">
        <v>0.5248093427497933</v>
      </c>
    </row>
    <row r="364" spans="1:31" x14ac:dyDescent="0.3">
      <c r="A364" t="s">
        <v>377</v>
      </c>
      <c r="B364" s="4">
        <v>45360</v>
      </c>
      <c r="C364" s="4" t="str">
        <f t="shared" si="25"/>
        <v>Mar-2024</v>
      </c>
      <c r="D364" s="4" t="str">
        <f t="shared" si="26"/>
        <v>Q1-2024</v>
      </c>
      <c r="E364" s="4">
        <v>45377</v>
      </c>
      <c r="F364" t="s">
        <v>2064</v>
      </c>
      <c r="G364" s="4">
        <v>45377</v>
      </c>
      <c r="H364" s="13">
        <v>17</v>
      </c>
      <c r="I364" s="7" t="s">
        <v>647</v>
      </c>
      <c r="J364" s="7" t="s">
        <v>659</v>
      </c>
      <c r="K364" s="7" t="s">
        <v>676</v>
      </c>
      <c r="M364" s="7" t="s">
        <v>706</v>
      </c>
      <c r="N364" s="7" t="s">
        <v>708</v>
      </c>
      <c r="O364" s="7" t="s">
        <v>723</v>
      </c>
      <c r="P364" s="7" t="s">
        <v>732</v>
      </c>
      <c r="Q364" s="7" t="s">
        <v>1790</v>
      </c>
      <c r="R364" s="9">
        <v>1029.67</v>
      </c>
      <c r="S364" s="9">
        <v>1118.43</v>
      </c>
      <c r="T364" s="9">
        <v>1118.43</v>
      </c>
      <c r="U364" s="9">
        <f t="shared" si="29"/>
        <v>885.71559999999999</v>
      </c>
      <c r="V364" s="9">
        <f t="shared" si="27"/>
        <v>1625.3300000000002</v>
      </c>
      <c r="W364" s="9" t="str">
        <f t="shared" si="28"/>
        <v>Medium</v>
      </c>
      <c r="X364" t="s">
        <v>2065</v>
      </c>
      <c r="Y364" s="11">
        <v>0.27200000000000002</v>
      </c>
      <c r="Z364" t="s">
        <v>2065</v>
      </c>
      <c r="AA364" s="13">
        <v>9</v>
      </c>
      <c r="AB364" s="9">
        <v>7327.9533600000004</v>
      </c>
      <c r="AC364" s="9">
        <v>9267.0300000000007</v>
      </c>
      <c r="AD364" s="9">
        <v>-1939.0766400000002</v>
      </c>
      <c r="AE364" s="11">
        <v>-0.26461367106736061</v>
      </c>
    </row>
    <row r="365" spans="1:31" x14ac:dyDescent="0.3">
      <c r="A365" t="s">
        <v>378</v>
      </c>
      <c r="B365" s="4">
        <v>45082</v>
      </c>
      <c r="C365" s="4" t="str">
        <f t="shared" si="25"/>
        <v>Jun-2023</v>
      </c>
      <c r="D365" s="4" t="str">
        <f t="shared" si="26"/>
        <v>Q2-2023</v>
      </c>
      <c r="E365" s="4">
        <v>45105</v>
      </c>
      <c r="F365" t="s">
        <v>2064</v>
      </c>
      <c r="G365" s="4">
        <v>45105</v>
      </c>
      <c r="H365" s="13">
        <v>23</v>
      </c>
      <c r="I365" s="7" t="s">
        <v>649</v>
      </c>
      <c r="J365" s="7" t="s">
        <v>658</v>
      </c>
      <c r="K365" s="7" t="s">
        <v>674</v>
      </c>
      <c r="M365" s="7" t="s">
        <v>701</v>
      </c>
      <c r="N365" s="7" t="s">
        <v>711</v>
      </c>
      <c r="O365" s="7" t="s">
        <v>723</v>
      </c>
      <c r="P365" s="7" t="s">
        <v>728</v>
      </c>
      <c r="Q365" s="7" t="s">
        <v>1791</v>
      </c>
      <c r="R365" s="9">
        <v>605.82000000000005</v>
      </c>
      <c r="S365" s="9">
        <v>771.12</v>
      </c>
      <c r="T365" s="9">
        <v>771.12</v>
      </c>
      <c r="U365" s="9">
        <f t="shared" si="29"/>
        <v>882.17139999999995</v>
      </c>
      <c r="V365" s="9">
        <f t="shared" si="27"/>
        <v>1626.5134</v>
      </c>
      <c r="W365" s="9" t="str">
        <f t="shared" si="28"/>
        <v>Low</v>
      </c>
      <c r="X365" t="s">
        <v>2065</v>
      </c>
      <c r="Y365" s="11">
        <v>0.13200000000000001</v>
      </c>
      <c r="Z365" t="s">
        <v>2065</v>
      </c>
      <c r="AA365" s="13">
        <v>19</v>
      </c>
      <c r="AB365" s="9">
        <v>12717.311040000001</v>
      </c>
      <c r="AC365" s="9">
        <v>11510.580000000002</v>
      </c>
      <c r="AD365" s="9">
        <v>1206.7310399999988</v>
      </c>
      <c r="AE365" s="11">
        <v>9.4888851597986767E-2</v>
      </c>
    </row>
    <row r="366" spans="1:31" x14ac:dyDescent="0.3">
      <c r="A366" t="s">
        <v>379</v>
      </c>
      <c r="B366" s="4">
        <v>45737</v>
      </c>
      <c r="C366" s="4" t="str">
        <f t="shared" si="25"/>
        <v>Mar-2025</v>
      </c>
      <c r="D366" s="4" t="str">
        <f t="shared" si="26"/>
        <v>Q1-2025</v>
      </c>
      <c r="E366" s="4">
        <v>45756</v>
      </c>
      <c r="F366" t="s">
        <v>2064</v>
      </c>
      <c r="G366" s="4">
        <v>45756</v>
      </c>
      <c r="H366" s="13">
        <v>19</v>
      </c>
      <c r="I366" s="7" t="s">
        <v>647</v>
      </c>
      <c r="J366" s="7" t="s">
        <v>652</v>
      </c>
      <c r="K366" s="7" t="s">
        <v>689</v>
      </c>
      <c r="M366" s="7" t="s">
        <v>705</v>
      </c>
      <c r="N366" s="7" t="s">
        <v>710</v>
      </c>
      <c r="O366" s="7" t="s">
        <v>718</v>
      </c>
      <c r="P366" s="7" t="s">
        <v>727</v>
      </c>
      <c r="Q366" s="7" t="s">
        <v>1792</v>
      </c>
      <c r="R366" s="9">
        <v>1055.45</v>
      </c>
      <c r="S366" s="9">
        <v>1210.04</v>
      </c>
      <c r="T366" s="9">
        <v>1210.04</v>
      </c>
      <c r="U366" s="9">
        <f t="shared" si="29"/>
        <v>889.36720000000003</v>
      </c>
      <c r="V366" s="9">
        <f t="shared" si="27"/>
        <v>1628.2032000000002</v>
      </c>
      <c r="W366" s="9" t="str">
        <f t="shared" si="28"/>
        <v>Medium</v>
      </c>
      <c r="X366" t="s">
        <v>2065</v>
      </c>
      <c r="Y366" s="11">
        <v>8.9999999999999993E-3</v>
      </c>
      <c r="Z366" t="s">
        <v>2065</v>
      </c>
      <c r="AA366" s="13">
        <v>18</v>
      </c>
      <c r="AB366" s="9">
        <v>21584.693520000001</v>
      </c>
      <c r="AC366" s="9">
        <v>18998.100000000002</v>
      </c>
      <c r="AD366" s="9">
        <v>2586.5935199999985</v>
      </c>
      <c r="AE366" s="11">
        <v>0.1198346188053727</v>
      </c>
    </row>
    <row r="367" spans="1:31" x14ac:dyDescent="0.3">
      <c r="A367" t="s">
        <v>380</v>
      </c>
      <c r="B367" s="4">
        <v>45445</v>
      </c>
      <c r="C367" s="4" t="str">
        <f t="shared" si="25"/>
        <v>Jun-2024</v>
      </c>
      <c r="D367" s="4" t="str">
        <f t="shared" si="26"/>
        <v>Q2-2024</v>
      </c>
      <c r="E367" s="4">
        <v>45458</v>
      </c>
      <c r="F367" t="s">
        <v>2064</v>
      </c>
      <c r="G367" s="4">
        <v>45458</v>
      </c>
      <c r="H367" s="13">
        <v>13</v>
      </c>
      <c r="I367" s="7" t="s">
        <v>646</v>
      </c>
      <c r="J367" s="7" t="s">
        <v>650</v>
      </c>
      <c r="K367" s="7" t="s">
        <v>675</v>
      </c>
      <c r="M367" s="7" t="s">
        <v>702</v>
      </c>
      <c r="N367" s="7" t="s">
        <v>708</v>
      </c>
      <c r="O367" s="7" t="s">
        <v>719</v>
      </c>
      <c r="P367" s="7" t="s">
        <v>730</v>
      </c>
      <c r="Q367" s="7" t="s">
        <v>1793</v>
      </c>
      <c r="R367" s="9">
        <v>1295.18</v>
      </c>
      <c r="S367" s="9">
        <v>3024.03</v>
      </c>
      <c r="T367" s="9">
        <v>3024.03</v>
      </c>
      <c r="U367" s="9">
        <f t="shared" si="29"/>
        <v>885.82300000000009</v>
      </c>
      <c r="V367" s="9">
        <f t="shared" si="27"/>
        <v>1629.893</v>
      </c>
      <c r="W367" s="9" t="str">
        <f t="shared" si="28"/>
        <v>High</v>
      </c>
      <c r="X367" t="s">
        <v>2065</v>
      </c>
      <c r="Y367" s="11">
        <v>0.192</v>
      </c>
      <c r="Z367" t="s">
        <v>2065</v>
      </c>
      <c r="AA367" s="13">
        <v>8</v>
      </c>
      <c r="AB367" s="9">
        <v>19547.329920000004</v>
      </c>
      <c r="AC367" s="9">
        <v>10361.44</v>
      </c>
      <c r="AD367" s="9">
        <v>9185.8899200000033</v>
      </c>
      <c r="AE367" s="11">
        <v>0.46993067378483178</v>
      </c>
    </row>
    <row r="368" spans="1:31" x14ac:dyDescent="0.3">
      <c r="A368" t="s">
        <v>381</v>
      </c>
      <c r="B368" s="4">
        <v>45731</v>
      </c>
      <c r="C368" s="4" t="str">
        <f t="shared" si="25"/>
        <v>Mar-2025</v>
      </c>
      <c r="D368" s="4" t="str">
        <f t="shared" si="26"/>
        <v>Q1-2025</v>
      </c>
      <c r="E368" s="4">
        <v>45745</v>
      </c>
      <c r="F368" t="s">
        <v>2064</v>
      </c>
      <c r="G368" s="4">
        <v>45745</v>
      </c>
      <c r="H368" s="13">
        <v>14</v>
      </c>
      <c r="I368" s="7" t="s">
        <v>647</v>
      </c>
      <c r="J368" s="7" t="s">
        <v>654</v>
      </c>
      <c r="K368" s="7" t="s">
        <v>691</v>
      </c>
      <c r="M368" s="7" t="s">
        <v>706</v>
      </c>
      <c r="N368" s="7" t="s">
        <v>711</v>
      </c>
      <c r="O368" s="7" t="s">
        <v>712</v>
      </c>
      <c r="P368" s="7" t="s">
        <v>727</v>
      </c>
      <c r="Q368" s="7" t="s">
        <v>1794</v>
      </c>
      <c r="R368" s="9">
        <v>935.83</v>
      </c>
      <c r="S368" s="9">
        <v>2303.46</v>
      </c>
      <c r="T368" s="9">
        <v>2303.46</v>
      </c>
      <c r="U368" s="9">
        <f t="shared" si="29"/>
        <v>882.27880000000005</v>
      </c>
      <c r="V368" s="9">
        <f t="shared" si="27"/>
        <v>1626.6128000000001</v>
      </c>
      <c r="W368" s="9" t="str">
        <f t="shared" si="28"/>
        <v>High</v>
      </c>
      <c r="X368" t="s">
        <v>2065</v>
      </c>
      <c r="Y368" s="11">
        <v>0.105</v>
      </c>
      <c r="Z368" t="s">
        <v>2065</v>
      </c>
      <c r="AA368" s="13">
        <v>9</v>
      </c>
      <c r="AB368" s="9">
        <v>18554.370299999999</v>
      </c>
      <c r="AC368" s="9">
        <v>8422.4700000000012</v>
      </c>
      <c r="AD368" s="9">
        <v>10131.900299999998</v>
      </c>
      <c r="AE368" s="11">
        <v>0.54606543559174292</v>
      </c>
    </row>
    <row r="369" spans="1:31" x14ac:dyDescent="0.3">
      <c r="A369" t="s">
        <v>382</v>
      </c>
      <c r="B369" s="4">
        <v>45194</v>
      </c>
      <c r="C369" s="4" t="str">
        <f t="shared" si="25"/>
        <v>Sep-2023</v>
      </c>
      <c r="D369" s="4" t="str">
        <f t="shared" si="26"/>
        <v>Q3-2023</v>
      </c>
      <c r="E369" s="4">
        <v>45208</v>
      </c>
      <c r="F369" t="s">
        <v>2064</v>
      </c>
      <c r="G369" s="4">
        <v>45208</v>
      </c>
      <c r="H369" s="13">
        <v>14</v>
      </c>
      <c r="I369" s="7" t="s">
        <v>648</v>
      </c>
      <c r="J369" s="7" t="s">
        <v>1425</v>
      </c>
      <c r="K369" s="7" t="s">
        <v>700</v>
      </c>
      <c r="M369" s="7" t="s">
        <v>705</v>
      </c>
      <c r="N369" s="7" t="s">
        <v>709</v>
      </c>
      <c r="O369" s="7" t="s">
        <v>713</v>
      </c>
      <c r="P369" s="7" t="s">
        <v>731</v>
      </c>
      <c r="Q369" s="7" t="s">
        <v>1795</v>
      </c>
      <c r="R369" s="9">
        <v>1279.56</v>
      </c>
      <c r="S369" s="9">
        <v>3083.8</v>
      </c>
      <c r="T369" s="9">
        <v>3083.8</v>
      </c>
      <c r="U369" s="9">
        <f t="shared" si="29"/>
        <v>880.5154</v>
      </c>
      <c r="V369" s="9">
        <f t="shared" si="27"/>
        <v>1625.105</v>
      </c>
      <c r="W369" s="9" t="str">
        <f t="shared" si="28"/>
        <v>High</v>
      </c>
      <c r="X369" t="s">
        <v>2065</v>
      </c>
      <c r="Y369" s="11">
        <v>0.106</v>
      </c>
      <c r="Z369" t="s">
        <v>2065</v>
      </c>
      <c r="AA369" s="13">
        <v>5</v>
      </c>
      <c r="AB369" s="9">
        <v>13784.586000000001</v>
      </c>
      <c r="AC369" s="9">
        <v>6397.7999999999993</v>
      </c>
      <c r="AD369" s="9">
        <v>7386.7860000000019</v>
      </c>
      <c r="AE369" s="11">
        <v>0.53587289455047848</v>
      </c>
    </row>
    <row r="370" spans="1:31" x14ac:dyDescent="0.3">
      <c r="A370" t="s">
        <v>383</v>
      </c>
      <c r="B370" s="4">
        <v>45832</v>
      </c>
      <c r="C370" s="4" t="str">
        <f t="shared" si="25"/>
        <v>Jun-2025</v>
      </c>
      <c r="D370" s="4" t="str">
        <f t="shared" si="26"/>
        <v>Q2-2025</v>
      </c>
      <c r="E370" s="4">
        <v>45861</v>
      </c>
      <c r="F370" t="s">
        <v>2064</v>
      </c>
      <c r="G370" s="4">
        <v>45861</v>
      </c>
      <c r="H370" s="13">
        <v>29</v>
      </c>
      <c r="I370" s="7" t="s">
        <v>648</v>
      </c>
      <c r="J370" s="7" t="s">
        <v>653</v>
      </c>
      <c r="K370" s="7" t="s">
        <v>688</v>
      </c>
      <c r="M370" s="7" t="s">
        <v>703</v>
      </c>
      <c r="N370" s="7" t="s">
        <v>709</v>
      </c>
      <c r="O370" s="7" t="s">
        <v>714</v>
      </c>
      <c r="P370" s="7" t="s">
        <v>728</v>
      </c>
      <c r="Q370" s="7" t="s">
        <v>1796</v>
      </c>
      <c r="R370" s="9">
        <v>255.4</v>
      </c>
      <c r="S370" s="9">
        <v>322.70999999999998</v>
      </c>
      <c r="T370" s="9">
        <v>322.70999999999998</v>
      </c>
      <c r="U370" s="9">
        <f t="shared" si="29"/>
        <v>879.76960000000008</v>
      </c>
      <c r="V370" s="9">
        <f t="shared" si="27"/>
        <v>1624.3444000000002</v>
      </c>
      <c r="W370" s="9" t="str">
        <f t="shared" si="28"/>
        <v>Low</v>
      </c>
      <c r="X370" t="s">
        <v>2065</v>
      </c>
      <c r="Y370" s="11">
        <v>0.115</v>
      </c>
      <c r="Z370" t="s">
        <v>2065</v>
      </c>
      <c r="AA370" s="13">
        <v>16</v>
      </c>
      <c r="AB370" s="9">
        <v>4569.5735999999997</v>
      </c>
      <c r="AC370" s="9">
        <v>4086.4</v>
      </c>
      <c r="AD370" s="9">
        <v>483.17359999999962</v>
      </c>
      <c r="AE370" s="11">
        <v>0.10573713048412212</v>
      </c>
    </row>
    <row r="371" spans="1:31" x14ac:dyDescent="0.3">
      <c r="A371" t="s">
        <v>384</v>
      </c>
      <c r="B371" s="4">
        <v>45286</v>
      </c>
      <c r="C371" s="4" t="str">
        <f t="shared" si="25"/>
        <v>Dec-2023</v>
      </c>
      <c r="D371" s="4" t="str">
        <f t="shared" si="26"/>
        <v>Q4-2023</v>
      </c>
      <c r="E371" s="4">
        <v>45294</v>
      </c>
      <c r="F371" t="s">
        <v>2064</v>
      </c>
      <c r="G371" s="4">
        <v>45294</v>
      </c>
      <c r="H371" s="13">
        <v>8</v>
      </c>
      <c r="I371" s="7" t="s">
        <v>649</v>
      </c>
      <c r="J371" s="7" t="s">
        <v>657</v>
      </c>
      <c r="K371" s="7" t="s">
        <v>679</v>
      </c>
      <c r="M371" s="7" t="s">
        <v>705</v>
      </c>
      <c r="N371" s="7" t="s">
        <v>707</v>
      </c>
      <c r="O371" s="7" t="s">
        <v>724</v>
      </c>
      <c r="P371" s="7" t="s">
        <v>731</v>
      </c>
      <c r="Q371" s="7" t="s">
        <v>1797</v>
      </c>
      <c r="R371" s="9">
        <v>492.75</v>
      </c>
      <c r="S371" s="9">
        <v>731.29</v>
      </c>
      <c r="T371" s="9">
        <v>731.29</v>
      </c>
      <c r="U371" s="9">
        <f t="shared" si="29"/>
        <v>882.38620000000014</v>
      </c>
      <c r="V371" s="9">
        <f t="shared" si="27"/>
        <v>1624.865</v>
      </c>
      <c r="W371" s="9" t="str">
        <f t="shared" si="28"/>
        <v>Low</v>
      </c>
      <c r="X371" t="s">
        <v>2065</v>
      </c>
      <c r="Y371" s="11">
        <v>5.8000000000000003E-2</v>
      </c>
      <c r="Z371" t="s">
        <v>2065</v>
      </c>
      <c r="AA371" s="13">
        <v>6</v>
      </c>
      <c r="AB371" s="9">
        <v>4133.25108</v>
      </c>
      <c r="AC371" s="9">
        <v>2956.5</v>
      </c>
      <c r="AD371" s="9">
        <v>1176.75108</v>
      </c>
      <c r="AE371" s="11">
        <v>0.28470350753528384</v>
      </c>
    </row>
    <row r="372" spans="1:31" x14ac:dyDescent="0.3">
      <c r="A372" t="s">
        <v>385</v>
      </c>
      <c r="B372" s="4">
        <v>44962</v>
      </c>
      <c r="C372" s="4" t="str">
        <f t="shared" si="25"/>
        <v>Feb-2023</v>
      </c>
      <c r="D372" s="4" t="str">
        <f t="shared" si="26"/>
        <v>Q1-2023</v>
      </c>
      <c r="E372" s="4">
        <v>44985</v>
      </c>
      <c r="F372" t="s">
        <v>2064</v>
      </c>
      <c r="G372" s="4">
        <v>44985</v>
      </c>
      <c r="H372" s="13">
        <v>23</v>
      </c>
      <c r="I372" s="7" t="s">
        <v>648</v>
      </c>
      <c r="J372" s="7" t="s">
        <v>1425</v>
      </c>
      <c r="K372" s="7" t="s">
        <v>697</v>
      </c>
      <c r="M372" s="7" t="s">
        <v>703</v>
      </c>
      <c r="N372" s="7" t="s">
        <v>710</v>
      </c>
      <c r="O372" s="7" t="s">
        <v>716</v>
      </c>
      <c r="P372" s="7" t="s">
        <v>730</v>
      </c>
      <c r="Q372" s="7" t="s">
        <v>1798</v>
      </c>
      <c r="R372" s="9">
        <v>1214.49</v>
      </c>
      <c r="S372" s="9">
        <v>1533.95</v>
      </c>
      <c r="T372" s="9">
        <v>1533.95</v>
      </c>
      <c r="U372" s="9">
        <f t="shared" si="29"/>
        <v>889.58199999999999</v>
      </c>
      <c r="V372" s="9">
        <f t="shared" si="27"/>
        <v>1625.1200000000001</v>
      </c>
      <c r="W372" s="9" t="str">
        <f t="shared" si="28"/>
        <v>Medium</v>
      </c>
      <c r="X372" t="s">
        <v>2065</v>
      </c>
      <c r="Y372" s="11">
        <v>0</v>
      </c>
      <c r="Z372" t="s">
        <v>2065</v>
      </c>
      <c r="AA372" s="13">
        <v>11</v>
      </c>
      <c r="AB372" s="9">
        <v>16873.45</v>
      </c>
      <c r="AC372" s="9">
        <v>13359.39</v>
      </c>
      <c r="AD372" s="9">
        <v>3514.0600000000013</v>
      </c>
      <c r="AE372" s="11">
        <v>0.20825972163369086</v>
      </c>
    </row>
    <row r="373" spans="1:31" x14ac:dyDescent="0.3">
      <c r="A373" t="s">
        <v>386</v>
      </c>
      <c r="B373" s="4">
        <v>45022</v>
      </c>
      <c r="C373" s="4" t="str">
        <f t="shared" si="25"/>
        <v>Apr-2023</v>
      </c>
      <c r="D373" s="4" t="str">
        <f t="shared" si="26"/>
        <v>Q2-2023</v>
      </c>
      <c r="E373" s="4">
        <v>45024</v>
      </c>
      <c r="F373" t="s">
        <v>2064</v>
      </c>
      <c r="G373" s="4">
        <v>45024</v>
      </c>
      <c r="H373" s="13">
        <v>2</v>
      </c>
      <c r="I373" s="7" t="s">
        <v>646</v>
      </c>
      <c r="J373" s="7" t="s">
        <v>651</v>
      </c>
      <c r="K373" s="7" t="s">
        <v>669</v>
      </c>
      <c r="M373" s="7" t="s">
        <v>705</v>
      </c>
      <c r="N373" s="7" t="s">
        <v>709</v>
      </c>
      <c r="O373" s="7" t="s">
        <v>723</v>
      </c>
      <c r="P373" s="7" t="s">
        <v>732</v>
      </c>
      <c r="Q373" s="7" t="s">
        <v>1799</v>
      </c>
      <c r="R373" s="9">
        <v>720.35</v>
      </c>
      <c r="S373" s="9">
        <v>1571.66</v>
      </c>
      <c r="T373" s="9">
        <v>1571.66</v>
      </c>
      <c r="U373" s="9">
        <f t="shared" si="29"/>
        <v>886.03779999999995</v>
      </c>
      <c r="V373" s="9">
        <f t="shared" si="27"/>
        <v>1625.375</v>
      </c>
      <c r="W373" s="9" t="str">
        <f t="shared" si="28"/>
        <v>Medium</v>
      </c>
      <c r="X373" t="s">
        <v>2065</v>
      </c>
      <c r="Y373" s="11">
        <v>0.107</v>
      </c>
      <c r="Z373" t="s">
        <v>2065</v>
      </c>
      <c r="AA373" s="13">
        <v>23</v>
      </c>
      <c r="AB373" s="9">
        <v>32280.32474</v>
      </c>
      <c r="AC373" s="9">
        <v>16568.05</v>
      </c>
      <c r="AD373" s="9">
        <v>15712.274740000001</v>
      </c>
      <c r="AE373" s="11">
        <v>0.4867446305622265</v>
      </c>
    </row>
    <row r="374" spans="1:31" x14ac:dyDescent="0.3">
      <c r="A374" t="s">
        <v>387</v>
      </c>
      <c r="B374" s="4">
        <v>45751</v>
      </c>
      <c r="C374" s="4" t="str">
        <f t="shared" si="25"/>
        <v>Apr-2025</v>
      </c>
      <c r="D374" s="4" t="str">
        <f t="shared" si="26"/>
        <v>Q2-2025</v>
      </c>
      <c r="E374" s="4">
        <v>45757</v>
      </c>
      <c r="F374" t="s">
        <v>2064</v>
      </c>
      <c r="G374" s="4">
        <v>45757</v>
      </c>
      <c r="H374" s="13">
        <v>6</v>
      </c>
      <c r="I374" s="7" t="s">
        <v>649</v>
      </c>
      <c r="J374" s="7" t="s">
        <v>658</v>
      </c>
      <c r="K374" s="7" t="s">
        <v>674</v>
      </c>
      <c r="M374" s="7" t="s">
        <v>703</v>
      </c>
      <c r="N374" s="7" t="s">
        <v>711</v>
      </c>
      <c r="O374" s="7" t="s">
        <v>725</v>
      </c>
      <c r="P374" s="7" t="s">
        <v>728</v>
      </c>
      <c r="Q374" s="7" t="s">
        <v>1800</v>
      </c>
      <c r="R374" s="9">
        <v>290.14</v>
      </c>
      <c r="S374" s="9">
        <v>250.73</v>
      </c>
      <c r="T374" s="9">
        <v>250.73</v>
      </c>
      <c r="U374" s="9">
        <f t="shared" si="29"/>
        <v>882.49360000000001</v>
      </c>
      <c r="V374" s="9">
        <f t="shared" si="27"/>
        <v>1626.8116</v>
      </c>
      <c r="W374" s="9" t="str">
        <f t="shared" si="28"/>
        <v>Low</v>
      </c>
      <c r="X374" t="s">
        <v>2065</v>
      </c>
      <c r="Y374" s="11">
        <v>3.4000000000000002E-2</v>
      </c>
      <c r="Z374" t="s">
        <v>2065</v>
      </c>
      <c r="AA374" s="13">
        <v>17</v>
      </c>
      <c r="AB374" s="9">
        <v>4117.4880599999997</v>
      </c>
      <c r="AC374" s="9">
        <v>4932.38</v>
      </c>
      <c r="AD374" s="9">
        <v>-814.89194000000043</v>
      </c>
      <c r="AE374" s="11">
        <v>-0.19790997038131072</v>
      </c>
    </row>
    <row r="375" spans="1:31" x14ac:dyDescent="0.3">
      <c r="A375" t="s">
        <v>388</v>
      </c>
      <c r="B375" s="4">
        <v>45429</v>
      </c>
      <c r="C375" s="4" t="str">
        <f t="shared" si="25"/>
        <v>May-2024</v>
      </c>
      <c r="D375" s="4" t="str">
        <f t="shared" si="26"/>
        <v>Q2-2024</v>
      </c>
      <c r="E375" s="4">
        <v>45439</v>
      </c>
      <c r="F375" t="s">
        <v>2064</v>
      </c>
      <c r="G375" s="4">
        <v>45439</v>
      </c>
      <c r="H375" s="13">
        <v>10</v>
      </c>
      <c r="I375" s="7" t="s">
        <v>648</v>
      </c>
      <c r="J375" s="7" t="s">
        <v>1425</v>
      </c>
      <c r="K375" s="7" t="s">
        <v>697</v>
      </c>
      <c r="M375" s="7" t="s">
        <v>703</v>
      </c>
      <c r="N375" s="7" t="s">
        <v>708</v>
      </c>
      <c r="O375" s="7" t="s">
        <v>712</v>
      </c>
      <c r="P375" s="7" t="s">
        <v>730</v>
      </c>
      <c r="Q375" s="7" t="s">
        <v>1801</v>
      </c>
      <c r="R375" s="9">
        <v>1484.23</v>
      </c>
      <c r="S375" s="9">
        <v>3472.81</v>
      </c>
      <c r="T375" s="9">
        <v>3472.81</v>
      </c>
      <c r="U375" s="9">
        <f t="shared" si="29"/>
        <v>889.68940000000009</v>
      </c>
      <c r="V375" s="9">
        <f t="shared" si="27"/>
        <v>1628.5014000000001</v>
      </c>
      <c r="W375" s="9" t="str">
        <f t="shared" si="28"/>
        <v>High</v>
      </c>
      <c r="X375" t="s">
        <v>2065</v>
      </c>
      <c r="Y375" s="11">
        <v>0.25600000000000001</v>
      </c>
      <c r="Z375" t="s">
        <v>2065</v>
      </c>
      <c r="AA375" s="13">
        <v>12</v>
      </c>
      <c r="AB375" s="9">
        <v>31005.24768</v>
      </c>
      <c r="AC375" s="9">
        <v>17810.760000000002</v>
      </c>
      <c r="AD375" s="9">
        <v>13194.487679999998</v>
      </c>
      <c r="AE375" s="11">
        <v>0.42555659661803413</v>
      </c>
    </row>
    <row r="376" spans="1:31" x14ac:dyDescent="0.3">
      <c r="A376" t="s">
        <v>389</v>
      </c>
      <c r="B376" s="4">
        <v>45354</v>
      </c>
      <c r="C376" s="4" t="str">
        <f t="shared" si="25"/>
        <v>Mar-2024</v>
      </c>
      <c r="D376" s="4" t="str">
        <f t="shared" si="26"/>
        <v>Q1-2024</v>
      </c>
      <c r="E376" s="4">
        <v>45370</v>
      </c>
      <c r="F376" t="s">
        <v>2064</v>
      </c>
      <c r="G376" s="4">
        <v>45370</v>
      </c>
      <c r="H376" s="13">
        <v>16</v>
      </c>
      <c r="I376" s="7" t="s">
        <v>647</v>
      </c>
      <c r="J376" s="7" t="s">
        <v>659</v>
      </c>
      <c r="K376" s="7" t="s">
        <v>699</v>
      </c>
      <c r="M376" s="7" t="s">
        <v>704</v>
      </c>
      <c r="N376" s="7" t="s">
        <v>710</v>
      </c>
      <c r="O376" s="7" t="s">
        <v>715</v>
      </c>
      <c r="P376" s="7" t="s">
        <v>730</v>
      </c>
      <c r="Q376" s="7" t="s">
        <v>1802</v>
      </c>
      <c r="R376" s="9">
        <v>988.83</v>
      </c>
      <c r="S376" s="9">
        <v>1206.04</v>
      </c>
      <c r="T376" s="9">
        <v>1206.04</v>
      </c>
      <c r="U376" s="9">
        <f t="shared" si="29"/>
        <v>886.14520000000005</v>
      </c>
      <c r="V376" s="9">
        <f t="shared" si="27"/>
        <v>1625.39</v>
      </c>
      <c r="W376" s="9" t="str">
        <f t="shared" si="28"/>
        <v>Medium</v>
      </c>
      <c r="X376" t="s">
        <v>2065</v>
      </c>
      <c r="Y376" s="11">
        <v>6.3E-2</v>
      </c>
      <c r="Z376" t="s">
        <v>2065</v>
      </c>
      <c r="AA376" s="13">
        <v>34</v>
      </c>
      <c r="AB376" s="9">
        <v>38422.022320000004</v>
      </c>
      <c r="AC376" s="9">
        <v>33620.22</v>
      </c>
      <c r="AD376" s="9">
        <v>4801.8023200000025</v>
      </c>
      <c r="AE376" s="11">
        <v>0.12497526236406606</v>
      </c>
    </row>
    <row r="377" spans="1:31" x14ac:dyDescent="0.3">
      <c r="A377" t="s">
        <v>390</v>
      </c>
      <c r="B377" s="4">
        <v>45835</v>
      </c>
      <c r="C377" s="4" t="str">
        <f t="shared" si="25"/>
        <v>Jun-2025</v>
      </c>
      <c r="D377" s="4" t="str">
        <f t="shared" si="26"/>
        <v>Q2-2025</v>
      </c>
      <c r="E377" s="4">
        <v>45849</v>
      </c>
      <c r="F377" t="s">
        <v>2064</v>
      </c>
      <c r="G377" s="4">
        <v>45849</v>
      </c>
      <c r="H377" s="13">
        <v>14</v>
      </c>
      <c r="I377" s="7" t="s">
        <v>647</v>
      </c>
      <c r="J377" s="7" t="s">
        <v>659</v>
      </c>
      <c r="K377" s="7" t="s">
        <v>685</v>
      </c>
      <c r="M377" s="7" t="s">
        <v>705</v>
      </c>
      <c r="N377" s="7" t="s">
        <v>709</v>
      </c>
      <c r="O377" s="7" t="s">
        <v>716</v>
      </c>
      <c r="P377" s="7" t="s">
        <v>729</v>
      </c>
      <c r="Q377" s="7" t="s">
        <v>1803</v>
      </c>
      <c r="R377" s="9">
        <v>1227.7</v>
      </c>
      <c r="S377" s="9">
        <v>2197.23</v>
      </c>
      <c r="T377" s="9">
        <v>2197.23</v>
      </c>
      <c r="U377" s="9">
        <f t="shared" si="29"/>
        <v>882.60100000000011</v>
      </c>
      <c r="V377" s="9">
        <f t="shared" si="27"/>
        <v>1626.9110000000001</v>
      </c>
      <c r="W377" s="9" t="str">
        <f t="shared" si="28"/>
        <v>High</v>
      </c>
      <c r="X377" t="s">
        <v>2065</v>
      </c>
      <c r="Y377" s="11">
        <v>9.9000000000000005E-2</v>
      </c>
      <c r="Z377" t="s">
        <v>2065</v>
      </c>
      <c r="AA377" s="13">
        <v>22</v>
      </c>
      <c r="AB377" s="9">
        <v>43553.493060000001</v>
      </c>
      <c r="AC377" s="9">
        <v>27009.4</v>
      </c>
      <c r="AD377" s="9">
        <v>16544.093059999999</v>
      </c>
      <c r="AE377" s="11">
        <v>0.37985685871873898</v>
      </c>
    </row>
    <row r="378" spans="1:31" x14ac:dyDescent="0.3">
      <c r="A378" t="s">
        <v>391</v>
      </c>
      <c r="B378" s="4">
        <v>44998</v>
      </c>
      <c r="C378" s="4" t="str">
        <f t="shared" si="25"/>
        <v>Mar-2023</v>
      </c>
      <c r="D378" s="4" t="str">
        <f t="shared" si="26"/>
        <v>Q1-2023</v>
      </c>
      <c r="E378" s="4">
        <v>45020</v>
      </c>
      <c r="F378" t="s">
        <v>2064</v>
      </c>
      <c r="G378" s="4">
        <v>45020</v>
      </c>
      <c r="H378" s="13">
        <v>22</v>
      </c>
      <c r="I378" s="7" t="s">
        <v>646</v>
      </c>
      <c r="J378" s="7" t="s">
        <v>661</v>
      </c>
      <c r="K378" s="7" t="s">
        <v>687</v>
      </c>
      <c r="M378" s="7" t="s">
        <v>705</v>
      </c>
      <c r="N378" s="7" t="s">
        <v>707</v>
      </c>
      <c r="O378" s="7" t="s">
        <v>720</v>
      </c>
      <c r="P378" s="7" t="s">
        <v>727</v>
      </c>
      <c r="Q378" s="7" t="s">
        <v>1804</v>
      </c>
      <c r="R378" s="9">
        <v>1113.7</v>
      </c>
      <c r="S378" s="9">
        <v>1620.6</v>
      </c>
      <c r="T378" s="9">
        <v>1620.6</v>
      </c>
      <c r="U378" s="9">
        <f t="shared" si="29"/>
        <v>880.58320000000003</v>
      </c>
      <c r="V378" s="9">
        <f t="shared" si="27"/>
        <v>1625.15</v>
      </c>
      <c r="W378" s="9" t="str">
        <f t="shared" si="28"/>
        <v>Medium</v>
      </c>
      <c r="X378" t="s">
        <v>2065</v>
      </c>
      <c r="Y378" s="11">
        <v>0.13900000000000001</v>
      </c>
      <c r="Z378" t="s">
        <v>2065</v>
      </c>
      <c r="AA378" s="13">
        <v>11</v>
      </c>
      <c r="AB378" s="9">
        <v>15348.702599999999</v>
      </c>
      <c r="AC378" s="9">
        <v>12250.7</v>
      </c>
      <c r="AD378" s="9">
        <v>3098.002599999998</v>
      </c>
      <c r="AE378" s="11">
        <v>0.20184133348182787</v>
      </c>
    </row>
    <row r="379" spans="1:31" x14ac:dyDescent="0.3">
      <c r="A379" t="s">
        <v>392</v>
      </c>
      <c r="B379" s="4">
        <v>45664</v>
      </c>
      <c r="C379" s="4" t="str">
        <f t="shared" si="25"/>
        <v>Jan-2025</v>
      </c>
      <c r="D379" s="4" t="str">
        <f t="shared" si="26"/>
        <v>Q1-2025</v>
      </c>
      <c r="E379" s="4">
        <v>45677</v>
      </c>
      <c r="F379" t="s">
        <v>2064</v>
      </c>
      <c r="G379" s="4">
        <v>45677</v>
      </c>
      <c r="H379" s="13">
        <v>13</v>
      </c>
      <c r="I379" s="7" t="s">
        <v>646</v>
      </c>
      <c r="J379" s="7" t="s">
        <v>661</v>
      </c>
      <c r="K379" s="7" t="s">
        <v>695</v>
      </c>
      <c r="M379" s="7" t="s">
        <v>701</v>
      </c>
      <c r="N379" s="7" t="s">
        <v>711</v>
      </c>
      <c r="O379" s="7" t="s">
        <v>723</v>
      </c>
      <c r="P379" s="7" t="s">
        <v>729</v>
      </c>
      <c r="Q379" s="7" t="s">
        <v>1805</v>
      </c>
      <c r="R379" s="9">
        <v>432.13</v>
      </c>
      <c r="S379" s="9">
        <v>1034.6600000000001</v>
      </c>
      <c r="T379" s="9">
        <v>1034.6600000000001</v>
      </c>
      <c r="U379" s="9">
        <f t="shared" si="29"/>
        <v>879.8374</v>
      </c>
      <c r="V379" s="9">
        <f t="shared" si="27"/>
        <v>1625.4050000000002</v>
      </c>
      <c r="W379" s="9" t="str">
        <f t="shared" si="28"/>
        <v>Medium</v>
      </c>
      <c r="X379" t="s">
        <v>2065</v>
      </c>
      <c r="Y379" s="11">
        <v>9.1999999999999998E-2</v>
      </c>
      <c r="Z379" t="s">
        <v>2065</v>
      </c>
      <c r="AA379" s="13">
        <v>7</v>
      </c>
      <c r="AB379" s="9">
        <v>6576.298960000001</v>
      </c>
      <c r="AC379" s="9">
        <v>3024.91</v>
      </c>
      <c r="AD379" s="9">
        <v>3551.3889600000011</v>
      </c>
      <c r="AE379" s="11">
        <v>0.54002851476204794</v>
      </c>
    </row>
    <row r="380" spans="1:31" x14ac:dyDescent="0.3">
      <c r="A380" t="s">
        <v>393</v>
      </c>
      <c r="B380" s="4">
        <v>45694</v>
      </c>
      <c r="C380" s="4" t="str">
        <f t="shared" si="25"/>
        <v>Feb-2025</v>
      </c>
      <c r="D380" s="4" t="str">
        <f t="shared" si="26"/>
        <v>Q1-2025</v>
      </c>
      <c r="E380" s="4">
        <v>45703</v>
      </c>
      <c r="F380" t="s">
        <v>2064</v>
      </c>
      <c r="G380" s="4">
        <v>45703</v>
      </c>
      <c r="H380" s="13">
        <v>9</v>
      </c>
      <c r="I380" s="7" t="s">
        <v>648</v>
      </c>
      <c r="J380" s="7" t="s">
        <v>655</v>
      </c>
      <c r="K380" s="7" t="s">
        <v>670</v>
      </c>
      <c r="M380" s="7" t="s">
        <v>703</v>
      </c>
      <c r="N380" s="7" t="s">
        <v>710</v>
      </c>
      <c r="O380" s="7" t="s">
        <v>721</v>
      </c>
      <c r="P380" s="7" t="s">
        <v>729</v>
      </c>
      <c r="Q380" s="7" t="s">
        <v>1806</v>
      </c>
      <c r="R380" s="9">
        <v>837.39</v>
      </c>
      <c r="S380" s="9">
        <v>1905.42</v>
      </c>
      <c r="T380" s="9">
        <v>1905.42</v>
      </c>
      <c r="U380" s="9">
        <f t="shared" si="29"/>
        <v>879.09160000000008</v>
      </c>
      <c r="V380" s="9">
        <f t="shared" si="27"/>
        <v>1627.0104000000001</v>
      </c>
      <c r="W380" s="9" t="str">
        <f t="shared" si="28"/>
        <v>High</v>
      </c>
      <c r="X380" t="s">
        <v>2065</v>
      </c>
      <c r="Y380" s="11">
        <v>3.2000000000000001E-2</v>
      </c>
      <c r="Z380" t="s">
        <v>2065</v>
      </c>
      <c r="AA380" s="13">
        <v>18</v>
      </c>
      <c r="AB380" s="9">
        <v>33200.038079999998</v>
      </c>
      <c r="AC380" s="9">
        <v>15073.02</v>
      </c>
      <c r="AD380" s="9">
        <v>18127.018079999998</v>
      </c>
      <c r="AE380" s="11">
        <v>0.54599389423350919</v>
      </c>
    </row>
    <row r="381" spans="1:31" x14ac:dyDescent="0.3">
      <c r="A381" t="s">
        <v>394</v>
      </c>
      <c r="B381" s="4">
        <v>45688</v>
      </c>
      <c r="C381" s="4" t="str">
        <f t="shared" si="25"/>
        <v>Jan-2025</v>
      </c>
      <c r="D381" s="4" t="str">
        <f t="shared" si="26"/>
        <v>Q1-2025</v>
      </c>
      <c r="E381" s="4">
        <v>45705</v>
      </c>
      <c r="F381" t="s">
        <v>2064</v>
      </c>
      <c r="G381" s="4">
        <v>45705</v>
      </c>
      <c r="H381" s="13">
        <v>17</v>
      </c>
      <c r="I381" s="7" t="s">
        <v>649</v>
      </c>
      <c r="J381" s="7" t="s">
        <v>658</v>
      </c>
      <c r="K381" s="7" t="s">
        <v>683</v>
      </c>
      <c r="M381" s="7" t="s">
        <v>706</v>
      </c>
      <c r="N381" s="7" t="s">
        <v>707</v>
      </c>
      <c r="O381" s="7" t="s">
        <v>722</v>
      </c>
      <c r="P381" s="7" t="s">
        <v>727</v>
      </c>
      <c r="Q381" s="7" t="s">
        <v>1506</v>
      </c>
      <c r="R381" s="9">
        <v>378.26</v>
      </c>
      <c r="S381" s="9">
        <v>541.55999999999995</v>
      </c>
      <c r="T381" s="9">
        <v>541.55999999999995</v>
      </c>
      <c r="U381" s="9">
        <f t="shared" si="29"/>
        <v>878.40359999999998</v>
      </c>
      <c r="V381" s="9">
        <f t="shared" si="27"/>
        <v>1625.165</v>
      </c>
      <c r="W381" s="9" t="str">
        <f t="shared" si="28"/>
        <v>Low</v>
      </c>
      <c r="X381" t="s">
        <v>2065</v>
      </c>
      <c r="Y381" s="11">
        <v>0.16300000000000001</v>
      </c>
      <c r="Z381" t="s">
        <v>2065</v>
      </c>
      <c r="AA381" s="13">
        <v>25</v>
      </c>
      <c r="AB381" s="9">
        <v>11332.142999999998</v>
      </c>
      <c r="AC381" s="9">
        <v>9456.5</v>
      </c>
      <c r="AD381" s="9">
        <v>1875.6429999999982</v>
      </c>
      <c r="AE381" s="11">
        <v>0.16551529573885526</v>
      </c>
    </row>
    <row r="382" spans="1:31" x14ac:dyDescent="0.3">
      <c r="A382" t="s">
        <v>395</v>
      </c>
      <c r="B382" s="4">
        <v>45876</v>
      </c>
      <c r="C382" s="4" t="str">
        <f t="shared" si="25"/>
        <v>Aug-2025</v>
      </c>
      <c r="D382" s="4" t="str">
        <f t="shared" si="26"/>
        <v>Q3-2025</v>
      </c>
      <c r="E382" s="4">
        <v>45906</v>
      </c>
      <c r="F382" t="s">
        <v>2064</v>
      </c>
      <c r="G382" s="4">
        <v>45906</v>
      </c>
      <c r="H382" s="13">
        <v>30</v>
      </c>
      <c r="I382" s="7" t="s">
        <v>648</v>
      </c>
      <c r="J382" s="7" t="s">
        <v>653</v>
      </c>
      <c r="K382" s="7" t="s">
        <v>681</v>
      </c>
      <c r="M382" s="7" t="s">
        <v>702</v>
      </c>
      <c r="N382" s="7" t="s">
        <v>711</v>
      </c>
      <c r="O382" s="7" t="s">
        <v>724</v>
      </c>
      <c r="P382" s="7" t="s">
        <v>729</v>
      </c>
      <c r="Q382" s="7" t="s">
        <v>1807</v>
      </c>
      <c r="R382" s="9">
        <v>833.73</v>
      </c>
      <c r="S382" s="9">
        <v>1116.5999999999999</v>
      </c>
      <c r="T382" s="9">
        <v>1116.5999999999999</v>
      </c>
      <c r="U382" s="9">
        <f t="shared" si="29"/>
        <v>879.86</v>
      </c>
      <c r="V382" s="9">
        <f t="shared" si="27"/>
        <v>1625.42</v>
      </c>
      <c r="W382" s="9" t="str">
        <f t="shared" si="28"/>
        <v>Medium</v>
      </c>
      <c r="X382" t="s">
        <v>2065</v>
      </c>
      <c r="Y382" s="11">
        <v>0.17599999999999999</v>
      </c>
      <c r="Z382" t="s">
        <v>2065</v>
      </c>
      <c r="AA382" s="13">
        <v>14</v>
      </c>
      <c r="AB382" s="9">
        <v>12881.097599999999</v>
      </c>
      <c r="AC382" s="9">
        <v>11672.220000000001</v>
      </c>
      <c r="AD382" s="9">
        <v>1208.877599999998</v>
      </c>
      <c r="AE382" s="11">
        <v>9.3848958958279924E-2</v>
      </c>
    </row>
    <row r="383" spans="1:31" x14ac:dyDescent="0.3">
      <c r="A383" t="s">
        <v>396</v>
      </c>
      <c r="B383" s="4">
        <v>45861</v>
      </c>
      <c r="C383" s="4" t="str">
        <f t="shared" si="25"/>
        <v>Jul-2025</v>
      </c>
      <c r="D383" s="4" t="str">
        <f t="shared" si="26"/>
        <v>Q3-2025</v>
      </c>
      <c r="E383" s="4">
        <v>45886</v>
      </c>
      <c r="F383" t="s">
        <v>2064</v>
      </c>
      <c r="G383" s="4">
        <v>45886</v>
      </c>
      <c r="H383" s="13">
        <v>25</v>
      </c>
      <c r="I383" s="7" t="s">
        <v>649</v>
      </c>
      <c r="J383" s="7" t="s">
        <v>658</v>
      </c>
      <c r="K383" s="7" t="s">
        <v>674</v>
      </c>
      <c r="M383" s="7" t="s">
        <v>702</v>
      </c>
      <c r="N383" s="7" t="s">
        <v>708</v>
      </c>
      <c r="O383" s="7" t="s">
        <v>714</v>
      </c>
      <c r="P383" s="7" t="s">
        <v>728</v>
      </c>
      <c r="Q383" s="7" t="s">
        <v>1808</v>
      </c>
      <c r="R383" s="9">
        <v>1142.06</v>
      </c>
      <c r="S383" s="9">
        <v>1455</v>
      </c>
      <c r="T383" s="9">
        <v>1455</v>
      </c>
      <c r="U383" s="9">
        <f t="shared" si="29"/>
        <v>879.11419999999998</v>
      </c>
      <c r="V383" s="9">
        <f t="shared" si="27"/>
        <v>1627.1098000000002</v>
      </c>
      <c r="W383" s="9" t="str">
        <f t="shared" si="28"/>
        <v>Medium</v>
      </c>
      <c r="X383" t="s">
        <v>2065</v>
      </c>
      <c r="Y383" s="11">
        <v>7.8E-2</v>
      </c>
      <c r="Z383" t="s">
        <v>2065</v>
      </c>
      <c r="AA383" s="13">
        <v>28</v>
      </c>
      <c r="AB383" s="9">
        <v>37562.28</v>
      </c>
      <c r="AC383" s="9">
        <v>31977.68</v>
      </c>
      <c r="AD383" s="9">
        <v>5584.5999999999985</v>
      </c>
      <c r="AE383" s="11">
        <v>0.1486757459877302</v>
      </c>
    </row>
    <row r="384" spans="1:31" x14ac:dyDescent="0.3">
      <c r="A384" t="s">
        <v>397</v>
      </c>
      <c r="B384" s="4">
        <v>45097</v>
      </c>
      <c r="C384" s="4" t="str">
        <f t="shared" si="25"/>
        <v>Jun-2023</v>
      </c>
      <c r="D384" s="4" t="str">
        <f t="shared" si="26"/>
        <v>Q2-2023</v>
      </c>
      <c r="E384" s="4">
        <v>45115</v>
      </c>
      <c r="F384" t="s">
        <v>2064</v>
      </c>
      <c r="G384" s="4">
        <v>45115</v>
      </c>
      <c r="H384" s="13">
        <v>18</v>
      </c>
      <c r="I384" s="7" t="s">
        <v>648</v>
      </c>
      <c r="J384" s="7" t="s">
        <v>1425</v>
      </c>
      <c r="K384" s="7" t="s">
        <v>700</v>
      </c>
      <c r="M384" s="7" t="s">
        <v>704</v>
      </c>
      <c r="N384" s="7" t="s">
        <v>709</v>
      </c>
      <c r="O384" s="7" t="s">
        <v>719</v>
      </c>
      <c r="P384" s="7" t="s">
        <v>729</v>
      </c>
      <c r="Q384" s="7" t="s">
        <v>1809</v>
      </c>
      <c r="R384" s="9">
        <v>1145.53</v>
      </c>
      <c r="S384" s="9">
        <v>1278.3</v>
      </c>
      <c r="T384" s="9">
        <v>1278.3</v>
      </c>
      <c r="U384" s="9">
        <f t="shared" si="29"/>
        <v>878.42280000000005</v>
      </c>
      <c r="V384" s="9">
        <f t="shared" si="27"/>
        <v>1628.7996000000001</v>
      </c>
      <c r="W384" s="9" t="str">
        <f t="shared" si="28"/>
        <v>Medium</v>
      </c>
      <c r="X384" t="s">
        <v>2065</v>
      </c>
      <c r="Y384" s="11">
        <v>0.09</v>
      </c>
      <c r="Z384" t="s">
        <v>2065</v>
      </c>
      <c r="AA384" s="13">
        <v>41</v>
      </c>
      <c r="AB384" s="9">
        <v>47693.373</v>
      </c>
      <c r="AC384" s="9">
        <v>46966.729999999996</v>
      </c>
      <c r="AD384" s="9">
        <v>726.64300000000367</v>
      </c>
      <c r="AE384" s="11">
        <v>1.5235722581416158E-2</v>
      </c>
    </row>
    <row r="385" spans="1:31" x14ac:dyDescent="0.3">
      <c r="A385" t="s">
        <v>398</v>
      </c>
      <c r="B385" s="4">
        <v>45491</v>
      </c>
      <c r="C385" s="4" t="str">
        <f t="shared" si="25"/>
        <v>Jul-2024</v>
      </c>
      <c r="D385" s="4" t="str">
        <f t="shared" si="26"/>
        <v>Q3-2024</v>
      </c>
      <c r="E385" s="4">
        <v>45511</v>
      </c>
      <c r="F385" t="s">
        <v>2064</v>
      </c>
      <c r="G385" s="4">
        <v>45511</v>
      </c>
      <c r="H385" s="13">
        <v>20</v>
      </c>
      <c r="I385" s="7" t="s">
        <v>649</v>
      </c>
      <c r="J385" s="7" t="s">
        <v>657</v>
      </c>
      <c r="K385" s="7" t="s">
        <v>673</v>
      </c>
      <c r="M385" s="7" t="s">
        <v>701</v>
      </c>
      <c r="N385" s="7" t="s">
        <v>707</v>
      </c>
      <c r="O385" s="7" t="s">
        <v>721</v>
      </c>
      <c r="P385" s="7" t="s">
        <v>732</v>
      </c>
      <c r="Q385" s="7" t="s">
        <v>1810</v>
      </c>
      <c r="R385" s="9">
        <v>941.35</v>
      </c>
      <c r="S385" s="9">
        <v>899.83</v>
      </c>
      <c r="T385" s="9">
        <v>899.83</v>
      </c>
      <c r="U385" s="9">
        <f t="shared" si="29"/>
        <v>877.78919999999994</v>
      </c>
      <c r="V385" s="9">
        <f t="shared" si="27"/>
        <v>1630.6144000000002</v>
      </c>
      <c r="W385" s="9" t="str">
        <f t="shared" si="28"/>
        <v>Medium</v>
      </c>
      <c r="X385" t="s">
        <v>2065</v>
      </c>
      <c r="Y385" s="11">
        <v>5.8000000000000003E-2</v>
      </c>
      <c r="Z385" t="s">
        <v>2065</v>
      </c>
      <c r="AA385" s="13">
        <v>18</v>
      </c>
      <c r="AB385" s="9">
        <v>15257.51748</v>
      </c>
      <c r="AC385" s="9">
        <v>16944.3</v>
      </c>
      <c r="AD385" s="9">
        <v>-1686.7825199999988</v>
      </c>
      <c r="AE385" s="11">
        <v>-0.11055419220139073</v>
      </c>
    </row>
    <row r="386" spans="1:31" x14ac:dyDescent="0.3">
      <c r="A386" t="s">
        <v>399</v>
      </c>
      <c r="B386" s="4">
        <v>45066</v>
      </c>
      <c r="C386" s="4" t="str">
        <f t="shared" si="25"/>
        <v>May-2023</v>
      </c>
      <c r="D386" s="4" t="str">
        <f t="shared" si="26"/>
        <v>Q2-2023</v>
      </c>
      <c r="E386" s="4">
        <v>45096</v>
      </c>
      <c r="F386" t="s">
        <v>2064</v>
      </c>
      <c r="G386" s="4">
        <v>45096</v>
      </c>
      <c r="H386" s="13">
        <v>30</v>
      </c>
      <c r="I386" s="7" t="s">
        <v>647</v>
      </c>
      <c r="J386" s="7" t="s">
        <v>654</v>
      </c>
      <c r="K386" s="7" t="s">
        <v>680</v>
      </c>
      <c r="M386" s="7" t="s">
        <v>703</v>
      </c>
      <c r="N386" s="7" t="s">
        <v>709</v>
      </c>
      <c r="O386" s="7" t="s">
        <v>722</v>
      </c>
      <c r="P386" s="7" t="s">
        <v>731</v>
      </c>
      <c r="Q386" s="7" t="s">
        <v>1811</v>
      </c>
      <c r="R386" s="9">
        <v>1161.2</v>
      </c>
      <c r="S386" s="9">
        <v>878.73</v>
      </c>
      <c r="T386" s="9">
        <v>878.73</v>
      </c>
      <c r="U386" s="9">
        <f t="shared" si="29"/>
        <v>877.15559999999994</v>
      </c>
      <c r="V386" s="9">
        <f t="shared" si="27"/>
        <v>1634.4292000000003</v>
      </c>
      <c r="W386" s="9" t="str">
        <f t="shared" si="28"/>
        <v>Medium</v>
      </c>
      <c r="X386" t="s">
        <v>2065</v>
      </c>
      <c r="Y386" s="11">
        <v>0.19</v>
      </c>
      <c r="Z386" t="s">
        <v>2065</v>
      </c>
      <c r="AA386" s="13">
        <v>31</v>
      </c>
      <c r="AB386" s="9">
        <v>22064.910300000003</v>
      </c>
      <c r="AC386" s="9">
        <v>35997.200000000004</v>
      </c>
      <c r="AD386" s="9">
        <v>-13932.289700000001</v>
      </c>
      <c r="AE386" s="11">
        <v>-0.63142290227212028</v>
      </c>
    </row>
    <row r="387" spans="1:31" x14ac:dyDescent="0.3">
      <c r="A387" t="s">
        <v>400</v>
      </c>
      <c r="B387" s="4">
        <v>45789</v>
      </c>
      <c r="C387" s="4" t="str">
        <f t="shared" ref="C387:C450" si="30">TEXT(B387,"MMM-YYYY")</f>
        <v>May-2025</v>
      </c>
      <c r="D387" s="4" t="str">
        <f t="shared" ref="D387:D450" si="31">"Q" &amp; INT((MONTH(B387)-1)/3)+1 &amp; "-" &amp; YEAR(B387)</f>
        <v>Q2-2025</v>
      </c>
      <c r="E387" s="4">
        <v>45803</v>
      </c>
      <c r="F387" t="s">
        <v>2064</v>
      </c>
      <c r="G387" s="4">
        <v>45803</v>
      </c>
      <c r="H387" s="13">
        <v>14</v>
      </c>
      <c r="I387" s="7" t="s">
        <v>647</v>
      </c>
      <c r="J387" s="7" t="s">
        <v>654</v>
      </c>
      <c r="K387" s="7" t="s">
        <v>696</v>
      </c>
      <c r="M387" s="7" t="s">
        <v>701</v>
      </c>
      <c r="N387" s="7" t="s">
        <v>709</v>
      </c>
      <c r="O387" s="7" t="s">
        <v>715</v>
      </c>
      <c r="P387" s="7" t="s">
        <v>728</v>
      </c>
      <c r="Q387" s="7" t="s">
        <v>1812</v>
      </c>
      <c r="R387" s="9">
        <v>320.12</v>
      </c>
      <c r="S387" s="9">
        <v>594.41999999999996</v>
      </c>
      <c r="T387" s="9">
        <v>594.41999999999996</v>
      </c>
      <c r="U387" s="9">
        <f t="shared" si="29"/>
        <v>875.58150000000001</v>
      </c>
      <c r="V387" s="9">
        <f t="shared" ref="V387:V450" si="32">_xlfn.PERCENTILE.INC(T387:T1017,0.66)</f>
        <v>1638.2440000000001</v>
      </c>
      <c r="W387" s="9" t="str">
        <f t="shared" ref="W387:W450" si="33">IF(T387&lt;=U387,"Low",IF(T387&lt;=V387,"Medium","High"))</f>
        <v>Low</v>
      </c>
      <c r="X387" t="s">
        <v>2065</v>
      </c>
      <c r="Y387" s="11">
        <v>0.104</v>
      </c>
      <c r="Z387" t="s">
        <v>2065</v>
      </c>
      <c r="AA387" s="13">
        <v>18</v>
      </c>
      <c r="AB387" s="9">
        <v>9586.8057599999993</v>
      </c>
      <c r="AC387" s="9">
        <v>5762.16</v>
      </c>
      <c r="AD387" s="9">
        <v>3824.6457599999994</v>
      </c>
      <c r="AE387" s="11">
        <v>0.39894891538931104</v>
      </c>
    </row>
    <row r="388" spans="1:31" x14ac:dyDescent="0.3">
      <c r="A388" t="s">
        <v>401</v>
      </c>
      <c r="B388" s="4">
        <v>45419</v>
      </c>
      <c r="C388" s="4" t="str">
        <f t="shared" si="30"/>
        <v>May-2024</v>
      </c>
      <c r="D388" s="4" t="str">
        <f t="shared" si="31"/>
        <v>Q2-2024</v>
      </c>
      <c r="E388" s="4">
        <v>45424</v>
      </c>
      <c r="F388" t="s">
        <v>2064</v>
      </c>
      <c r="G388" s="4">
        <v>45424</v>
      </c>
      <c r="H388" s="13">
        <v>5</v>
      </c>
      <c r="I388" s="7" t="s">
        <v>646</v>
      </c>
      <c r="J388" s="7" t="s">
        <v>651</v>
      </c>
      <c r="K388" s="7" t="s">
        <v>669</v>
      </c>
      <c r="M388" s="7" t="s">
        <v>703</v>
      </c>
      <c r="N388" s="7" t="s">
        <v>710</v>
      </c>
      <c r="O388" s="7" t="s">
        <v>716</v>
      </c>
      <c r="P388" s="7" t="s">
        <v>731</v>
      </c>
      <c r="Q388" s="7" t="s">
        <v>1813</v>
      </c>
      <c r="R388" s="9">
        <v>1163.99</v>
      </c>
      <c r="S388" s="9">
        <v>1617.85</v>
      </c>
      <c r="T388" s="9">
        <v>1617.85</v>
      </c>
      <c r="U388" s="9">
        <f t="shared" si="29"/>
        <v>878.98360000000002</v>
      </c>
      <c r="V388" s="9">
        <f t="shared" si="32"/>
        <v>1641.7647999999999</v>
      </c>
      <c r="W388" s="9" t="str">
        <f t="shared" si="33"/>
        <v>Medium</v>
      </c>
      <c r="X388" t="s">
        <v>2065</v>
      </c>
      <c r="Y388" s="11">
        <v>0.127</v>
      </c>
      <c r="Z388" t="s">
        <v>2065</v>
      </c>
      <c r="AA388" s="13">
        <v>14</v>
      </c>
      <c r="AB388" s="9">
        <v>19773.362699999998</v>
      </c>
      <c r="AC388" s="9">
        <v>16295.86</v>
      </c>
      <c r="AD388" s="9">
        <v>3477.5026999999973</v>
      </c>
      <c r="AE388" s="11">
        <v>0.17586804797749436</v>
      </c>
    </row>
    <row r="389" spans="1:31" x14ac:dyDescent="0.3">
      <c r="A389" t="s">
        <v>402</v>
      </c>
      <c r="B389" s="4">
        <v>45199</v>
      </c>
      <c r="C389" s="4" t="str">
        <f t="shared" si="30"/>
        <v>Sep-2023</v>
      </c>
      <c r="D389" s="4" t="str">
        <f t="shared" si="31"/>
        <v>Q3-2023</v>
      </c>
      <c r="E389" s="4">
        <v>45202</v>
      </c>
      <c r="F389" t="s">
        <v>2064</v>
      </c>
      <c r="G389" s="4">
        <v>45202</v>
      </c>
      <c r="H389" s="13">
        <v>3</v>
      </c>
      <c r="I389" s="7" t="s">
        <v>647</v>
      </c>
      <c r="J389" s="7" t="s">
        <v>659</v>
      </c>
      <c r="K389" s="7" t="s">
        <v>699</v>
      </c>
      <c r="M389" s="7" t="s">
        <v>703</v>
      </c>
      <c r="N389" s="7" t="s">
        <v>707</v>
      </c>
      <c r="O389" s="7" t="s">
        <v>713</v>
      </c>
      <c r="P389" s="7" t="s">
        <v>731</v>
      </c>
      <c r="Q389" s="7" t="s">
        <v>1814</v>
      </c>
      <c r="R389" s="9">
        <v>1019.36</v>
      </c>
      <c r="S389" s="9">
        <v>972.91</v>
      </c>
      <c r="T389" s="9">
        <v>972.91</v>
      </c>
      <c r="U389" s="9">
        <f t="shared" si="29"/>
        <v>877.60419999999999</v>
      </c>
      <c r="V389" s="9">
        <f t="shared" si="32"/>
        <v>1643.0806</v>
      </c>
      <c r="W389" s="9" t="str">
        <f t="shared" si="33"/>
        <v>Medium</v>
      </c>
      <c r="X389" t="s">
        <v>2065</v>
      </c>
      <c r="Y389" s="11">
        <v>0.14699999999999999</v>
      </c>
      <c r="Z389" t="s">
        <v>2065</v>
      </c>
      <c r="AA389" s="13">
        <v>17</v>
      </c>
      <c r="AB389" s="9">
        <v>14108.16791</v>
      </c>
      <c r="AC389" s="9">
        <v>17329.12</v>
      </c>
      <c r="AD389" s="9">
        <v>-3220.9520899999989</v>
      </c>
      <c r="AE389" s="11">
        <v>-0.22830406545678819</v>
      </c>
    </row>
    <row r="390" spans="1:31" x14ac:dyDescent="0.3">
      <c r="A390" t="s">
        <v>403</v>
      </c>
      <c r="B390" s="4">
        <v>45225</v>
      </c>
      <c r="C390" s="4" t="str">
        <f t="shared" si="30"/>
        <v>Oct-2023</v>
      </c>
      <c r="D390" s="4" t="str">
        <f t="shared" si="31"/>
        <v>Q4-2023</v>
      </c>
      <c r="E390" s="4">
        <v>45235</v>
      </c>
      <c r="F390" t="s">
        <v>2064</v>
      </c>
      <c r="G390" s="4">
        <v>45235</v>
      </c>
      <c r="H390" s="13">
        <v>10</v>
      </c>
      <c r="I390" s="7" t="s">
        <v>646</v>
      </c>
      <c r="J390" s="7" t="s">
        <v>661</v>
      </c>
      <c r="K390" s="7" t="s">
        <v>695</v>
      </c>
      <c r="M390" s="7" t="s">
        <v>703</v>
      </c>
      <c r="N390" s="7" t="s">
        <v>708</v>
      </c>
      <c r="O390" s="7" t="s">
        <v>714</v>
      </c>
      <c r="P390" s="7" t="s">
        <v>731</v>
      </c>
      <c r="Q390" s="7" t="s">
        <v>1815</v>
      </c>
      <c r="R390" s="9">
        <v>20.38</v>
      </c>
      <c r="S390" s="9">
        <v>42.56</v>
      </c>
      <c r="T390" s="9">
        <v>42.56</v>
      </c>
      <c r="U390" s="9">
        <f t="shared" si="29"/>
        <v>875.66339999999991</v>
      </c>
      <c r="V390" s="9">
        <f t="shared" si="32"/>
        <v>1644.3964000000001</v>
      </c>
      <c r="W390" s="9" t="str">
        <f t="shared" si="33"/>
        <v>Low</v>
      </c>
      <c r="X390" t="s">
        <v>2065</v>
      </c>
      <c r="Y390" s="11">
        <v>7.1999999999999995E-2</v>
      </c>
      <c r="Z390" t="s">
        <v>2065</v>
      </c>
      <c r="AA390" s="13">
        <v>11</v>
      </c>
      <c r="AB390" s="9">
        <v>434.45248000000004</v>
      </c>
      <c r="AC390" s="9">
        <v>224.17999999999998</v>
      </c>
      <c r="AD390" s="9">
        <v>210.27248000000006</v>
      </c>
      <c r="AE390" s="11">
        <v>0.48399419885921713</v>
      </c>
    </row>
    <row r="391" spans="1:31" x14ac:dyDescent="0.3">
      <c r="A391" t="s">
        <v>404</v>
      </c>
      <c r="B391" s="4">
        <v>45823</v>
      </c>
      <c r="C391" s="4" t="str">
        <f t="shared" si="30"/>
        <v>Jun-2025</v>
      </c>
      <c r="D391" s="4" t="str">
        <f t="shared" si="31"/>
        <v>Q2-2025</v>
      </c>
      <c r="E391" s="4">
        <v>45838</v>
      </c>
      <c r="F391" t="s">
        <v>2064</v>
      </c>
      <c r="G391" s="4">
        <v>45838</v>
      </c>
      <c r="H391" s="13">
        <v>15</v>
      </c>
      <c r="I391" s="7" t="s">
        <v>646</v>
      </c>
      <c r="J391" s="7" t="s">
        <v>661</v>
      </c>
      <c r="K391" s="7" t="s">
        <v>682</v>
      </c>
      <c r="M391" s="7" t="s">
        <v>705</v>
      </c>
      <c r="N391" s="7" t="s">
        <v>711</v>
      </c>
      <c r="O391" s="7" t="s">
        <v>712</v>
      </c>
      <c r="P391" s="7" t="s">
        <v>732</v>
      </c>
      <c r="Q391" s="7" t="s">
        <v>1816</v>
      </c>
      <c r="R391" s="9">
        <v>1487.59</v>
      </c>
      <c r="S391" s="9">
        <v>1480.83</v>
      </c>
      <c r="T391" s="9">
        <v>1480.83</v>
      </c>
      <c r="U391" s="9">
        <f t="shared" ref="U391:U454" si="34">_xlfn.PERCENTILE.INC(T391:T1021,0.33)</f>
        <v>879.02539999999999</v>
      </c>
      <c r="V391" s="9">
        <f t="shared" si="32"/>
        <v>1646.2864</v>
      </c>
      <c r="W391" s="9" t="str">
        <f t="shared" si="33"/>
        <v>Medium</v>
      </c>
      <c r="X391" t="s">
        <v>2065</v>
      </c>
      <c r="Y391" s="11">
        <v>8.9999999999999993E-3</v>
      </c>
      <c r="Z391" t="s">
        <v>2065</v>
      </c>
      <c r="AA391" s="13">
        <v>11</v>
      </c>
      <c r="AB391" s="9">
        <v>16142.527829999999</v>
      </c>
      <c r="AC391" s="9">
        <v>16363.49</v>
      </c>
      <c r="AD391" s="9">
        <v>-220.9621700000007</v>
      </c>
      <c r="AE391" s="11">
        <v>-1.3688201273492908E-2</v>
      </c>
    </row>
    <row r="392" spans="1:31" x14ac:dyDescent="0.3">
      <c r="A392" t="s">
        <v>405</v>
      </c>
      <c r="B392" s="4">
        <v>45514</v>
      </c>
      <c r="C392" s="4" t="str">
        <f t="shared" si="30"/>
        <v>Aug-2024</v>
      </c>
      <c r="D392" s="4" t="str">
        <f t="shared" si="31"/>
        <v>Q3-2024</v>
      </c>
      <c r="E392" s="4">
        <v>45542</v>
      </c>
      <c r="F392" t="s">
        <v>2064</v>
      </c>
      <c r="G392" s="4">
        <v>45542</v>
      </c>
      <c r="H392" s="13">
        <v>28</v>
      </c>
      <c r="I392" s="7" t="s">
        <v>649</v>
      </c>
      <c r="J392" s="7" t="s">
        <v>657</v>
      </c>
      <c r="K392" s="7" t="s">
        <v>673</v>
      </c>
      <c r="M392" s="7" t="s">
        <v>703</v>
      </c>
      <c r="N392" s="7" t="s">
        <v>711</v>
      </c>
      <c r="O392" s="7" t="s">
        <v>721</v>
      </c>
      <c r="P392" s="7" t="s">
        <v>728</v>
      </c>
      <c r="Q392" s="7" t="s">
        <v>1817</v>
      </c>
      <c r="R392" s="9">
        <v>229.96</v>
      </c>
      <c r="S392" s="9">
        <v>564.26</v>
      </c>
      <c r="T392" s="9">
        <v>564.26</v>
      </c>
      <c r="U392" s="9">
        <f t="shared" si="34"/>
        <v>877.64599999999996</v>
      </c>
      <c r="V392" s="9">
        <f t="shared" si="32"/>
        <v>1650.8560000000002</v>
      </c>
      <c r="W392" s="9" t="str">
        <f t="shared" si="33"/>
        <v>Low</v>
      </c>
      <c r="X392" t="s">
        <v>2065</v>
      </c>
      <c r="Y392" s="11">
        <v>0.105</v>
      </c>
      <c r="Z392" t="s">
        <v>2065</v>
      </c>
      <c r="AA392" s="13">
        <v>5</v>
      </c>
      <c r="AB392" s="9">
        <v>2525.0635000000002</v>
      </c>
      <c r="AC392" s="9">
        <v>1149.8</v>
      </c>
      <c r="AD392" s="9">
        <v>1375.2635000000002</v>
      </c>
      <c r="AE392" s="11">
        <v>0.54464511486542821</v>
      </c>
    </row>
    <row r="393" spans="1:31" x14ac:dyDescent="0.3">
      <c r="A393" t="s">
        <v>406</v>
      </c>
      <c r="B393" s="4">
        <v>45208</v>
      </c>
      <c r="C393" s="4" t="str">
        <f t="shared" si="30"/>
        <v>Oct-2023</v>
      </c>
      <c r="D393" s="4" t="str">
        <f t="shared" si="31"/>
        <v>Q4-2023</v>
      </c>
      <c r="E393" s="4">
        <v>45225</v>
      </c>
      <c r="F393" t="s">
        <v>2064</v>
      </c>
      <c r="G393" s="4">
        <v>45225</v>
      </c>
      <c r="H393" s="13">
        <v>17</v>
      </c>
      <c r="I393" s="7" t="s">
        <v>647</v>
      </c>
      <c r="J393" s="7" t="s">
        <v>659</v>
      </c>
      <c r="K393" s="7" t="s">
        <v>685</v>
      </c>
      <c r="M393" s="7" t="s">
        <v>704</v>
      </c>
      <c r="N393" s="7" t="s">
        <v>709</v>
      </c>
      <c r="O393" s="7" t="s">
        <v>712</v>
      </c>
      <c r="P393" s="7" t="s">
        <v>727</v>
      </c>
      <c r="Q393" s="7" t="s">
        <v>1818</v>
      </c>
      <c r="R393" s="9">
        <v>1132.03</v>
      </c>
      <c r="S393" s="9">
        <v>2137.21</v>
      </c>
      <c r="T393" s="9">
        <v>2137.21</v>
      </c>
      <c r="U393" s="9">
        <f t="shared" si="34"/>
        <v>880.44659999999999</v>
      </c>
      <c r="V393" s="9">
        <f t="shared" si="32"/>
        <v>1655.4256000000003</v>
      </c>
      <c r="W393" s="9" t="str">
        <f t="shared" si="33"/>
        <v>High</v>
      </c>
      <c r="X393" t="s">
        <v>2065</v>
      </c>
      <c r="Y393" s="11">
        <v>0.35699999999999998</v>
      </c>
      <c r="Z393" t="s">
        <v>2067</v>
      </c>
      <c r="AA393" s="13">
        <v>35</v>
      </c>
      <c r="AB393" s="9">
        <v>48097.911050000002</v>
      </c>
      <c r="AC393" s="9">
        <v>39621.049999999996</v>
      </c>
      <c r="AD393" s="9">
        <v>8476.8610500000068</v>
      </c>
      <c r="AE393" s="11">
        <v>0.17624177152284051</v>
      </c>
    </row>
    <row r="394" spans="1:31" x14ac:dyDescent="0.3">
      <c r="A394" t="s">
        <v>407</v>
      </c>
      <c r="B394" s="4">
        <v>45360</v>
      </c>
      <c r="C394" s="4" t="str">
        <f t="shared" si="30"/>
        <v>Mar-2024</v>
      </c>
      <c r="D394" s="4" t="str">
        <f t="shared" si="31"/>
        <v>Q1-2024</v>
      </c>
      <c r="E394" s="4">
        <v>45377</v>
      </c>
      <c r="F394" t="s">
        <v>2064</v>
      </c>
      <c r="G394" s="4">
        <v>45377</v>
      </c>
      <c r="H394" s="13">
        <v>17</v>
      </c>
      <c r="I394" s="7" t="s">
        <v>648</v>
      </c>
      <c r="J394" s="7" t="s">
        <v>1425</v>
      </c>
      <c r="K394" s="7" t="s">
        <v>686</v>
      </c>
      <c r="M394" s="7" t="s">
        <v>702</v>
      </c>
      <c r="N394" s="7" t="s">
        <v>711</v>
      </c>
      <c r="O394" s="7" t="s">
        <v>714</v>
      </c>
      <c r="P394" s="7" t="s">
        <v>730</v>
      </c>
      <c r="Q394" s="7" t="s">
        <v>1819</v>
      </c>
      <c r="R394" s="9">
        <v>1137.4100000000001</v>
      </c>
      <c r="S394" s="9">
        <v>1680.93</v>
      </c>
      <c r="T394" s="9">
        <v>1680.93</v>
      </c>
      <c r="U394" s="9">
        <f t="shared" si="34"/>
        <v>879.06719999999996</v>
      </c>
      <c r="V394" s="9">
        <f t="shared" si="32"/>
        <v>1646.5552000000002</v>
      </c>
      <c r="W394" s="9" t="str">
        <f t="shared" si="33"/>
        <v>High</v>
      </c>
      <c r="X394" t="s">
        <v>2065</v>
      </c>
      <c r="Y394" s="11">
        <v>0.254</v>
      </c>
      <c r="Z394" t="s">
        <v>2065</v>
      </c>
      <c r="AA394" s="13">
        <v>9</v>
      </c>
      <c r="AB394" s="9">
        <v>11285.764020000001</v>
      </c>
      <c r="AC394" s="9">
        <v>10236.69</v>
      </c>
      <c r="AD394" s="9">
        <v>1049.07402</v>
      </c>
      <c r="AE394" s="11">
        <v>9.2955516183121464E-2</v>
      </c>
    </row>
    <row r="395" spans="1:31" x14ac:dyDescent="0.3">
      <c r="A395" t="s">
        <v>408</v>
      </c>
      <c r="B395" s="4">
        <v>45075</v>
      </c>
      <c r="C395" s="4" t="str">
        <f t="shared" si="30"/>
        <v>May-2023</v>
      </c>
      <c r="D395" s="4" t="str">
        <f t="shared" si="31"/>
        <v>Q2-2023</v>
      </c>
      <c r="E395" s="4">
        <v>45097</v>
      </c>
      <c r="F395" t="s">
        <v>2064</v>
      </c>
      <c r="G395" s="4">
        <v>45097</v>
      </c>
      <c r="H395" s="13">
        <v>22</v>
      </c>
      <c r="I395" s="7" t="s">
        <v>649</v>
      </c>
      <c r="J395" s="7" t="s">
        <v>658</v>
      </c>
      <c r="K395" s="7" t="s">
        <v>683</v>
      </c>
      <c r="M395" s="7" t="s">
        <v>705</v>
      </c>
      <c r="N395" s="7" t="s">
        <v>711</v>
      </c>
      <c r="O395" s="7" t="s">
        <v>723</v>
      </c>
      <c r="P395" s="7" t="s">
        <v>727</v>
      </c>
      <c r="Q395" s="7" t="s">
        <v>1820</v>
      </c>
      <c r="R395" s="9">
        <v>1295.3900000000001</v>
      </c>
      <c r="S395" s="9">
        <v>2905.06</v>
      </c>
      <c r="T395" s="9">
        <v>2905.06</v>
      </c>
      <c r="U395" s="9">
        <f t="shared" si="34"/>
        <v>877.68780000000004</v>
      </c>
      <c r="V395" s="9">
        <f t="shared" si="32"/>
        <v>1643.2354</v>
      </c>
      <c r="W395" s="9" t="str">
        <f t="shared" si="33"/>
        <v>High</v>
      </c>
      <c r="X395" t="s">
        <v>2065</v>
      </c>
      <c r="Y395" s="11">
        <v>0.14799999999999999</v>
      </c>
      <c r="Z395" t="s">
        <v>2065</v>
      </c>
      <c r="AA395" s="13">
        <v>8</v>
      </c>
      <c r="AB395" s="9">
        <v>19800.88896</v>
      </c>
      <c r="AC395" s="9">
        <v>10363.120000000001</v>
      </c>
      <c r="AD395" s="9">
        <v>9437.7689599999994</v>
      </c>
      <c r="AE395" s="11">
        <v>0.47663359857556614</v>
      </c>
    </row>
    <row r="396" spans="1:31" x14ac:dyDescent="0.3">
      <c r="A396" t="s">
        <v>409</v>
      </c>
      <c r="B396" s="4">
        <v>45804</v>
      </c>
      <c r="C396" s="4" t="str">
        <f t="shared" si="30"/>
        <v>May-2025</v>
      </c>
      <c r="D396" s="4" t="str">
        <f t="shared" si="31"/>
        <v>Q2-2025</v>
      </c>
      <c r="E396" s="4">
        <v>45816</v>
      </c>
      <c r="F396" t="s">
        <v>2064</v>
      </c>
      <c r="G396" s="4">
        <v>45816</v>
      </c>
      <c r="H396" s="13">
        <v>12</v>
      </c>
      <c r="I396" s="7" t="s">
        <v>647</v>
      </c>
      <c r="J396" s="7" t="s">
        <v>652</v>
      </c>
      <c r="K396" s="7" t="s">
        <v>666</v>
      </c>
      <c r="M396" s="7" t="s">
        <v>701</v>
      </c>
      <c r="N396" s="7" t="s">
        <v>707</v>
      </c>
      <c r="O396" s="7" t="s">
        <v>722</v>
      </c>
      <c r="P396" s="7" t="s">
        <v>733</v>
      </c>
      <c r="Q396" s="7" t="s">
        <v>1821</v>
      </c>
      <c r="R396" s="9">
        <v>653.6</v>
      </c>
      <c r="S396" s="9">
        <v>842.09</v>
      </c>
      <c r="T396" s="9">
        <v>842.09</v>
      </c>
      <c r="U396" s="9">
        <f t="shared" si="34"/>
        <v>875.82720000000006</v>
      </c>
      <c r="V396" s="9">
        <f t="shared" si="32"/>
        <v>1638.9172000000001</v>
      </c>
      <c r="W396" s="9" t="str">
        <f t="shared" si="33"/>
        <v>Low</v>
      </c>
      <c r="X396" t="s">
        <v>2065</v>
      </c>
      <c r="Y396" s="11">
        <v>9.8000000000000004E-2</v>
      </c>
      <c r="Z396" t="s">
        <v>2065</v>
      </c>
      <c r="AA396" s="13">
        <v>19</v>
      </c>
      <c r="AB396" s="9">
        <v>14431.738420000001</v>
      </c>
      <c r="AC396" s="9">
        <v>12418.4</v>
      </c>
      <c r="AD396" s="9">
        <v>2013.3384200000019</v>
      </c>
      <c r="AE396" s="11">
        <v>0.13950768517324622</v>
      </c>
    </row>
    <row r="397" spans="1:31" x14ac:dyDescent="0.3">
      <c r="A397" t="s">
        <v>410</v>
      </c>
      <c r="B397" s="4">
        <v>45890</v>
      </c>
      <c r="C397" s="4" t="str">
        <f t="shared" si="30"/>
        <v>Aug-2025</v>
      </c>
      <c r="D397" s="4" t="str">
        <f t="shared" si="31"/>
        <v>Q3-2025</v>
      </c>
      <c r="E397" s="4">
        <v>45914</v>
      </c>
      <c r="F397" t="s">
        <v>2064</v>
      </c>
      <c r="G397" s="4">
        <v>45914</v>
      </c>
      <c r="H397" s="13">
        <v>24</v>
      </c>
      <c r="I397" s="7" t="s">
        <v>649</v>
      </c>
      <c r="J397" s="7" t="s">
        <v>656</v>
      </c>
      <c r="K397" s="7" t="s">
        <v>671</v>
      </c>
      <c r="M397" s="7" t="s">
        <v>703</v>
      </c>
      <c r="N397" s="7" t="s">
        <v>708</v>
      </c>
      <c r="O397" s="7" t="s">
        <v>720</v>
      </c>
      <c r="P397" s="7" t="s">
        <v>732</v>
      </c>
      <c r="Q397" s="7" t="s">
        <v>1822</v>
      </c>
      <c r="R397" s="9">
        <v>1397.67</v>
      </c>
      <c r="S397" s="9">
        <v>3131.37</v>
      </c>
      <c r="T397" s="9">
        <v>3131.37</v>
      </c>
      <c r="U397" s="9">
        <f t="shared" si="34"/>
        <v>879.10899999999992</v>
      </c>
      <c r="V397" s="9">
        <f t="shared" si="32"/>
        <v>1641.9969999999998</v>
      </c>
      <c r="W397" s="9" t="str">
        <f t="shared" si="33"/>
        <v>High</v>
      </c>
      <c r="X397" t="s">
        <v>2065</v>
      </c>
      <c r="Y397" s="11">
        <v>0.10299999999999999</v>
      </c>
      <c r="Z397" t="s">
        <v>2065</v>
      </c>
      <c r="AA397" s="13">
        <v>20</v>
      </c>
      <c r="AB397" s="9">
        <v>56176.777799999996</v>
      </c>
      <c r="AC397" s="9">
        <v>27953.4</v>
      </c>
      <c r="AD397" s="9">
        <v>28223.377799999995</v>
      </c>
      <c r="AE397" s="11">
        <v>0.50240293062874808</v>
      </c>
    </row>
    <row r="398" spans="1:31" x14ac:dyDescent="0.3">
      <c r="A398" t="s">
        <v>411</v>
      </c>
      <c r="B398" s="4">
        <v>45638</v>
      </c>
      <c r="C398" s="4" t="str">
        <f t="shared" si="30"/>
        <v>Dec-2024</v>
      </c>
      <c r="D398" s="4" t="str">
        <f t="shared" si="31"/>
        <v>Q4-2024</v>
      </c>
      <c r="E398" s="4">
        <v>45646</v>
      </c>
      <c r="F398" t="s">
        <v>2064</v>
      </c>
      <c r="G398" s="4">
        <v>45646</v>
      </c>
      <c r="H398" s="13">
        <v>8</v>
      </c>
      <c r="I398" s="7" t="s">
        <v>647</v>
      </c>
      <c r="J398" s="7" t="s">
        <v>652</v>
      </c>
      <c r="K398" s="7" t="s">
        <v>689</v>
      </c>
      <c r="M398" s="7" t="s">
        <v>701</v>
      </c>
      <c r="N398" s="7" t="s">
        <v>707</v>
      </c>
      <c r="O398" s="7" t="s">
        <v>717</v>
      </c>
      <c r="P398" s="7" t="s">
        <v>731</v>
      </c>
      <c r="Q398" s="7" t="s">
        <v>1823</v>
      </c>
      <c r="R398" s="9">
        <v>1202.47</v>
      </c>
      <c r="S398" s="9">
        <v>1444.72</v>
      </c>
      <c r="T398" s="9">
        <v>1444.72</v>
      </c>
      <c r="U398" s="9">
        <f t="shared" si="34"/>
        <v>877.7296</v>
      </c>
      <c r="V398" s="9">
        <f t="shared" si="32"/>
        <v>1635.3268</v>
      </c>
      <c r="W398" s="9" t="str">
        <f t="shared" si="33"/>
        <v>Medium</v>
      </c>
      <c r="X398" t="s">
        <v>2065</v>
      </c>
      <c r="Y398" s="11">
        <v>0.24099999999999999</v>
      </c>
      <c r="Z398" t="s">
        <v>2065</v>
      </c>
      <c r="AA398" s="13">
        <v>17</v>
      </c>
      <c r="AB398" s="9">
        <v>18641.222160000001</v>
      </c>
      <c r="AC398" s="9">
        <v>20441.990000000002</v>
      </c>
      <c r="AD398" s="9">
        <v>-1800.7678400000004</v>
      </c>
      <c r="AE398" s="11">
        <v>-9.6601382921343834E-2</v>
      </c>
    </row>
    <row r="399" spans="1:31" x14ac:dyDescent="0.3">
      <c r="A399" t="s">
        <v>412</v>
      </c>
      <c r="B399" s="4">
        <v>45914</v>
      </c>
      <c r="C399" s="4" t="str">
        <f t="shared" si="30"/>
        <v>Sep-2025</v>
      </c>
      <c r="D399" s="4" t="str">
        <f t="shared" si="31"/>
        <v>Q3-2025</v>
      </c>
      <c r="E399" s="4">
        <v>45923</v>
      </c>
      <c r="F399" t="s">
        <v>2064</v>
      </c>
      <c r="G399" s="4">
        <v>45923</v>
      </c>
      <c r="H399" s="13">
        <v>9</v>
      </c>
      <c r="I399" s="7" t="s">
        <v>646</v>
      </c>
      <c r="J399" s="7" t="s">
        <v>661</v>
      </c>
      <c r="K399" s="7" t="s">
        <v>687</v>
      </c>
      <c r="M399" s="7" t="s">
        <v>703</v>
      </c>
      <c r="N399" s="7" t="s">
        <v>708</v>
      </c>
      <c r="O399" s="7" t="s">
        <v>726</v>
      </c>
      <c r="P399" s="7" t="s">
        <v>727</v>
      </c>
      <c r="Q399" s="7" t="s">
        <v>1824</v>
      </c>
      <c r="R399" s="9">
        <v>1310.3</v>
      </c>
      <c r="S399" s="9">
        <v>2875.8</v>
      </c>
      <c r="T399" s="9">
        <v>2875.8</v>
      </c>
      <c r="U399" s="9">
        <f t="shared" si="34"/>
        <v>875.90909999999997</v>
      </c>
      <c r="V399" s="9">
        <f t="shared" si="32"/>
        <v>1639.1415999999999</v>
      </c>
      <c r="W399" s="9" t="str">
        <f t="shared" si="33"/>
        <v>High</v>
      </c>
      <c r="X399" t="s">
        <v>2065</v>
      </c>
      <c r="Y399" s="11">
        <v>8.3000000000000004E-2</v>
      </c>
      <c r="Z399" t="s">
        <v>2065</v>
      </c>
      <c r="AA399" s="13">
        <v>5</v>
      </c>
      <c r="AB399" s="9">
        <v>13185.543</v>
      </c>
      <c r="AC399" s="9">
        <v>6551.5</v>
      </c>
      <c r="AD399" s="9">
        <v>6634.0429999999997</v>
      </c>
      <c r="AE399" s="11">
        <v>0.50313005691157353</v>
      </c>
    </row>
    <row r="400" spans="1:31" x14ac:dyDescent="0.3">
      <c r="A400" t="s">
        <v>413</v>
      </c>
      <c r="B400" s="4">
        <v>45541</v>
      </c>
      <c r="C400" s="4" t="str">
        <f t="shared" si="30"/>
        <v>Sep-2024</v>
      </c>
      <c r="D400" s="4" t="str">
        <f t="shared" si="31"/>
        <v>Q3-2024</v>
      </c>
      <c r="E400" s="4">
        <v>45569</v>
      </c>
      <c r="F400" t="s">
        <v>2064</v>
      </c>
      <c r="G400" s="4">
        <v>45569</v>
      </c>
      <c r="H400" s="13">
        <v>28</v>
      </c>
      <c r="I400" s="7" t="s">
        <v>646</v>
      </c>
      <c r="J400" s="7" t="s">
        <v>661</v>
      </c>
      <c r="K400" s="7" t="s">
        <v>695</v>
      </c>
      <c r="M400" s="7" t="s">
        <v>701</v>
      </c>
      <c r="N400" s="7" t="s">
        <v>709</v>
      </c>
      <c r="O400" s="7" t="s">
        <v>726</v>
      </c>
      <c r="P400" s="7" t="s">
        <v>732</v>
      </c>
      <c r="Q400" s="7" t="s">
        <v>1825</v>
      </c>
      <c r="R400" s="9">
        <v>1174.17</v>
      </c>
      <c r="S400" s="9">
        <v>1641.61</v>
      </c>
      <c r="T400" s="9">
        <v>1641.61</v>
      </c>
      <c r="U400" s="9">
        <f t="shared" si="34"/>
        <v>873.20640000000003</v>
      </c>
      <c r="V400" s="9">
        <f t="shared" si="32"/>
        <v>1631.7364000000002</v>
      </c>
      <c r="W400" s="9" t="str">
        <f t="shared" si="33"/>
        <v>High</v>
      </c>
      <c r="X400" t="s">
        <v>2065</v>
      </c>
      <c r="Y400" s="11">
        <v>0.122</v>
      </c>
      <c r="Z400" t="s">
        <v>2065</v>
      </c>
      <c r="AA400" s="13">
        <v>9</v>
      </c>
      <c r="AB400" s="9">
        <v>12972.00222</v>
      </c>
      <c r="AC400" s="9">
        <v>10567.53</v>
      </c>
      <c r="AD400" s="9">
        <v>2404.4722199999997</v>
      </c>
      <c r="AE400" s="11">
        <v>0.18535860380079394</v>
      </c>
    </row>
    <row r="401" spans="1:31" x14ac:dyDescent="0.3">
      <c r="A401" t="s">
        <v>414</v>
      </c>
      <c r="B401" s="4">
        <v>45759</v>
      </c>
      <c r="C401" s="4" t="str">
        <f t="shared" si="30"/>
        <v>Apr-2025</v>
      </c>
      <c r="D401" s="4" t="str">
        <f t="shared" si="31"/>
        <v>Q2-2025</v>
      </c>
      <c r="E401" s="4">
        <v>45777</v>
      </c>
      <c r="F401" t="s">
        <v>2064</v>
      </c>
      <c r="G401" s="4">
        <v>45777</v>
      </c>
      <c r="H401" s="13">
        <v>18</v>
      </c>
      <c r="I401" s="7" t="s">
        <v>646</v>
      </c>
      <c r="J401" s="7" t="s">
        <v>650</v>
      </c>
      <c r="K401" s="7" t="s">
        <v>662</v>
      </c>
      <c r="M401" s="7" t="s">
        <v>701</v>
      </c>
      <c r="N401" s="7" t="s">
        <v>709</v>
      </c>
      <c r="O401" s="7" t="s">
        <v>721</v>
      </c>
      <c r="P401" s="7" t="s">
        <v>729</v>
      </c>
      <c r="Q401" s="7" t="s">
        <v>1826</v>
      </c>
      <c r="R401" s="9">
        <v>1119.04</v>
      </c>
      <c r="S401" s="9">
        <v>1299.02</v>
      </c>
      <c r="T401" s="9">
        <v>1299.02</v>
      </c>
      <c r="U401" s="9">
        <f t="shared" si="34"/>
        <v>870.50369999999998</v>
      </c>
      <c r="V401" s="9">
        <f t="shared" si="32"/>
        <v>1627.7062000000001</v>
      </c>
      <c r="W401" s="9" t="str">
        <f t="shared" si="33"/>
        <v>Medium</v>
      </c>
      <c r="X401" t="s">
        <v>2065</v>
      </c>
      <c r="Y401" s="11">
        <v>2.5000000000000001E-2</v>
      </c>
      <c r="Z401" t="s">
        <v>2065</v>
      </c>
      <c r="AA401" s="13">
        <v>14</v>
      </c>
      <c r="AB401" s="9">
        <v>17731.623</v>
      </c>
      <c r="AC401" s="9">
        <v>15666.56</v>
      </c>
      <c r="AD401" s="9">
        <v>2065.0630000000001</v>
      </c>
      <c r="AE401" s="11">
        <v>0.11646215352085933</v>
      </c>
    </row>
    <row r="402" spans="1:31" x14ac:dyDescent="0.3">
      <c r="A402" t="s">
        <v>415</v>
      </c>
      <c r="B402" s="4">
        <v>45516</v>
      </c>
      <c r="C402" s="4" t="str">
        <f t="shared" si="30"/>
        <v>Aug-2024</v>
      </c>
      <c r="D402" s="4" t="str">
        <f t="shared" si="31"/>
        <v>Q3-2024</v>
      </c>
      <c r="E402" s="4">
        <v>45519</v>
      </c>
      <c r="F402" t="s">
        <v>2064</v>
      </c>
      <c r="G402" s="4">
        <v>45519</v>
      </c>
      <c r="H402" s="13">
        <v>3</v>
      </c>
      <c r="I402" s="7" t="s">
        <v>648</v>
      </c>
      <c r="J402" s="7" t="s">
        <v>1425</v>
      </c>
      <c r="K402" s="7" t="s">
        <v>677</v>
      </c>
      <c r="M402" s="7" t="s">
        <v>701</v>
      </c>
      <c r="N402" s="7" t="s">
        <v>709</v>
      </c>
      <c r="O402" s="7" t="s">
        <v>726</v>
      </c>
      <c r="P402" s="7" t="s">
        <v>728</v>
      </c>
      <c r="Q402" s="7" t="s">
        <v>1827</v>
      </c>
      <c r="R402" s="9">
        <v>850.7</v>
      </c>
      <c r="S402" s="9">
        <v>1118.56</v>
      </c>
      <c r="T402" s="9">
        <v>1118.56</v>
      </c>
      <c r="U402" s="9">
        <f t="shared" si="34"/>
        <v>867.87400000000002</v>
      </c>
      <c r="V402" s="9">
        <f t="shared" si="32"/>
        <v>1629.3960000000002</v>
      </c>
      <c r="W402" s="9" t="str">
        <f t="shared" si="33"/>
        <v>Medium</v>
      </c>
      <c r="X402" t="s">
        <v>2065</v>
      </c>
      <c r="Y402" s="11">
        <v>0.18</v>
      </c>
      <c r="Z402" t="s">
        <v>2065</v>
      </c>
      <c r="AA402" s="13">
        <v>19</v>
      </c>
      <c r="AB402" s="9">
        <v>17427.164800000002</v>
      </c>
      <c r="AC402" s="9">
        <v>16163.300000000001</v>
      </c>
      <c r="AD402" s="9">
        <v>1263.8648000000012</v>
      </c>
      <c r="AE402" s="11">
        <v>7.2522685962090688E-2</v>
      </c>
    </row>
    <row r="403" spans="1:31" x14ac:dyDescent="0.3">
      <c r="A403" t="s">
        <v>416</v>
      </c>
      <c r="B403" s="4">
        <v>45601</v>
      </c>
      <c r="C403" s="4" t="str">
        <f t="shared" si="30"/>
        <v>Nov-2024</v>
      </c>
      <c r="D403" s="4" t="str">
        <f t="shared" si="31"/>
        <v>Q4-2024</v>
      </c>
      <c r="E403" s="4">
        <v>45604</v>
      </c>
      <c r="F403" t="s">
        <v>2064</v>
      </c>
      <c r="G403" s="4">
        <v>45604</v>
      </c>
      <c r="H403" s="13">
        <v>3</v>
      </c>
      <c r="I403" s="7" t="s">
        <v>648</v>
      </c>
      <c r="J403" s="7" t="s">
        <v>653</v>
      </c>
      <c r="K403" s="7" t="s">
        <v>667</v>
      </c>
      <c r="M403" s="7" t="s">
        <v>702</v>
      </c>
      <c r="N403" s="7" t="s">
        <v>709</v>
      </c>
      <c r="O403" s="7" t="s">
        <v>719</v>
      </c>
      <c r="P403" s="7" t="s">
        <v>727</v>
      </c>
      <c r="Q403" s="7" t="s">
        <v>1828</v>
      </c>
      <c r="R403" s="9">
        <v>1020.4</v>
      </c>
      <c r="S403" s="9">
        <v>1184.71</v>
      </c>
      <c r="T403" s="9">
        <v>1184.71</v>
      </c>
      <c r="U403" s="9">
        <f t="shared" si="34"/>
        <v>865.4122000000001</v>
      </c>
      <c r="V403" s="9">
        <f t="shared" si="32"/>
        <v>1632.5026000000003</v>
      </c>
      <c r="W403" s="9" t="str">
        <f t="shared" si="33"/>
        <v>Medium</v>
      </c>
      <c r="X403" t="s">
        <v>2065</v>
      </c>
      <c r="Y403" s="11">
        <v>0.106</v>
      </c>
      <c r="Z403" t="s">
        <v>2065</v>
      </c>
      <c r="AA403" s="13">
        <v>16</v>
      </c>
      <c r="AB403" s="9">
        <v>16946.091840000001</v>
      </c>
      <c r="AC403" s="9">
        <v>16326.4</v>
      </c>
      <c r="AD403" s="9">
        <v>619.69184000000132</v>
      </c>
      <c r="AE403" s="11">
        <v>3.6568422138328345E-2</v>
      </c>
    </row>
    <row r="404" spans="1:31" x14ac:dyDescent="0.3">
      <c r="A404" t="s">
        <v>417</v>
      </c>
      <c r="B404" s="4">
        <v>45497</v>
      </c>
      <c r="C404" s="4" t="str">
        <f t="shared" si="30"/>
        <v>Jul-2024</v>
      </c>
      <c r="D404" s="4" t="str">
        <f t="shared" si="31"/>
        <v>Q3-2024</v>
      </c>
      <c r="E404" s="4">
        <v>45512</v>
      </c>
      <c r="F404" t="s">
        <v>2064</v>
      </c>
      <c r="G404" s="4">
        <v>45512</v>
      </c>
      <c r="H404" s="13">
        <v>15</v>
      </c>
      <c r="I404" s="7" t="s">
        <v>649</v>
      </c>
      <c r="J404" s="7" t="s">
        <v>657</v>
      </c>
      <c r="K404" s="7" t="s">
        <v>673</v>
      </c>
      <c r="M404" s="7" t="s">
        <v>706</v>
      </c>
      <c r="N404" s="7" t="s">
        <v>709</v>
      </c>
      <c r="O404" s="7" t="s">
        <v>722</v>
      </c>
      <c r="P404" s="7" t="s">
        <v>731</v>
      </c>
      <c r="Q404" s="7" t="s">
        <v>1829</v>
      </c>
      <c r="R404" s="9">
        <v>501.5</v>
      </c>
      <c r="S404" s="9">
        <v>1201.47</v>
      </c>
      <c r="T404" s="9">
        <v>1201.47</v>
      </c>
      <c r="U404" s="9">
        <f t="shared" si="34"/>
        <v>862.95040000000006</v>
      </c>
      <c r="V404" s="9">
        <f t="shared" si="32"/>
        <v>1637.6332000000004</v>
      </c>
      <c r="W404" s="9" t="str">
        <f t="shared" si="33"/>
        <v>Medium</v>
      </c>
      <c r="X404" t="s">
        <v>2065</v>
      </c>
      <c r="Y404" s="11">
        <v>0.126</v>
      </c>
      <c r="Z404" t="s">
        <v>2065</v>
      </c>
      <c r="AA404" s="13">
        <v>5</v>
      </c>
      <c r="AB404" s="9">
        <v>5250.4239000000007</v>
      </c>
      <c r="AC404" s="9">
        <v>2507.5</v>
      </c>
      <c r="AD404" s="9">
        <v>2742.9239000000007</v>
      </c>
      <c r="AE404" s="11">
        <v>0.52241951359394057</v>
      </c>
    </row>
    <row r="405" spans="1:31" x14ac:dyDescent="0.3">
      <c r="A405" t="s">
        <v>418</v>
      </c>
      <c r="B405" s="4">
        <v>45677</v>
      </c>
      <c r="C405" s="4" t="str">
        <f t="shared" si="30"/>
        <v>Jan-2025</v>
      </c>
      <c r="D405" s="4" t="str">
        <f t="shared" si="31"/>
        <v>Q1-2025</v>
      </c>
      <c r="E405" s="4">
        <v>45691</v>
      </c>
      <c r="F405" t="s">
        <v>2064</v>
      </c>
      <c r="G405" s="4">
        <v>45691</v>
      </c>
      <c r="H405" s="13">
        <v>14</v>
      </c>
      <c r="I405" s="7" t="s">
        <v>648</v>
      </c>
      <c r="J405" s="7" t="s">
        <v>655</v>
      </c>
      <c r="K405" s="7" t="s">
        <v>672</v>
      </c>
      <c r="M405" s="7" t="s">
        <v>706</v>
      </c>
      <c r="N405" s="7" t="s">
        <v>709</v>
      </c>
      <c r="O405" s="7" t="s">
        <v>721</v>
      </c>
      <c r="P405" s="7" t="s">
        <v>727</v>
      </c>
      <c r="Q405" s="7" t="s">
        <v>1830</v>
      </c>
      <c r="R405" s="9">
        <v>974.11</v>
      </c>
      <c r="S405" s="9">
        <v>880.99</v>
      </c>
      <c r="T405" s="9">
        <v>880.99</v>
      </c>
      <c r="U405" s="9">
        <f t="shared" si="34"/>
        <v>859.16919999999993</v>
      </c>
      <c r="V405" s="9">
        <f t="shared" si="32"/>
        <v>1642.7637999999999</v>
      </c>
      <c r="W405" s="9" t="str">
        <f t="shared" si="33"/>
        <v>Medium</v>
      </c>
      <c r="X405" t="s">
        <v>2065</v>
      </c>
      <c r="Y405" s="11">
        <v>0.111</v>
      </c>
      <c r="Z405" t="s">
        <v>2065</v>
      </c>
      <c r="AA405" s="13">
        <v>10</v>
      </c>
      <c r="AB405" s="9">
        <v>7832.0010999999995</v>
      </c>
      <c r="AC405" s="9">
        <v>9741.1</v>
      </c>
      <c r="AD405" s="9">
        <v>-1909.0989000000009</v>
      </c>
      <c r="AE405" s="11">
        <v>-0.2437562093805121</v>
      </c>
    </row>
    <row r="406" spans="1:31" x14ac:dyDescent="0.3">
      <c r="A406" t="s">
        <v>419</v>
      </c>
      <c r="B406" s="4">
        <v>44991</v>
      </c>
      <c r="C406" s="4" t="str">
        <f t="shared" si="30"/>
        <v>Mar-2023</v>
      </c>
      <c r="D406" s="4" t="str">
        <f t="shared" si="31"/>
        <v>Q1-2023</v>
      </c>
      <c r="E406" s="4">
        <v>45020</v>
      </c>
      <c r="F406" t="s">
        <v>2064</v>
      </c>
      <c r="G406" s="4">
        <v>45020</v>
      </c>
      <c r="H406" s="13">
        <v>29</v>
      </c>
      <c r="I406" s="7" t="s">
        <v>647</v>
      </c>
      <c r="J406" s="7" t="s">
        <v>659</v>
      </c>
      <c r="K406" s="7" t="s">
        <v>699</v>
      </c>
      <c r="M406" s="7" t="s">
        <v>705</v>
      </c>
      <c r="N406" s="7" t="s">
        <v>711</v>
      </c>
      <c r="O406" s="7" t="s">
        <v>712</v>
      </c>
      <c r="P406" s="7" t="s">
        <v>732</v>
      </c>
      <c r="Q406" s="7" t="s">
        <v>1831</v>
      </c>
      <c r="R406" s="9">
        <v>1126.29</v>
      </c>
      <c r="S406" s="9">
        <v>2050.87</v>
      </c>
      <c r="T406" s="9">
        <v>2050.87</v>
      </c>
      <c r="U406" s="9">
        <f t="shared" si="34"/>
        <v>851.86959999999988</v>
      </c>
      <c r="V406" s="9">
        <f t="shared" si="32"/>
        <v>1647.6304</v>
      </c>
      <c r="W406" s="9" t="str">
        <f t="shared" si="33"/>
        <v>High</v>
      </c>
      <c r="X406" t="s">
        <v>2065</v>
      </c>
      <c r="Y406" s="11">
        <v>6.4000000000000001E-2</v>
      </c>
      <c r="Z406" t="s">
        <v>2065</v>
      </c>
      <c r="AA406" s="13">
        <v>7</v>
      </c>
      <c r="AB406" s="9">
        <v>13437.300239999999</v>
      </c>
      <c r="AC406" s="9">
        <v>7884.03</v>
      </c>
      <c r="AD406" s="9">
        <v>5553.2702399999989</v>
      </c>
      <c r="AE406" s="11">
        <v>0.41327276616690373</v>
      </c>
    </row>
    <row r="407" spans="1:31" x14ac:dyDescent="0.3">
      <c r="A407" t="s">
        <v>420</v>
      </c>
      <c r="B407" s="4">
        <v>45646</v>
      </c>
      <c r="C407" s="4" t="str">
        <f t="shared" si="30"/>
        <v>Dec-2024</v>
      </c>
      <c r="D407" s="4" t="str">
        <f t="shared" si="31"/>
        <v>Q4-2024</v>
      </c>
      <c r="E407" s="4">
        <v>45671</v>
      </c>
      <c r="F407" t="s">
        <v>2064</v>
      </c>
      <c r="G407" s="4">
        <v>45671</v>
      </c>
      <c r="H407" s="13">
        <v>25</v>
      </c>
      <c r="I407" s="7" t="s">
        <v>647</v>
      </c>
      <c r="J407" s="7" t="s">
        <v>654</v>
      </c>
      <c r="K407" s="7" t="s">
        <v>680</v>
      </c>
      <c r="M407" s="7" t="s">
        <v>705</v>
      </c>
      <c r="N407" s="7" t="s">
        <v>707</v>
      </c>
      <c r="O407" s="7" t="s">
        <v>724</v>
      </c>
      <c r="P407" s="7" t="s">
        <v>728</v>
      </c>
      <c r="Q407" s="7" t="s">
        <v>1832</v>
      </c>
      <c r="R407" s="9">
        <v>1361.34</v>
      </c>
      <c r="S407" s="9">
        <v>1737.9</v>
      </c>
      <c r="T407" s="9">
        <v>1737.9</v>
      </c>
      <c r="U407" s="9">
        <f t="shared" si="34"/>
        <v>844.56999999999994</v>
      </c>
      <c r="V407" s="9">
        <f t="shared" si="32"/>
        <v>1637.9349999999999</v>
      </c>
      <c r="W407" s="9" t="str">
        <f t="shared" si="33"/>
        <v>High</v>
      </c>
      <c r="X407" t="s">
        <v>2065</v>
      </c>
      <c r="Y407" s="11">
        <v>7.6999999999999999E-2</v>
      </c>
      <c r="Z407" t="s">
        <v>2065</v>
      </c>
      <c r="AA407" s="13">
        <v>14</v>
      </c>
      <c r="AB407" s="9">
        <v>22457.143800000002</v>
      </c>
      <c r="AC407" s="9">
        <v>19058.759999999998</v>
      </c>
      <c r="AD407" s="9">
        <v>3398.3838000000032</v>
      </c>
      <c r="AE407" s="11">
        <v>0.15132751654731813</v>
      </c>
    </row>
    <row r="408" spans="1:31" x14ac:dyDescent="0.3">
      <c r="A408" t="s">
        <v>421</v>
      </c>
      <c r="B408" s="4">
        <v>45709</v>
      </c>
      <c r="C408" s="4" t="str">
        <f t="shared" si="30"/>
        <v>Feb-2025</v>
      </c>
      <c r="D408" s="4" t="str">
        <f t="shared" si="31"/>
        <v>Q1-2025</v>
      </c>
      <c r="E408" s="4">
        <v>45737</v>
      </c>
      <c r="F408" t="s">
        <v>2064</v>
      </c>
      <c r="G408" s="4">
        <v>45737</v>
      </c>
      <c r="H408" s="13">
        <v>28</v>
      </c>
      <c r="I408" s="7" t="s">
        <v>646</v>
      </c>
      <c r="J408" s="7" t="s">
        <v>651</v>
      </c>
      <c r="K408" s="7" t="s">
        <v>669</v>
      </c>
      <c r="M408" s="7" t="s">
        <v>706</v>
      </c>
      <c r="N408" s="7" t="s">
        <v>709</v>
      </c>
      <c r="O408" s="7" t="s">
        <v>714</v>
      </c>
      <c r="P408" s="7" t="s">
        <v>730</v>
      </c>
      <c r="Q408" s="7" t="s">
        <v>1833</v>
      </c>
      <c r="R408" s="9">
        <v>1437.39</v>
      </c>
      <c r="S408" s="9">
        <v>1388.31</v>
      </c>
      <c r="T408" s="9">
        <v>1388.31</v>
      </c>
      <c r="U408" s="9">
        <f t="shared" si="34"/>
        <v>838.61199999999997</v>
      </c>
      <c r="V408" s="9">
        <f t="shared" si="32"/>
        <v>1629.5948000000001</v>
      </c>
      <c r="W408" s="9" t="str">
        <f t="shared" si="33"/>
        <v>Medium</v>
      </c>
      <c r="X408" t="s">
        <v>2065</v>
      </c>
      <c r="Y408" s="11">
        <v>0.13800000000000001</v>
      </c>
      <c r="Z408" t="s">
        <v>2065</v>
      </c>
      <c r="AA408" s="13">
        <v>18</v>
      </c>
      <c r="AB408" s="9">
        <v>21541.017959999997</v>
      </c>
      <c r="AC408" s="9">
        <v>25873.02</v>
      </c>
      <c r="AD408" s="9">
        <v>-4332.002040000003</v>
      </c>
      <c r="AE408" s="11">
        <v>-0.20110479681341872</v>
      </c>
    </row>
    <row r="409" spans="1:31" x14ac:dyDescent="0.3">
      <c r="A409" t="s">
        <v>422</v>
      </c>
      <c r="B409" s="4">
        <v>45724</v>
      </c>
      <c r="C409" s="4" t="str">
        <f t="shared" si="30"/>
        <v>Mar-2025</v>
      </c>
      <c r="D409" s="4" t="str">
        <f t="shared" si="31"/>
        <v>Q1-2025</v>
      </c>
      <c r="E409" s="4">
        <v>45731</v>
      </c>
      <c r="F409" t="s">
        <v>2064</v>
      </c>
      <c r="G409" s="4">
        <v>45731</v>
      </c>
      <c r="H409" s="13">
        <v>7</v>
      </c>
      <c r="I409" s="7" t="s">
        <v>647</v>
      </c>
      <c r="J409" s="7" t="s">
        <v>654</v>
      </c>
      <c r="K409" s="7" t="s">
        <v>668</v>
      </c>
      <c r="M409" s="7" t="s">
        <v>701</v>
      </c>
      <c r="N409" s="7" t="s">
        <v>710</v>
      </c>
      <c r="O409" s="7" t="s">
        <v>723</v>
      </c>
      <c r="P409" s="7" t="s">
        <v>731</v>
      </c>
      <c r="Q409" s="7" t="s">
        <v>1834</v>
      </c>
      <c r="R409" s="9">
        <v>475.66</v>
      </c>
      <c r="S409" s="9">
        <v>529.14</v>
      </c>
      <c r="T409" s="9">
        <v>529.14</v>
      </c>
      <c r="U409" s="9">
        <f t="shared" si="34"/>
        <v>836.84649999999999</v>
      </c>
      <c r="V409" s="9">
        <f t="shared" si="32"/>
        <v>1633.1062000000002</v>
      </c>
      <c r="W409" s="9" t="str">
        <f t="shared" si="33"/>
        <v>Low</v>
      </c>
      <c r="X409" t="s">
        <v>2065</v>
      </c>
      <c r="Y409" s="11">
        <v>0.19600000000000001</v>
      </c>
      <c r="Z409" t="s">
        <v>2065</v>
      </c>
      <c r="AA409" s="13">
        <v>11</v>
      </c>
      <c r="AB409" s="9">
        <v>4679.7141600000004</v>
      </c>
      <c r="AC409" s="9">
        <v>5232.26</v>
      </c>
      <c r="AD409" s="9">
        <v>-552.54583999999977</v>
      </c>
      <c r="AE409" s="11">
        <v>-0.11807256193613323</v>
      </c>
    </row>
    <row r="410" spans="1:31" x14ac:dyDescent="0.3">
      <c r="A410" t="s">
        <v>423</v>
      </c>
      <c r="B410" s="4">
        <v>45276</v>
      </c>
      <c r="C410" s="4" t="str">
        <f t="shared" si="30"/>
        <v>Dec-2023</v>
      </c>
      <c r="D410" s="4" t="str">
        <f t="shared" si="31"/>
        <v>Q4-2023</v>
      </c>
      <c r="E410" s="4">
        <v>45279</v>
      </c>
      <c r="F410" t="s">
        <v>2064</v>
      </c>
      <c r="G410" s="4">
        <v>45279</v>
      </c>
      <c r="H410" s="13">
        <v>3</v>
      </c>
      <c r="I410" s="7" t="s">
        <v>647</v>
      </c>
      <c r="J410" s="7" t="s">
        <v>659</v>
      </c>
      <c r="K410" s="7" t="s">
        <v>699</v>
      </c>
      <c r="M410" s="7" t="s">
        <v>702</v>
      </c>
      <c r="N410" s="7" t="s">
        <v>707</v>
      </c>
      <c r="O410" s="7" t="s">
        <v>720</v>
      </c>
      <c r="P410" s="7" t="s">
        <v>733</v>
      </c>
      <c r="Q410" s="7" t="s">
        <v>1835</v>
      </c>
      <c r="R410" s="9">
        <v>1415.05</v>
      </c>
      <c r="S410" s="9">
        <v>1972.38</v>
      </c>
      <c r="T410" s="9">
        <v>1972.38</v>
      </c>
      <c r="U410" s="9">
        <f t="shared" si="34"/>
        <v>844.79120000000012</v>
      </c>
      <c r="V410" s="9">
        <f t="shared" si="32"/>
        <v>1638.2368000000001</v>
      </c>
      <c r="W410" s="9" t="str">
        <f t="shared" si="33"/>
        <v>High</v>
      </c>
      <c r="X410" t="s">
        <v>2065</v>
      </c>
      <c r="Y410" s="11">
        <v>0</v>
      </c>
      <c r="Z410" t="s">
        <v>2065</v>
      </c>
      <c r="AA410" s="13">
        <v>12</v>
      </c>
      <c r="AB410" s="9">
        <v>23668.560000000001</v>
      </c>
      <c r="AC410" s="9">
        <v>16980.599999999999</v>
      </c>
      <c r="AD410" s="9">
        <v>6687.9600000000028</v>
      </c>
      <c r="AE410" s="11">
        <v>0.28256725377462771</v>
      </c>
    </row>
    <row r="411" spans="1:31" x14ac:dyDescent="0.3">
      <c r="A411" t="s">
        <v>424</v>
      </c>
      <c r="B411" s="4">
        <v>45534</v>
      </c>
      <c r="C411" s="4" t="str">
        <f t="shared" si="30"/>
        <v>Aug-2024</v>
      </c>
      <c r="D411" s="4" t="str">
        <f t="shared" si="31"/>
        <v>Q3-2024</v>
      </c>
      <c r="E411" s="4">
        <v>45540</v>
      </c>
      <c r="F411" t="s">
        <v>2064</v>
      </c>
      <c r="G411" s="4">
        <v>45540</v>
      </c>
      <c r="H411" s="13">
        <v>6</v>
      </c>
      <c r="I411" s="7" t="s">
        <v>647</v>
      </c>
      <c r="J411" s="7" t="s">
        <v>652</v>
      </c>
      <c r="K411" s="7" t="s">
        <v>694</v>
      </c>
      <c r="M411" s="7" t="s">
        <v>702</v>
      </c>
      <c r="N411" s="7" t="s">
        <v>708</v>
      </c>
      <c r="O411" s="7" t="s">
        <v>725</v>
      </c>
      <c r="P411" s="7" t="s">
        <v>731</v>
      </c>
      <c r="Q411" s="7" t="s">
        <v>1836</v>
      </c>
      <c r="R411" s="9">
        <v>466.16</v>
      </c>
      <c r="S411" s="9">
        <v>876.81</v>
      </c>
      <c r="T411" s="9">
        <v>876.81</v>
      </c>
      <c r="U411" s="9">
        <f t="shared" si="34"/>
        <v>838.66549999999995</v>
      </c>
      <c r="V411" s="9">
        <f t="shared" si="32"/>
        <v>1629.6942000000001</v>
      </c>
      <c r="W411" s="9" t="str">
        <f t="shared" si="33"/>
        <v>Medium</v>
      </c>
      <c r="X411" t="s">
        <v>2065</v>
      </c>
      <c r="Y411" s="11">
        <v>0.24099999999999999</v>
      </c>
      <c r="Z411" t="s">
        <v>2065</v>
      </c>
      <c r="AA411" s="13">
        <v>8</v>
      </c>
      <c r="AB411" s="9">
        <v>5323.9903199999999</v>
      </c>
      <c r="AC411" s="9">
        <v>3729.28</v>
      </c>
      <c r="AD411" s="9">
        <v>1594.7103199999997</v>
      </c>
      <c r="AE411" s="11">
        <v>0.29953291124691594</v>
      </c>
    </row>
    <row r="412" spans="1:31" x14ac:dyDescent="0.3">
      <c r="A412" t="s">
        <v>425</v>
      </c>
      <c r="B412" s="4">
        <v>45430</v>
      </c>
      <c r="C412" s="4" t="str">
        <f t="shared" si="30"/>
        <v>May-2024</v>
      </c>
      <c r="D412" s="4" t="str">
        <f t="shared" si="31"/>
        <v>Q2-2024</v>
      </c>
      <c r="E412" s="4">
        <v>45433</v>
      </c>
      <c r="F412" t="s">
        <v>2064</v>
      </c>
      <c r="G412" s="4">
        <v>45433</v>
      </c>
      <c r="H412" s="13">
        <v>3</v>
      </c>
      <c r="I412" s="7" t="s">
        <v>649</v>
      </c>
      <c r="J412" s="7" t="s">
        <v>657</v>
      </c>
      <c r="K412" s="7" t="s">
        <v>673</v>
      </c>
      <c r="M412" s="7" t="s">
        <v>703</v>
      </c>
      <c r="N412" s="7" t="s">
        <v>709</v>
      </c>
      <c r="O412" s="7" t="s">
        <v>726</v>
      </c>
      <c r="P412" s="7" t="s">
        <v>728</v>
      </c>
      <c r="Q412" s="7" t="s">
        <v>1837</v>
      </c>
      <c r="R412" s="9">
        <v>663.66</v>
      </c>
      <c r="S412" s="9">
        <v>824.26</v>
      </c>
      <c r="T412" s="9">
        <v>824.26</v>
      </c>
      <c r="U412" s="9">
        <f t="shared" si="34"/>
        <v>836.90000000000009</v>
      </c>
      <c r="V412" s="9">
        <f t="shared" si="32"/>
        <v>1633.4080000000004</v>
      </c>
      <c r="W412" s="9" t="str">
        <f t="shared" si="33"/>
        <v>Low</v>
      </c>
      <c r="X412" t="s">
        <v>2065</v>
      </c>
      <c r="Y412" s="11">
        <v>0.23899999999999999</v>
      </c>
      <c r="Z412" t="s">
        <v>2065</v>
      </c>
      <c r="AA412" s="13">
        <v>11</v>
      </c>
      <c r="AB412" s="9">
        <v>6899.8804600000003</v>
      </c>
      <c r="AC412" s="9">
        <v>7300.2599999999993</v>
      </c>
      <c r="AD412" s="9">
        <v>-400.379539999999</v>
      </c>
      <c r="AE412" s="11">
        <v>-5.8027025587048933E-2</v>
      </c>
    </row>
    <row r="413" spans="1:31" x14ac:dyDescent="0.3">
      <c r="A413" t="s">
        <v>426</v>
      </c>
      <c r="B413" s="4">
        <v>45002</v>
      </c>
      <c r="C413" s="4" t="str">
        <f t="shared" si="30"/>
        <v>Mar-2023</v>
      </c>
      <c r="D413" s="4" t="str">
        <f t="shared" si="31"/>
        <v>Q1-2023</v>
      </c>
      <c r="E413" s="4">
        <v>45022</v>
      </c>
      <c r="F413" t="s">
        <v>2064</v>
      </c>
      <c r="G413" s="4">
        <v>45022</v>
      </c>
      <c r="H413" s="13">
        <v>20</v>
      </c>
      <c r="I413" s="7" t="s">
        <v>649</v>
      </c>
      <c r="J413" s="7" t="s">
        <v>656</v>
      </c>
      <c r="K413" s="7" t="s">
        <v>684</v>
      </c>
      <c r="M413" s="7" t="s">
        <v>704</v>
      </c>
      <c r="N413" s="7" t="s">
        <v>707</v>
      </c>
      <c r="O413" s="7" t="s">
        <v>719</v>
      </c>
      <c r="P413" s="7" t="s">
        <v>730</v>
      </c>
      <c r="Q413" s="7" t="s">
        <v>1838</v>
      </c>
      <c r="R413" s="9">
        <v>692.18</v>
      </c>
      <c r="S413" s="9">
        <v>1159.3499999999999</v>
      </c>
      <c r="T413" s="9">
        <v>1159.3499999999999</v>
      </c>
      <c r="U413" s="9">
        <f t="shared" si="34"/>
        <v>845.01240000000018</v>
      </c>
      <c r="V413" s="9">
        <f t="shared" si="32"/>
        <v>1638.5386000000003</v>
      </c>
      <c r="W413" s="9" t="str">
        <f t="shared" si="33"/>
        <v>Medium</v>
      </c>
      <c r="X413" t="s">
        <v>2065</v>
      </c>
      <c r="Y413" s="11">
        <v>0.112</v>
      </c>
      <c r="Z413" t="s">
        <v>2065</v>
      </c>
      <c r="AA413" s="13">
        <v>2</v>
      </c>
      <c r="AB413" s="9">
        <v>2059.0056</v>
      </c>
      <c r="AC413" s="9">
        <v>1384.36</v>
      </c>
      <c r="AD413" s="9">
        <v>674.64560000000006</v>
      </c>
      <c r="AE413" s="11">
        <v>0.32765602968734037</v>
      </c>
    </row>
    <row r="414" spans="1:31" x14ac:dyDescent="0.3">
      <c r="A414" t="s">
        <v>427</v>
      </c>
      <c r="B414" s="4">
        <v>45163</v>
      </c>
      <c r="C414" s="4" t="str">
        <f t="shared" si="30"/>
        <v>Aug-2023</v>
      </c>
      <c r="D414" s="4" t="str">
        <f t="shared" si="31"/>
        <v>Q3-2023</v>
      </c>
      <c r="E414" s="4">
        <v>45185</v>
      </c>
      <c r="F414" t="s">
        <v>2064</v>
      </c>
      <c r="G414" s="4">
        <v>45185</v>
      </c>
      <c r="H414" s="13">
        <v>22</v>
      </c>
      <c r="I414" s="7" t="s">
        <v>646</v>
      </c>
      <c r="J414" s="7" t="s">
        <v>651</v>
      </c>
      <c r="K414" s="7" t="s">
        <v>669</v>
      </c>
      <c r="M414" s="7" t="s">
        <v>701</v>
      </c>
      <c r="N414" s="7" t="s">
        <v>709</v>
      </c>
      <c r="O414" s="7" t="s">
        <v>716</v>
      </c>
      <c r="P414" s="7" t="s">
        <v>730</v>
      </c>
      <c r="Q414" s="7" t="s">
        <v>1839</v>
      </c>
      <c r="R414" s="9">
        <v>1196.83</v>
      </c>
      <c r="S414" s="9">
        <v>2513.5100000000002</v>
      </c>
      <c r="T414" s="9">
        <v>2513.5100000000002</v>
      </c>
      <c r="U414" s="9">
        <f t="shared" si="34"/>
        <v>838.71899999999994</v>
      </c>
      <c r="V414" s="9">
        <f t="shared" si="32"/>
        <v>1643.6692</v>
      </c>
      <c r="W414" s="9" t="str">
        <f t="shared" si="33"/>
        <v>High</v>
      </c>
      <c r="X414" t="s">
        <v>2065</v>
      </c>
      <c r="Y414" s="11">
        <v>8.3000000000000004E-2</v>
      </c>
      <c r="Z414" t="s">
        <v>2065</v>
      </c>
      <c r="AA414" s="13">
        <v>7</v>
      </c>
      <c r="AB414" s="9">
        <v>16134.22069</v>
      </c>
      <c r="AC414" s="9">
        <v>8377.81</v>
      </c>
      <c r="AD414" s="9">
        <v>7756.4106900000006</v>
      </c>
      <c r="AE414" s="11">
        <v>0.48074281609445374</v>
      </c>
    </row>
    <row r="415" spans="1:31" x14ac:dyDescent="0.3">
      <c r="A415" t="s">
        <v>428</v>
      </c>
      <c r="B415" s="4">
        <v>45449</v>
      </c>
      <c r="C415" s="4" t="str">
        <f t="shared" si="30"/>
        <v>Jun-2024</v>
      </c>
      <c r="D415" s="4" t="str">
        <f t="shared" si="31"/>
        <v>Q2-2024</v>
      </c>
      <c r="E415" s="4">
        <v>45467</v>
      </c>
      <c r="F415" t="s">
        <v>2064</v>
      </c>
      <c r="G415" s="4">
        <v>45467</v>
      </c>
      <c r="H415" s="13">
        <v>18</v>
      </c>
      <c r="I415" s="7" t="s">
        <v>647</v>
      </c>
      <c r="J415" s="7" t="s">
        <v>654</v>
      </c>
      <c r="K415" s="7" t="s">
        <v>668</v>
      </c>
      <c r="M415" s="7" t="s">
        <v>705</v>
      </c>
      <c r="N415" s="7" t="s">
        <v>711</v>
      </c>
      <c r="O415" s="7" t="s">
        <v>722</v>
      </c>
      <c r="P415" s="7" t="s">
        <v>729</v>
      </c>
      <c r="Q415" s="7" t="s">
        <v>1840</v>
      </c>
      <c r="R415" s="9">
        <v>1253.25</v>
      </c>
      <c r="S415" s="9">
        <v>3087.13</v>
      </c>
      <c r="T415" s="9">
        <v>3087.13</v>
      </c>
      <c r="U415" s="9">
        <f t="shared" si="34"/>
        <v>836.95349999999996</v>
      </c>
      <c r="V415" s="9">
        <f t="shared" si="32"/>
        <v>1633.7098000000001</v>
      </c>
      <c r="W415" s="9" t="str">
        <f t="shared" si="33"/>
        <v>High</v>
      </c>
      <c r="X415" t="s">
        <v>2065</v>
      </c>
      <c r="Y415" s="11">
        <v>7.1999999999999995E-2</v>
      </c>
      <c r="Z415" t="s">
        <v>2065</v>
      </c>
      <c r="AA415" s="13">
        <v>11</v>
      </c>
      <c r="AB415" s="9">
        <v>31513.423040000001</v>
      </c>
      <c r="AC415" s="9">
        <v>13785.75</v>
      </c>
      <c r="AD415" s="9">
        <v>17727.673040000001</v>
      </c>
      <c r="AE415" s="11">
        <v>0.562543555408064</v>
      </c>
    </row>
    <row r="416" spans="1:31" x14ac:dyDescent="0.3">
      <c r="A416" t="s">
        <v>429</v>
      </c>
      <c r="B416" s="4">
        <v>45167</v>
      </c>
      <c r="C416" s="4" t="str">
        <f t="shared" si="30"/>
        <v>Aug-2023</v>
      </c>
      <c r="D416" s="4" t="str">
        <f t="shared" si="31"/>
        <v>Q3-2023</v>
      </c>
      <c r="E416" s="4">
        <v>45182</v>
      </c>
      <c r="F416" t="s">
        <v>2064</v>
      </c>
      <c r="G416" s="4">
        <v>45182</v>
      </c>
      <c r="H416" s="13">
        <v>15</v>
      </c>
      <c r="I416" s="7" t="s">
        <v>648</v>
      </c>
      <c r="J416" s="7" t="s">
        <v>653</v>
      </c>
      <c r="K416" s="7" t="s">
        <v>688</v>
      </c>
      <c r="M416" s="7" t="s">
        <v>705</v>
      </c>
      <c r="N416" s="7" t="s">
        <v>709</v>
      </c>
      <c r="O416" s="7" t="s">
        <v>719</v>
      </c>
      <c r="P416" s="7" t="s">
        <v>728</v>
      </c>
      <c r="Q416" s="7" t="s">
        <v>1841</v>
      </c>
      <c r="R416" s="9">
        <v>1287.6400000000001</v>
      </c>
      <c r="S416" s="9">
        <v>2717.15</v>
      </c>
      <c r="T416" s="9">
        <v>2717.15</v>
      </c>
      <c r="U416" s="9">
        <f t="shared" si="34"/>
        <v>835.18799999999999</v>
      </c>
      <c r="V416" s="9">
        <f t="shared" si="32"/>
        <v>1628.2032000000002</v>
      </c>
      <c r="W416" s="9" t="str">
        <f t="shared" si="33"/>
        <v>High</v>
      </c>
      <c r="X416" t="s">
        <v>2065</v>
      </c>
      <c r="Y416" s="11">
        <v>3.2000000000000001E-2</v>
      </c>
      <c r="Z416" t="s">
        <v>2065</v>
      </c>
      <c r="AA416" s="13">
        <v>7</v>
      </c>
      <c r="AB416" s="9">
        <v>18411.4084</v>
      </c>
      <c r="AC416" s="9">
        <v>9013.4800000000014</v>
      </c>
      <c r="AD416" s="9">
        <v>9397.9283999999989</v>
      </c>
      <c r="AE416" s="11">
        <v>0.51044049405802105</v>
      </c>
    </row>
    <row r="417" spans="1:31" x14ac:dyDescent="0.3">
      <c r="A417" t="s">
        <v>430</v>
      </c>
      <c r="B417" s="4">
        <v>45626</v>
      </c>
      <c r="C417" s="4" t="str">
        <f t="shared" si="30"/>
        <v>Nov-2024</v>
      </c>
      <c r="D417" s="4" t="str">
        <f t="shared" si="31"/>
        <v>Q4-2024</v>
      </c>
      <c r="E417" s="4">
        <v>45636</v>
      </c>
      <c r="F417" t="s">
        <v>2064</v>
      </c>
      <c r="G417" s="4">
        <v>45636</v>
      </c>
      <c r="H417" s="13">
        <v>10</v>
      </c>
      <c r="I417" s="7" t="s">
        <v>647</v>
      </c>
      <c r="J417" s="7" t="s">
        <v>654</v>
      </c>
      <c r="K417" s="7" t="s">
        <v>696</v>
      </c>
      <c r="M417" s="7" t="s">
        <v>705</v>
      </c>
      <c r="N417" s="7" t="s">
        <v>707</v>
      </c>
      <c r="O417" s="7" t="s">
        <v>721</v>
      </c>
      <c r="P417" s="7" t="s">
        <v>733</v>
      </c>
      <c r="Q417" s="7" t="s">
        <v>1842</v>
      </c>
      <c r="R417" s="9">
        <v>851.49</v>
      </c>
      <c r="S417" s="9">
        <v>901.79</v>
      </c>
      <c r="T417" s="9">
        <v>901.79</v>
      </c>
      <c r="U417" s="9">
        <f t="shared" si="34"/>
        <v>833.32900000000006</v>
      </c>
      <c r="V417" s="9">
        <f t="shared" si="32"/>
        <v>1625.345</v>
      </c>
      <c r="W417" s="9" t="str">
        <f t="shared" si="33"/>
        <v>Medium</v>
      </c>
      <c r="X417" t="s">
        <v>2065</v>
      </c>
      <c r="Y417" s="11">
        <v>0.245</v>
      </c>
      <c r="Z417" t="s">
        <v>2065</v>
      </c>
      <c r="AA417" s="13">
        <v>16</v>
      </c>
      <c r="AB417" s="9">
        <v>10893.6232</v>
      </c>
      <c r="AC417" s="9">
        <v>13623.84</v>
      </c>
      <c r="AD417" s="9">
        <v>-2730.2168000000001</v>
      </c>
      <c r="AE417" s="11">
        <v>-0.25062522816100341</v>
      </c>
    </row>
    <row r="418" spans="1:31" x14ac:dyDescent="0.3">
      <c r="A418" t="s">
        <v>431</v>
      </c>
      <c r="B418" s="4">
        <v>45813</v>
      </c>
      <c r="C418" s="4" t="str">
        <f t="shared" si="30"/>
        <v>Jun-2025</v>
      </c>
      <c r="D418" s="4" t="str">
        <f t="shared" si="31"/>
        <v>Q2-2025</v>
      </c>
      <c r="E418" s="4">
        <v>45822</v>
      </c>
      <c r="F418" t="s">
        <v>2064</v>
      </c>
      <c r="G418" s="4">
        <v>45822</v>
      </c>
      <c r="H418" s="13">
        <v>9</v>
      </c>
      <c r="I418" s="7" t="s">
        <v>647</v>
      </c>
      <c r="J418" s="7" t="s">
        <v>654</v>
      </c>
      <c r="K418" s="7" t="s">
        <v>680</v>
      </c>
      <c r="M418" s="7" t="s">
        <v>703</v>
      </c>
      <c r="N418" s="7" t="s">
        <v>707</v>
      </c>
      <c r="O418" s="7" t="s">
        <v>720</v>
      </c>
      <c r="P418" s="7" t="s">
        <v>733</v>
      </c>
      <c r="Q418" s="7" t="s">
        <v>1843</v>
      </c>
      <c r="R418" s="9">
        <v>618.69000000000005</v>
      </c>
      <c r="S418" s="9">
        <v>796.15</v>
      </c>
      <c r="T418" s="9">
        <v>796.15</v>
      </c>
      <c r="U418" s="9">
        <f t="shared" si="34"/>
        <v>830.94640000000004</v>
      </c>
      <c r="V418" s="9">
        <f t="shared" si="32"/>
        <v>1626.6128000000001</v>
      </c>
      <c r="W418" s="9" t="str">
        <f t="shared" si="33"/>
        <v>Low</v>
      </c>
      <c r="X418" t="s">
        <v>2065</v>
      </c>
      <c r="Y418" s="11">
        <v>0.09</v>
      </c>
      <c r="Z418" t="s">
        <v>2065</v>
      </c>
      <c r="AA418" s="13">
        <v>11</v>
      </c>
      <c r="AB418" s="9">
        <v>7969.4615000000003</v>
      </c>
      <c r="AC418" s="9">
        <v>6805.59</v>
      </c>
      <c r="AD418" s="9">
        <v>1163.8715000000002</v>
      </c>
      <c r="AE418" s="11">
        <v>0.14604142325049191</v>
      </c>
    </row>
    <row r="419" spans="1:31" x14ac:dyDescent="0.3">
      <c r="A419" t="s">
        <v>432</v>
      </c>
      <c r="B419" s="4">
        <v>45730</v>
      </c>
      <c r="C419" s="4" t="str">
        <f t="shared" si="30"/>
        <v>Mar-2025</v>
      </c>
      <c r="D419" s="4" t="str">
        <f t="shared" si="31"/>
        <v>Q1-2025</v>
      </c>
      <c r="E419" s="4">
        <v>45755</v>
      </c>
      <c r="F419" t="s">
        <v>2064</v>
      </c>
      <c r="G419" s="4">
        <v>45755</v>
      </c>
      <c r="H419" s="13">
        <v>25</v>
      </c>
      <c r="I419" s="7" t="s">
        <v>647</v>
      </c>
      <c r="J419" s="7" t="s">
        <v>659</v>
      </c>
      <c r="K419" s="7" t="s">
        <v>2057</v>
      </c>
      <c r="M419" s="7" t="s">
        <v>701</v>
      </c>
      <c r="N419" s="7" t="s">
        <v>710</v>
      </c>
      <c r="O419" s="7" t="s">
        <v>726</v>
      </c>
      <c r="P419" s="7" t="s">
        <v>728</v>
      </c>
      <c r="Q419" s="7" t="s">
        <v>1844</v>
      </c>
      <c r="R419" s="9">
        <v>80.59</v>
      </c>
      <c r="S419" s="9">
        <v>157.82</v>
      </c>
      <c r="T419" s="9">
        <v>157.82</v>
      </c>
      <c r="U419" s="9">
        <f t="shared" si="34"/>
        <v>835.24150000000009</v>
      </c>
      <c r="V419" s="9">
        <f t="shared" si="32"/>
        <v>1628.3026000000002</v>
      </c>
      <c r="W419" s="9" t="str">
        <f t="shared" si="33"/>
        <v>Low</v>
      </c>
      <c r="X419" t="s">
        <v>2065</v>
      </c>
      <c r="Y419" s="11">
        <v>0.217</v>
      </c>
      <c r="Z419" t="s">
        <v>2065</v>
      </c>
      <c r="AA419" s="13">
        <v>6</v>
      </c>
      <c r="AB419" s="9">
        <v>741.43835999999999</v>
      </c>
      <c r="AC419" s="9">
        <v>483.54</v>
      </c>
      <c r="AD419" s="9">
        <v>257.89835999999997</v>
      </c>
      <c r="AE419" s="11">
        <v>0.34783519967863541</v>
      </c>
    </row>
    <row r="420" spans="1:31" x14ac:dyDescent="0.3">
      <c r="A420" t="s">
        <v>433</v>
      </c>
      <c r="B420" s="4">
        <v>45307</v>
      </c>
      <c r="C420" s="4" t="str">
        <f t="shared" si="30"/>
        <v>Jan-2024</v>
      </c>
      <c r="D420" s="4" t="str">
        <f t="shared" si="31"/>
        <v>Q1-2024</v>
      </c>
      <c r="E420" s="4">
        <v>45333</v>
      </c>
      <c r="F420" t="s">
        <v>2064</v>
      </c>
      <c r="G420" s="4">
        <v>45333</v>
      </c>
      <c r="H420" s="13">
        <v>26</v>
      </c>
      <c r="I420" s="7" t="s">
        <v>649</v>
      </c>
      <c r="J420" s="7" t="s">
        <v>656</v>
      </c>
      <c r="K420" s="7" t="s">
        <v>698</v>
      </c>
      <c r="M420" s="7" t="s">
        <v>703</v>
      </c>
      <c r="N420" s="7" t="s">
        <v>710</v>
      </c>
      <c r="O420" s="7" t="s">
        <v>718</v>
      </c>
      <c r="P420" s="7" t="s">
        <v>732</v>
      </c>
      <c r="Q420" s="7" t="s">
        <v>1845</v>
      </c>
      <c r="R420" s="9">
        <v>504.93</v>
      </c>
      <c r="S420" s="9">
        <v>819.06</v>
      </c>
      <c r="T420" s="9">
        <v>819.06</v>
      </c>
      <c r="U420" s="9">
        <f t="shared" si="34"/>
        <v>838.82600000000002</v>
      </c>
      <c r="V420" s="9">
        <f t="shared" si="32"/>
        <v>1629.9924000000001</v>
      </c>
      <c r="W420" s="9" t="str">
        <f t="shared" si="33"/>
        <v>Low</v>
      </c>
      <c r="X420" t="s">
        <v>2065</v>
      </c>
      <c r="Y420" s="11">
        <v>0.22600000000000001</v>
      </c>
      <c r="Z420" t="s">
        <v>2065</v>
      </c>
      <c r="AA420" s="13">
        <v>15</v>
      </c>
      <c r="AB420" s="9">
        <v>9509.2865999999995</v>
      </c>
      <c r="AC420" s="9">
        <v>7573.95</v>
      </c>
      <c r="AD420" s="9">
        <v>1935.3365999999996</v>
      </c>
      <c r="AE420" s="11">
        <v>0.20352069312959814</v>
      </c>
    </row>
    <row r="421" spans="1:31" x14ac:dyDescent="0.3">
      <c r="A421" t="s">
        <v>434</v>
      </c>
      <c r="B421" s="4">
        <v>45211</v>
      </c>
      <c r="C421" s="4" t="str">
        <f t="shared" si="30"/>
        <v>Oct-2023</v>
      </c>
      <c r="D421" s="4" t="str">
        <f t="shared" si="31"/>
        <v>Q4-2023</v>
      </c>
      <c r="E421" s="4">
        <v>45228</v>
      </c>
      <c r="F421" t="s">
        <v>2064</v>
      </c>
      <c r="G421" s="4">
        <v>45228</v>
      </c>
      <c r="H421" s="13">
        <v>17</v>
      </c>
      <c r="I421" s="7" t="s">
        <v>647</v>
      </c>
      <c r="J421" s="7" t="s">
        <v>652</v>
      </c>
      <c r="K421" s="7" t="s">
        <v>694</v>
      </c>
      <c r="M421" s="7" t="s">
        <v>703</v>
      </c>
      <c r="N421" s="7" t="s">
        <v>711</v>
      </c>
      <c r="O421" s="7" t="s">
        <v>722</v>
      </c>
      <c r="P421" s="7" t="s">
        <v>730</v>
      </c>
      <c r="Q421" s="7" t="s">
        <v>1846</v>
      </c>
      <c r="R421" s="9">
        <v>1102.19</v>
      </c>
      <c r="S421" s="9">
        <v>1711.16</v>
      </c>
      <c r="T421" s="9">
        <v>1711.16</v>
      </c>
      <c r="U421" s="9">
        <f t="shared" si="34"/>
        <v>852.97560000000021</v>
      </c>
      <c r="V421" s="9">
        <f t="shared" si="32"/>
        <v>1634.3134000000005</v>
      </c>
      <c r="W421" s="9" t="str">
        <f t="shared" si="33"/>
        <v>High</v>
      </c>
      <c r="X421" t="s">
        <v>2065</v>
      </c>
      <c r="Y421" s="11">
        <v>0.151</v>
      </c>
      <c r="Z421" t="s">
        <v>2065</v>
      </c>
      <c r="AA421" s="13">
        <v>10</v>
      </c>
      <c r="AB421" s="9">
        <v>14527.748400000002</v>
      </c>
      <c r="AC421" s="9">
        <v>11021.900000000001</v>
      </c>
      <c r="AD421" s="9">
        <v>3505.8484000000008</v>
      </c>
      <c r="AE421" s="11">
        <v>0.24132083675127525</v>
      </c>
    </row>
    <row r="422" spans="1:31" x14ac:dyDescent="0.3">
      <c r="A422" t="s">
        <v>435</v>
      </c>
      <c r="B422" s="4">
        <v>45713</v>
      </c>
      <c r="C422" s="4" t="str">
        <f t="shared" si="30"/>
        <v>Feb-2025</v>
      </c>
      <c r="D422" s="4" t="str">
        <f t="shared" si="31"/>
        <v>Q1-2025</v>
      </c>
      <c r="E422" s="4">
        <v>45733</v>
      </c>
      <c r="F422" t="s">
        <v>2064</v>
      </c>
      <c r="G422" s="4">
        <v>45733</v>
      </c>
      <c r="H422" s="13">
        <v>20</v>
      </c>
      <c r="I422" s="7" t="s">
        <v>648</v>
      </c>
      <c r="J422" s="7" t="s">
        <v>1425</v>
      </c>
      <c r="K422" s="7" t="s">
        <v>686</v>
      </c>
      <c r="M422" s="7" t="s">
        <v>703</v>
      </c>
      <c r="N422" s="7" t="s">
        <v>709</v>
      </c>
      <c r="O422" s="7" t="s">
        <v>722</v>
      </c>
      <c r="P422" s="7" t="s">
        <v>730</v>
      </c>
      <c r="Q422" s="7" t="s">
        <v>1847</v>
      </c>
      <c r="R422" s="9">
        <v>1205.26</v>
      </c>
      <c r="S422" s="9">
        <v>1696.35</v>
      </c>
      <c r="T422" s="9">
        <v>1696.35</v>
      </c>
      <c r="U422" s="9">
        <f t="shared" si="34"/>
        <v>845.67599999999993</v>
      </c>
      <c r="V422" s="9">
        <f t="shared" si="32"/>
        <v>1628.402</v>
      </c>
      <c r="W422" s="9" t="str">
        <f t="shared" si="33"/>
        <v>High</v>
      </c>
      <c r="X422" t="s">
        <v>2065</v>
      </c>
      <c r="Y422" s="11">
        <v>1.9E-2</v>
      </c>
      <c r="Z422" t="s">
        <v>2065</v>
      </c>
      <c r="AA422" s="13">
        <v>6</v>
      </c>
      <c r="AB422" s="9">
        <v>9984.7160999999978</v>
      </c>
      <c r="AC422" s="9">
        <v>7231.5599999999995</v>
      </c>
      <c r="AD422" s="9">
        <v>2753.1560999999983</v>
      </c>
      <c r="AE422" s="11">
        <v>0.27573704374028213</v>
      </c>
    </row>
    <row r="423" spans="1:31" x14ac:dyDescent="0.3">
      <c r="A423" t="s">
        <v>436</v>
      </c>
      <c r="B423" s="4">
        <v>45841</v>
      </c>
      <c r="C423" s="4" t="str">
        <f t="shared" si="30"/>
        <v>Jul-2025</v>
      </c>
      <c r="D423" s="4" t="str">
        <f t="shared" si="31"/>
        <v>Q3-2025</v>
      </c>
      <c r="E423" s="4">
        <v>45844</v>
      </c>
      <c r="F423" t="s">
        <v>2064</v>
      </c>
      <c r="G423" s="4">
        <v>45844</v>
      </c>
      <c r="H423" s="13">
        <v>3</v>
      </c>
      <c r="I423" s="7" t="s">
        <v>646</v>
      </c>
      <c r="J423" s="7" t="s">
        <v>651</v>
      </c>
      <c r="K423" s="7" t="s">
        <v>665</v>
      </c>
      <c r="M423" s="7" t="s">
        <v>704</v>
      </c>
      <c r="N423" s="7" t="s">
        <v>708</v>
      </c>
      <c r="O423" s="7" t="s">
        <v>2057</v>
      </c>
      <c r="P423" s="7" t="s">
        <v>731</v>
      </c>
      <c r="Q423" s="7" t="s">
        <v>1848</v>
      </c>
      <c r="R423" s="9">
        <v>1313.3</v>
      </c>
      <c r="S423" s="9">
        <v>2884.34</v>
      </c>
      <c r="T423" s="9">
        <v>2884.34</v>
      </c>
      <c r="U423" s="9">
        <f t="shared" si="34"/>
        <v>838.87950000000001</v>
      </c>
      <c r="V423" s="9">
        <f t="shared" si="32"/>
        <v>1625.375</v>
      </c>
      <c r="W423" s="9" t="str">
        <f t="shared" si="33"/>
        <v>High</v>
      </c>
      <c r="X423" t="s">
        <v>2065</v>
      </c>
      <c r="Y423" s="11">
        <v>0.157</v>
      </c>
      <c r="Z423" t="s">
        <v>2065</v>
      </c>
      <c r="AA423" s="13">
        <v>42</v>
      </c>
      <c r="AB423" s="9">
        <v>102122.94203999999</v>
      </c>
      <c r="AC423" s="9">
        <v>55158.6</v>
      </c>
      <c r="AD423" s="9">
        <v>46964.342039999996</v>
      </c>
      <c r="AE423" s="11">
        <v>0.45988042551305253</v>
      </c>
    </row>
    <row r="424" spans="1:31" x14ac:dyDescent="0.3">
      <c r="A424" t="s">
        <v>437</v>
      </c>
      <c r="B424" s="4">
        <v>45915</v>
      </c>
      <c r="C424" s="4" t="str">
        <f t="shared" si="30"/>
        <v>Sep-2025</v>
      </c>
      <c r="D424" s="4" t="str">
        <f t="shared" si="31"/>
        <v>Q3-2025</v>
      </c>
      <c r="E424" s="4">
        <v>45925</v>
      </c>
      <c r="F424" t="s">
        <v>2064</v>
      </c>
      <c r="G424" s="4">
        <v>45925</v>
      </c>
      <c r="H424" s="13">
        <v>10</v>
      </c>
      <c r="I424" s="7" t="s">
        <v>647</v>
      </c>
      <c r="J424" s="7" t="s">
        <v>654</v>
      </c>
      <c r="K424" s="7" t="s">
        <v>680</v>
      </c>
      <c r="M424" s="7" t="s">
        <v>704</v>
      </c>
      <c r="N424" s="7" t="s">
        <v>707</v>
      </c>
      <c r="O424" s="7" t="s">
        <v>720</v>
      </c>
      <c r="P424" s="7" t="s">
        <v>730</v>
      </c>
      <c r="Q424" s="7" t="s">
        <v>1849</v>
      </c>
      <c r="R424" s="9">
        <v>1488.91</v>
      </c>
      <c r="S424" s="9">
        <v>1483.74</v>
      </c>
      <c r="T424" s="9">
        <v>1483.74</v>
      </c>
      <c r="U424" s="9">
        <f t="shared" si="34"/>
        <v>837.11400000000003</v>
      </c>
      <c r="V424" s="9">
        <f t="shared" si="32"/>
        <v>1624.88</v>
      </c>
      <c r="W424" s="9" t="str">
        <f t="shared" si="33"/>
        <v>Medium</v>
      </c>
      <c r="X424" t="s">
        <v>2065</v>
      </c>
      <c r="Y424" s="11">
        <v>0.16800000000000001</v>
      </c>
      <c r="Z424" t="s">
        <v>2065</v>
      </c>
      <c r="AA424" s="13">
        <v>24</v>
      </c>
      <c r="AB424" s="9">
        <v>29627.320319999999</v>
      </c>
      <c r="AC424" s="9">
        <v>35733.840000000004</v>
      </c>
      <c r="AD424" s="9">
        <v>-6106.5196800000049</v>
      </c>
      <c r="AE424" s="11">
        <v>-0.20611110333450519</v>
      </c>
    </row>
    <row r="425" spans="1:31" x14ac:dyDescent="0.3">
      <c r="A425" t="s">
        <v>438</v>
      </c>
      <c r="B425" s="4">
        <v>45341</v>
      </c>
      <c r="C425" s="4" t="str">
        <f t="shared" si="30"/>
        <v>Feb-2024</v>
      </c>
      <c r="D425" s="4" t="str">
        <f t="shared" si="31"/>
        <v>Q1-2024</v>
      </c>
      <c r="E425" s="4">
        <v>45357</v>
      </c>
      <c r="F425" t="s">
        <v>2064</v>
      </c>
      <c r="G425" s="4">
        <v>45357</v>
      </c>
      <c r="H425" s="13">
        <v>16</v>
      </c>
      <c r="I425" s="7" t="s">
        <v>647</v>
      </c>
      <c r="J425" s="7" t="s">
        <v>659</v>
      </c>
      <c r="K425" s="7" t="s">
        <v>699</v>
      </c>
      <c r="M425" s="7" t="s">
        <v>702</v>
      </c>
      <c r="N425" s="7" t="s">
        <v>709</v>
      </c>
      <c r="O425" s="7" t="s">
        <v>719</v>
      </c>
      <c r="P425" s="7" t="s">
        <v>728</v>
      </c>
      <c r="Q425" s="7" t="s">
        <v>1850</v>
      </c>
      <c r="R425" s="9">
        <v>1477.84</v>
      </c>
      <c r="S425" s="9">
        <v>3197.47</v>
      </c>
      <c r="T425" s="9">
        <v>3197.47</v>
      </c>
      <c r="U425" s="9">
        <f t="shared" si="34"/>
        <v>835.34850000000006</v>
      </c>
      <c r="V425" s="9">
        <f t="shared" si="32"/>
        <v>1625.135</v>
      </c>
      <c r="W425" s="9" t="str">
        <f t="shared" si="33"/>
        <v>High</v>
      </c>
      <c r="X425" t="s">
        <v>2065</v>
      </c>
      <c r="Y425" s="11">
        <v>0.24299999999999999</v>
      </c>
      <c r="Z425" t="s">
        <v>2065</v>
      </c>
      <c r="AA425" s="13">
        <v>24</v>
      </c>
      <c r="AB425" s="9">
        <v>58091.634960000003</v>
      </c>
      <c r="AC425" s="9">
        <v>35468.159999999996</v>
      </c>
      <c r="AD425" s="9">
        <v>22623.474960000007</v>
      </c>
      <c r="AE425" s="11">
        <v>0.38944462443823091</v>
      </c>
    </row>
    <row r="426" spans="1:31" x14ac:dyDescent="0.3">
      <c r="A426" t="s">
        <v>439</v>
      </c>
      <c r="B426" s="4">
        <v>45349</v>
      </c>
      <c r="C426" s="4" t="str">
        <f t="shared" si="30"/>
        <v>Feb-2024</v>
      </c>
      <c r="D426" s="4" t="str">
        <f t="shared" si="31"/>
        <v>Q1-2024</v>
      </c>
      <c r="E426" s="4">
        <v>45377</v>
      </c>
      <c r="F426" t="s">
        <v>2064</v>
      </c>
      <c r="G426" s="4">
        <v>45377</v>
      </c>
      <c r="H426" s="13">
        <v>28</v>
      </c>
      <c r="I426" s="7" t="s">
        <v>647</v>
      </c>
      <c r="J426" s="7" t="s">
        <v>654</v>
      </c>
      <c r="K426" s="7" t="s">
        <v>691</v>
      </c>
      <c r="M426" s="7" t="s">
        <v>702</v>
      </c>
      <c r="N426" s="7" t="s">
        <v>709</v>
      </c>
      <c r="O426" s="7" t="s">
        <v>715</v>
      </c>
      <c r="P426" s="7" t="s">
        <v>731</v>
      </c>
      <c r="Q426" s="7" t="s">
        <v>1851</v>
      </c>
      <c r="R426" s="9">
        <v>1035.19</v>
      </c>
      <c r="S426" s="9">
        <v>2322.6999999999998</v>
      </c>
      <c r="T426" s="9">
        <v>2322.6999999999998</v>
      </c>
      <c r="U426" s="9">
        <f t="shared" si="34"/>
        <v>833.54560000000004</v>
      </c>
      <c r="V426" s="9">
        <f t="shared" si="32"/>
        <v>1623.5040000000004</v>
      </c>
      <c r="W426" s="9" t="str">
        <f t="shared" si="33"/>
        <v>High</v>
      </c>
      <c r="X426" t="s">
        <v>2065</v>
      </c>
      <c r="Y426" s="11">
        <v>0.17299999999999999</v>
      </c>
      <c r="Z426" t="s">
        <v>2065</v>
      </c>
      <c r="AA426" s="13">
        <v>8</v>
      </c>
      <c r="AB426" s="9">
        <v>15366.983199999999</v>
      </c>
      <c r="AC426" s="9">
        <v>8281.52</v>
      </c>
      <c r="AD426" s="9">
        <v>7085.4631999999983</v>
      </c>
      <c r="AE426" s="11">
        <v>0.46108355217047409</v>
      </c>
    </row>
    <row r="427" spans="1:31" x14ac:dyDescent="0.3">
      <c r="A427" t="s">
        <v>440</v>
      </c>
      <c r="B427" s="4">
        <v>45897</v>
      </c>
      <c r="C427" s="4" t="str">
        <f t="shared" si="30"/>
        <v>Aug-2025</v>
      </c>
      <c r="D427" s="4" t="str">
        <f t="shared" si="31"/>
        <v>Q3-2025</v>
      </c>
      <c r="E427" s="4">
        <v>45905</v>
      </c>
      <c r="F427" t="s">
        <v>2064</v>
      </c>
      <c r="G427" s="4">
        <v>45905</v>
      </c>
      <c r="H427" s="13">
        <v>8</v>
      </c>
      <c r="I427" s="7" t="s">
        <v>646</v>
      </c>
      <c r="J427" s="7" t="s">
        <v>651</v>
      </c>
      <c r="K427" s="7" t="s">
        <v>663</v>
      </c>
      <c r="M427" s="7" t="s">
        <v>705</v>
      </c>
      <c r="N427" s="7" t="s">
        <v>709</v>
      </c>
      <c r="O427" s="7" t="s">
        <v>718</v>
      </c>
      <c r="P427" s="7" t="s">
        <v>731</v>
      </c>
      <c r="Q427" s="7" t="s">
        <v>1852</v>
      </c>
      <c r="R427" s="9">
        <v>1271.0999999999999</v>
      </c>
      <c r="S427" s="9">
        <v>1932.42</v>
      </c>
      <c r="T427" s="9">
        <v>1932.42</v>
      </c>
      <c r="U427" s="9">
        <f t="shared" si="34"/>
        <v>831.16300000000012</v>
      </c>
      <c r="V427" s="9">
        <f t="shared" si="32"/>
        <v>1604.2650000000003</v>
      </c>
      <c r="W427" s="9" t="str">
        <f t="shared" si="33"/>
        <v>High</v>
      </c>
      <c r="X427" t="s">
        <v>2065</v>
      </c>
      <c r="Y427" s="11">
        <v>0.25</v>
      </c>
      <c r="Z427" t="s">
        <v>2065</v>
      </c>
      <c r="AA427" s="13">
        <v>21</v>
      </c>
      <c r="AB427" s="9">
        <v>30435.614999999998</v>
      </c>
      <c r="AC427" s="9">
        <v>26693.1</v>
      </c>
      <c r="AD427" s="9">
        <v>3742.5149999999994</v>
      </c>
      <c r="AE427" s="11">
        <v>0.12296498690760807</v>
      </c>
    </row>
    <row r="428" spans="1:31" x14ac:dyDescent="0.3">
      <c r="A428" t="s">
        <v>441</v>
      </c>
      <c r="B428" s="4">
        <v>45522</v>
      </c>
      <c r="C428" s="4" t="str">
        <f t="shared" si="30"/>
        <v>Aug-2024</v>
      </c>
      <c r="D428" s="4" t="str">
        <f t="shared" si="31"/>
        <v>Q3-2024</v>
      </c>
      <c r="E428" s="4">
        <v>45547</v>
      </c>
      <c r="F428" t="s">
        <v>2064</v>
      </c>
      <c r="G428" s="4">
        <v>45547</v>
      </c>
      <c r="H428" s="13">
        <v>25</v>
      </c>
      <c r="I428" s="7" t="s">
        <v>647</v>
      </c>
      <c r="J428" s="7" t="s">
        <v>654</v>
      </c>
      <c r="K428" s="7" t="s">
        <v>691</v>
      </c>
      <c r="M428" s="7" t="s">
        <v>704</v>
      </c>
      <c r="N428" s="7" t="s">
        <v>709</v>
      </c>
      <c r="O428" s="7" t="s">
        <v>712</v>
      </c>
      <c r="P428" s="7" t="s">
        <v>730</v>
      </c>
      <c r="Q428" s="7" t="s">
        <v>1853</v>
      </c>
      <c r="R428" s="9">
        <v>1154.03</v>
      </c>
      <c r="S428" s="9">
        <v>1590.36</v>
      </c>
      <c r="T428" s="9">
        <v>1590.36</v>
      </c>
      <c r="U428" s="9">
        <f t="shared" si="34"/>
        <v>828.7804000000001</v>
      </c>
      <c r="V428" s="9">
        <f t="shared" si="32"/>
        <v>1595.2536</v>
      </c>
      <c r="W428" s="9" t="str">
        <f t="shared" si="33"/>
        <v>Medium</v>
      </c>
      <c r="X428" t="s">
        <v>2065</v>
      </c>
      <c r="Y428" s="11">
        <v>0.314</v>
      </c>
      <c r="Z428" t="s">
        <v>2067</v>
      </c>
      <c r="AA428" s="13">
        <v>18</v>
      </c>
      <c r="AB428" s="9">
        <v>19637.76528</v>
      </c>
      <c r="AC428" s="9">
        <v>20772.54</v>
      </c>
      <c r="AD428" s="9">
        <v>-1134.7747200000013</v>
      </c>
      <c r="AE428" s="11">
        <v>-5.7785328616576745E-2</v>
      </c>
    </row>
    <row r="429" spans="1:31" x14ac:dyDescent="0.3">
      <c r="A429" t="s">
        <v>442</v>
      </c>
      <c r="B429" s="4">
        <v>45347</v>
      </c>
      <c r="C429" s="4" t="str">
        <f t="shared" si="30"/>
        <v>Feb-2024</v>
      </c>
      <c r="D429" s="4" t="str">
        <f t="shared" si="31"/>
        <v>Q1-2024</v>
      </c>
      <c r="E429" s="4">
        <v>45360</v>
      </c>
      <c r="F429" t="s">
        <v>2064</v>
      </c>
      <c r="G429" s="4">
        <v>45360</v>
      </c>
      <c r="H429" s="13">
        <v>13</v>
      </c>
      <c r="I429" s="7" t="s">
        <v>649</v>
      </c>
      <c r="J429" s="7" t="s">
        <v>657</v>
      </c>
      <c r="K429" s="7" t="s">
        <v>673</v>
      </c>
      <c r="M429" s="7" t="s">
        <v>705</v>
      </c>
      <c r="N429" s="7" t="s">
        <v>710</v>
      </c>
      <c r="O429" s="7" t="s">
        <v>718</v>
      </c>
      <c r="P429" s="7" t="s">
        <v>732</v>
      </c>
      <c r="Q429" s="7" t="s">
        <v>1854</v>
      </c>
      <c r="R429" s="9">
        <v>322.44</v>
      </c>
      <c r="S429" s="9">
        <v>395.61</v>
      </c>
      <c r="T429" s="9">
        <v>395.61</v>
      </c>
      <c r="U429" s="9">
        <f t="shared" si="34"/>
        <v>825.78120000000069</v>
      </c>
      <c r="V429" s="9">
        <f t="shared" si="32"/>
        <v>1595.5052000000001</v>
      </c>
      <c r="W429" s="9" t="str">
        <f t="shared" si="33"/>
        <v>Low</v>
      </c>
      <c r="X429" t="s">
        <v>2065</v>
      </c>
      <c r="Y429" s="11">
        <v>0</v>
      </c>
      <c r="Z429" t="s">
        <v>2065</v>
      </c>
      <c r="AA429" s="13">
        <v>34</v>
      </c>
      <c r="AB429" s="9">
        <v>13450.74</v>
      </c>
      <c r="AC429" s="9">
        <v>10962.96</v>
      </c>
      <c r="AD429" s="9">
        <v>2487.7800000000007</v>
      </c>
      <c r="AE429" s="11">
        <v>0.18495487980586947</v>
      </c>
    </row>
    <row r="430" spans="1:31" x14ac:dyDescent="0.3">
      <c r="A430" t="s">
        <v>443</v>
      </c>
      <c r="B430" s="4">
        <v>45784</v>
      </c>
      <c r="C430" s="4" t="str">
        <f t="shared" si="30"/>
        <v>May-2025</v>
      </c>
      <c r="D430" s="4" t="str">
        <f t="shared" si="31"/>
        <v>Q2-2025</v>
      </c>
      <c r="E430" s="4">
        <v>45790</v>
      </c>
      <c r="F430" t="s">
        <v>2064</v>
      </c>
      <c r="G430" s="4">
        <v>45790</v>
      </c>
      <c r="H430" s="13">
        <v>6</v>
      </c>
      <c r="I430" s="7" t="s">
        <v>647</v>
      </c>
      <c r="J430" s="7" t="s">
        <v>654</v>
      </c>
      <c r="K430" s="7" t="s">
        <v>668</v>
      </c>
      <c r="M430" s="7" t="s">
        <v>706</v>
      </c>
      <c r="N430" s="7" t="s">
        <v>711</v>
      </c>
      <c r="O430" s="7" t="s">
        <v>713</v>
      </c>
      <c r="P430" s="7" t="s">
        <v>730</v>
      </c>
      <c r="Q430" s="7" t="s">
        <v>1855</v>
      </c>
      <c r="R430" s="9">
        <v>935.98</v>
      </c>
      <c r="S430" s="9">
        <v>2077.69</v>
      </c>
      <c r="T430" s="9">
        <v>2077.69</v>
      </c>
      <c r="U430" s="9">
        <f t="shared" si="34"/>
        <v>831.23520000000008</v>
      </c>
      <c r="V430" s="9">
        <f t="shared" si="32"/>
        <v>1604.8479999999997</v>
      </c>
      <c r="W430" s="9" t="str">
        <f t="shared" si="33"/>
        <v>High</v>
      </c>
      <c r="X430" t="s">
        <v>2065</v>
      </c>
      <c r="Y430" s="11">
        <v>0.17499999999999999</v>
      </c>
      <c r="Z430" t="s">
        <v>2065</v>
      </c>
      <c r="AA430" s="13">
        <v>24</v>
      </c>
      <c r="AB430" s="9">
        <v>41138.261999999995</v>
      </c>
      <c r="AC430" s="9">
        <v>22463.52</v>
      </c>
      <c r="AD430" s="9">
        <v>18674.741999999995</v>
      </c>
      <c r="AE430" s="11">
        <v>0.45395067978321491</v>
      </c>
    </row>
    <row r="431" spans="1:31" x14ac:dyDescent="0.3">
      <c r="A431" t="s">
        <v>444</v>
      </c>
      <c r="B431" s="4">
        <v>45597</v>
      </c>
      <c r="C431" s="4" t="str">
        <f t="shared" si="30"/>
        <v>Nov-2024</v>
      </c>
      <c r="D431" s="4" t="str">
        <f t="shared" si="31"/>
        <v>Q4-2024</v>
      </c>
      <c r="E431" s="4">
        <v>45608</v>
      </c>
      <c r="F431" t="s">
        <v>2064</v>
      </c>
      <c r="G431" s="4">
        <v>45608</v>
      </c>
      <c r="H431" s="13">
        <v>11</v>
      </c>
      <c r="I431" s="7" t="s">
        <v>649</v>
      </c>
      <c r="J431" s="7" t="s">
        <v>656</v>
      </c>
      <c r="K431" s="7" t="s">
        <v>698</v>
      </c>
      <c r="M431" s="7" t="s">
        <v>704</v>
      </c>
      <c r="N431" s="7" t="s">
        <v>708</v>
      </c>
      <c r="O431" s="7" t="s">
        <v>717</v>
      </c>
      <c r="P431" s="7" t="s">
        <v>728</v>
      </c>
      <c r="Q431" s="7" t="s">
        <v>1856</v>
      </c>
      <c r="R431" s="9">
        <v>599.84</v>
      </c>
      <c r="S431" s="9">
        <v>1330.85</v>
      </c>
      <c r="T431" s="9">
        <v>1330.85</v>
      </c>
      <c r="U431" s="9">
        <f t="shared" si="34"/>
        <v>828.85260000000005</v>
      </c>
      <c r="V431" s="9">
        <f t="shared" si="32"/>
        <v>1595.2683999999999</v>
      </c>
      <c r="W431" s="9" t="str">
        <f t="shared" si="33"/>
        <v>Medium</v>
      </c>
      <c r="X431" t="s">
        <v>2065</v>
      </c>
      <c r="Y431" s="11">
        <v>0.115</v>
      </c>
      <c r="Z431" t="s">
        <v>2065</v>
      </c>
      <c r="AA431" s="13">
        <v>11</v>
      </c>
      <c r="AB431" s="9">
        <v>12955.824749999998</v>
      </c>
      <c r="AC431" s="9">
        <v>6598.2400000000007</v>
      </c>
      <c r="AD431" s="9">
        <v>6357.5847499999973</v>
      </c>
      <c r="AE431" s="11">
        <v>0.49071246892252063</v>
      </c>
    </row>
    <row r="432" spans="1:31" x14ac:dyDescent="0.3">
      <c r="A432" t="s">
        <v>445</v>
      </c>
      <c r="B432" s="4">
        <v>45654</v>
      </c>
      <c r="C432" s="4" t="str">
        <f t="shared" si="30"/>
        <v>Dec-2024</v>
      </c>
      <c r="D432" s="4" t="str">
        <f t="shared" si="31"/>
        <v>Q4-2024</v>
      </c>
      <c r="E432" s="4">
        <v>45665</v>
      </c>
      <c r="F432" t="s">
        <v>2064</v>
      </c>
      <c r="G432" s="4">
        <v>45665</v>
      </c>
      <c r="H432" s="13">
        <v>11</v>
      </c>
      <c r="I432" s="7" t="s">
        <v>647</v>
      </c>
      <c r="J432" s="7" t="s">
        <v>659</v>
      </c>
      <c r="K432" s="7" t="s">
        <v>676</v>
      </c>
      <c r="M432" s="7" t="s">
        <v>706</v>
      </c>
      <c r="N432" s="7" t="s">
        <v>708</v>
      </c>
      <c r="O432" s="7" t="s">
        <v>723</v>
      </c>
      <c r="P432" s="7" t="s">
        <v>731</v>
      </c>
      <c r="Q432" s="7" t="s">
        <v>1857</v>
      </c>
      <c r="R432" s="9">
        <v>1201.31</v>
      </c>
      <c r="S432" s="9">
        <v>2764.65</v>
      </c>
      <c r="T432" s="9">
        <v>2764.65</v>
      </c>
      <c r="U432" s="9">
        <f t="shared" si="34"/>
        <v>826.47</v>
      </c>
      <c r="V432" s="9">
        <f t="shared" si="32"/>
        <v>1595.52</v>
      </c>
      <c r="W432" s="9" t="str">
        <f t="shared" si="33"/>
        <v>High</v>
      </c>
      <c r="X432" t="s">
        <v>2065</v>
      </c>
      <c r="Y432" s="11">
        <v>0</v>
      </c>
      <c r="Z432" t="s">
        <v>2065</v>
      </c>
      <c r="AA432" s="13">
        <v>21</v>
      </c>
      <c r="AB432" s="9">
        <v>58057.65</v>
      </c>
      <c r="AC432" s="9">
        <v>25227.51</v>
      </c>
      <c r="AD432" s="9">
        <v>32830.14</v>
      </c>
      <c r="AE432" s="11">
        <v>0.56547483406579491</v>
      </c>
    </row>
    <row r="433" spans="1:31" x14ac:dyDescent="0.3">
      <c r="A433" t="s">
        <v>446</v>
      </c>
      <c r="B433" s="4">
        <v>45220</v>
      </c>
      <c r="C433" s="4" t="str">
        <f t="shared" si="30"/>
        <v>Oct-2023</v>
      </c>
      <c r="D433" s="4" t="str">
        <f t="shared" si="31"/>
        <v>Q4-2023</v>
      </c>
      <c r="E433" s="4">
        <v>45220</v>
      </c>
      <c r="F433" t="s">
        <v>2064</v>
      </c>
      <c r="G433" s="4">
        <v>45220</v>
      </c>
      <c r="H433" s="13">
        <v>0</v>
      </c>
      <c r="I433" s="7" t="s">
        <v>649</v>
      </c>
      <c r="J433" s="7" t="s">
        <v>658</v>
      </c>
      <c r="K433" s="7" t="s">
        <v>693</v>
      </c>
      <c r="M433" s="7" t="s">
        <v>706</v>
      </c>
      <c r="N433" s="7" t="s">
        <v>710</v>
      </c>
      <c r="O433" s="7" t="s">
        <v>713</v>
      </c>
      <c r="P433" s="7" t="s">
        <v>732</v>
      </c>
      <c r="Q433" s="7" t="s">
        <v>1858</v>
      </c>
      <c r="R433" s="9">
        <v>384.19</v>
      </c>
      <c r="S433" s="9">
        <v>278.35000000000002</v>
      </c>
      <c r="T433" s="9">
        <v>278.35000000000002</v>
      </c>
      <c r="U433" s="9">
        <f t="shared" si="34"/>
        <v>803.73960000000011</v>
      </c>
      <c r="V433" s="9">
        <f t="shared" si="32"/>
        <v>1595.0316</v>
      </c>
      <c r="W433" s="9" t="str">
        <f t="shared" si="33"/>
        <v>Low</v>
      </c>
      <c r="X433" t="s">
        <v>2065</v>
      </c>
      <c r="Y433" s="11">
        <v>5.6000000000000001E-2</v>
      </c>
      <c r="Z433" t="s">
        <v>2065</v>
      </c>
      <c r="AA433" s="13">
        <v>10</v>
      </c>
      <c r="AB433" s="9">
        <v>2627.6239999999998</v>
      </c>
      <c r="AC433" s="9">
        <v>3841.9</v>
      </c>
      <c r="AD433" s="9">
        <v>-1214.2760000000003</v>
      </c>
      <c r="AE433" s="11">
        <v>-0.46211938998882657</v>
      </c>
    </row>
    <row r="434" spans="1:31" x14ac:dyDescent="0.3">
      <c r="A434" t="s">
        <v>447</v>
      </c>
      <c r="B434" s="4">
        <v>45636</v>
      </c>
      <c r="C434" s="4" t="str">
        <f t="shared" si="30"/>
        <v>Dec-2024</v>
      </c>
      <c r="D434" s="4" t="str">
        <f t="shared" si="31"/>
        <v>Q4-2024</v>
      </c>
      <c r="E434" s="4">
        <v>45645</v>
      </c>
      <c r="F434" t="s">
        <v>2064</v>
      </c>
      <c r="G434" s="4">
        <v>45645</v>
      </c>
      <c r="H434" s="13">
        <v>9</v>
      </c>
      <c r="I434" s="7" t="s">
        <v>646</v>
      </c>
      <c r="J434" s="7" t="s">
        <v>651</v>
      </c>
      <c r="K434" s="7" t="s">
        <v>665</v>
      </c>
      <c r="M434" s="7" t="s">
        <v>701</v>
      </c>
      <c r="N434" s="7" t="s">
        <v>707</v>
      </c>
      <c r="O434" s="7" t="s">
        <v>719</v>
      </c>
      <c r="P434" s="7" t="s">
        <v>732</v>
      </c>
      <c r="Q434" s="7" t="s">
        <v>1859</v>
      </c>
      <c r="R434" s="9">
        <v>488.68</v>
      </c>
      <c r="S434" s="9">
        <v>984.36</v>
      </c>
      <c r="T434" s="9">
        <v>984.36</v>
      </c>
      <c r="U434" s="9">
        <f t="shared" si="34"/>
        <v>828.9248</v>
      </c>
      <c r="V434" s="9">
        <f t="shared" si="32"/>
        <v>1595.2832000000001</v>
      </c>
      <c r="W434" s="9" t="str">
        <f t="shared" si="33"/>
        <v>Medium</v>
      </c>
      <c r="X434" t="s">
        <v>2065</v>
      </c>
      <c r="Y434" s="11">
        <v>5.8999999999999997E-2</v>
      </c>
      <c r="Z434" t="s">
        <v>2065</v>
      </c>
      <c r="AA434" s="13">
        <v>14</v>
      </c>
      <c r="AB434" s="9">
        <v>12967.958640000001</v>
      </c>
      <c r="AC434" s="9">
        <v>6841.52</v>
      </c>
      <c r="AD434" s="9">
        <v>6126.4386400000003</v>
      </c>
      <c r="AE434" s="11">
        <v>0.47242891576649876</v>
      </c>
    </row>
    <row r="435" spans="1:31" x14ac:dyDescent="0.3">
      <c r="A435" t="s">
        <v>448</v>
      </c>
      <c r="B435" s="4">
        <v>45542</v>
      </c>
      <c r="C435" s="4" t="str">
        <f t="shared" si="30"/>
        <v>Sep-2024</v>
      </c>
      <c r="D435" s="4" t="str">
        <f t="shared" si="31"/>
        <v>Q3-2024</v>
      </c>
      <c r="E435" s="4">
        <v>45553</v>
      </c>
      <c r="F435" t="s">
        <v>2064</v>
      </c>
      <c r="G435" s="4">
        <v>45553</v>
      </c>
      <c r="H435" s="13">
        <v>11</v>
      </c>
      <c r="I435" s="7" t="s">
        <v>647</v>
      </c>
      <c r="J435" s="7" t="s">
        <v>659</v>
      </c>
      <c r="K435" s="7" t="s">
        <v>699</v>
      </c>
      <c r="M435" s="7" t="s">
        <v>704</v>
      </c>
      <c r="N435" s="7" t="s">
        <v>710</v>
      </c>
      <c r="O435" s="7" t="s">
        <v>719</v>
      </c>
      <c r="P435" s="7" t="s">
        <v>729</v>
      </c>
      <c r="Q435" s="7" t="s">
        <v>1860</v>
      </c>
      <c r="R435" s="9">
        <v>181.74</v>
      </c>
      <c r="S435" s="9">
        <v>190.84</v>
      </c>
      <c r="T435" s="9">
        <v>190.84</v>
      </c>
      <c r="U435" s="9">
        <f t="shared" si="34"/>
        <v>826.54220000000009</v>
      </c>
      <c r="V435" s="9">
        <f t="shared" si="32"/>
        <v>1596.1030000000003</v>
      </c>
      <c r="W435" s="9" t="str">
        <f t="shared" si="33"/>
        <v>Low</v>
      </c>
      <c r="X435" t="s">
        <v>2065</v>
      </c>
      <c r="Y435" s="11">
        <v>0.214</v>
      </c>
      <c r="Z435" t="s">
        <v>2065</v>
      </c>
      <c r="AA435" s="13">
        <v>13</v>
      </c>
      <c r="AB435" s="9">
        <v>1950.0031200000001</v>
      </c>
      <c r="AC435" s="9">
        <v>2362.62</v>
      </c>
      <c r="AD435" s="9">
        <v>-412.61687999999981</v>
      </c>
      <c r="AE435" s="11">
        <v>-0.21159806144310159</v>
      </c>
    </row>
    <row r="436" spans="1:31" x14ac:dyDescent="0.3">
      <c r="A436" t="s">
        <v>449</v>
      </c>
      <c r="B436" s="4">
        <v>45217</v>
      </c>
      <c r="C436" s="4" t="str">
        <f t="shared" si="30"/>
        <v>Oct-2023</v>
      </c>
      <c r="D436" s="4" t="str">
        <f t="shared" si="31"/>
        <v>Q4-2023</v>
      </c>
      <c r="E436" s="4">
        <v>45219</v>
      </c>
      <c r="F436" t="s">
        <v>2064</v>
      </c>
      <c r="G436" s="4">
        <v>45219</v>
      </c>
      <c r="H436" s="13">
        <v>2</v>
      </c>
      <c r="I436" s="7" t="s">
        <v>646</v>
      </c>
      <c r="J436" s="7" t="s">
        <v>650</v>
      </c>
      <c r="K436" s="7" t="s">
        <v>662</v>
      </c>
      <c r="M436" s="7" t="s">
        <v>704</v>
      </c>
      <c r="N436" s="7" t="s">
        <v>707</v>
      </c>
      <c r="O436" s="7" t="s">
        <v>713</v>
      </c>
      <c r="P436" s="7" t="s">
        <v>730</v>
      </c>
      <c r="Q436" s="7" t="s">
        <v>1861</v>
      </c>
      <c r="R436" s="9">
        <v>774.12</v>
      </c>
      <c r="S436" s="9">
        <v>908.3</v>
      </c>
      <c r="T436" s="9">
        <v>908.3</v>
      </c>
      <c r="U436" s="9">
        <f t="shared" si="34"/>
        <v>831.3796000000001</v>
      </c>
      <c r="V436" s="9">
        <f t="shared" si="32"/>
        <v>1606.0140000000004</v>
      </c>
      <c r="W436" s="9" t="str">
        <f t="shared" si="33"/>
        <v>Medium</v>
      </c>
      <c r="X436" t="s">
        <v>2065</v>
      </c>
      <c r="Y436" s="11">
        <v>0</v>
      </c>
      <c r="Z436" t="s">
        <v>2065</v>
      </c>
      <c r="AA436" s="13">
        <v>30</v>
      </c>
      <c r="AB436" s="9">
        <v>27249</v>
      </c>
      <c r="AC436" s="9">
        <v>23223.599999999999</v>
      </c>
      <c r="AD436" s="9">
        <v>4025.4000000000015</v>
      </c>
      <c r="AE436" s="11">
        <v>0.14772652207420461</v>
      </c>
    </row>
    <row r="437" spans="1:31" x14ac:dyDescent="0.3">
      <c r="A437" t="s">
        <v>450</v>
      </c>
      <c r="B437" s="4">
        <v>45650</v>
      </c>
      <c r="C437" s="4" t="str">
        <f t="shared" si="30"/>
        <v>Dec-2024</v>
      </c>
      <c r="D437" s="4" t="str">
        <f t="shared" si="31"/>
        <v>Q4-2024</v>
      </c>
      <c r="E437" s="4">
        <v>45670</v>
      </c>
      <c r="F437" t="s">
        <v>2064</v>
      </c>
      <c r="G437" s="4">
        <v>45670</v>
      </c>
      <c r="H437" s="13">
        <v>20</v>
      </c>
      <c r="I437" s="7" t="s">
        <v>647</v>
      </c>
      <c r="J437" s="7" t="s">
        <v>654</v>
      </c>
      <c r="K437" s="7" t="s">
        <v>668</v>
      </c>
      <c r="M437" s="7" t="s">
        <v>701</v>
      </c>
      <c r="N437" s="7" t="s">
        <v>709</v>
      </c>
      <c r="O437" s="7" t="s">
        <v>726</v>
      </c>
      <c r="P437" s="7" t="s">
        <v>729</v>
      </c>
      <c r="Q437" s="7" t="s">
        <v>1862</v>
      </c>
      <c r="R437" s="9">
        <v>126.15</v>
      </c>
      <c r="S437" s="9">
        <v>284.23</v>
      </c>
      <c r="T437" s="9">
        <v>284.23</v>
      </c>
      <c r="U437" s="9">
        <f t="shared" si="34"/>
        <v>828.99700000000007</v>
      </c>
      <c r="V437" s="9">
        <f t="shared" si="32"/>
        <v>1615.9250000000006</v>
      </c>
      <c r="W437" s="9" t="str">
        <f t="shared" si="33"/>
        <v>Low</v>
      </c>
      <c r="X437" t="s">
        <v>2065</v>
      </c>
      <c r="Y437" s="11">
        <v>0.113</v>
      </c>
      <c r="Z437" t="s">
        <v>2065</v>
      </c>
      <c r="AA437" s="13">
        <v>22</v>
      </c>
      <c r="AB437" s="9">
        <v>5546.4642200000008</v>
      </c>
      <c r="AC437" s="9">
        <v>2775.3</v>
      </c>
      <c r="AD437" s="9">
        <v>2771.1642200000006</v>
      </c>
      <c r="AE437" s="11">
        <v>0.49962716968541088</v>
      </c>
    </row>
    <row r="438" spans="1:31" x14ac:dyDescent="0.3">
      <c r="A438" t="s">
        <v>451</v>
      </c>
      <c r="B438" s="4">
        <v>45037</v>
      </c>
      <c r="C438" s="4" t="str">
        <f t="shared" si="30"/>
        <v>Apr-2023</v>
      </c>
      <c r="D438" s="4" t="str">
        <f t="shared" si="31"/>
        <v>Q2-2023</v>
      </c>
      <c r="E438" s="4">
        <v>45035</v>
      </c>
      <c r="F438" t="s">
        <v>2066</v>
      </c>
      <c r="G438" s="4">
        <v>45037</v>
      </c>
      <c r="H438" s="13">
        <v>0</v>
      </c>
      <c r="I438" s="7" t="s">
        <v>647</v>
      </c>
      <c r="J438" s="7" t="s">
        <v>652</v>
      </c>
      <c r="K438" s="7" t="s">
        <v>694</v>
      </c>
      <c r="M438" s="7" t="s">
        <v>705</v>
      </c>
      <c r="N438" s="7" t="s">
        <v>711</v>
      </c>
      <c r="O438" s="7" t="s">
        <v>724</v>
      </c>
      <c r="P438" s="7" t="s">
        <v>727</v>
      </c>
      <c r="Q438" s="7" t="s">
        <v>1863</v>
      </c>
      <c r="R438" s="9">
        <v>607.04</v>
      </c>
      <c r="S438" s="9">
        <v>1229.3399999999999</v>
      </c>
      <c r="T438" s="9">
        <v>1229.3399999999999</v>
      </c>
      <c r="U438" s="9">
        <f t="shared" si="34"/>
        <v>833.79700000000003</v>
      </c>
      <c r="V438" s="9">
        <f t="shared" si="32"/>
        <v>1624.7</v>
      </c>
      <c r="W438" s="9" t="str">
        <f t="shared" si="33"/>
        <v>Medium</v>
      </c>
      <c r="X438" t="s">
        <v>2065</v>
      </c>
      <c r="Y438" s="11">
        <v>0.14699999999999999</v>
      </c>
      <c r="Z438" t="s">
        <v>2065</v>
      </c>
      <c r="AA438" s="13">
        <v>7</v>
      </c>
      <c r="AB438" s="9">
        <v>7340.3891399999993</v>
      </c>
      <c r="AC438" s="9">
        <v>4249.28</v>
      </c>
      <c r="AD438" s="9">
        <v>3091.1091399999996</v>
      </c>
      <c r="AE438" s="11">
        <v>0.42110970972310058</v>
      </c>
    </row>
    <row r="439" spans="1:31" x14ac:dyDescent="0.3">
      <c r="A439" t="s">
        <v>452</v>
      </c>
      <c r="B439" s="4">
        <v>45290</v>
      </c>
      <c r="C439" s="4" t="str">
        <f t="shared" si="30"/>
        <v>Dec-2023</v>
      </c>
      <c r="D439" s="4" t="str">
        <f t="shared" si="31"/>
        <v>Q4-2023</v>
      </c>
      <c r="E439" s="4">
        <v>45299</v>
      </c>
      <c r="F439" t="s">
        <v>2064</v>
      </c>
      <c r="G439" s="4">
        <v>45299</v>
      </c>
      <c r="H439" s="13">
        <v>9</v>
      </c>
      <c r="I439" s="7" t="s">
        <v>649</v>
      </c>
      <c r="J439" s="7" t="s">
        <v>657</v>
      </c>
      <c r="K439" s="7" t="s">
        <v>673</v>
      </c>
      <c r="M439" s="7" t="s">
        <v>704</v>
      </c>
      <c r="N439" s="7" t="s">
        <v>709</v>
      </c>
      <c r="O439" s="7" t="s">
        <v>716</v>
      </c>
      <c r="P439" s="7" t="s">
        <v>733</v>
      </c>
      <c r="Q439" s="7" t="s">
        <v>1864</v>
      </c>
      <c r="R439" s="9">
        <v>861.1</v>
      </c>
      <c r="S439" s="9">
        <v>1224.72</v>
      </c>
      <c r="T439" s="9">
        <v>1224.72</v>
      </c>
      <c r="U439" s="9">
        <f t="shared" si="34"/>
        <v>831.45180000000005</v>
      </c>
      <c r="V439" s="9">
        <f t="shared" si="32"/>
        <v>1624.9550000000002</v>
      </c>
      <c r="W439" s="9" t="str">
        <f t="shared" si="33"/>
        <v>Medium</v>
      </c>
      <c r="X439" t="s">
        <v>2065</v>
      </c>
      <c r="Y439" s="11">
        <v>0.17399999999999999</v>
      </c>
      <c r="Z439" t="s">
        <v>2065</v>
      </c>
      <c r="AA439" s="13">
        <v>24</v>
      </c>
      <c r="AB439" s="9">
        <v>24278.849280000002</v>
      </c>
      <c r="AC439" s="9">
        <v>20666.400000000001</v>
      </c>
      <c r="AD439" s="9">
        <v>3612.4492800000007</v>
      </c>
      <c r="AE439" s="11">
        <v>0.14878997098827909</v>
      </c>
    </row>
    <row r="440" spans="1:31" x14ac:dyDescent="0.3">
      <c r="A440" t="s">
        <v>453</v>
      </c>
      <c r="B440" s="4">
        <v>44978</v>
      </c>
      <c r="C440" s="4" t="str">
        <f t="shared" si="30"/>
        <v>Feb-2023</v>
      </c>
      <c r="D440" s="4" t="str">
        <f t="shared" si="31"/>
        <v>Q1-2023</v>
      </c>
      <c r="E440" s="4">
        <v>44997</v>
      </c>
      <c r="F440" t="s">
        <v>2064</v>
      </c>
      <c r="G440" s="4">
        <v>44997</v>
      </c>
      <c r="H440" s="13">
        <v>19</v>
      </c>
      <c r="I440" s="7" t="s">
        <v>646</v>
      </c>
      <c r="J440" s="7" t="s">
        <v>650</v>
      </c>
      <c r="K440" s="7" t="s">
        <v>678</v>
      </c>
      <c r="M440" s="7" t="s">
        <v>701</v>
      </c>
      <c r="N440" s="7" t="s">
        <v>708</v>
      </c>
      <c r="O440" s="7" t="s">
        <v>721</v>
      </c>
      <c r="P440" s="7" t="s">
        <v>729</v>
      </c>
      <c r="Q440" s="7" t="s">
        <v>1865</v>
      </c>
      <c r="R440" s="9">
        <v>352.65</v>
      </c>
      <c r="S440" s="9">
        <v>485.86</v>
      </c>
      <c r="T440" s="9">
        <v>485.86</v>
      </c>
      <c r="U440" s="9">
        <f t="shared" si="34"/>
        <v>829.06920000000002</v>
      </c>
      <c r="V440" s="9">
        <f t="shared" si="32"/>
        <v>1625.21</v>
      </c>
      <c r="W440" s="9" t="str">
        <f t="shared" si="33"/>
        <v>Low</v>
      </c>
      <c r="X440" t="s">
        <v>2065</v>
      </c>
      <c r="Y440" s="11">
        <v>4.1000000000000002E-2</v>
      </c>
      <c r="Z440" t="s">
        <v>2065</v>
      </c>
      <c r="AA440" s="13">
        <v>6</v>
      </c>
      <c r="AB440" s="9">
        <v>2795.6384399999997</v>
      </c>
      <c r="AC440" s="9">
        <v>2115.8999999999996</v>
      </c>
      <c r="AD440" s="9">
        <v>679.73844000000008</v>
      </c>
      <c r="AE440" s="11">
        <v>0.24314247159943908</v>
      </c>
    </row>
    <row r="441" spans="1:31" x14ac:dyDescent="0.3">
      <c r="A441" t="s">
        <v>454</v>
      </c>
      <c r="B441" s="4">
        <v>45063</v>
      </c>
      <c r="C441" s="4" t="str">
        <f t="shared" si="30"/>
        <v>May-2023</v>
      </c>
      <c r="D441" s="4" t="str">
        <f t="shared" si="31"/>
        <v>Q2-2023</v>
      </c>
      <c r="E441" s="4">
        <v>45080</v>
      </c>
      <c r="F441" t="s">
        <v>2064</v>
      </c>
      <c r="G441" s="4">
        <v>45080</v>
      </c>
      <c r="H441" s="13">
        <v>17</v>
      </c>
      <c r="I441" s="7" t="s">
        <v>647</v>
      </c>
      <c r="J441" s="7" t="s">
        <v>659</v>
      </c>
      <c r="K441" s="7" t="s">
        <v>699</v>
      </c>
      <c r="M441" s="7" t="s">
        <v>703</v>
      </c>
      <c r="N441" s="7" t="s">
        <v>710</v>
      </c>
      <c r="O441" s="7" t="s">
        <v>724</v>
      </c>
      <c r="P441" s="7" t="s">
        <v>728</v>
      </c>
      <c r="Q441" s="7" t="s">
        <v>1866</v>
      </c>
      <c r="R441" s="9">
        <v>979.59</v>
      </c>
      <c r="S441" s="9">
        <v>2210.94</v>
      </c>
      <c r="T441" s="9">
        <v>2210.94</v>
      </c>
      <c r="U441" s="9">
        <f t="shared" si="34"/>
        <v>833.85050000000001</v>
      </c>
      <c r="V441" s="9">
        <f t="shared" si="32"/>
        <v>1625.7182</v>
      </c>
      <c r="W441" s="9" t="str">
        <f t="shared" si="33"/>
        <v>High</v>
      </c>
      <c r="X441" t="s">
        <v>2065</v>
      </c>
      <c r="Y441" s="11">
        <v>0.15</v>
      </c>
      <c r="Z441" t="s">
        <v>2065</v>
      </c>
      <c r="AA441" s="13">
        <v>11</v>
      </c>
      <c r="AB441" s="9">
        <v>20672.289000000001</v>
      </c>
      <c r="AC441" s="9">
        <v>10775.49</v>
      </c>
      <c r="AD441" s="9">
        <v>9896.7990000000009</v>
      </c>
      <c r="AE441" s="11">
        <v>0.47874712858358359</v>
      </c>
    </row>
    <row r="442" spans="1:31" x14ac:dyDescent="0.3">
      <c r="A442" t="s">
        <v>455</v>
      </c>
      <c r="B442" s="4">
        <v>45374</v>
      </c>
      <c r="C442" s="4" t="str">
        <f t="shared" si="30"/>
        <v>Mar-2024</v>
      </c>
      <c r="D442" s="4" t="str">
        <f t="shared" si="31"/>
        <v>Q1-2024</v>
      </c>
      <c r="E442" s="4">
        <v>45377</v>
      </c>
      <c r="F442" t="s">
        <v>2064</v>
      </c>
      <c r="G442" s="4">
        <v>45377</v>
      </c>
      <c r="H442" s="13">
        <v>3</v>
      </c>
      <c r="I442" s="7" t="s">
        <v>647</v>
      </c>
      <c r="J442" s="7" t="s">
        <v>654</v>
      </c>
      <c r="K442" s="7" t="s">
        <v>668</v>
      </c>
      <c r="M442" s="7" t="s">
        <v>702</v>
      </c>
      <c r="N442" s="7" t="s">
        <v>711</v>
      </c>
      <c r="O442" s="7" t="s">
        <v>715</v>
      </c>
      <c r="P442" s="7" t="s">
        <v>730</v>
      </c>
      <c r="Q442" s="7" t="s">
        <v>1867</v>
      </c>
      <c r="R442" s="9">
        <v>382.21</v>
      </c>
      <c r="S442" s="9">
        <v>571.89</v>
      </c>
      <c r="T442" s="9">
        <v>571.89</v>
      </c>
      <c r="U442" s="9">
        <f t="shared" si="34"/>
        <v>831.52400000000011</v>
      </c>
      <c r="V442" s="9">
        <f t="shared" si="32"/>
        <v>1624.97</v>
      </c>
      <c r="W442" s="9" t="str">
        <f t="shared" si="33"/>
        <v>Low</v>
      </c>
      <c r="X442" t="s">
        <v>2065</v>
      </c>
      <c r="Y442" s="11">
        <v>0.14799999999999999</v>
      </c>
      <c r="Z442" t="s">
        <v>2065</v>
      </c>
      <c r="AA442" s="13">
        <v>26</v>
      </c>
      <c r="AB442" s="9">
        <v>12668.50728</v>
      </c>
      <c r="AC442" s="9">
        <v>9937.4599999999991</v>
      </c>
      <c r="AD442" s="9">
        <v>2731.0472800000007</v>
      </c>
      <c r="AE442" s="11">
        <v>0.2155776698578809</v>
      </c>
    </row>
    <row r="443" spans="1:31" x14ac:dyDescent="0.3">
      <c r="A443" t="s">
        <v>456</v>
      </c>
      <c r="B443" s="4">
        <v>45189</v>
      </c>
      <c r="C443" s="4" t="str">
        <f t="shared" si="30"/>
        <v>Sep-2023</v>
      </c>
      <c r="D443" s="4" t="str">
        <f t="shared" si="31"/>
        <v>Q3-2023</v>
      </c>
      <c r="E443" s="4">
        <v>45197</v>
      </c>
      <c r="F443" t="s">
        <v>2064</v>
      </c>
      <c r="G443" s="4">
        <v>45197</v>
      </c>
      <c r="H443" s="13">
        <v>8</v>
      </c>
      <c r="I443" s="7" t="s">
        <v>647</v>
      </c>
      <c r="J443" s="7" t="s">
        <v>654</v>
      </c>
      <c r="K443" s="7" t="s">
        <v>2057</v>
      </c>
      <c r="M443" s="7" t="s">
        <v>701</v>
      </c>
      <c r="N443" s="7" t="s">
        <v>2057</v>
      </c>
      <c r="O443" s="7" t="s">
        <v>717</v>
      </c>
      <c r="P443" s="7" t="s">
        <v>733</v>
      </c>
      <c r="Q443" s="7" t="s">
        <v>1868</v>
      </c>
      <c r="R443" s="9">
        <v>1362.06</v>
      </c>
      <c r="S443" s="9">
        <v>3398.37</v>
      </c>
      <c r="T443" s="9">
        <v>3398.37</v>
      </c>
      <c r="U443" s="9">
        <f t="shared" si="34"/>
        <v>835.66950000000008</v>
      </c>
      <c r="V443" s="9">
        <f t="shared" si="32"/>
        <v>1625.2250000000001</v>
      </c>
      <c r="W443" s="9" t="str">
        <f t="shared" si="33"/>
        <v>High</v>
      </c>
      <c r="X443" t="s">
        <v>2065</v>
      </c>
      <c r="Y443" s="11">
        <v>0.157</v>
      </c>
      <c r="Z443" t="s">
        <v>2065</v>
      </c>
      <c r="AA443" s="13">
        <v>11</v>
      </c>
      <c r="AB443" s="9">
        <v>31513.085009999999</v>
      </c>
      <c r="AC443" s="9">
        <v>14982.66</v>
      </c>
      <c r="AD443" s="9">
        <v>16530.425009999999</v>
      </c>
      <c r="AE443" s="11">
        <v>0.52455749745714919</v>
      </c>
    </row>
    <row r="444" spans="1:31" x14ac:dyDescent="0.3">
      <c r="A444" t="s">
        <v>457</v>
      </c>
      <c r="B444" s="4">
        <v>45526</v>
      </c>
      <c r="C444" s="4" t="str">
        <f t="shared" si="30"/>
        <v>Aug-2024</v>
      </c>
      <c r="D444" s="4" t="str">
        <f t="shared" si="31"/>
        <v>Q3-2024</v>
      </c>
      <c r="E444" s="4">
        <v>45539</v>
      </c>
      <c r="F444" t="s">
        <v>2064</v>
      </c>
      <c r="G444" s="4">
        <v>45539</v>
      </c>
      <c r="H444" s="13">
        <v>13</v>
      </c>
      <c r="I444" s="7" t="s">
        <v>649</v>
      </c>
      <c r="J444" s="7" t="s">
        <v>656</v>
      </c>
      <c r="K444" s="7" t="s">
        <v>698</v>
      </c>
      <c r="M444" s="7" t="s">
        <v>703</v>
      </c>
      <c r="N444" s="7" t="s">
        <v>707</v>
      </c>
      <c r="O444" s="7" t="s">
        <v>716</v>
      </c>
      <c r="P444" s="7" t="s">
        <v>728</v>
      </c>
      <c r="Q444" s="7" t="s">
        <v>1869</v>
      </c>
      <c r="R444" s="9">
        <v>90.04</v>
      </c>
      <c r="S444" s="9">
        <v>194.62</v>
      </c>
      <c r="T444" s="9">
        <v>194.62</v>
      </c>
      <c r="U444" s="9">
        <f t="shared" si="34"/>
        <v>833.90400000000011</v>
      </c>
      <c r="V444" s="9">
        <f t="shared" si="32"/>
        <v>1624.73</v>
      </c>
      <c r="W444" s="9" t="str">
        <f t="shared" si="33"/>
        <v>Low</v>
      </c>
      <c r="X444" t="s">
        <v>2065</v>
      </c>
      <c r="Y444" s="11">
        <v>4.2999999999999997E-2</v>
      </c>
      <c r="Z444" t="s">
        <v>2065</v>
      </c>
      <c r="AA444" s="13">
        <v>32</v>
      </c>
      <c r="AB444" s="9">
        <v>5960.04288</v>
      </c>
      <c r="AC444" s="9">
        <v>2881.28</v>
      </c>
      <c r="AD444" s="9">
        <v>3078.7628799999998</v>
      </c>
      <c r="AE444" s="11">
        <v>0.51656723650954672</v>
      </c>
    </row>
    <row r="445" spans="1:31" x14ac:dyDescent="0.3">
      <c r="A445" t="s">
        <v>458</v>
      </c>
      <c r="B445" s="4">
        <v>45560</v>
      </c>
      <c r="C445" s="4" t="str">
        <f t="shared" si="30"/>
        <v>Sep-2024</v>
      </c>
      <c r="D445" s="4" t="str">
        <f t="shared" si="31"/>
        <v>Q3-2024</v>
      </c>
      <c r="E445" s="4">
        <v>45568</v>
      </c>
      <c r="F445" t="s">
        <v>2064</v>
      </c>
      <c r="G445" s="4">
        <v>45568</v>
      </c>
      <c r="H445" s="13">
        <v>8</v>
      </c>
      <c r="I445" s="7" t="s">
        <v>648</v>
      </c>
      <c r="J445" s="7" t="s">
        <v>653</v>
      </c>
      <c r="K445" s="7" t="s">
        <v>667</v>
      </c>
      <c r="M445" s="7" t="s">
        <v>704</v>
      </c>
      <c r="N445" s="7" t="s">
        <v>708</v>
      </c>
      <c r="O445" s="7" t="s">
        <v>718</v>
      </c>
      <c r="P445" s="7" t="s">
        <v>728</v>
      </c>
      <c r="Q445" s="7" t="s">
        <v>1870</v>
      </c>
      <c r="R445" s="9">
        <v>558.19000000000005</v>
      </c>
      <c r="S445" s="9">
        <v>1031.6400000000001</v>
      </c>
      <c r="T445" s="9">
        <v>1031.6400000000001</v>
      </c>
      <c r="U445" s="9">
        <f t="shared" si="34"/>
        <v>837.48850000000004</v>
      </c>
      <c r="V445" s="9">
        <f t="shared" si="32"/>
        <v>1624.9850000000001</v>
      </c>
      <c r="W445" s="9" t="str">
        <f t="shared" si="33"/>
        <v>Medium</v>
      </c>
      <c r="X445" t="s">
        <v>2065</v>
      </c>
      <c r="Y445" s="11">
        <v>0</v>
      </c>
      <c r="Z445" t="s">
        <v>2065</v>
      </c>
      <c r="AA445" s="13">
        <v>21</v>
      </c>
      <c r="AB445" s="9">
        <v>21664.440000000002</v>
      </c>
      <c r="AC445" s="9">
        <v>11721.990000000002</v>
      </c>
      <c r="AD445" s="9">
        <v>9942.4500000000007</v>
      </c>
      <c r="AE445" s="11">
        <v>0.45892947152107322</v>
      </c>
    </row>
    <row r="446" spans="1:31" x14ac:dyDescent="0.3">
      <c r="A446" t="s">
        <v>459</v>
      </c>
      <c r="B446" s="4">
        <v>45090</v>
      </c>
      <c r="C446" s="4" t="str">
        <f t="shared" si="30"/>
        <v>Jun-2023</v>
      </c>
      <c r="D446" s="4" t="str">
        <f t="shared" si="31"/>
        <v>Q2-2023</v>
      </c>
      <c r="E446" s="4">
        <v>45101</v>
      </c>
      <c r="F446" t="s">
        <v>2064</v>
      </c>
      <c r="G446" s="4">
        <v>45101</v>
      </c>
      <c r="H446" s="13">
        <v>11</v>
      </c>
      <c r="I446" s="7" t="s">
        <v>648</v>
      </c>
      <c r="J446" s="7" t="s">
        <v>653</v>
      </c>
      <c r="K446" s="7" t="s">
        <v>667</v>
      </c>
      <c r="M446" s="7" t="s">
        <v>701</v>
      </c>
      <c r="N446" s="7" t="s">
        <v>708</v>
      </c>
      <c r="O446" s="7" t="s">
        <v>712</v>
      </c>
      <c r="P446" s="7" t="s">
        <v>728</v>
      </c>
      <c r="Q446" s="7" t="s">
        <v>1871</v>
      </c>
      <c r="R446" s="9">
        <v>247.07</v>
      </c>
      <c r="S446" s="9">
        <v>495.19</v>
      </c>
      <c r="T446" s="9">
        <v>495.19</v>
      </c>
      <c r="U446" s="9">
        <f t="shared" si="34"/>
        <v>835.72300000000007</v>
      </c>
      <c r="V446" s="9">
        <f t="shared" si="32"/>
        <v>1625.24</v>
      </c>
      <c r="W446" s="9" t="str">
        <f t="shared" si="33"/>
        <v>Low</v>
      </c>
      <c r="X446" t="s">
        <v>2065</v>
      </c>
      <c r="Y446" s="11">
        <v>2.8000000000000001E-2</v>
      </c>
      <c r="Z446" t="s">
        <v>2065</v>
      </c>
      <c r="AA446" s="13">
        <v>4</v>
      </c>
      <c r="AB446" s="9">
        <v>1925.29872</v>
      </c>
      <c r="AC446" s="9">
        <v>988.28</v>
      </c>
      <c r="AD446" s="9">
        <v>937.01872000000003</v>
      </c>
      <c r="AE446" s="11">
        <v>0.48668744764968214</v>
      </c>
    </row>
    <row r="447" spans="1:31" x14ac:dyDescent="0.3">
      <c r="A447" t="s">
        <v>460</v>
      </c>
      <c r="B447" s="4">
        <v>45284</v>
      </c>
      <c r="C447" s="4" t="str">
        <f t="shared" si="30"/>
        <v>Dec-2023</v>
      </c>
      <c r="D447" s="4" t="str">
        <f t="shared" si="31"/>
        <v>Q4-2023</v>
      </c>
      <c r="E447" s="4">
        <v>45304</v>
      </c>
      <c r="F447" t="s">
        <v>2064</v>
      </c>
      <c r="G447" s="4">
        <v>45304</v>
      </c>
      <c r="H447" s="13">
        <v>20</v>
      </c>
      <c r="I447" s="7" t="s">
        <v>647</v>
      </c>
      <c r="J447" s="7" t="s">
        <v>652</v>
      </c>
      <c r="K447" s="7" t="s">
        <v>694</v>
      </c>
      <c r="M447" s="7" t="s">
        <v>702</v>
      </c>
      <c r="N447" s="7" t="s">
        <v>711</v>
      </c>
      <c r="O447" s="7" t="s">
        <v>717</v>
      </c>
      <c r="P447" s="7" t="s">
        <v>731</v>
      </c>
      <c r="Q447" s="7" t="s">
        <v>1872</v>
      </c>
      <c r="R447" s="9">
        <v>625.37</v>
      </c>
      <c r="S447" s="9">
        <v>1319.04</v>
      </c>
      <c r="T447" s="9">
        <v>1319.04</v>
      </c>
      <c r="U447" s="9">
        <f t="shared" si="34"/>
        <v>840.14600000000007</v>
      </c>
      <c r="V447" s="9">
        <f t="shared" si="32"/>
        <v>1625.9170000000001</v>
      </c>
      <c r="W447" s="9" t="str">
        <f t="shared" si="33"/>
        <v>Medium</v>
      </c>
      <c r="X447" t="s">
        <v>2065</v>
      </c>
      <c r="Y447" s="11">
        <v>7.3999999999999996E-2</v>
      </c>
      <c r="Z447" t="s">
        <v>2065</v>
      </c>
      <c r="AA447" s="13">
        <v>8</v>
      </c>
      <c r="AB447" s="9">
        <v>9771.4483199999995</v>
      </c>
      <c r="AC447" s="9">
        <v>5002.96</v>
      </c>
      <c r="AD447" s="9">
        <v>4768.4883199999995</v>
      </c>
      <c r="AE447" s="11">
        <v>0.48800220436513547</v>
      </c>
    </row>
    <row r="448" spans="1:31" x14ac:dyDescent="0.3">
      <c r="A448" t="s">
        <v>461</v>
      </c>
      <c r="B448" s="4">
        <v>45746</v>
      </c>
      <c r="C448" s="4" t="str">
        <f t="shared" si="30"/>
        <v>Mar-2025</v>
      </c>
      <c r="D448" s="4" t="str">
        <f t="shared" si="31"/>
        <v>Q1-2025</v>
      </c>
      <c r="E448" s="4">
        <v>45776</v>
      </c>
      <c r="F448" t="s">
        <v>2064</v>
      </c>
      <c r="G448" s="4">
        <v>45776</v>
      </c>
      <c r="H448" s="13">
        <v>30</v>
      </c>
      <c r="I448" s="7" t="s">
        <v>646</v>
      </c>
      <c r="J448" s="7" t="s">
        <v>661</v>
      </c>
      <c r="K448" s="7" t="s">
        <v>687</v>
      </c>
      <c r="M448" s="7" t="s">
        <v>704</v>
      </c>
      <c r="N448" s="7" t="s">
        <v>709</v>
      </c>
      <c r="O448" s="7" t="s">
        <v>713</v>
      </c>
      <c r="P448" s="7" t="s">
        <v>732</v>
      </c>
      <c r="Q448" s="7" t="s">
        <v>1873</v>
      </c>
      <c r="R448" s="9">
        <v>194.6</v>
      </c>
      <c r="S448" s="9">
        <v>314.87</v>
      </c>
      <c r="T448" s="9">
        <v>314.87</v>
      </c>
      <c r="U448" s="9">
        <f t="shared" si="34"/>
        <v>837.54200000000003</v>
      </c>
      <c r="V448" s="9">
        <f t="shared" si="32"/>
        <v>1627.6068000000002</v>
      </c>
      <c r="W448" s="9" t="str">
        <f t="shared" si="33"/>
        <v>Low</v>
      </c>
      <c r="X448" t="s">
        <v>2065</v>
      </c>
      <c r="Y448" s="11">
        <v>0.29299999999999998</v>
      </c>
      <c r="Z448" t="s">
        <v>2065</v>
      </c>
      <c r="AA448" s="13">
        <v>25</v>
      </c>
      <c r="AB448" s="9">
        <v>5565.3272500000003</v>
      </c>
      <c r="AC448" s="9">
        <v>4865</v>
      </c>
      <c r="AD448" s="9">
        <v>700.32725000000028</v>
      </c>
      <c r="AE448" s="11">
        <v>0.1258375686712763</v>
      </c>
    </row>
    <row r="449" spans="1:31" x14ac:dyDescent="0.3">
      <c r="A449" t="s">
        <v>462</v>
      </c>
      <c r="B449" s="4">
        <v>45446</v>
      </c>
      <c r="C449" s="4" t="str">
        <f t="shared" si="30"/>
        <v>Jun-2024</v>
      </c>
      <c r="D449" s="4" t="str">
        <f t="shared" si="31"/>
        <v>Q2-2024</v>
      </c>
      <c r="E449" s="4">
        <v>45467</v>
      </c>
      <c r="F449" t="s">
        <v>2064</v>
      </c>
      <c r="G449" s="4">
        <v>45467</v>
      </c>
      <c r="H449" s="13">
        <v>21</v>
      </c>
      <c r="I449" s="7" t="s">
        <v>648</v>
      </c>
      <c r="J449" s="7" t="s">
        <v>653</v>
      </c>
      <c r="K449" s="7" t="s">
        <v>667</v>
      </c>
      <c r="M449" s="7" t="s">
        <v>705</v>
      </c>
      <c r="N449" s="7" t="s">
        <v>711</v>
      </c>
      <c r="O449" s="7" t="s">
        <v>715</v>
      </c>
      <c r="P449" s="7" t="s">
        <v>732</v>
      </c>
      <c r="Q449" s="7" t="s">
        <v>1874</v>
      </c>
      <c r="R449" s="9">
        <v>1205.5</v>
      </c>
      <c r="S449" s="9">
        <v>2210.17</v>
      </c>
      <c r="T449" s="9">
        <v>2210.17</v>
      </c>
      <c r="U449" s="9">
        <f t="shared" si="34"/>
        <v>847.66679999999997</v>
      </c>
      <c r="V449" s="9">
        <f t="shared" si="32"/>
        <v>1629.2966000000001</v>
      </c>
      <c r="W449" s="9" t="str">
        <f t="shared" si="33"/>
        <v>High</v>
      </c>
      <c r="X449" t="s">
        <v>2065</v>
      </c>
      <c r="Y449" s="11">
        <v>0.104</v>
      </c>
      <c r="Z449" t="s">
        <v>2065</v>
      </c>
      <c r="AA449" s="13">
        <v>23</v>
      </c>
      <c r="AB449" s="9">
        <v>45547.183360000003</v>
      </c>
      <c r="AC449" s="9">
        <v>27726.5</v>
      </c>
      <c r="AD449" s="9">
        <v>17820.683360000003</v>
      </c>
      <c r="AE449" s="11">
        <v>0.39125763758314652</v>
      </c>
    </row>
    <row r="450" spans="1:31" x14ac:dyDescent="0.3">
      <c r="A450" t="s">
        <v>463</v>
      </c>
      <c r="B450" s="4">
        <v>45454</v>
      </c>
      <c r="C450" s="4" t="str">
        <f t="shared" si="30"/>
        <v>Jun-2024</v>
      </c>
      <c r="D450" s="4" t="str">
        <f t="shared" si="31"/>
        <v>Q2-2024</v>
      </c>
      <c r="E450" s="4">
        <v>45482</v>
      </c>
      <c r="F450" t="s">
        <v>2064</v>
      </c>
      <c r="G450" s="4">
        <v>45482</v>
      </c>
      <c r="H450" s="13">
        <v>28</v>
      </c>
      <c r="I450" s="7" t="s">
        <v>646</v>
      </c>
      <c r="J450" s="7" t="s">
        <v>651</v>
      </c>
      <c r="K450" s="7" t="s">
        <v>663</v>
      </c>
      <c r="M450" s="7" t="s">
        <v>701</v>
      </c>
      <c r="N450" s="7" t="s">
        <v>709</v>
      </c>
      <c r="O450" s="7" t="s">
        <v>714</v>
      </c>
      <c r="P450" s="7" t="s">
        <v>730</v>
      </c>
      <c r="Q450" s="7" t="s">
        <v>1875</v>
      </c>
      <c r="R450" s="9">
        <v>895.54</v>
      </c>
      <c r="S450" s="9">
        <v>1045</v>
      </c>
      <c r="T450" s="9">
        <v>1045</v>
      </c>
      <c r="U450" s="9">
        <f t="shared" si="34"/>
        <v>840.36720000000003</v>
      </c>
      <c r="V450" s="9">
        <f t="shared" si="32"/>
        <v>1626.0164000000002</v>
      </c>
      <c r="W450" s="9" t="str">
        <f t="shared" si="33"/>
        <v>Medium</v>
      </c>
      <c r="X450" t="s">
        <v>2065</v>
      </c>
      <c r="Y450" s="11">
        <v>0.216</v>
      </c>
      <c r="Z450" t="s">
        <v>2065</v>
      </c>
      <c r="AA450" s="13">
        <v>15</v>
      </c>
      <c r="AB450" s="9">
        <v>12289.2</v>
      </c>
      <c r="AC450" s="9">
        <v>13433.099999999999</v>
      </c>
      <c r="AD450" s="9">
        <v>-1143.8999999999978</v>
      </c>
      <c r="AE450" s="11">
        <v>-9.3081730299775234E-2</v>
      </c>
    </row>
    <row r="451" spans="1:31" x14ac:dyDescent="0.3">
      <c r="A451" t="s">
        <v>464</v>
      </c>
      <c r="B451" s="4">
        <v>45129</v>
      </c>
      <c r="C451" s="4" t="str">
        <f t="shared" ref="C451:C514" si="35">TEXT(B451,"MMM-YYYY")</f>
        <v>Jul-2023</v>
      </c>
      <c r="D451" s="4" t="str">
        <f t="shared" ref="D451:D514" si="36">"Q" &amp; INT((MONTH(B451)-1)/3)+1 &amp; "-" &amp; YEAR(B451)</f>
        <v>Q3-2023</v>
      </c>
      <c r="E451" s="4">
        <v>45128</v>
      </c>
      <c r="F451" t="s">
        <v>2066</v>
      </c>
      <c r="G451" s="4">
        <v>45129</v>
      </c>
      <c r="H451" s="13">
        <v>0</v>
      </c>
      <c r="I451" s="7" t="s">
        <v>647</v>
      </c>
      <c r="J451" s="7" t="s">
        <v>654</v>
      </c>
      <c r="K451" s="7" t="s">
        <v>680</v>
      </c>
      <c r="M451" s="7" t="s">
        <v>705</v>
      </c>
      <c r="N451" s="7" t="s">
        <v>710</v>
      </c>
      <c r="O451" s="7" t="s">
        <v>718</v>
      </c>
      <c r="P451" s="7" t="s">
        <v>728</v>
      </c>
      <c r="Q451" s="7" t="s">
        <v>1876</v>
      </c>
      <c r="R451" s="9">
        <v>946.99</v>
      </c>
      <c r="S451" s="9">
        <v>2132.19</v>
      </c>
      <c r="T451" s="9">
        <v>2132.19</v>
      </c>
      <c r="U451" s="9">
        <f t="shared" si="34"/>
        <v>837.59550000000002</v>
      </c>
      <c r="V451" s="9">
        <f t="shared" ref="V451:V514" si="37">_xlfn.PERCENTILE.INC(T451:T1081,0.66)</f>
        <v>1627.7062000000001</v>
      </c>
      <c r="W451" s="9" t="str">
        <f t="shared" ref="W451:W514" si="38">IF(T451&lt;=U451,"Low",IF(T451&lt;=V451,"Medium","High"))</f>
        <v>High</v>
      </c>
      <c r="X451" t="s">
        <v>2065</v>
      </c>
      <c r="Y451" s="11">
        <v>0.16500000000000001</v>
      </c>
      <c r="Z451" t="s">
        <v>2065</v>
      </c>
      <c r="AA451" s="13">
        <v>7</v>
      </c>
      <c r="AB451" s="9">
        <v>12462.65055</v>
      </c>
      <c r="AC451" s="9">
        <v>6628.93</v>
      </c>
      <c r="AD451" s="9">
        <v>5833.72055</v>
      </c>
      <c r="AE451" s="11">
        <v>0.46809629513362228</v>
      </c>
    </row>
    <row r="452" spans="1:31" x14ac:dyDescent="0.3">
      <c r="A452" t="s">
        <v>465</v>
      </c>
      <c r="B452" s="4">
        <v>44945</v>
      </c>
      <c r="C452" s="4" t="str">
        <f t="shared" si="35"/>
        <v>Jan-2023</v>
      </c>
      <c r="D452" s="4" t="str">
        <f t="shared" si="36"/>
        <v>Q1-2023</v>
      </c>
      <c r="E452" s="4">
        <v>44960</v>
      </c>
      <c r="F452" t="s">
        <v>2064</v>
      </c>
      <c r="G452" s="4">
        <v>44960</v>
      </c>
      <c r="H452" s="13">
        <v>15</v>
      </c>
      <c r="I452" s="7" t="s">
        <v>649</v>
      </c>
      <c r="J452" s="7" t="s">
        <v>658</v>
      </c>
      <c r="K452" s="7" t="s">
        <v>683</v>
      </c>
      <c r="M452" s="7" t="s">
        <v>706</v>
      </c>
      <c r="N452" s="7" t="s">
        <v>710</v>
      </c>
      <c r="O452" s="7" t="s">
        <v>715</v>
      </c>
      <c r="P452" s="7" t="s">
        <v>733</v>
      </c>
      <c r="Q452" s="7" t="s">
        <v>1877</v>
      </c>
      <c r="R452" s="9">
        <v>873.06</v>
      </c>
      <c r="S452" s="9">
        <v>2101.5500000000002</v>
      </c>
      <c r="T452" s="9">
        <v>2101.5500000000002</v>
      </c>
      <c r="U452" s="9">
        <f t="shared" si="34"/>
        <v>835.83</v>
      </c>
      <c r="V452" s="9">
        <f t="shared" si="37"/>
        <v>1625.27</v>
      </c>
      <c r="W452" s="9" t="str">
        <f t="shared" si="38"/>
        <v>High</v>
      </c>
      <c r="X452" t="s">
        <v>2065</v>
      </c>
      <c r="Y452" s="11">
        <v>6.6000000000000003E-2</v>
      </c>
      <c r="Z452" t="s">
        <v>2065</v>
      </c>
      <c r="AA452" s="13">
        <v>10</v>
      </c>
      <c r="AB452" s="9">
        <v>19628.476999999999</v>
      </c>
      <c r="AC452" s="9">
        <v>8730.5999999999985</v>
      </c>
      <c r="AD452" s="9">
        <v>10897.877</v>
      </c>
      <c r="AE452" s="11">
        <v>0.55520746719167269</v>
      </c>
    </row>
    <row r="453" spans="1:31" x14ac:dyDescent="0.3">
      <c r="A453" t="s">
        <v>466</v>
      </c>
      <c r="B453" s="4">
        <v>45413</v>
      </c>
      <c r="C453" s="4" t="str">
        <f t="shared" si="35"/>
        <v>May-2024</v>
      </c>
      <c r="D453" s="4" t="str">
        <f t="shared" si="36"/>
        <v>Q2-2024</v>
      </c>
      <c r="E453" s="4">
        <v>45428</v>
      </c>
      <c r="F453" t="s">
        <v>2064</v>
      </c>
      <c r="G453" s="4">
        <v>45428</v>
      </c>
      <c r="H453" s="13">
        <v>15</v>
      </c>
      <c r="I453" s="7" t="s">
        <v>647</v>
      </c>
      <c r="J453" s="7" t="s">
        <v>654</v>
      </c>
      <c r="K453" s="7" t="s">
        <v>668</v>
      </c>
      <c r="M453" s="7" t="s">
        <v>705</v>
      </c>
      <c r="N453" s="7" t="s">
        <v>707</v>
      </c>
      <c r="O453" s="7" t="s">
        <v>716</v>
      </c>
      <c r="P453" s="7" t="s">
        <v>727</v>
      </c>
      <c r="Q453" s="7" t="s">
        <v>1878</v>
      </c>
      <c r="R453" s="9">
        <v>901.19</v>
      </c>
      <c r="S453" s="9">
        <v>2125.44</v>
      </c>
      <c r="T453" s="9">
        <v>2125.44</v>
      </c>
      <c r="U453" s="9">
        <f t="shared" si="34"/>
        <v>834.06450000000007</v>
      </c>
      <c r="V453" s="9">
        <f t="shared" si="37"/>
        <v>1624.7750000000001</v>
      </c>
      <c r="W453" s="9" t="str">
        <f t="shared" si="38"/>
        <v>High</v>
      </c>
      <c r="X453" t="s">
        <v>2065</v>
      </c>
      <c r="Y453" s="11">
        <v>7.0999999999999994E-2</v>
      </c>
      <c r="Z453" t="s">
        <v>2065</v>
      </c>
      <c r="AA453" s="13">
        <v>12</v>
      </c>
      <c r="AB453" s="9">
        <v>23694.405119999999</v>
      </c>
      <c r="AC453" s="9">
        <v>10814.28</v>
      </c>
      <c r="AD453" s="9">
        <v>12880.125119999999</v>
      </c>
      <c r="AE453" s="11">
        <v>0.54359352154100415</v>
      </c>
    </row>
    <row r="454" spans="1:31" x14ac:dyDescent="0.3">
      <c r="A454" t="s">
        <v>467</v>
      </c>
      <c r="B454" s="4">
        <v>45817</v>
      </c>
      <c r="C454" s="4" t="str">
        <f t="shared" si="35"/>
        <v>Jun-2025</v>
      </c>
      <c r="D454" s="4" t="str">
        <f t="shared" si="36"/>
        <v>Q2-2025</v>
      </c>
      <c r="E454" s="4">
        <v>45832</v>
      </c>
      <c r="F454" t="s">
        <v>2064</v>
      </c>
      <c r="G454" s="4">
        <v>45832</v>
      </c>
      <c r="H454" s="13">
        <v>15</v>
      </c>
      <c r="I454" s="7" t="s">
        <v>647</v>
      </c>
      <c r="J454" s="7" t="s">
        <v>652</v>
      </c>
      <c r="K454" s="7" t="s">
        <v>694</v>
      </c>
      <c r="M454" s="7" t="s">
        <v>701</v>
      </c>
      <c r="N454" s="7" t="s">
        <v>711</v>
      </c>
      <c r="O454" s="7" t="s">
        <v>717</v>
      </c>
      <c r="P454" s="7" t="s">
        <v>730</v>
      </c>
      <c r="Q454" s="7" t="s">
        <v>1879</v>
      </c>
      <c r="R454" s="9">
        <v>400.39</v>
      </c>
      <c r="S454" s="9">
        <v>712.75</v>
      </c>
      <c r="T454" s="9">
        <v>712.75</v>
      </c>
      <c r="U454" s="9">
        <f t="shared" si="34"/>
        <v>831.81280000000004</v>
      </c>
      <c r="V454" s="9">
        <f t="shared" si="37"/>
        <v>1609.5120000000002</v>
      </c>
      <c r="W454" s="9" t="str">
        <f t="shared" si="38"/>
        <v>Low</v>
      </c>
      <c r="X454" t="s">
        <v>2065</v>
      </c>
      <c r="Y454" s="11">
        <v>0.115</v>
      </c>
      <c r="Z454" t="s">
        <v>2065</v>
      </c>
      <c r="AA454" s="13">
        <v>19</v>
      </c>
      <c r="AB454" s="9">
        <v>11984.891250000001</v>
      </c>
      <c r="AC454" s="9">
        <v>7607.41</v>
      </c>
      <c r="AD454" s="9">
        <v>4377.4812500000007</v>
      </c>
      <c r="AE454" s="11">
        <v>0.36524997671547504</v>
      </c>
    </row>
    <row r="455" spans="1:31" x14ac:dyDescent="0.3">
      <c r="A455" t="s">
        <v>468</v>
      </c>
      <c r="B455" s="4">
        <v>45070</v>
      </c>
      <c r="C455" s="4" t="str">
        <f t="shared" si="35"/>
        <v>May-2023</v>
      </c>
      <c r="D455" s="4" t="str">
        <f t="shared" si="36"/>
        <v>Q2-2023</v>
      </c>
      <c r="E455" s="4">
        <v>45098</v>
      </c>
      <c r="F455" t="s">
        <v>2064</v>
      </c>
      <c r="G455" s="4">
        <v>45098</v>
      </c>
      <c r="H455" s="13">
        <v>28</v>
      </c>
      <c r="I455" s="7" t="s">
        <v>648</v>
      </c>
      <c r="J455" s="7" t="s">
        <v>1425</v>
      </c>
      <c r="K455" s="7" t="s">
        <v>697</v>
      </c>
      <c r="M455" s="7" t="s">
        <v>705</v>
      </c>
      <c r="N455" s="7" t="s">
        <v>709</v>
      </c>
      <c r="O455" s="7" t="s">
        <v>715</v>
      </c>
      <c r="P455" s="7" t="s">
        <v>732</v>
      </c>
      <c r="Q455" s="7" t="s">
        <v>1880</v>
      </c>
      <c r="R455" s="9">
        <v>813.97</v>
      </c>
      <c r="S455" s="9">
        <v>1568.83</v>
      </c>
      <c r="T455" s="9">
        <v>1568.83</v>
      </c>
      <c r="U455" s="9">
        <f t="shared" ref="U455:U518" si="39">_xlfn.PERCENTILE.INC(T455:T1085,0.33)</f>
        <v>835.88350000000003</v>
      </c>
      <c r="V455" s="9">
        <f t="shared" si="37"/>
        <v>1619.4230000000002</v>
      </c>
      <c r="W455" s="9" t="str">
        <f t="shared" si="38"/>
        <v>Medium</v>
      </c>
      <c r="X455" t="s">
        <v>2065</v>
      </c>
      <c r="Y455" s="11">
        <v>1.7000000000000001E-2</v>
      </c>
      <c r="Z455" t="s">
        <v>2065</v>
      </c>
      <c r="AA455" s="13">
        <v>15</v>
      </c>
      <c r="AB455" s="9">
        <v>23132.398349999996</v>
      </c>
      <c r="AC455" s="9">
        <v>12209.550000000001</v>
      </c>
      <c r="AD455" s="9">
        <v>10922.848349999995</v>
      </c>
      <c r="AE455" s="11">
        <v>0.4721883215364911</v>
      </c>
    </row>
    <row r="456" spans="1:31" x14ac:dyDescent="0.3">
      <c r="A456" t="s">
        <v>469</v>
      </c>
      <c r="B456" s="4">
        <v>45653</v>
      </c>
      <c r="C456" s="4" t="str">
        <f t="shared" si="35"/>
        <v>Dec-2024</v>
      </c>
      <c r="D456" s="4" t="str">
        <f t="shared" si="36"/>
        <v>Q4-2024</v>
      </c>
      <c r="E456" s="4">
        <v>45655</v>
      </c>
      <c r="F456" t="s">
        <v>2064</v>
      </c>
      <c r="G456" s="4">
        <v>45655</v>
      </c>
      <c r="H456" s="13">
        <v>2</v>
      </c>
      <c r="I456" s="7" t="s">
        <v>648</v>
      </c>
      <c r="J456" s="7" t="s">
        <v>653</v>
      </c>
      <c r="K456" s="7" t="s">
        <v>688</v>
      </c>
      <c r="M456" s="7" t="s">
        <v>706</v>
      </c>
      <c r="N456" s="7" t="s">
        <v>709</v>
      </c>
      <c r="O456" s="7" t="s">
        <v>712</v>
      </c>
      <c r="P456" s="7" t="s">
        <v>733</v>
      </c>
      <c r="Q456" s="7" t="s">
        <v>1881</v>
      </c>
      <c r="R456" s="9">
        <v>1146.72</v>
      </c>
      <c r="S456" s="9">
        <v>2074.34</v>
      </c>
      <c r="T456" s="9">
        <v>2074.34</v>
      </c>
      <c r="U456" s="9">
        <f t="shared" si="39"/>
        <v>834.11800000000005</v>
      </c>
      <c r="V456" s="9">
        <f t="shared" si="37"/>
        <v>1624.7900000000002</v>
      </c>
      <c r="W456" s="9" t="str">
        <f t="shared" si="38"/>
        <v>High</v>
      </c>
      <c r="X456" t="s">
        <v>2065</v>
      </c>
      <c r="Y456" s="11">
        <v>0.111</v>
      </c>
      <c r="Z456" t="s">
        <v>2065</v>
      </c>
      <c r="AA456" s="13">
        <v>8</v>
      </c>
      <c r="AB456" s="9">
        <v>14752.706080000002</v>
      </c>
      <c r="AC456" s="9">
        <v>9173.76</v>
      </c>
      <c r="AD456" s="9">
        <v>5578.9460800000015</v>
      </c>
      <c r="AE456" s="11">
        <v>0.37816425337472737</v>
      </c>
    </row>
    <row r="457" spans="1:31" x14ac:dyDescent="0.3">
      <c r="A457" t="s">
        <v>470</v>
      </c>
      <c r="B457" s="4">
        <v>45265</v>
      </c>
      <c r="C457" s="4" t="str">
        <f t="shared" si="35"/>
        <v>Dec-2023</v>
      </c>
      <c r="D457" s="4" t="str">
        <f t="shared" si="36"/>
        <v>Q4-2023</v>
      </c>
      <c r="E457" s="4">
        <v>45272</v>
      </c>
      <c r="F457" t="s">
        <v>2064</v>
      </c>
      <c r="G457" s="4">
        <v>45272</v>
      </c>
      <c r="H457" s="13">
        <v>7</v>
      </c>
      <c r="I457" s="7" t="s">
        <v>648</v>
      </c>
      <c r="J457" s="7" t="s">
        <v>655</v>
      </c>
      <c r="K457" s="7" t="s">
        <v>672</v>
      </c>
      <c r="M457" s="7" t="s">
        <v>701</v>
      </c>
      <c r="N457" s="7" t="s">
        <v>711</v>
      </c>
      <c r="O457" s="7" t="s">
        <v>721</v>
      </c>
      <c r="P457" s="7" t="s">
        <v>730</v>
      </c>
      <c r="Q457" s="7" t="s">
        <v>1882</v>
      </c>
      <c r="R457" s="9">
        <v>307.43</v>
      </c>
      <c r="S457" s="9">
        <v>495.19</v>
      </c>
      <c r="T457" s="9">
        <v>495.19</v>
      </c>
      <c r="U457" s="9">
        <f t="shared" si="39"/>
        <v>831.88499999999999</v>
      </c>
      <c r="V457" s="9">
        <f t="shared" si="37"/>
        <v>1610.095</v>
      </c>
      <c r="W457" s="9" t="str">
        <f t="shared" si="38"/>
        <v>Low</v>
      </c>
      <c r="X457" t="s">
        <v>2065</v>
      </c>
      <c r="Y457" s="11">
        <v>0</v>
      </c>
      <c r="Z457" t="s">
        <v>2065</v>
      </c>
      <c r="AA457" s="13">
        <v>42</v>
      </c>
      <c r="AB457" s="9">
        <v>20797.98</v>
      </c>
      <c r="AC457" s="9">
        <v>12912.06</v>
      </c>
      <c r="AD457" s="9">
        <v>7885.92</v>
      </c>
      <c r="AE457" s="11">
        <v>0.37916759223732305</v>
      </c>
    </row>
    <row r="458" spans="1:31" x14ac:dyDescent="0.3">
      <c r="A458" t="s">
        <v>471</v>
      </c>
      <c r="B458" s="4">
        <v>45048</v>
      </c>
      <c r="C458" s="4" t="str">
        <f t="shared" si="35"/>
        <v>May-2023</v>
      </c>
      <c r="D458" s="4" t="str">
        <f t="shared" si="36"/>
        <v>Q2-2023</v>
      </c>
      <c r="E458" s="4">
        <v>45065</v>
      </c>
      <c r="F458" t="s">
        <v>2064</v>
      </c>
      <c r="G458" s="4">
        <v>45065</v>
      </c>
      <c r="H458" s="13">
        <v>17</v>
      </c>
      <c r="I458" s="7" t="s">
        <v>647</v>
      </c>
      <c r="J458" s="7" t="s">
        <v>659</v>
      </c>
      <c r="K458" s="7" t="s">
        <v>685</v>
      </c>
      <c r="M458" s="7" t="s">
        <v>703</v>
      </c>
      <c r="N458" s="7" t="s">
        <v>711</v>
      </c>
      <c r="O458" s="7" t="s">
        <v>713</v>
      </c>
      <c r="P458" s="7" t="s">
        <v>732</v>
      </c>
      <c r="Q458" s="7" t="s">
        <v>1883</v>
      </c>
      <c r="R458" s="9">
        <v>714.28</v>
      </c>
      <c r="S458" s="9">
        <v>757.59</v>
      </c>
      <c r="T458" s="9">
        <v>757.59</v>
      </c>
      <c r="U458" s="9">
        <f t="shared" si="39"/>
        <v>835.93700000000001</v>
      </c>
      <c r="V458" s="9">
        <f t="shared" si="37"/>
        <v>1620.0060000000001</v>
      </c>
      <c r="W458" s="9" t="str">
        <f t="shared" si="38"/>
        <v>Low</v>
      </c>
      <c r="X458" t="s">
        <v>2065</v>
      </c>
      <c r="Y458" s="11">
        <v>0.13600000000000001</v>
      </c>
      <c r="Z458" t="s">
        <v>2065</v>
      </c>
      <c r="AA458" s="13">
        <v>12</v>
      </c>
      <c r="AB458" s="9">
        <v>7854.6931199999999</v>
      </c>
      <c r="AC458" s="9">
        <v>8571.36</v>
      </c>
      <c r="AD458" s="9">
        <v>-716.66688000000067</v>
      </c>
      <c r="AE458" s="11">
        <v>-9.1240595787910383E-2</v>
      </c>
    </row>
    <row r="459" spans="1:31" x14ac:dyDescent="0.3">
      <c r="A459" t="s">
        <v>472</v>
      </c>
      <c r="B459" s="4">
        <v>45260</v>
      </c>
      <c r="C459" s="4" t="str">
        <f t="shared" si="35"/>
        <v>Nov-2023</v>
      </c>
      <c r="D459" s="4" t="str">
        <f t="shared" si="36"/>
        <v>Q4-2023</v>
      </c>
      <c r="E459" s="4">
        <v>45270</v>
      </c>
      <c r="F459" t="s">
        <v>2064</v>
      </c>
      <c r="G459" s="4">
        <v>45270</v>
      </c>
      <c r="H459" s="13">
        <v>10</v>
      </c>
      <c r="I459" s="7" t="s">
        <v>649</v>
      </c>
      <c r="J459" s="7" t="s">
        <v>656</v>
      </c>
      <c r="K459" s="7" t="s">
        <v>684</v>
      </c>
      <c r="M459" s="7" t="s">
        <v>705</v>
      </c>
      <c r="N459" s="7" t="s">
        <v>711</v>
      </c>
      <c r="O459" s="7" t="s">
        <v>721</v>
      </c>
      <c r="P459" s="7" t="s">
        <v>731</v>
      </c>
      <c r="Q459" s="7" t="s">
        <v>1884</v>
      </c>
      <c r="R459" s="9">
        <v>174.74</v>
      </c>
      <c r="S459" s="9">
        <v>415.96</v>
      </c>
      <c r="T459" s="9">
        <v>415.96</v>
      </c>
      <c r="U459" s="9">
        <f t="shared" si="39"/>
        <v>841.0308</v>
      </c>
      <c r="V459" s="9">
        <f t="shared" si="37"/>
        <v>1624.8050000000001</v>
      </c>
      <c r="W459" s="9" t="str">
        <f t="shared" si="38"/>
        <v>Low</v>
      </c>
      <c r="X459" t="s">
        <v>2065</v>
      </c>
      <c r="Y459" s="11">
        <v>0.125</v>
      </c>
      <c r="Z459" t="s">
        <v>2065</v>
      </c>
      <c r="AA459" s="13">
        <v>21</v>
      </c>
      <c r="AB459" s="9">
        <v>7643.2649999999994</v>
      </c>
      <c r="AC459" s="9">
        <v>3669.54</v>
      </c>
      <c r="AD459" s="9">
        <v>3973.7249999999995</v>
      </c>
      <c r="AE459" s="11">
        <v>0.51989889137691803</v>
      </c>
    </row>
    <row r="460" spans="1:31" x14ac:dyDescent="0.3">
      <c r="A460" t="s">
        <v>473</v>
      </c>
      <c r="B460" s="4">
        <v>45417</v>
      </c>
      <c r="C460" s="4" t="str">
        <f t="shared" si="35"/>
        <v>May-2024</v>
      </c>
      <c r="D460" s="4" t="str">
        <f t="shared" si="36"/>
        <v>Q2-2024</v>
      </c>
      <c r="E460" s="4">
        <v>45430</v>
      </c>
      <c r="F460" t="s">
        <v>2064</v>
      </c>
      <c r="G460" s="4">
        <v>45430</v>
      </c>
      <c r="H460" s="13">
        <v>13</v>
      </c>
      <c r="I460" s="7" t="s">
        <v>649</v>
      </c>
      <c r="J460" s="7" t="s">
        <v>657</v>
      </c>
      <c r="K460" s="7" t="s">
        <v>673</v>
      </c>
      <c r="M460" s="7" t="s">
        <v>701</v>
      </c>
      <c r="N460" s="7" t="s">
        <v>709</v>
      </c>
      <c r="O460" s="7" t="s">
        <v>720</v>
      </c>
      <c r="P460" s="7" t="s">
        <v>727</v>
      </c>
      <c r="Q460" s="7" t="s">
        <v>1885</v>
      </c>
      <c r="R460" s="9">
        <v>1264.04</v>
      </c>
      <c r="S460" s="9">
        <v>1870.89</v>
      </c>
      <c r="T460" s="9">
        <v>1870.89</v>
      </c>
      <c r="U460" s="9">
        <f t="shared" si="39"/>
        <v>855.85120000000006</v>
      </c>
      <c r="V460" s="9">
        <f t="shared" si="37"/>
        <v>1625.0600000000002</v>
      </c>
      <c r="W460" s="9" t="str">
        <f t="shared" si="38"/>
        <v>High</v>
      </c>
      <c r="X460" t="s">
        <v>2065</v>
      </c>
      <c r="Y460" s="11">
        <v>0</v>
      </c>
      <c r="Z460" t="s">
        <v>2065</v>
      </c>
      <c r="AA460" s="13">
        <v>13</v>
      </c>
      <c r="AB460" s="9">
        <v>24321.57</v>
      </c>
      <c r="AC460" s="9">
        <v>16432.52</v>
      </c>
      <c r="AD460" s="9">
        <v>7889.0499999999993</v>
      </c>
      <c r="AE460" s="11">
        <v>0.32436433996653996</v>
      </c>
    </row>
    <row r="461" spans="1:31" x14ac:dyDescent="0.3">
      <c r="A461" t="s">
        <v>474</v>
      </c>
      <c r="B461" s="4">
        <v>45116</v>
      </c>
      <c r="C461" s="4" t="str">
        <f t="shared" si="35"/>
        <v>Jul-2023</v>
      </c>
      <c r="D461" s="4" t="str">
        <f t="shared" si="36"/>
        <v>Q3-2023</v>
      </c>
      <c r="E461" s="4">
        <v>45126</v>
      </c>
      <c r="F461" t="s">
        <v>2064</v>
      </c>
      <c r="G461" s="4">
        <v>45126</v>
      </c>
      <c r="H461" s="13">
        <v>10</v>
      </c>
      <c r="I461" s="7" t="s">
        <v>647</v>
      </c>
      <c r="J461" s="7" t="s">
        <v>652</v>
      </c>
      <c r="K461" s="7" t="s">
        <v>689</v>
      </c>
      <c r="M461" s="7" t="s">
        <v>706</v>
      </c>
      <c r="N461" s="7" t="s">
        <v>710</v>
      </c>
      <c r="O461" s="7" t="s">
        <v>725</v>
      </c>
      <c r="P461" s="7" t="s">
        <v>727</v>
      </c>
      <c r="Q461" s="7" t="s">
        <v>1886</v>
      </c>
      <c r="R461" s="9">
        <v>141.26</v>
      </c>
      <c r="S461" s="9">
        <v>206.88</v>
      </c>
      <c r="T461" s="9">
        <v>206.88</v>
      </c>
      <c r="U461" s="9">
        <f t="shared" si="39"/>
        <v>848.55160000000001</v>
      </c>
      <c r="V461" s="9">
        <f t="shared" si="37"/>
        <v>1620.5889999999999</v>
      </c>
      <c r="W461" s="9" t="str">
        <f t="shared" si="38"/>
        <v>Low</v>
      </c>
      <c r="X461" t="s">
        <v>2065</v>
      </c>
      <c r="Y461" s="11">
        <v>0.107</v>
      </c>
      <c r="Z461" t="s">
        <v>2065</v>
      </c>
      <c r="AA461" s="13">
        <v>9</v>
      </c>
      <c r="AB461" s="9">
        <v>1662.6945600000001</v>
      </c>
      <c r="AC461" s="9">
        <v>1271.3399999999999</v>
      </c>
      <c r="AD461" s="9">
        <v>391.35456000000022</v>
      </c>
      <c r="AE461" s="11">
        <v>0.23537369365062469</v>
      </c>
    </row>
    <row r="462" spans="1:31" x14ac:dyDescent="0.3">
      <c r="A462" t="s">
        <v>475</v>
      </c>
      <c r="B462" s="4">
        <v>45063</v>
      </c>
      <c r="C462" s="4" t="str">
        <f t="shared" si="35"/>
        <v>May-2023</v>
      </c>
      <c r="D462" s="4" t="str">
        <f t="shared" si="36"/>
        <v>Q2-2023</v>
      </c>
      <c r="E462" s="4">
        <v>45092</v>
      </c>
      <c r="F462" t="s">
        <v>2064</v>
      </c>
      <c r="G462" s="4">
        <v>45092</v>
      </c>
      <c r="H462" s="13">
        <v>29</v>
      </c>
      <c r="I462" s="7" t="s">
        <v>646</v>
      </c>
      <c r="J462" s="7" t="s">
        <v>661</v>
      </c>
      <c r="K462" s="7" t="s">
        <v>687</v>
      </c>
      <c r="M462" s="7" t="s">
        <v>706</v>
      </c>
      <c r="N462" s="7" t="s">
        <v>707</v>
      </c>
      <c r="O462" s="7" t="s">
        <v>723</v>
      </c>
      <c r="P462" s="7" t="s">
        <v>733</v>
      </c>
      <c r="Q462" s="7" t="s">
        <v>1887</v>
      </c>
      <c r="R462" s="9">
        <v>40.89</v>
      </c>
      <c r="S462" s="9">
        <v>62.82</v>
      </c>
      <c r="T462" s="9">
        <v>62.82</v>
      </c>
      <c r="U462" s="9">
        <f t="shared" si="39"/>
        <v>861.90599999999995</v>
      </c>
      <c r="V462" s="9">
        <f t="shared" si="37"/>
        <v>1624.8200000000002</v>
      </c>
      <c r="W462" s="9" t="str">
        <f t="shared" si="38"/>
        <v>Low</v>
      </c>
      <c r="X462" t="s">
        <v>2065</v>
      </c>
      <c r="Y462" s="11">
        <v>0.129</v>
      </c>
      <c r="Z462" t="s">
        <v>2065</v>
      </c>
      <c r="AA462" s="13">
        <v>17</v>
      </c>
      <c r="AB462" s="9">
        <v>930.17574000000002</v>
      </c>
      <c r="AC462" s="9">
        <v>695.13</v>
      </c>
      <c r="AD462" s="9">
        <v>235.04574000000002</v>
      </c>
      <c r="AE462" s="11">
        <v>0.25268960465470752</v>
      </c>
    </row>
    <row r="463" spans="1:31" x14ac:dyDescent="0.3">
      <c r="A463" t="s">
        <v>476</v>
      </c>
      <c r="B463" s="4">
        <v>45358</v>
      </c>
      <c r="C463" s="4" t="str">
        <f t="shared" si="35"/>
        <v>Mar-2024</v>
      </c>
      <c r="D463" s="4" t="str">
        <f t="shared" si="36"/>
        <v>Q1-2024</v>
      </c>
      <c r="E463" s="4">
        <v>45385</v>
      </c>
      <c r="F463" t="s">
        <v>2064</v>
      </c>
      <c r="G463" s="4">
        <v>45385</v>
      </c>
      <c r="H463" s="13">
        <v>27</v>
      </c>
      <c r="I463" s="7" t="s">
        <v>649</v>
      </c>
      <c r="J463" s="7" t="s">
        <v>656</v>
      </c>
      <c r="K463" s="7" t="s">
        <v>698</v>
      </c>
      <c r="M463" s="7" t="s">
        <v>701</v>
      </c>
      <c r="N463" s="7" t="s">
        <v>711</v>
      </c>
      <c r="O463" s="7" t="s">
        <v>724</v>
      </c>
      <c r="P463" s="7" t="s">
        <v>728</v>
      </c>
      <c r="Q463" s="7" t="s">
        <v>1888</v>
      </c>
      <c r="R463" s="9">
        <v>738.16</v>
      </c>
      <c r="S463" s="9">
        <v>956.49</v>
      </c>
      <c r="T463" s="9">
        <v>956.49</v>
      </c>
      <c r="U463" s="9">
        <f t="shared" si="39"/>
        <v>866.90420000000006</v>
      </c>
      <c r="V463" s="9">
        <f t="shared" si="37"/>
        <v>1625.075</v>
      </c>
      <c r="W463" s="9" t="str">
        <f t="shared" si="38"/>
        <v>Medium</v>
      </c>
      <c r="X463" t="s">
        <v>2065</v>
      </c>
      <c r="Y463" s="11">
        <v>0.152</v>
      </c>
      <c r="Z463" t="s">
        <v>2065</v>
      </c>
      <c r="AA463" s="13">
        <v>5</v>
      </c>
      <c r="AB463" s="9">
        <v>4055.5175999999997</v>
      </c>
      <c r="AC463" s="9">
        <v>3690.7999999999997</v>
      </c>
      <c r="AD463" s="9">
        <v>364.71759999999995</v>
      </c>
      <c r="AE463" s="11">
        <v>8.9931208780847108E-2</v>
      </c>
    </row>
    <row r="464" spans="1:31" x14ac:dyDescent="0.3">
      <c r="A464" t="s">
        <v>477</v>
      </c>
      <c r="B464" s="4">
        <v>45757</v>
      </c>
      <c r="C464" s="4" t="str">
        <f t="shared" si="35"/>
        <v>Apr-2025</v>
      </c>
      <c r="D464" s="4" t="str">
        <f t="shared" si="36"/>
        <v>Q2-2025</v>
      </c>
      <c r="E464" s="4">
        <v>45766</v>
      </c>
      <c r="F464" t="s">
        <v>2064</v>
      </c>
      <c r="G464" s="4">
        <v>45766</v>
      </c>
      <c r="H464" s="13">
        <v>9</v>
      </c>
      <c r="I464" s="7" t="s">
        <v>646</v>
      </c>
      <c r="J464" s="7" t="s">
        <v>661</v>
      </c>
      <c r="K464" s="7" t="s">
        <v>687</v>
      </c>
      <c r="M464" s="7" t="s">
        <v>706</v>
      </c>
      <c r="N464" s="7" t="s">
        <v>2057</v>
      </c>
      <c r="O464" s="7" t="s">
        <v>715</v>
      </c>
      <c r="P464" s="7" t="s">
        <v>729</v>
      </c>
      <c r="Q464" s="7" t="s">
        <v>1889</v>
      </c>
      <c r="R464" s="9">
        <v>113.74</v>
      </c>
      <c r="S464" s="9">
        <v>165.7</v>
      </c>
      <c r="T464" s="9">
        <v>165.7</v>
      </c>
      <c r="U464" s="9">
        <f t="shared" si="39"/>
        <v>864.44240000000002</v>
      </c>
      <c r="V464" s="9">
        <f t="shared" si="37"/>
        <v>1625.3300000000002</v>
      </c>
      <c r="W464" s="9" t="str">
        <f t="shared" si="38"/>
        <v>Low</v>
      </c>
      <c r="X464" t="s">
        <v>2065</v>
      </c>
      <c r="Y464" s="11">
        <v>0.124</v>
      </c>
      <c r="Z464" t="s">
        <v>2065</v>
      </c>
      <c r="AA464" s="13">
        <v>13</v>
      </c>
      <c r="AB464" s="9">
        <v>1886.9915999999998</v>
      </c>
      <c r="AC464" s="9">
        <v>1478.62</v>
      </c>
      <c r="AD464" s="9">
        <v>408.37159999999994</v>
      </c>
      <c r="AE464" s="11">
        <v>0.21641410592394794</v>
      </c>
    </row>
    <row r="465" spans="1:31" x14ac:dyDescent="0.3">
      <c r="A465" t="s">
        <v>478</v>
      </c>
      <c r="B465" s="4">
        <v>45865</v>
      </c>
      <c r="C465" s="4" t="str">
        <f t="shared" si="35"/>
        <v>Jul-2025</v>
      </c>
      <c r="D465" s="4" t="str">
        <f t="shared" si="36"/>
        <v>Q3-2025</v>
      </c>
      <c r="E465" s="4">
        <v>45884</v>
      </c>
      <c r="F465" t="s">
        <v>2064</v>
      </c>
      <c r="G465" s="4">
        <v>45884</v>
      </c>
      <c r="H465" s="13">
        <v>19</v>
      </c>
      <c r="I465" s="7" t="s">
        <v>647</v>
      </c>
      <c r="J465" s="7" t="s">
        <v>652</v>
      </c>
      <c r="K465" s="7" t="s">
        <v>689</v>
      </c>
      <c r="M465" s="7" t="s">
        <v>705</v>
      </c>
      <c r="N465" s="7" t="s">
        <v>709</v>
      </c>
      <c r="O465" s="7" t="s">
        <v>713</v>
      </c>
      <c r="P465" s="7" t="s">
        <v>727</v>
      </c>
      <c r="Q465" s="7" t="s">
        <v>1890</v>
      </c>
      <c r="R465" s="9">
        <v>275.43</v>
      </c>
      <c r="S465" s="9">
        <v>608.36</v>
      </c>
      <c r="T465" s="9">
        <v>608.36</v>
      </c>
      <c r="U465" s="9">
        <f t="shared" si="39"/>
        <v>871.16210000000001</v>
      </c>
      <c r="V465" s="9">
        <f t="shared" si="37"/>
        <v>1626.5134</v>
      </c>
      <c r="W465" s="9" t="str">
        <f t="shared" si="38"/>
        <v>Low</v>
      </c>
      <c r="X465" t="s">
        <v>2065</v>
      </c>
      <c r="Y465" s="11">
        <v>0.25700000000000001</v>
      </c>
      <c r="Z465" t="s">
        <v>2065</v>
      </c>
      <c r="AA465" s="13">
        <v>4</v>
      </c>
      <c r="AB465" s="9">
        <v>1808.04592</v>
      </c>
      <c r="AC465" s="9">
        <v>1101.72</v>
      </c>
      <c r="AD465" s="9">
        <v>706.32592</v>
      </c>
      <c r="AE465" s="11">
        <v>0.39065706915231446</v>
      </c>
    </row>
    <row r="466" spans="1:31" x14ac:dyDescent="0.3">
      <c r="A466" t="s">
        <v>479</v>
      </c>
      <c r="B466" s="4">
        <v>45618</v>
      </c>
      <c r="C466" s="4" t="str">
        <f t="shared" si="35"/>
        <v>Nov-2024</v>
      </c>
      <c r="D466" s="4" t="str">
        <f t="shared" si="36"/>
        <v>Q4-2024</v>
      </c>
      <c r="E466" s="4">
        <v>45641</v>
      </c>
      <c r="F466" t="s">
        <v>2064</v>
      </c>
      <c r="G466" s="4">
        <v>45641</v>
      </c>
      <c r="H466" s="13">
        <v>23</v>
      </c>
      <c r="I466" s="7" t="s">
        <v>646</v>
      </c>
      <c r="J466" s="7" t="s">
        <v>650</v>
      </c>
      <c r="K466" s="7" t="s">
        <v>675</v>
      </c>
      <c r="M466" s="7" t="s">
        <v>703</v>
      </c>
      <c r="N466" s="7" t="s">
        <v>710</v>
      </c>
      <c r="O466" s="7" t="s">
        <v>712</v>
      </c>
      <c r="P466" s="7" t="s">
        <v>727</v>
      </c>
      <c r="Q466" s="7" t="s">
        <v>1891</v>
      </c>
      <c r="R466" s="9">
        <v>1335.76</v>
      </c>
      <c r="S466" s="9">
        <v>2665.91</v>
      </c>
      <c r="T466" s="9">
        <v>2665.91</v>
      </c>
      <c r="U466" s="9">
        <f t="shared" si="39"/>
        <v>886.64580000000001</v>
      </c>
      <c r="V466" s="9">
        <f t="shared" si="37"/>
        <v>1628.2032000000002</v>
      </c>
      <c r="W466" s="9" t="str">
        <f t="shared" si="38"/>
        <v>High</v>
      </c>
      <c r="X466" t="s">
        <v>2065</v>
      </c>
      <c r="Y466" s="11">
        <v>0.21099999999999999</v>
      </c>
      <c r="Z466" t="s">
        <v>2065</v>
      </c>
      <c r="AA466" s="13">
        <v>40</v>
      </c>
      <c r="AB466" s="9">
        <v>84136.119600000005</v>
      </c>
      <c r="AC466" s="9">
        <v>53430.400000000001</v>
      </c>
      <c r="AD466" s="9">
        <v>30705.719600000004</v>
      </c>
      <c r="AE466" s="11">
        <v>0.36495288522909253</v>
      </c>
    </row>
    <row r="467" spans="1:31" x14ac:dyDescent="0.3">
      <c r="A467" t="s">
        <v>480</v>
      </c>
      <c r="B467" s="4">
        <v>45466</v>
      </c>
      <c r="C467" s="4" t="str">
        <f t="shared" si="35"/>
        <v>Jun-2024</v>
      </c>
      <c r="D467" s="4" t="str">
        <f t="shared" si="36"/>
        <v>Q2-2024</v>
      </c>
      <c r="E467" s="4">
        <v>45471</v>
      </c>
      <c r="F467" t="s">
        <v>2064</v>
      </c>
      <c r="G467" s="4">
        <v>45471</v>
      </c>
      <c r="H467" s="13">
        <v>5</v>
      </c>
      <c r="I467" s="7" t="s">
        <v>646</v>
      </c>
      <c r="J467" s="7" t="s">
        <v>651</v>
      </c>
      <c r="K467" s="7" t="s">
        <v>663</v>
      </c>
      <c r="M467" s="7" t="s">
        <v>703</v>
      </c>
      <c r="N467" s="7" t="s">
        <v>711</v>
      </c>
      <c r="O467" s="7" t="s">
        <v>724</v>
      </c>
      <c r="P467" s="7" t="s">
        <v>733</v>
      </c>
      <c r="Q467" s="7" t="s">
        <v>1892</v>
      </c>
      <c r="R467" s="9">
        <v>242.31</v>
      </c>
      <c r="S467" s="9">
        <v>587.95000000000005</v>
      </c>
      <c r="T467" s="9">
        <v>587.95000000000005</v>
      </c>
      <c r="U467" s="9">
        <f t="shared" si="39"/>
        <v>879.01950000000011</v>
      </c>
      <c r="V467" s="9">
        <f t="shared" si="37"/>
        <v>1625.345</v>
      </c>
      <c r="W467" s="9" t="str">
        <f t="shared" si="38"/>
        <v>Low</v>
      </c>
      <c r="X467" t="s">
        <v>2065</v>
      </c>
      <c r="Y467" s="11">
        <v>0.22900000000000001</v>
      </c>
      <c r="Z467" t="s">
        <v>2065</v>
      </c>
      <c r="AA467" s="13">
        <v>6</v>
      </c>
      <c r="AB467" s="9">
        <v>2719.8567000000003</v>
      </c>
      <c r="AC467" s="9">
        <v>1453.8600000000001</v>
      </c>
      <c r="AD467" s="9">
        <v>1265.9967000000001</v>
      </c>
      <c r="AE467" s="11">
        <v>0.46546448568411714</v>
      </c>
    </row>
    <row r="468" spans="1:31" x14ac:dyDescent="0.3">
      <c r="A468" t="s">
        <v>481</v>
      </c>
      <c r="B468" s="4">
        <v>45278</v>
      </c>
      <c r="C468" s="4" t="str">
        <f t="shared" si="35"/>
        <v>Dec-2023</v>
      </c>
      <c r="D468" s="4" t="str">
        <f t="shared" si="36"/>
        <v>Q4-2023</v>
      </c>
      <c r="E468" s="4">
        <v>45305</v>
      </c>
      <c r="F468" t="s">
        <v>2064</v>
      </c>
      <c r="G468" s="4">
        <v>45305</v>
      </c>
      <c r="H468" s="13">
        <v>27</v>
      </c>
      <c r="I468" s="7" t="s">
        <v>647</v>
      </c>
      <c r="J468" s="7" t="s">
        <v>654</v>
      </c>
      <c r="K468" s="7" t="s">
        <v>691</v>
      </c>
      <c r="M468" s="7" t="s">
        <v>704</v>
      </c>
      <c r="N468" s="7" t="s">
        <v>710</v>
      </c>
      <c r="O468" s="7" t="s">
        <v>726</v>
      </c>
      <c r="P468" s="7" t="s">
        <v>729</v>
      </c>
      <c r="Q468" s="7" t="s">
        <v>1893</v>
      </c>
      <c r="R468" s="9">
        <v>1408.3</v>
      </c>
      <c r="S468" s="9">
        <v>2193.13</v>
      </c>
      <c r="T468" s="9">
        <v>2193.13</v>
      </c>
      <c r="U468" s="9">
        <f t="shared" si="39"/>
        <v>892.90000000000009</v>
      </c>
      <c r="V468" s="9">
        <f t="shared" si="37"/>
        <v>1626.6128000000001</v>
      </c>
      <c r="W468" s="9" t="str">
        <f t="shared" si="38"/>
        <v>High</v>
      </c>
      <c r="X468" t="s">
        <v>2065</v>
      </c>
      <c r="Y468" s="11">
        <v>7.0999999999999994E-2</v>
      </c>
      <c r="Z468" t="s">
        <v>2065</v>
      </c>
      <c r="AA468" s="13">
        <v>7</v>
      </c>
      <c r="AB468" s="9">
        <v>14261.92439</v>
      </c>
      <c r="AC468" s="9">
        <v>9858.1</v>
      </c>
      <c r="AD468" s="9">
        <v>4403.8243899999998</v>
      </c>
      <c r="AE468" s="11">
        <v>0.30878191957656281</v>
      </c>
    </row>
    <row r="469" spans="1:31" x14ac:dyDescent="0.3">
      <c r="A469" t="s">
        <v>482</v>
      </c>
      <c r="B469" s="4">
        <v>45809</v>
      </c>
      <c r="C469" s="4" t="str">
        <f t="shared" si="35"/>
        <v>Jun-2025</v>
      </c>
      <c r="D469" s="4" t="str">
        <f t="shared" si="36"/>
        <v>Q2-2025</v>
      </c>
      <c r="E469" s="4">
        <v>45813</v>
      </c>
      <c r="F469" t="s">
        <v>2064</v>
      </c>
      <c r="G469" s="4">
        <v>45813</v>
      </c>
      <c r="H469" s="13">
        <v>4</v>
      </c>
      <c r="I469" s="7" t="s">
        <v>649</v>
      </c>
      <c r="J469" s="7" t="s">
        <v>656</v>
      </c>
      <c r="K469" s="7" t="s">
        <v>684</v>
      </c>
      <c r="M469" s="7" t="s">
        <v>706</v>
      </c>
      <c r="N469" s="7" t="s">
        <v>711</v>
      </c>
      <c r="O469" s="7" t="s">
        <v>724</v>
      </c>
      <c r="P469" s="7" t="s">
        <v>727</v>
      </c>
      <c r="Q469" s="7" t="s">
        <v>1894</v>
      </c>
      <c r="R469" s="9">
        <v>1171.42</v>
      </c>
      <c r="S469" s="9">
        <v>2187.8000000000002</v>
      </c>
      <c r="T469" s="9">
        <v>2187.8000000000002</v>
      </c>
      <c r="U469" s="9">
        <f t="shared" si="39"/>
        <v>886.87689999999998</v>
      </c>
      <c r="V469" s="9">
        <f t="shared" si="37"/>
        <v>1625.105</v>
      </c>
      <c r="W469" s="9" t="str">
        <f t="shared" si="38"/>
        <v>High</v>
      </c>
      <c r="X469" t="s">
        <v>2065</v>
      </c>
      <c r="Y469" s="11">
        <v>0.23</v>
      </c>
      <c r="Z469" t="s">
        <v>2065</v>
      </c>
      <c r="AA469" s="13">
        <v>15</v>
      </c>
      <c r="AB469" s="9">
        <v>25269.09</v>
      </c>
      <c r="AC469" s="9">
        <v>17571.300000000003</v>
      </c>
      <c r="AD469" s="9">
        <v>7697.7899999999972</v>
      </c>
      <c r="AE469" s="11">
        <v>0.30463265594447592</v>
      </c>
    </row>
    <row r="470" spans="1:31" x14ac:dyDescent="0.3">
      <c r="A470" t="s">
        <v>483</v>
      </c>
      <c r="B470" s="4">
        <v>45739</v>
      </c>
      <c r="C470" s="4" t="str">
        <f t="shared" si="35"/>
        <v>Mar-2025</v>
      </c>
      <c r="D470" s="4" t="str">
        <f t="shared" si="36"/>
        <v>Q1-2025</v>
      </c>
      <c r="E470" s="4">
        <v>45749</v>
      </c>
      <c r="F470" t="s">
        <v>2064</v>
      </c>
      <c r="G470" s="4">
        <v>45749</v>
      </c>
      <c r="H470" s="13">
        <v>10</v>
      </c>
      <c r="I470" s="7" t="s">
        <v>649</v>
      </c>
      <c r="J470" s="7" t="s">
        <v>656</v>
      </c>
      <c r="K470" s="7" t="s">
        <v>671</v>
      </c>
      <c r="M470" s="7" t="s">
        <v>706</v>
      </c>
      <c r="N470" s="7" t="s">
        <v>708</v>
      </c>
      <c r="O470" s="7" t="s">
        <v>718</v>
      </c>
      <c r="P470" s="7" t="s">
        <v>728</v>
      </c>
      <c r="Q470" s="7" t="s">
        <v>1895</v>
      </c>
      <c r="R470" s="9">
        <v>663.61</v>
      </c>
      <c r="S470" s="9">
        <v>1002.11</v>
      </c>
      <c r="T470" s="9">
        <v>1002.11</v>
      </c>
      <c r="U470" s="9">
        <f t="shared" si="39"/>
        <v>879.25060000000008</v>
      </c>
      <c r="V470" s="9">
        <f t="shared" si="37"/>
        <v>1622.3380000000002</v>
      </c>
      <c r="W470" s="9" t="str">
        <f t="shared" si="38"/>
        <v>Medium</v>
      </c>
      <c r="X470" t="s">
        <v>2065</v>
      </c>
      <c r="Y470" s="11">
        <v>4.5999999999999999E-2</v>
      </c>
      <c r="Z470" t="s">
        <v>2065</v>
      </c>
      <c r="AA470" s="13">
        <v>17</v>
      </c>
      <c r="AB470" s="9">
        <v>16252.219979999998</v>
      </c>
      <c r="AC470" s="9">
        <v>11281.37</v>
      </c>
      <c r="AD470" s="9">
        <v>4970.8499799999972</v>
      </c>
      <c r="AE470" s="11">
        <v>0.30585667595670812</v>
      </c>
    </row>
    <row r="471" spans="1:31" x14ac:dyDescent="0.3">
      <c r="A471" t="s">
        <v>484</v>
      </c>
      <c r="B471" s="4">
        <v>45060</v>
      </c>
      <c r="C471" s="4" t="str">
        <f t="shared" si="35"/>
        <v>May-2023</v>
      </c>
      <c r="D471" s="4" t="str">
        <f t="shared" si="36"/>
        <v>Q2-2023</v>
      </c>
      <c r="E471" s="4">
        <v>45068</v>
      </c>
      <c r="F471" t="s">
        <v>2064</v>
      </c>
      <c r="G471" s="4">
        <v>45068</v>
      </c>
      <c r="H471" s="13">
        <v>8</v>
      </c>
      <c r="I471" s="7" t="s">
        <v>646</v>
      </c>
      <c r="J471" s="7" t="s">
        <v>650</v>
      </c>
      <c r="K471" s="7" t="s">
        <v>675</v>
      </c>
      <c r="M471" s="7" t="s">
        <v>705</v>
      </c>
      <c r="N471" s="7" t="s">
        <v>710</v>
      </c>
      <c r="O471" s="7" t="s">
        <v>721</v>
      </c>
      <c r="P471" s="7" t="s">
        <v>728</v>
      </c>
      <c r="Q471" s="7" t="s">
        <v>1896</v>
      </c>
      <c r="R471" s="9">
        <v>432.01</v>
      </c>
      <c r="S471" s="9">
        <v>913.78</v>
      </c>
      <c r="T471" s="9">
        <v>913.78</v>
      </c>
      <c r="U471" s="9">
        <f t="shared" si="39"/>
        <v>871.62430000000006</v>
      </c>
      <c r="V471" s="9">
        <f t="shared" si="37"/>
        <v>1624.865</v>
      </c>
      <c r="W471" s="9" t="str">
        <f t="shared" si="38"/>
        <v>Medium</v>
      </c>
      <c r="X471" t="s">
        <v>2065</v>
      </c>
      <c r="Y471" s="11">
        <v>4.9000000000000002E-2</v>
      </c>
      <c r="Z471" t="s">
        <v>2065</v>
      </c>
      <c r="AA471" s="13">
        <v>12</v>
      </c>
      <c r="AB471" s="9">
        <v>10428.057360000001</v>
      </c>
      <c r="AC471" s="9">
        <v>5184.12</v>
      </c>
      <c r="AD471" s="9">
        <v>5243.9373600000008</v>
      </c>
      <c r="AE471" s="11">
        <v>0.50286809699711899</v>
      </c>
    </row>
    <row r="472" spans="1:31" x14ac:dyDescent="0.3">
      <c r="A472" t="s">
        <v>485</v>
      </c>
      <c r="B472" s="4">
        <v>45167</v>
      </c>
      <c r="C472" s="4" t="str">
        <f t="shared" si="35"/>
        <v>Aug-2023</v>
      </c>
      <c r="D472" s="4" t="str">
        <f t="shared" si="36"/>
        <v>Q3-2023</v>
      </c>
      <c r="E472" s="4">
        <v>45188</v>
      </c>
      <c r="F472" t="s">
        <v>2064</v>
      </c>
      <c r="G472" s="4">
        <v>45188</v>
      </c>
      <c r="H472" s="13">
        <v>21</v>
      </c>
      <c r="I472" s="7" t="s">
        <v>649</v>
      </c>
      <c r="J472" s="7" t="s">
        <v>657</v>
      </c>
      <c r="K472" s="7" t="s">
        <v>679</v>
      </c>
      <c r="M472" s="7" t="s">
        <v>705</v>
      </c>
      <c r="N472" s="7" t="s">
        <v>711</v>
      </c>
      <c r="O472" s="7" t="s">
        <v>717</v>
      </c>
      <c r="P472" s="7" t="s">
        <v>728</v>
      </c>
      <c r="Q472" s="7" t="s">
        <v>1897</v>
      </c>
      <c r="R472" s="9">
        <v>784.46</v>
      </c>
      <c r="S472" s="9">
        <v>1843.51</v>
      </c>
      <c r="T472" s="9">
        <v>1843.51</v>
      </c>
      <c r="U472" s="9">
        <f t="shared" si="39"/>
        <v>867.12800000000004</v>
      </c>
      <c r="V472" s="9">
        <f t="shared" si="37"/>
        <v>1625.1200000000001</v>
      </c>
      <c r="W472" s="9" t="str">
        <f t="shared" si="38"/>
        <v>High</v>
      </c>
      <c r="X472" t="s">
        <v>2065</v>
      </c>
      <c r="Y472" s="11">
        <v>0.13800000000000001</v>
      </c>
      <c r="Z472" t="s">
        <v>2065</v>
      </c>
      <c r="AA472" s="13">
        <v>23</v>
      </c>
      <c r="AB472" s="9">
        <v>36549.429260000004</v>
      </c>
      <c r="AC472" s="9">
        <v>18042.580000000002</v>
      </c>
      <c r="AD472" s="9">
        <v>18506.849260000003</v>
      </c>
      <c r="AE472" s="11">
        <v>0.50635125184441798</v>
      </c>
    </row>
    <row r="473" spans="1:31" x14ac:dyDescent="0.3">
      <c r="A473" t="s">
        <v>486</v>
      </c>
      <c r="B473" s="4">
        <v>45841</v>
      </c>
      <c r="C473" s="4" t="str">
        <f t="shared" si="35"/>
        <v>Jul-2025</v>
      </c>
      <c r="D473" s="4" t="str">
        <f t="shared" si="36"/>
        <v>Q3-2025</v>
      </c>
      <c r="E473" s="4">
        <v>45861</v>
      </c>
      <c r="F473" t="s">
        <v>2064</v>
      </c>
      <c r="G473" s="4">
        <v>45861</v>
      </c>
      <c r="H473" s="13">
        <v>20</v>
      </c>
      <c r="I473" s="7" t="s">
        <v>647</v>
      </c>
      <c r="J473" s="7" t="s">
        <v>659</v>
      </c>
      <c r="K473" s="7" t="s">
        <v>699</v>
      </c>
      <c r="M473" s="7" t="s">
        <v>705</v>
      </c>
      <c r="N473" s="7" t="s">
        <v>708</v>
      </c>
      <c r="O473" s="7" t="s">
        <v>724</v>
      </c>
      <c r="P473" s="7" t="s">
        <v>727</v>
      </c>
      <c r="Q473" s="7" t="s">
        <v>1898</v>
      </c>
      <c r="R473" s="9">
        <v>647.36</v>
      </c>
      <c r="S473" s="9">
        <v>1383.6</v>
      </c>
      <c r="T473" s="9">
        <v>1383.6</v>
      </c>
      <c r="U473" s="9">
        <f t="shared" si="39"/>
        <v>864.6662</v>
      </c>
      <c r="V473" s="9">
        <f t="shared" si="37"/>
        <v>1622.9210000000005</v>
      </c>
      <c r="W473" s="9" t="str">
        <f t="shared" si="38"/>
        <v>Medium</v>
      </c>
      <c r="X473" t="s">
        <v>2065</v>
      </c>
      <c r="Y473" s="11">
        <v>7.3999999999999996E-2</v>
      </c>
      <c r="Z473" t="s">
        <v>2065</v>
      </c>
      <c r="AA473" s="13">
        <v>12</v>
      </c>
      <c r="AB473" s="9">
        <v>15374.563199999999</v>
      </c>
      <c r="AC473" s="9">
        <v>7768.32</v>
      </c>
      <c r="AD473" s="9">
        <v>7606.243199999999</v>
      </c>
      <c r="AE473" s="11">
        <v>0.49472906000997802</v>
      </c>
    </row>
    <row r="474" spans="1:31" x14ac:dyDescent="0.3">
      <c r="A474" t="s">
        <v>487</v>
      </c>
      <c r="B474" s="4">
        <v>45328</v>
      </c>
      <c r="C474" s="4" t="str">
        <f t="shared" si="35"/>
        <v>Feb-2024</v>
      </c>
      <c r="D474" s="4" t="str">
        <f t="shared" si="36"/>
        <v>Q1-2024</v>
      </c>
      <c r="E474" s="4">
        <v>45350</v>
      </c>
      <c r="F474" t="s">
        <v>2064</v>
      </c>
      <c r="G474" s="4">
        <v>45350</v>
      </c>
      <c r="H474" s="13">
        <v>22</v>
      </c>
      <c r="I474" s="7" t="s">
        <v>646</v>
      </c>
      <c r="J474" s="7" t="s">
        <v>650</v>
      </c>
      <c r="K474" s="7" t="s">
        <v>662</v>
      </c>
      <c r="M474" s="7" t="s">
        <v>703</v>
      </c>
      <c r="N474" s="7" t="s">
        <v>708</v>
      </c>
      <c r="O474" s="7" t="s">
        <v>723</v>
      </c>
      <c r="P474" s="7" t="s">
        <v>732</v>
      </c>
      <c r="Q474" s="7" t="s">
        <v>1899</v>
      </c>
      <c r="R474" s="9">
        <v>834.93</v>
      </c>
      <c r="S474" s="9">
        <v>1588.53</v>
      </c>
      <c r="T474" s="9">
        <v>1588.53</v>
      </c>
      <c r="U474" s="9">
        <f t="shared" si="39"/>
        <v>862.20439999999996</v>
      </c>
      <c r="V474" s="9">
        <f t="shared" si="37"/>
        <v>1624.88</v>
      </c>
      <c r="W474" s="9" t="str">
        <f t="shared" si="38"/>
        <v>Medium</v>
      </c>
      <c r="X474" t="s">
        <v>2065</v>
      </c>
      <c r="Y474" s="11">
        <v>0.126</v>
      </c>
      <c r="Z474" t="s">
        <v>2065</v>
      </c>
      <c r="AA474" s="13">
        <v>6</v>
      </c>
      <c r="AB474" s="9">
        <v>8330.2513199999994</v>
      </c>
      <c r="AC474" s="9">
        <v>5009.58</v>
      </c>
      <c r="AD474" s="9">
        <v>3320.6713199999995</v>
      </c>
      <c r="AE474" s="11">
        <v>0.39862798761274343</v>
      </c>
    </row>
    <row r="475" spans="1:31" x14ac:dyDescent="0.3">
      <c r="A475" t="s">
        <v>488</v>
      </c>
      <c r="B475" s="4">
        <v>45882</v>
      </c>
      <c r="C475" s="4" t="str">
        <f t="shared" si="35"/>
        <v>Aug-2025</v>
      </c>
      <c r="D475" s="4" t="str">
        <f t="shared" si="36"/>
        <v>Q3-2025</v>
      </c>
      <c r="E475" s="4">
        <v>45903</v>
      </c>
      <c r="F475" t="s">
        <v>2064</v>
      </c>
      <c r="G475" s="4">
        <v>45903</v>
      </c>
      <c r="H475" s="13">
        <v>21</v>
      </c>
      <c r="I475" s="7" t="s">
        <v>649</v>
      </c>
      <c r="J475" s="7" t="s">
        <v>657</v>
      </c>
      <c r="K475" s="7" t="s">
        <v>690</v>
      </c>
      <c r="M475" s="7" t="s">
        <v>702</v>
      </c>
      <c r="N475" s="7" t="s">
        <v>707</v>
      </c>
      <c r="O475" s="7" t="s">
        <v>714</v>
      </c>
      <c r="P475" s="7" t="s">
        <v>730</v>
      </c>
      <c r="Q475" s="7" t="s">
        <v>1900</v>
      </c>
      <c r="R475" s="9">
        <v>603.47</v>
      </c>
      <c r="S475" s="9">
        <v>1344.05</v>
      </c>
      <c r="T475" s="9">
        <v>1344.05</v>
      </c>
      <c r="U475" s="9">
        <f t="shared" si="39"/>
        <v>856.95720000000006</v>
      </c>
      <c r="V475" s="9">
        <f t="shared" si="37"/>
        <v>1625.135</v>
      </c>
      <c r="W475" s="9" t="str">
        <f t="shared" si="38"/>
        <v>Medium</v>
      </c>
      <c r="X475" t="s">
        <v>2065</v>
      </c>
      <c r="Y475" s="11">
        <v>0.20499999999999999</v>
      </c>
      <c r="Z475" t="s">
        <v>2065</v>
      </c>
      <c r="AA475" s="13">
        <v>18</v>
      </c>
      <c r="AB475" s="9">
        <v>19233.355499999998</v>
      </c>
      <c r="AC475" s="9">
        <v>10862.460000000001</v>
      </c>
      <c r="AD475" s="9">
        <v>8370.8954999999969</v>
      </c>
      <c r="AE475" s="11">
        <v>0.43522803392262976</v>
      </c>
    </row>
    <row r="476" spans="1:31" x14ac:dyDescent="0.3">
      <c r="A476" t="s">
        <v>489</v>
      </c>
      <c r="B476" s="4">
        <v>45069</v>
      </c>
      <c r="C476" s="4" t="str">
        <f t="shared" si="35"/>
        <v>May-2023</v>
      </c>
      <c r="D476" s="4" t="str">
        <f t="shared" si="36"/>
        <v>Q2-2023</v>
      </c>
      <c r="E476" s="4">
        <v>45071</v>
      </c>
      <c r="F476" t="s">
        <v>2064</v>
      </c>
      <c r="G476" s="4">
        <v>45071</v>
      </c>
      <c r="H476" s="13">
        <v>2</v>
      </c>
      <c r="I476" s="7" t="s">
        <v>648</v>
      </c>
      <c r="J476" s="7" t="s">
        <v>655</v>
      </c>
      <c r="K476" s="7" t="s">
        <v>1426</v>
      </c>
      <c r="M476" s="7" t="s">
        <v>706</v>
      </c>
      <c r="N476" s="7" t="s">
        <v>707</v>
      </c>
      <c r="O476" s="7" t="s">
        <v>724</v>
      </c>
      <c r="P476" s="7" t="s">
        <v>728</v>
      </c>
      <c r="Q476" s="7" t="s">
        <v>1901</v>
      </c>
      <c r="R476" s="9">
        <v>690.49</v>
      </c>
      <c r="S476" s="9">
        <v>1290.29</v>
      </c>
      <c r="T476" s="9">
        <v>1290.29</v>
      </c>
      <c r="U476" s="9">
        <f t="shared" si="39"/>
        <v>849.6576</v>
      </c>
      <c r="V476" s="9">
        <f t="shared" si="37"/>
        <v>1625.39</v>
      </c>
      <c r="W476" s="9" t="str">
        <f t="shared" si="38"/>
        <v>Medium</v>
      </c>
      <c r="X476" t="s">
        <v>2065</v>
      </c>
      <c r="Y476" s="11">
        <v>4.2000000000000003E-2</v>
      </c>
      <c r="Z476" t="s">
        <v>2065</v>
      </c>
      <c r="AA476" s="13">
        <v>22</v>
      </c>
      <c r="AB476" s="9">
        <v>27194.152039999997</v>
      </c>
      <c r="AC476" s="9">
        <v>15190.78</v>
      </c>
      <c r="AD476" s="9">
        <v>12003.372039999997</v>
      </c>
      <c r="AE476" s="11">
        <v>0.44139534199647718</v>
      </c>
    </row>
    <row r="477" spans="1:31" x14ac:dyDescent="0.3">
      <c r="A477" t="s">
        <v>490</v>
      </c>
      <c r="B477" s="4">
        <v>45422</v>
      </c>
      <c r="C477" s="4" t="str">
        <f t="shared" si="35"/>
        <v>May-2024</v>
      </c>
      <c r="D477" s="4" t="str">
        <f t="shared" si="36"/>
        <v>Q2-2024</v>
      </c>
      <c r="E477" s="4">
        <v>45428</v>
      </c>
      <c r="F477" t="s">
        <v>2064</v>
      </c>
      <c r="G477" s="4">
        <v>45428</v>
      </c>
      <c r="H477" s="13">
        <v>6</v>
      </c>
      <c r="I477" s="7" t="s">
        <v>649</v>
      </c>
      <c r="J477" s="7" t="s">
        <v>658</v>
      </c>
      <c r="K477" s="7" t="s">
        <v>674</v>
      </c>
      <c r="M477" s="7" t="s">
        <v>703</v>
      </c>
      <c r="N477" s="7" t="s">
        <v>711</v>
      </c>
      <c r="O477" s="7" t="s">
        <v>715</v>
      </c>
      <c r="P477" s="7" t="s">
        <v>731</v>
      </c>
      <c r="Q477" s="7" t="s">
        <v>1902</v>
      </c>
      <c r="R477" s="9">
        <v>210.76</v>
      </c>
      <c r="S477" s="9">
        <v>221.58</v>
      </c>
      <c r="T477" s="9">
        <v>221.58</v>
      </c>
      <c r="U477" s="9">
        <f t="shared" si="39"/>
        <v>842.35800000000006</v>
      </c>
      <c r="V477" s="9">
        <f t="shared" si="37"/>
        <v>1626.9110000000001</v>
      </c>
      <c r="W477" s="9" t="str">
        <f t="shared" si="38"/>
        <v>Low</v>
      </c>
      <c r="X477" t="s">
        <v>2065</v>
      </c>
      <c r="Y477" s="11">
        <v>8.8999999999999996E-2</v>
      </c>
      <c r="Z477" t="s">
        <v>2065</v>
      </c>
      <c r="AA477" s="13">
        <v>5</v>
      </c>
      <c r="AB477" s="9">
        <v>1009.2969000000002</v>
      </c>
      <c r="AC477" s="9">
        <v>1053.8</v>
      </c>
      <c r="AD477" s="9">
        <v>-44.50309999999979</v>
      </c>
      <c r="AE477" s="11">
        <v>-4.4093170205912434E-2</v>
      </c>
    </row>
    <row r="478" spans="1:31" x14ac:dyDescent="0.3">
      <c r="A478" t="s">
        <v>491</v>
      </c>
      <c r="B478" s="4">
        <v>44999</v>
      </c>
      <c r="C478" s="4" t="str">
        <f t="shared" si="35"/>
        <v>Mar-2023</v>
      </c>
      <c r="D478" s="4" t="str">
        <f t="shared" si="36"/>
        <v>Q1-2023</v>
      </c>
      <c r="E478" s="4">
        <v>45003</v>
      </c>
      <c r="F478" t="s">
        <v>2064</v>
      </c>
      <c r="G478" s="4">
        <v>45003</v>
      </c>
      <c r="H478" s="13">
        <v>4</v>
      </c>
      <c r="I478" s="7" t="s">
        <v>649</v>
      </c>
      <c r="J478" s="7" t="s">
        <v>656</v>
      </c>
      <c r="K478" s="7" t="s">
        <v>698</v>
      </c>
      <c r="M478" s="7" t="s">
        <v>706</v>
      </c>
      <c r="N478" s="7" t="s">
        <v>711</v>
      </c>
      <c r="O478" s="7" t="s">
        <v>720</v>
      </c>
      <c r="P478" s="7" t="s">
        <v>727</v>
      </c>
      <c r="Q478" s="7" t="s">
        <v>1903</v>
      </c>
      <c r="R478" s="9">
        <v>472.33</v>
      </c>
      <c r="S478" s="9">
        <v>360.34</v>
      </c>
      <c r="T478" s="9">
        <v>360.34</v>
      </c>
      <c r="U478" s="9">
        <f t="shared" si="39"/>
        <v>857.17840000000001</v>
      </c>
      <c r="V478" s="9">
        <f t="shared" si="37"/>
        <v>1628.6008000000002</v>
      </c>
      <c r="W478" s="9" t="str">
        <f t="shared" si="38"/>
        <v>Low</v>
      </c>
      <c r="X478" t="s">
        <v>2065</v>
      </c>
      <c r="Y478" s="11">
        <v>0.16500000000000001</v>
      </c>
      <c r="Z478" t="s">
        <v>2065</v>
      </c>
      <c r="AA478" s="13">
        <v>14</v>
      </c>
      <c r="AB478" s="9">
        <v>4212.3745999999992</v>
      </c>
      <c r="AC478" s="9">
        <v>6612.62</v>
      </c>
      <c r="AD478" s="9">
        <v>-2400.2454000000007</v>
      </c>
      <c r="AE478" s="11">
        <v>-0.56980815523861561</v>
      </c>
    </row>
    <row r="479" spans="1:31" x14ac:dyDescent="0.3">
      <c r="A479" t="s">
        <v>492</v>
      </c>
      <c r="B479" s="4">
        <v>45123</v>
      </c>
      <c r="C479" s="4" t="str">
        <f t="shared" si="35"/>
        <v>Jul-2023</v>
      </c>
      <c r="D479" s="4" t="str">
        <f t="shared" si="36"/>
        <v>Q3-2023</v>
      </c>
      <c r="E479" s="4">
        <v>45151</v>
      </c>
      <c r="F479" t="s">
        <v>2064</v>
      </c>
      <c r="G479" s="4">
        <v>45151</v>
      </c>
      <c r="H479" s="13">
        <v>28</v>
      </c>
      <c r="I479" s="7" t="s">
        <v>649</v>
      </c>
      <c r="J479" s="7" t="s">
        <v>658</v>
      </c>
      <c r="K479" s="7" t="s">
        <v>693</v>
      </c>
      <c r="M479" s="7" t="s">
        <v>703</v>
      </c>
      <c r="N479" s="7" t="s">
        <v>708</v>
      </c>
      <c r="O479" s="7" t="s">
        <v>713</v>
      </c>
      <c r="P479" s="7" t="s">
        <v>731</v>
      </c>
      <c r="Q479" s="7" t="s">
        <v>1904</v>
      </c>
      <c r="R479" s="9">
        <v>1039.03</v>
      </c>
      <c r="S479" s="9">
        <v>2545.81</v>
      </c>
      <c r="T479" s="9">
        <v>2545.81</v>
      </c>
      <c r="U479" s="9">
        <f t="shared" si="39"/>
        <v>864.81539999999995</v>
      </c>
      <c r="V479" s="9">
        <f t="shared" si="37"/>
        <v>1630.2906</v>
      </c>
      <c r="W479" s="9" t="str">
        <f t="shared" si="38"/>
        <v>High</v>
      </c>
      <c r="X479" t="s">
        <v>2065</v>
      </c>
      <c r="Y479" s="11">
        <v>0.216</v>
      </c>
      <c r="Z479" t="s">
        <v>2065</v>
      </c>
      <c r="AA479" s="13">
        <v>21</v>
      </c>
      <c r="AB479" s="9">
        <v>41914.215840000004</v>
      </c>
      <c r="AC479" s="9">
        <v>21819.63</v>
      </c>
      <c r="AD479" s="9">
        <v>20094.585840000003</v>
      </c>
      <c r="AE479" s="11">
        <v>0.47942172929364774</v>
      </c>
    </row>
    <row r="480" spans="1:31" x14ac:dyDescent="0.3">
      <c r="A480" t="s">
        <v>493</v>
      </c>
      <c r="B480" s="4">
        <v>45032</v>
      </c>
      <c r="C480" s="4" t="str">
        <f t="shared" si="35"/>
        <v>Apr-2023</v>
      </c>
      <c r="D480" s="4" t="str">
        <f t="shared" si="36"/>
        <v>Q2-2023</v>
      </c>
      <c r="E480" s="4">
        <v>45035</v>
      </c>
      <c r="F480" t="s">
        <v>2064</v>
      </c>
      <c r="G480" s="4">
        <v>45035</v>
      </c>
      <c r="H480" s="13">
        <v>3</v>
      </c>
      <c r="I480" s="7" t="s">
        <v>649</v>
      </c>
      <c r="J480" s="7" t="s">
        <v>656</v>
      </c>
      <c r="K480" s="7" t="s">
        <v>684</v>
      </c>
      <c r="M480" s="7" t="s">
        <v>701</v>
      </c>
      <c r="N480" s="7" t="s">
        <v>711</v>
      </c>
      <c r="O480" s="7" t="s">
        <v>717</v>
      </c>
      <c r="P480" s="7" t="s">
        <v>733</v>
      </c>
      <c r="Q480" s="7" t="s">
        <v>1905</v>
      </c>
      <c r="R480" s="9">
        <v>553.61</v>
      </c>
      <c r="S480" s="9">
        <v>699.47</v>
      </c>
      <c r="T480" s="9">
        <v>699.47</v>
      </c>
      <c r="U480" s="9">
        <f t="shared" si="39"/>
        <v>862.35360000000003</v>
      </c>
      <c r="V480" s="9">
        <f t="shared" si="37"/>
        <v>1627.0104000000001</v>
      </c>
      <c r="W480" s="9" t="str">
        <f t="shared" si="38"/>
        <v>Low</v>
      </c>
      <c r="X480" t="s">
        <v>2065</v>
      </c>
      <c r="Y480" s="11">
        <v>0.02</v>
      </c>
      <c r="Z480" t="s">
        <v>2065</v>
      </c>
      <c r="AA480" s="13">
        <v>33</v>
      </c>
      <c r="AB480" s="9">
        <v>22620.859800000002</v>
      </c>
      <c r="AC480" s="9">
        <v>18269.13</v>
      </c>
      <c r="AD480" s="9">
        <v>4351.729800000001</v>
      </c>
      <c r="AE480" s="11">
        <v>0.19237685209472014</v>
      </c>
    </row>
    <row r="481" spans="1:31" x14ac:dyDescent="0.3">
      <c r="A481" t="s">
        <v>494</v>
      </c>
      <c r="B481" s="4">
        <v>45293</v>
      </c>
      <c r="C481" s="4" t="str">
        <f t="shared" si="35"/>
        <v>Jan-2024</v>
      </c>
      <c r="D481" s="4" t="str">
        <f t="shared" si="36"/>
        <v>Q1-2024</v>
      </c>
      <c r="E481" s="4">
        <v>45306</v>
      </c>
      <c r="F481" t="s">
        <v>2064</v>
      </c>
      <c r="G481" s="4">
        <v>45306</v>
      </c>
      <c r="H481" s="13">
        <v>13</v>
      </c>
      <c r="I481" s="7" t="s">
        <v>647</v>
      </c>
      <c r="J481" s="7" t="s">
        <v>652</v>
      </c>
      <c r="K481" s="7" t="s">
        <v>694</v>
      </c>
      <c r="M481" s="7" t="s">
        <v>705</v>
      </c>
      <c r="N481" s="7" t="s">
        <v>709</v>
      </c>
      <c r="O481" s="7" t="s">
        <v>715</v>
      </c>
      <c r="P481" s="7" t="s">
        <v>729</v>
      </c>
      <c r="Q481" s="7" t="s">
        <v>1906</v>
      </c>
      <c r="R481" s="9">
        <v>1219.06</v>
      </c>
      <c r="S481" s="9">
        <v>2738.69</v>
      </c>
      <c r="T481" s="9">
        <v>2738.69</v>
      </c>
      <c r="U481" s="9">
        <f t="shared" si="39"/>
        <v>867.35180000000003</v>
      </c>
      <c r="V481" s="9">
        <f t="shared" si="37"/>
        <v>1628.7002000000002</v>
      </c>
      <c r="W481" s="9" t="str">
        <f t="shared" si="38"/>
        <v>High</v>
      </c>
      <c r="X481" t="s">
        <v>2065</v>
      </c>
      <c r="Y481" s="11">
        <v>7.5999999999999998E-2</v>
      </c>
      <c r="Z481" t="s">
        <v>2065</v>
      </c>
      <c r="AA481" s="13">
        <v>16</v>
      </c>
      <c r="AB481" s="9">
        <v>40488.792960000006</v>
      </c>
      <c r="AC481" s="9">
        <v>19504.96</v>
      </c>
      <c r="AD481" s="9">
        <v>20983.832960000007</v>
      </c>
      <c r="AE481" s="11">
        <v>0.51826274447673737</v>
      </c>
    </row>
    <row r="482" spans="1:31" x14ac:dyDescent="0.3">
      <c r="A482" t="s">
        <v>495</v>
      </c>
      <c r="B482" s="4">
        <v>45538</v>
      </c>
      <c r="C482" s="4" t="str">
        <f t="shared" si="35"/>
        <v>Sep-2024</v>
      </c>
      <c r="D482" s="4" t="str">
        <f t="shared" si="36"/>
        <v>Q3-2024</v>
      </c>
      <c r="E482" s="4">
        <v>45542</v>
      </c>
      <c r="F482" t="s">
        <v>2064</v>
      </c>
      <c r="G482" s="4">
        <v>45542</v>
      </c>
      <c r="H482" s="13">
        <v>4</v>
      </c>
      <c r="I482" s="7" t="s">
        <v>647</v>
      </c>
      <c r="J482" s="7" t="s">
        <v>652</v>
      </c>
      <c r="K482" s="7" t="s">
        <v>689</v>
      </c>
      <c r="M482" s="7" t="s">
        <v>705</v>
      </c>
      <c r="N482" s="7" t="s">
        <v>710</v>
      </c>
      <c r="O482" s="7" t="s">
        <v>725</v>
      </c>
      <c r="P482" s="7" t="s">
        <v>728</v>
      </c>
      <c r="Q482" s="7" t="s">
        <v>1907</v>
      </c>
      <c r="R482" s="9">
        <v>43.23</v>
      </c>
      <c r="S482" s="9">
        <v>94.78</v>
      </c>
      <c r="T482" s="9">
        <v>94.78</v>
      </c>
      <c r="U482" s="9">
        <f t="shared" si="39"/>
        <v>864.89</v>
      </c>
      <c r="V482" s="9">
        <f t="shared" si="37"/>
        <v>1625.42</v>
      </c>
      <c r="W482" s="9" t="str">
        <f t="shared" si="38"/>
        <v>Low</v>
      </c>
      <c r="X482" t="s">
        <v>2065</v>
      </c>
      <c r="Y482" s="11">
        <v>9.0999999999999998E-2</v>
      </c>
      <c r="Z482" t="s">
        <v>2065</v>
      </c>
      <c r="AA482" s="13">
        <v>55</v>
      </c>
      <c r="AB482" s="9">
        <v>4738.5261</v>
      </c>
      <c r="AC482" s="9">
        <v>2377.6499999999996</v>
      </c>
      <c r="AD482" s="9">
        <v>2360.8761000000004</v>
      </c>
      <c r="AE482" s="11">
        <v>0.49823005090127082</v>
      </c>
    </row>
    <row r="483" spans="1:31" x14ac:dyDescent="0.3">
      <c r="A483" t="s">
        <v>496</v>
      </c>
      <c r="B483" s="4">
        <v>45899</v>
      </c>
      <c r="C483" s="4" t="str">
        <f t="shared" si="35"/>
        <v>Aug-2025</v>
      </c>
      <c r="D483" s="4" t="str">
        <f t="shared" si="36"/>
        <v>Q3-2025</v>
      </c>
      <c r="E483" s="4">
        <v>45903</v>
      </c>
      <c r="F483" t="s">
        <v>2064</v>
      </c>
      <c r="G483" s="4">
        <v>45903</v>
      </c>
      <c r="H483" s="13">
        <v>4</v>
      </c>
      <c r="I483" s="7" t="s">
        <v>649</v>
      </c>
      <c r="J483" s="7" t="s">
        <v>657</v>
      </c>
      <c r="K483" s="7" t="s">
        <v>673</v>
      </c>
      <c r="M483" s="7" t="s">
        <v>705</v>
      </c>
      <c r="N483" s="7" t="s">
        <v>709</v>
      </c>
      <c r="O483" s="7" t="s">
        <v>713</v>
      </c>
      <c r="P483" s="7" t="s">
        <v>731</v>
      </c>
      <c r="Q483" s="7" t="s">
        <v>1908</v>
      </c>
      <c r="R483" s="9">
        <v>1286.56</v>
      </c>
      <c r="S483" s="9">
        <v>2777.35</v>
      </c>
      <c r="T483" s="9">
        <v>2777.35</v>
      </c>
      <c r="U483" s="9">
        <f t="shared" si="39"/>
        <v>872.54870000000005</v>
      </c>
      <c r="V483" s="9">
        <f t="shared" si="37"/>
        <v>1627.1098000000002</v>
      </c>
      <c r="W483" s="9" t="str">
        <f t="shared" si="38"/>
        <v>High</v>
      </c>
      <c r="X483" t="s">
        <v>2065</v>
      </c>
      <c r="Y483" s="11">
        <v>0.13200000000000001</v>
      </c>
      <c r="Z483" t="s">
        <v>2065</v>
      </c>
      <c r="AA483" s="13">
        <v>15</v>
      </c>
      <c r="AB483" s="9">
        <v>36161.097000000002</v>
      </c>
      <c r="AC483" s="9">
        <v>19298.399999999998</v>
      </c>
      <c r="AD483" s="9">
        <v>16862.697000000004</v>
      </c>
      <c r="AE483" s="11">
        <v>0.46632150014696744</v>
      </c>
    </row>
    <row r="484" spans="1:31" x14ac:dyDescent="0.3">
      <c r="A484" t="s">
        <v>497</v>
      </c>
      <c r="B484" s="4">
        <v>45775</v>
      </c>
      <c r="C484" s="4" t="str">
        <f t="shared" si="35"/>
        <v>Apr-2025</v>
      </c>
      <c r="D484" s="4" t="str">
        <f t="shared" si="36"/>
        <v>Q2-2025</v>
      </c>
      <c r="E484" s="4">
        <v>45796</v>
      </c>
      <c r="F484" t="s">
        <v>2064</v>
      </c>
      <c r="G484" s="4">
        <v>45796</v>
      </c>
      <c r="H484" s="13">
        <v>21</v>
      </c>
      <c r="I484" s="7" t="s">
        <v>649</v>
      </c>
      <c r="J484" s="7" t="s">
        <v>656</v>
      </c>
      <c r="K484" s="7" t="s">
        <v>671</v>
      </c>
      <c r="M484" s="7" t="s">
        <v>701</v>
      </c>
      <c r="N484" s="7" t="s">
        <v>710</v>
      </c>
      <c r="O484" s="7" t="s">
        <v>717</v>
      </c>
      <c r="P484" s="7" t="s">
        <v>730</v>
      </c>
      <c r="Q484" s="7" t="s">
        <v>1909</v>
      </c>
      <c r="R484" s="9">
        <v>350.76</v>
      </c>
      <c r="S484" s="9">
        <v>492.18</v>
      </c>
      <c r="T484" s="9">
        <v>492.18</v>
      </c>
      <c r="U484" s="9">
        <f t="shared" si="39"/>
        <v>867.42640000000006</v>
      </c>
      <c r="V484" s="9">
        <f t="shared" si="37"/>
        <v>1625.18</v>
      </c>
      <c r="W484" s="9" t="str">
        <f t="shared" si="38"/>
        <v>Low</v>
      </c>
      <c r="X484" t="s">
        <v>2065</v>
      </c>
      <c r="Y484" s="11">
        <v>5.2999999999999999E-2</v>
      </c>
      <c r="Z484" t="s">
        <v>2065</v>
      </c>
      <c r="AA484" s="13">
        <v>11</v>
      </c>
      <c r="AB484" s="9">
        <v>5127.0390600000001</v>
      </c>
      <c r="AC484" s="9">
        <v>3858.3599999999997</v>
      </c>
      <c r="AD484" s="9">
        <v>1268.6790600000004</v>
      </c>
      <c r="AE484" s="11">
        <v>0.24744868239798437</v>
      </c>
    </row>
    <row r="485" spans="1:31" x14ac:dyDescent="0.3">
      <c r="A485" t="s">
        <v>498</v>
      </c>
      <c r="B485" s="4">
        <v>45148</v>
      </c>
      <c r="C485" s="4" t="str">
        <f t="shared" si="35"/>
        <v>Aug-2023</v>
      </c>
      <c r="D485" s="4" t="str">
        <f t="shared" si="36"/>
        <v>Q3-2023</v>
      </c>
      <c r="E485" s="4">
        <v>45153</v>
      </c>
      <c r="F485" t="s">
        <v>2064</v>
      </c>
      <c r="G485" s="4">
        <v>45153</v>
      </c>
      <c r="H485" s="13">
        <v>5</v>
      </c>
      <c r="I485" s="7" t="s">
        <v>648</v>
      </c>
      <c r="J485" s="7" t="s">
        <v>655</v>
      </c>
      <c r="K485" s="7" t="s">
        <v>670</v>
      </c>
      <c r="M485" s="7" t="s">
        <v>702</v>
      </c>
      <c r="N485" s="7" t="s">
        <v>711</v>
      </c>
      <c r="O485" s="7" t="s">
        <v>715</v>
      </c>
      <c r="P485" s="7" t="s">
        <v>729</v>
      </c>
      <c r="Q485" s="7" t="s">
        <v>1910</v>
      </c>
      <c r="R485" s="9">
        <v>1307.52</v>
      </c>
      <c r="S485" s="9">
        <v>1921.65</v>
      </c>
      <c r="T485" s="9">
        <v>1921.65</v>
      </c>
      <c r="U485" s="9">
        <f t="shared" si="39"/>
        <v>880.40610000000015</v>
      </c>
      <c r="V485" s="9">
        <f t="shared" si="37"/>
        <v>1625.5194000000001</v>
      </c>
      <c r="W485" s="9" t="str">
        <f t="shared" si="38"/>
        <v>High</v>
      </c>
      <c r="X485" t="s">
        <v>2065</v>
      </c>
      <c r="Y485" s="11">
        <v>0.123</v>
      </c>
      <c r="Z485" t="s">
        <v>2065</v>
      </c>
      <c r="AA485" s="13">
        <v>13</v>
      </c>
      <c r="AB485" s="9">
        <v>21908.731650000002</v>
      </c>
      <c r="AC485" s="9">
        <v>16997.759999999998</v>
      </c>
      <c r="AD485" s="9">
        <v>4910.9716500000031</v>
      </c>
      <c r="AE485" s="11">
        <v>0.22415590863289445</v>
      </c>
    </row>
    <row r="486" spans="1:31" x14ac:dyDescent="0.3">
      <c r="A486" t="s">
        <v>499</v>
      </c>
      <c r="B486" s="4">
        <v>45634</v>
      </c>
      <c r="C486" s="4" t="str">
        <f t="shared" si="35"/>
        <v>Dec-2024</v>
      </c>
      <c r="D486" s="4" t="str">
        <f t="shared" si="36"/>
        <v>Q4-2024</v>
      </c>
      <c r="E486" s="4">
        <v>45634</v>
      </c>
      <c r="F486" t="s">
        <v>2064</v>
      </c>
      <c r="G486" s="4">
        <v>45634</v>
      </c>
      <c r="H486" s="13">
        <v>0</v>
      </c>
      <c r="I486" s="7" t="s">
        <v>649</v>
      </c>
      <c r="J486" s="7" t="s">
        <v>657</v>
      </c>
      <c r="K486" s="7" t="s">
        <v>679</v>
      </c>
      <c r="M486" s="7" t="s">
        <v>706</v>
      </c>
      <c r="N486" s="7" t="s">
        <v>707</v>
      </c>
      <c r="O486" s="7" t="s">
        <v>722</v>
      </c>
      <c r="P486" s="7" t="s">
        <v>727</v>
      </c>
      <c r="Q486" s="7" t="s">
        <v>1911</v>
      </c>
      <c r="R486" s="9">
        <v>257.44</v>
      </c>
      <c r="S486" s="9">
        <v>290.33</v>
      </c>
      <c r="T486" s="9">
        <v>290.33</v>
      </c>
      <c r="U486" s="9">
        <f t="shared" si="39"/>
        <v>872.77980000000002</v>
      </c>
      <c r="V486" s="9">
        <f t="shared" si="37"/>
        <v>1624.94</v>
      </c>
      <c r="W486" s="9" t="str">
        <f t="shared" si="38"/>
        <v>Low</v>
      </c>
      <c r="X486" t="s">
        <v>2065</v>
      </c>
      <c r="Y486" s="11">
        <v>9.1999999999999998E-2</v>
      </c>
      <c r="Z486" t="s">
        <v>2065</v>
      </c>
      <c r="AA486" s="13">
        <v>23</v>
      </c>
      <c r="AB486" s="9">
        <v>6063.2517199999993</v>
      </c>
      <c r="AC486" s="9">
        <v>5921.12</v>
      </c>
      <c r="AD486" s="9">
        <v>142.1317199999994</v>
      </c>
      <c r="AE486" s="11">
        <v>2.3441500792581216E-2</v>
      </c>
    </row>
    <row r="487" spans="1:31" x14ac:dyDescent="0.3">
      <c r="A487" t="s">
        <v>500</v>
      </c>
      <c r="B487" s="4">
        <v>45224</v>
      </c>
      <c r="C487" s="4" t="str">
        <f t="shared" si="35"/>
        <v>Oct-2023</v>
      </c>
      <c r="D487" s="4" t="str">
        <f t="shared" si="36"/>
        <v>Q4-2023</v>
      </c>
      <c r="E487" s="4">
        <v>45254</v>
      </c>
      <c r="F487" t="s">
        <v>2064</v>
      </c>
      <c r="G487" s="4">
        <v>45254</v>
      </c>
      <c r="H487" s="13">
        <v>30</v>
      </c>
      <c r="I487" s="7" t="s">
        <v>649</v>
      </c>
      <c r="J487" s="7" t="s">
        <v>657</v>
      </c>
      <c r="K487" s="7" t="s">
        <v>690</v>
      </c>
      <c r="M487" s="7" t="s">
        <v>706</v>
      </c>
      <c r="N487" s="7" t="s">
        <v>710</v>
      </c>
      <c r="O487" s="7" t="s">
        <v>712</v>
      </c>
      <c r="P487" s="7" t="s">
        <v>730</v>
      </c>
      <c r="Q487" s="7" t="s">
        <v>1912</v>
      </c>
      <c r="R487" s="9">
        <v>287.85000000000002</v>
      </c>
      <c r="S487" s="9">
        <v>602.91999999999996</v>
      </c>
      <c r="T487" s="9">
        <v>602.91999999999996</v>
      </c>
      <c r="U487" s="9">
        <f t="shared" si="39"/>
        <v>888.26350000000002</v>
      </c>
      <c r="V487" s="9">
        <f t="shared" si="37"/>
        <v>1625.1950000000002</v>
      </c>
      <c r="W487" s="9" t="str">
        <f t="shared" si="38"/>
        <v>Low</v>
      </c>
      <c r="X487" t="s">
        <v>2065</v>
      </c>
      <c r="Y487" s="11">
        <v>0.222</v>
      </c>
      <c r="Z487" t="s">
        <v>2065</v>
      </c>
      <c r="AA487" s="13">
        <v>11</v>
      </c>
      <c r="AB487" s="9">
        <v>5159.7893599999998</v>
      </c>
      <c r="AC487" s="9">
        <v>3166.3500000000004</v>
      </c>
      <c r="AD487" s="9">
        <v>1993.4393599999994</v>
      </c>
      <c r="AE487" s="11">
        <v>0.38634122847216373</v>
      </c>
    </row>
    <row r="488" spans="1:31" x14ac:dyDescent="0.3">
      <c r="A488" t="s">
        <v>501</v>
      </c>
      <c r="B488" s="4">
        <v>45613</v>
      </c>
      <c r="C488" s="4" t="str">
        <f t="shared" si="35"/>
        <v>Nov-2024</v>
      </c>
      <c r="D488" s="4" t="str">
        <f t="shared" si="36"/>
        <v>Q4-2024</v>
      </c>
      <c r="E488" s="4">
        <v>45624</v>
      </c>
      <c r="F488" t="s">
        <v>2064</v>
      </c>
      <c r="G488" s="4">
        <v>45624</v>
      </c>
      <c r="H488" s="13">
        <v>11</v>
      </c>
      <c r="I488" s="7" t="s">
        <v>648</v>
      </c>
      <c r="J488" s="7" t="s">
        <v>653</v>
      </c>
      <c r="K488" s="7" t="s">
        <v>2057</v>
      </c>
      <c r="M488" s="7" t="s">
        <v>704</v>
      </c>
      <c r="N488" s="7" t="s">
        <v>710</v>
      </c>
      <c r="O488" s="7" t="s">
        <v>720</v>
      </c>
      <c r="P488" s="7" t="s">
        <v>728</v>
      </c>
      <c r="Q488" s="7" t="s">
        <v>1913</v>
      </c>
      <c r="R488" s="9">
        <v>1008.16</v>
      </c>
      <c r="S488" s="9">
        <v>2077.5</v>
      </c>
      <c r="T488" s="9">
        <v>2077.5</v>
      </c>
      <c r="U488" s="9">
        <f t="shared" si="39"/>
        <v>896.80000000000007</v>
      </c>
      <c r="V488" s="9">
        <f t="shared" si="37"/>
        <v>1625.6188000000002</v>
      </c>
      <c r="W488" s="9" t="str">
        <f t="shared" si="38"/>
        <v>High</v>
      </c>
      <c r="X488" t="s">
        <v>2065</v>
      </c>
      <c r="Y488" s="11">
        <v>7.3999999999999996E-2</v>
      </c>
      <c r="Z488" t="s">
        <v>2065</v>
      </c>
      <c r="AA488" s="13">
        <v>15</v>
      </c>
      <c r="AB488" s="9">
        <v>28856.475000000002</v>
      </c>
      <c r="AC488" s="9">
        <v>15122.4</v>
      </c>
      <c r="AD488" s="9">
        <v>13734.075000000003</v>
      </c>
      <c r="AE488" s="11">
        <v>0.47594430712691005</v>
      </c>
    </row>
    <row r="489" spans="1:31" x14ac:dyDescent="0.3">
      <c r="A489" t="s">
        <v>502</v>
      </c>
      <c r="B489" s="4">
        <v>45424</v>
      </c>
      <c r="C489" s="4" t="str">
        <f t="shared" si="35"/>
        <v>May-2024</v>
      </c>
      <c r="D489" s="4" t="str">
        <f t="shared" si="36"/>
        <v>Q2-2024</v>
      </c>
      <c r="E489" s="4">
        <v>45436</v>
      </c>
      <c r="F489" t="s">
        <v>2064</v>
      </c>
      <c r="G489" s="4">
        <v>45436</v>
      </c>
      <c r="H489" s="13">
        <v>12</v>
      </c>
      <c r="I489" s="7" t="s">
        <v>649</v>
      </c>
      <c r="J489" s="7" t="s">
        <v>658</v>
      </c>
      <c r="K489" s="7" t="s">
        <v>693</v>
      </c>
      <c r="M489" s="7" t="s">
        <v>702</v>
      </c>
      <c r="N489" s="7" t="s">
        <v>709</v>
      </c>
      <c r="O489" s="7" t="s">
        <v>723</v>
      </c>
      <c r="P489" s="7" t="s">
        <v>728</v>
      </c>
      <c r="Q489" s="7" t="s">
        <v>1914</v>
      </c>
      <c r="R489" s="9">
        <v>111.02</v>
      </c>
      <c r="S489" s="9">
        <v>172.88</v>
      </c>
      <c r="T489" s="9">
        <v>172.88</v>
      </c>
      <c r="U489" s="9">
        <f t="shared" si="39"/>
        <v>893.5825000000001</v>
      </c>
      <c r="V489" s="9">
        <f t="shared" si="37"/>
        <v>1624.9550000000002</v>
      </c>
      <c r="W489" s="9" t="str">
        <f t="shared" si="38"/>
        <v>Low</v>
      </c>
      <c r="X489" t="s">
        <v>2065</v>
      </c>
      <c r="Y489" s="11">
        <v>0.19700000000000001</v>
      </c>
      <c r="Z489" t="s">
        <v>2065</v>
      </c>
      <c r="AA489" s="13">
        <v>29</v>
      </c>
      <c r="AB489" s="9">
        <v>4025.8565599999993</v>
      </c>
      <c r="AC489" s="9">
        <v>3219.58</v>
      </c>
      <c r="AD489" s="9">
        <v>806.27655999999934</v>
      </c>
      <c r="AE489" s="11">
        <v>0.20027453735212053</v>
      </c>
    </row>
    <row r="490" spans="1:31" x14ac:dyDescent="0.3">
      <c r="A490" t="s">
        <v>503</v>
      </c>
      <c r="B490" s="4">
        <v>45792</v>
      </c>
      <c r="C490" s="4" t="str">
        <f t="shared" si="35"/>
        <v>May-2025</v>
      </c>
      <c r="D490" s="4" t="str">
        <f t="shared" si="36"/>
        <v>Q2-2025</v>
      </c>
      <c r="E490" s="4">
        <v>45813</v>
      </c>
      <c r="F490" t="s">
        <v>2064</v>
      </c>
      <c r="G490" s="4">
        <v>45813</v>
      </c>
      <c r="H490" s="13">
        <v>21</v>
      </c>
      <c r="I490" s="7" t="s">
        <v>647</v>
      </c>
      <c r="J490" s="7" t="s">
        <v>652</v>
      </c>
      <c r="K490" s="7" t="s">
        <v>666</v>
      </c>
      <c r="M490" s="7" t="s">
        <v>706</v>
      </c>
      <c r="N490" s="7" t="s">
        <v>711</v>
      </c>
      <c r="O490" s="7" t="s">
        <v>722</v>
      </c>
      <c r="P490" s="7" t="s">
        <v>730</v>
      </c>
      <c r="Q490" s="7" t="s">
        <v>1915</v>
      </c>
      <c r="R490" s="9">
        <v>1466.5</v>
      </c>
      <c r="S490" s="9">
        <v>2778.74</v>
      </c>
      <c r="T490" s="9">
        <v>2778.74</v>
      </c>
      <c r="U490" s="9">
        <f t="shared" si="39"/>
        <v>900.11500000000001</v>
      </c>
      <c r="V490" s="9">
        <f t="shared" si="37"/>
        <v>1625.21</v>
      </c>
      <c r="W490" s="9" t="str">
        <f t="shared" si="38"/>
        <v>High</v>
      </c>
      <c r="X490" t="s">
        <v>2065</v>
      </c>
      <c r="Y490" s="11">
        <v>0.13500000000000001</v>
      </c>
      <c r="Z490" t="s">
        <v>2065</v>
      </c>
      <c r="AA490" s="13">
        <v>4</v>
      </c>
      <c r="AB490" s="9">
        <v>9614.4403999999995</v>
      </c>
      <c r="AC490" s="9">
        <v>5866</v>
      </c>
      <c r="AD490" s="9">
        <v>3748.4403999999995</v>
      </c>
      <c r="AE490" s="11">
        <v>0.38987608680792279</v>
      </c>
    </row>
    <row r="491" spans="1:31" x14ac:dyDescent="0.3">
      <c r="A491" t="s">
        <v>504</v>
      </c>
      <c r="B491" s="4">
        <v>45403</v>
      </c>
      <c r="C491" s="4" t="str">
        <f t="shared" si="35"/>
        <v>Apr-2024</v>
      </c>
      <c r="D491" s="4" t="str">
        <f t="shared" si="36"/>
        <v>Q2-2024</v>
      </c>
      <c r="E491" s="4">
        <v>45431</v>
      </c>
      <c r="F491" t="s">
        <v>2064</v>
      </c>
      <c r="G491" s="4">
        <v>45431</v>
      </c>
      <c r="H491" s="13">
        <v>28</v>
      </c>
      <c r="I491" s="7" t="s">
        <v>646</v>
      </c>
      <c r="J491" s="7" t="s">
        <v>651</v>
      </c>
      <c r="K491" s="7" t="s">
        <v>665</v>
      </c>
      <c r="M491" s="7" t="s">
        <v>701</v>
      </c>
      <c r="N491" s="7" t="s">
        <v>710</v>
      </c>
      <c r="O491" s="7" t="s">
        <v>720</v>
      </c>
      <c r="P491" s="7" t="s">
        <v>733</v>
      </c>
      <c r="Q491" s="7" t="s">
        <v>1916</v>
      </c>
      <c r="R491" s="9">
        <v>187.22</v>
      </c>
      <c r="S491" s="9">
        <v>309.47000000000003</v>
      </c>
      <c r="T491" s="9">
        <v>309.47000000000003</v>
      </c>
      <c r="U491" s="9">
        <f t="shared" si="39"/>
        <v>896.89750000000004</v>
      </c>
      <c r="V491" s="9">
        <f t="shared" si="37"/>
        <v>1624.7150000000001</v>
      </c>
      <c r="W491" s="9" t="str">
        <f t="shared" si="38"/>
        <v>Low</v>
      </c>
      <c r="X491" t="s">
        <v>2065</v>
      </c>
      <c r="Y491" s="11">
        <v>0</v>
      </c>
      <c r="Z491" t="s">
        <v>2065</v>
      </c>
      <c r="AA491" s="13">
        <v>5</v>
      </c>
      <c r="AB491" s="9">
        <v>1547.3500000000001</v>
      </c>
      <c r="AC491" s="9">
        <v>936.1</v>
      </c>
      <c r="AD491" s="9">
        <v>611.25000000000011</v>
      </c>
      <c r="AE491" s="11">
        <v>0.39503021294471197</v>
      </c>
    </row>
    <row r="492" spans="1:31" x14ac:dyDescent="0.3">
      <c r="A492" t="s">
        <v>505</v>
      </c>
      <c r="B492" s="4">
        <v>45523</v>
      </c>
      <c r="C492" s="4" t="str">
        <f t="shared" si="35"/>
        <v>Aug-2024</v>
      </c>
      <c r="D492" s="4" t="str">
        <f t="shared" si="36"/>
        <v>Q3-2024</v>
      </c>
      <c r="E492" s="4">
        <v>45542</v>
      </c>
      <c r="F492" t="s">
        <v>2064</v>
      </c>
      <c r="G492" s="4">
        <v>45542</v>
      </c>
      <c r="H492" s="13">
        <v>19</v>
      </c>
      <c r="I492" s="7" t="s">
        <v>649</v>
      </c>
      <c r="J492" s="7" t="s">
        <v>657</v>
      </c>
      <c r="K492" s="7" t="s">
        <v>679</v>
      </c>
      <c r="M492" s="7" t="s">
        <v>701</v>
      </c>
      <c r="N492" s="7" t="s">
        <v>711</v>
      </c>
      <c r="O492" s="7" t="s">
        <v>713</v>
      </c>
      <c r="P492" s="7" t="s">
        <v>727</v>
      </c>
      <c r="Q492" s="7" t="s">
        <v>1917</v>
      </c>
      <c r="R492" s="9">
        <v>297.58999999999997</v>
      </c>
      <c r="S492" s="9">
        <v>666.41</v>
      </c>
      <c r="T492" s="9">
        <v>666.41</v>
      </c>
      <c r="U492" s="9">
        <f t="shared" si="39"/>
        <v>901.678</v>
      </c>
      <c r="V492" s="9">
        <f t="shared" si="37"/>
        <v>1624.97</v>
      </c>
      <c r="W492" s="9" t="str">
        <f t="shared" si="38"/>
        <v>Low</v>
      </c>
      <c r="X492" t="s">
        <v>2065</v>
      </c>
      <c r="Y492" s="11">
        <v>0</v>
      </c>
      <c r="Z492" t="s">
        <v>2065</v>
      </c>
      <c r="AA492" s="13">
        <v>10</v>
      </c>
      <c r="AB492" s="9">
        <v>6664.0999999999995</v>
      </c>
      <c r="AC492" s="9">
        <v>2975.8999999999996</v>
      </c>
      <c r="AD492" s="9">
        <v>3688.2</v>
      </c>
      <c r="AE492" s="11">
        <v>0.55344307558409989</v>
      </c>
    </row>
    <row r="493" spans="1:31" x14ac:dyDescent="0.3">
      <c r="A493" t="s">
        <v>506</v>
      </c>
      <c r="B493" s="4">
        <v>45861</v>
      </c>
      <c r="C493" s="4" t="str">
        <f t="shared" si="35"/>
        <v>Jul-2025</v>
      </c>
      <c r="D493" s="4" t="str">
        <f t="shared" si="36"/>
        <v>Q3-2025</v>
      </c>
      <c r="E493" s="4">
        <v>45888</v>
      </c>
      <c r="F493" t="s">
        <v>2064</v>
      </c>
      <c r="G493" s="4">
        <v>45888</v>
      </c>
      <c r="H493" s="13">
        <v>27</v>
      </c>
      <c r="I493" s="7" t="s">
        <v>647</v>
      </c>
      <c r="J493" s="7" t="s">
        <v>652</v>
      </c>
      <c r="K493" s="7" t="s">
        <v>694</v>
      </c>
      <c r="M493" s="7" t="s">
        <v>704</v>
      </c>
      <c r="N493" s="7" t="s">
        <v>709</v>
      </c>
      <c r="O493" s="7" t="s">
        <v>717</v>
      </c>
      <c r="P493" s="7" t="s">
        <v>733</v>
      </c>
      <c r="Q493" s="7" t="s">
        <v>1918</v>
      </c>
      <c r="R493" s="9">
        <v>896.09</v>
      </c>
      <c r="S493" s="9">
        <v>744.27</v>
      </c>
      <c r="T493" s="9">
        <v>744.27</v>
      </c>
      <c r="U493" s="9">
        <f t="shared" si="39"/>
        <v>902.34130000000005</v>
      </c>
      <c r="V493" s="9">
        <f t="shared" si="37"/>
        <v>1625.2250000000001</v>
      </c>
      <c r="W493" s="9" t="str">
        <f t="shared" si="38"/>
        <v>Low</v>
      </c>
      <c r="X493" t="s">
        <v>2065</v>
      </c>
      <c r="Y493" s="11">
        <v>8.3000000000000004E-2</v>
      </c>
      <c r="Z493" t="s">
        <v>2065</v>
      </c>
      <c r="AA493" s="13">
        <v>11</v>
      </c>
      <c r="AB493" s="9">
        <v>7507.4514899999995</v>
      </c>
      <c r="AC493" s="9">
        <v>9856.99</v>
      </c>
      <c r="AD493" s="9">
        <v>-2349.5385100000003</v>
      </c>
      <c r="AE493" s="11">
        <v>-0.31296086469950679</v>
      </c>
    </row>
    <row r="494" spans="1:31" x14ac:dyDescent="0.3">
      <c r="A494" t="s">
        <v>507</v>
      </c>
      <c r="B494" s="4">
        <v>45352</v>
      </c>
      <c r="C494" s="4" t="str">
        <f t="shared" si="35"/>
        <v>Mar-2024</v>
      </c>
      <c r="D494" s="4" t="str">
        <f t="shared" si="36"/>
        <v>Q1-2024</v>
      </c>
      <c r="E494" s="4">
        <v>45351</v>
      </c>
      <c r="F494" t="s">
        <v>2066</v>
      </c>
      <c r="G494" s="4">
        <v>45352</v>
      </c>
      <c r="H494" s="13">
        <v>0</v>
      </c>
      <c r="I494" s="7" t="s">
        <v>648</v>
      </c>
      <c r="J494" s="7" t="s">
        <v>655</v>
      </c>
      <c r="K494" s="7" t="s">
        <v>670</v>
      </c>
      <c r="M494" s="7" t="s">
        <v>703</v>
      </c>
      <c r="N494" s="7" t="s">
        <v>711</v>
      </c>
      <c r="O494" s="7" t="s">
        <v>714</v>
      </c>
      <c r="P494" s="7" t="s">
        <v>730</v>
      </c>
      <c r="Q494" s="7" t="s">
        <v>1919</v>
      </c>
      <c r="R494" s="9">
        <v>5.34</v>
      </c>
      <c r="S494" s="9">
        <v>12.69</v>
      </c>
      <c r="T494" s="9">
        <v>12.69</v>
      </c>
      <c r="U494" s="9">
        <f t="shared" si="39"/>
        <v>926.93200000000002</v>
      </c>
      <c r="V494" s="9">
        <f t="shared" si="37"/>
        <v>1625.8176000000001</v>
      </c>
      <c r="W494" s="9" t="str">
        <f t="shared" si="38"/>
        <v>Low</v>
      </c>
      <c r="X494" t="s">
        <v>2065</v>
      </c>
      <c r="Y494" s="11">
        <v>0.13200000000000001</v>
      </c>
      <c r="Z494" t="s">
        <v>2065</v>
      </c>
      <c r="AA494" s="13">
        <v>10</v>
      </c>
      <c r="AB494" s="9">
        <v>110.14919999999999</v>
      </c>
      <c r="AC494" s="9">
        <v>53.4</v>
      </c>
      <c r="AD494" s="9">
        <v>56.749199999999995</v>
      </c>
      <c r="AE494" s="11">
        <v>0.51520301554618642</v>
      </c>
    </row>
    <row r="495" spans="1:31" x14ac:dyDescent="0.3">
      <c r="A495" t="s">
        <v>508</v>
      </c>
      <c r="B495" s="4">
        <v>45439</v>
      </c>
      <c r="C495" s="4" t="str">
        <f t="shared" si="35"/>
        <v>May-2024</v>
      </c>
      <c r="D495" s="4" t="str">
        <f t="shared" si="36"/>
        <v>Q2-2024</v>
      </c>
      <c r="E495" s="4">
        <v>45460</v>
      </c>
      <c r="F495" t="s">
        <v>2064</v>
      </c>
      <c r="G495" s="4">
        <v>45460</v>
      </c>
      <c r="H495" s="13">
        <v>21</v>
      </c>
      <c r="I495" s="7" t="s">
        <v>647</v>
      </c>
      <c r="J495" s="7" t="s">
        <v>654</v>
      </c>
      <c r="K495" s="7" t="s">
        <v>680</v>
      </c>
      <c r="M495" s="7" t="s">
        <v>705</v>
      </c>
      <c r="N495" s="7" t="s">
        <v>708</v>
      </c>
      <c r="O495" s="7" t="s">
        <v>722</v>
      </c>
      <c r="P495" s="7" t="s">
        <v>733</v>
      </c>
      <c r="Q495" s="7" t="s">
        <v>1920</v>
      </c>
      <c r="R495" s="9">
        <v>465.02</v>
      </c>
      <c r="S495" s="9">
        <v>651.55999999999995</v>
      </c>
      <c r="T495" s="9">
        <v>651.55999999999995</v>
      </c>
      <c r="U495" s="9">
        <f t="shared" si="39"/>
        <v>949.64530000000002</v>
      </c>
      <c r="V495" s="9">
        <f t="shared" si="37"/>
        <v>1627.5074000000002</v>
      </c>
      <c r="W495" s="9" t="str">
        <f t="shared" si="38"/>
        <v>Low</v>
      </c>
      <c r="X495" t="s">
        <v>2065</v>
      </c>
      <c r="Y495" s="11">
        <v>4.2000000000000003E-2</v>
      </c>
      <c r="Z495" t="s">
        <v>2065</v>
      </c>
      <c r="AA495" s="13">
        <v>19</v>
      </c>
      <c r="AB495" s="9">
        <v>11859.695119999998</v>
      </c>
      <c r="AC495" s="9">
        <v>8835.3799999999992</v>
      </c>
      <c r="AD495" s="9">
        <v>3024.3151199999993</v>
      </c>
      <c r="AE495" s="11">
        <v>0.25500783025187918</v>
      </c>
    </row>
    <row r="496" spans="1:31" x14ac:dyDescent="0.3">
      <c r="A496" t="s">
        <v>509</v>
      </c>
      <c r="B496" s="4">
        <v>45508</v>
      </c>
      <c r="C496" s="4" t="str">
        <f t="shared" si="35"/>
        <v>Aug-2024</v>
      </c>
      <c r="D496" s="4" t="str">
        <f t="shared" si="36"/>
        <v>Q3-2024</v>
      </c>
      <c r="E496" s="4">
        <v>45521</v>
      </c>
      <c r="F496" t="s">
        <v>2064</v>
      </c>
      <c r="G496" s="4">
        <v>45521</v>
      </c>
      <c r="H496" s="13">
        <v>13</v>
      </c>
      <c r="I496" s="7" t="s">
        <v>648</v>
      </c>
      <c r="J496" s="7" t="s">
        <v>1425</v>
      </c>
      <c r="K496" s="7" t="s">
        <v>697</v>
      </c>
      <c r="M496" s="7" t="s">
        <v>704</v>
      </c>
      <c r="N496" s="7" t="s">
        <v>707</v>
      </c>
      <c r="O496" s="7" t="s">
        <v>726</v>
      </c>
      <c r="P496" s="7" t="s">
        <v>732</v>
      </c>
      <c r="Q496" s="7" t="s">
        <v>1921</v>
      </c>
      <c r="R496" s="9">
        <v>352.79</v>
      </c>
      <c r="S496" s="9">
        <v>754.22</v>
      </c>
      <c r="T496" s="9">
        <v>754.22</v>
      </c>
      <c r="U496" s="9">
        <f t="shared" si="39"/>
        <v>955.62840000000006</v>
      </c>
      <c r="V496" s="9">
        <f t="shared" si="37"/>
        <v>1629.1972000000001</v>
      </c>
      <c r="W496" s="9" t="str">
        <f t="shared" si="38"/>
        <v>Low</v>
      </c>
      <c r="X496" t="s">
        <v>2065</v>
      </c>
      <c r="Y496" s="11">
        <v>0.113</v>
      </c>
      <c r="Z496" t="s">
        <v>2065</v>
      </c>
      <c r="AA496" s="13">
        <v>7</v>
      </c>
      <c r="AB496" s="9">
        <v>4682.9519799999998</v>
      </c>
      <c r="AC496" s="9">
        <v>2469.5300000000002</v>
      </c>
      <c r="AD496" s="9">
        <v>2213.4219799999996</v>
      </c>
      <c r="AE496" s="11">
        <v>0.47265528014233443</v>
      </c>
    </row>
    <row r="497" spans="1:31" x14ac:dyDescent="0.3">
      <c r="A497" t="s">
        <v>510</v>
      </c>
      <c r="B497" s="4">
        <v>45097</v>
      </c>
      <c r="C497" s="4" t="str">
        <f t="shared" si="35"/>
        <v>Jun-2023</v>
      </c>
      <c r="D497" s="4" t="str">
        <f t="shared" si="36"/>
        <v>Q2-2023</v>
      </c>
      <c r="E497" s="4">
        <v>45111</v>
      </c>
      <c r="F497" t="s">
        <v>2064</v>
      </c>
      <c r="G497" s="4">
        <v>45111</v>
      </c>
      <c r="H497" s="13">
        <v>14</v>
      </c>
      <c r="I497" s="7" t="s">
        <v>648</v>
      </c>
      <c r="J497" s="7" t="s">
        <v>655</v>
      </c>
      <c r="K497" s="7" t="s">
        <v>672</v>
      </c>
      <c r="M497" s="7" t="s">
        <v>703</v>
      </c>
      <c r="N497" s="7" t="s">
        <v>711</v>
      </c>
      <c r="O497" s="7" t="s">
        <v>712</v>
      </c>
      <c r="P497" s="7" t="s">
        <v>729</v>
      </c>
      <c r="Q497" s="7" t="s">
        <v>1922</v>
      </c>
      <c r="R497" s="9">
        <v>1292.8599999999999</v>
      </c>
      <c r="S497" s="9">
        <v>2981.01</v>
      </c>
      <c r="T497" s="9">
        <v>2981.01</v>
      </c>
      <c r="U497" s="9">
        <f t="shared" si="39"/>
        <v>959.89550000000008</v>
      </c>
      <c r="V497" s="9">
        <f t="shared" si="37"/>
        <v>1631.8990000000001</v>
      </c>
      <c r="W497" s="9" t="str">
        <f t="shared" si="38"/>
        <v>High</v>
      </c>
      <c r="X497" t="s">
        <v>2065</v>
      </c>
      <c r="Y497" s="11">
        <v>0.14199999999999999</v>
      </c>
      <c r="Z497" t="s">
        <v>2065</v>
      </c>
      <c r="AA497" s="13">
        <v>12</v>
      </c>
      <c r="AB497" s="9">
        <v>30692.47896</v>
      </c>
      <c r="AC497" s="9">
        <v>15514.32</v>
      </c>
      <c r="AD497" s="9">
        <v>15178.158960000001</v>
      </c>
      <c r="AE497" s="11">
        <v>0.49452372288927687</v>
      </c>
    </row>
    <row r="498" spans="1:31" x14ac:dyDescent="0.3">
      <c r="A498" t="s">
        <v>511</v>
      </c>
      <c r="B498" s="4">
        <v>45544</v>
      </c>
      <c r="C498" s="4" t="str">
        <f t="shared" si="35"/>
        <v>Sep-2024</v>
      </c>
      <c r="D498" s="4" t="str">
        <f t="shared" si="36"/>
        <v>Q3-2024</v>
      </c>
      <c r="E498" s="4">
        <v>45548</v>
      </c>
      <c r="F498" t="s">
        <v>2064</v>
      </c>
      <c r="G498" s="4">
        <v>45548</v>
      </c>
      <c r="H498" s="13">
        <v>4</v>
      </c>
      <c r="I498" s="7" t="s">
        <v>649</v>
      </c>
      <c r="J498" s="7" t="s">
        <v>658</v>
      </c>
      <c r="K498" s="7" t="s">
        <v>683</v>
      </c>
      <c r="M498" s="7" t="s">
        <v>704</v>
      </c>
      <c r="N498" s="7" t="s">
        <v>709</v>
      </c>
      <c r="O498" s="7" t="s">
        <v>721</v>
      </c>
      <c r="P498" s="7" t="s">
        <v>729</v>
      </c>
      <c r="Q498" s="7" t="s">
        <v>1923</v>
      </c>
      <c r="R498" s="9">
        <v>1133.08</v>
      </c>
      <c r="S498" s="9">
        <v>976.17</v>
      </c>
      <c r="T498" s="9">
        <v>976.17</v>
      </c>
      <c r="U498" s="9">
        <f t="shared" si="39"/>
        <v>957.97820000000002</v>
      </c>
      <c r="V498" s="9">
        <f t="shared" si="37"/>
        <v>1627.6068</v>
      </c>
      <c r="W498" s="9" t="str">
        <f t="shared" si="38"/>
        <v>Medium</v>
      </c>
      <c r="X498" t="s">
        <v>2065</v>
      </c>
      <c r="Y498" s="11">
        <v>4.2000000000000003E-2</v>
      </c>
      <c r="Z498" t="s">
        <v>2065</v>
      </c>
      <c r="AA498" s="13">
        <v>27</v>
      </c>
      <c r="AB498" s="9">
        <v>25249.613219999999</v>
      </c>
      <c r="AC498" s="9">
        <v>30593.159999999996</v>
      </c>
      <c r="AD498" s="9">
        <v>-5343.5467799999969</v>
      </c>
      <c r="AE498" s="11">
        <v>-0.21162885678452373</v>
      </c>
    </row>
    <row r="499" spans="1:31" x14ac:dyDescent="0.3">
      <c r="A499" t="s">
        <v>512</v>
      </c>
      <c r="B499" s="4">
        <v>45224</v>
      </c>
      <c r="C499" s="4" t="str">
        <f t="shared" si="35"/>
        <v>Oct-2023</v>
      </c>
      <c r="D499" s="4" t="str">
        <f t="shared" si="36"/>
        <v>Q4-2023</v>
      </c>
      <c r="E499" s="4">
        <v>45227</v>
      </c>
      <c r="F499" t="s">
        <v>2064</v>
      </c>
      <c r="G499" s="4">
        <v>45227</v>
      </c>
      <c r="H499" s="13">
        <v>3</v>
      </c>
      <c r="I499" s="7" t="s">
        <v>648</v>
      </c>
      <c r="J499" s="7" t="s">
        <v>655</v>
      </c>
      <c r="K499" s="7" t="s">
        <v>672</v>
      </c>
      <c r="M499" s="7" t="s">
        <v>701</v>
      </c>
      <c r="N499" s="7" t="s">
        <v>710</v>
      </c>
      <c r="O499" s="7" t="s">
        <v>716</v>
      </c>
      <c r="P499" s="7" t="s">
        <v>733</v>
      </c>
      <c r="Q499" s="7" t="s">
        <v>1924</v>
      </c>
      <c r="R499" s="9">
        <v>509.31</v>
      </c>
      <c r="S499" s="9">
        <v>1145.9000000000001</v>
      </c>
      <c r="T499" s="9">
        <v>1145.9000000000001</v>
      </c>
      <c r="U499" s="9">
        <f t="shared" si="39"/>
        <v>955.71770000000004</v>
      </c>
      <c r="V499" s="9">
        <f t="shared" si="37"/>
        <v>1629.2966000000001</v>
      </c>
      <c r="W499" s="9" t="str">
        <f t="shared" si="38"/>
        <v>Medium</v>
      </c>
      <c r="X499" t="s">
        <v>2065</v>
      </c>
      <c r="Y499" s="11">
        <v>5.7000000000000002E-2</v>
      </c>
      <c r="Z499" t="s">
        <v>2065</v>
      </c>
      <c r="AA499" s="13">
        <v>8</v>
      </c>
      <c r="AB499" s="9">
        <v>8644.6696000000011</v>
      </c>
      <c r="AC499" s="9">
        <v>4074.48</v>
      </c>
      <c r="AD499" s="9">
        <v>4570.1896000000015</v>
      </c>
      <c r="AE499" s="11">
        <v>0.52867140231709964</v>
      </c>
    </row>
    <row r="500" spans="1:31" x14ac:dyDescent="0.3">
      <c r="A500" t="s">
        <v>513</v>
      </c>
      <c r="B500" s="4">
        <v>45908</v>
      </c>
      <c r="C500" s="4" t="str">
        <f t="shared" si="35"/>
        <v>Sep-2025</v>
      </c>
      <c r="D500" s="4" t="str">
        <f t="shared" si="36"/>
        <v>Q3-2025</v>
      </c>
      <c r="E500" s="4">
        <v>45935</v>
      </c>
      <c r="F500" t="s">
        <v>2064</v>
      </c>
      <c r="G500" s="4">
        <v>45935</v>
      </c>
      <c r="H500" s="13">
        <v>27</v>
      </c>
      <c r="I500" s="7" t="s">
        <v>648</v>
      </c>
      <c r="J500" s="7" t="s">
        <v>655</v>
      </c>
      <c r="K500" s="7" t="s">
        <v>1426</v>
      </c>
      <c r="M500" s="7" t="s">
        <v>702</v>
      </c>
      <c r="N500" s="7" t="s">
        <v>708</v>
      </c>
      <c r="O500" s="7" t="s">
        <v>712</v>
      </c>
      <c r="P500" s="7" t="s">
        <v>732</v>
      </c>
      <c r="Q500" s="7" t="s">
        <v>1925</v>
      </c>
      <c r="R500" s="9">
        <v>660.78</v>
      </c>
      <c r="S500" s="9">
        <v>1630.39</v>
      </c>
      <c r="T500" s="9">
        <v>1630.39</v>
      </c>
      <c r="U500" s="9">
        <f t="shared" si="39"/>
        <v>952.77080000000001</v>
      </c>
      <c r="V500" s="9">
        <f t="shared" si="37"/>
        <v>1632.2008000000001</v>
      </c>
      <c r="W500" s="9" t="str">
        <f t="shared" si="38"/>
        <v>Medium</v>
      </c>
      <c r="X500" t="s">
        <v>2065</v>
      </c>
      <c r="Y500" s="11">
        <v>0.218</v>
      </c>
      <c r="Z500" t="s">
        <v>2065</v>
      </c>
      <c r="AA500" s="13">
        <v>13</v>
      </c>
      <c r="AB500" s="9">
        <v>16574.544740000001</v>
      </c>
      <c r="AC500" s="9">
        <v>8590.14</v>
      </c>
      <c r="AD500" s="9">
        <v>7984.4047400000018</v>
      </c>
      <c r="AE500" s="11">
        <v>0.48172694123724097</v>
      </c>
    </row>
    <row r="501" spans="1:31" x14ac:dyDescent="0.3">
      <c r="A501" t="s">
        <v>514</v>
      </c>
      <c r="B501" s="4">
        <v>45048</v>
      </c>
      <c r="C501" s="4" t="str">
        <f t="shared" si="35"/>
        <v>May-2023</v>
      </c>
      <c r="D501" s="4" t="str">
        <f t="shared" si="36"/>
        <v>Q2-2023</v>
      </c>
      <c r="E501" s="4">
        <v>45062</v>
      </c>
      <c r="F501" t="s">
        <v>2064</v>
      </c>
      <c r="G501" s="4">
        <v>45062</v>
      </c>
      <c r="H501" s="13">
        <v>14</v>
      </c>
      <c r="I501" s="7" t="s">
        <v>647</v>
      </c>
      <c r="J501" s="7" t="s">
        <v>654</v>
      </c>
      <c r="K501" s="7" t="s">
        <v>668</v>
      </c>
      <c r="M501" s="7" t="s">
        <v>703</v>
      </c>
      <c r="N501" s="7" t="s">
        <v>707</v>
      </c>
      <c r="O501" s="7" t="s">
        <v>716</v>
      </c>
      <c r="P501" s="7" t="s">
        <v>732</v>
      </c>
      <c r="Q501" s="7" t="s">
        <v>1926</v>
      </c>
      <c r="R501" s="9">
        <v>475.37</v>
      </c>
      <c r="S501" s="9">
        <v>963.73</v>
      </c>
      <c r="T501" s="9">
        <v>963.73</v>
      </c>
      <c r="U501" s="9">
        <f t="shared" si="39"/>
        <v>949.82389999999998</v>
      </c>
      <c r="V501" s="9">
        <f t="shared" si="37"/>
        <v>1634.6476000000002</v>
      </c>
      <c r="W501" s="9" t="str">
        <f t="shared" si="38"/>
        <v>Medium</v>
      </c>
      <c r="X501" t="s">
        <v>2065</v>
      </c>
      <c r="Y501" s="11">
        <v>4.1000000000000002E-2</v>
      </c>
      <c r="Z501" t="s">
        <v>2065</v>
      </c>
      <c r="AA501" s="13">
        <v>22</v>
      </c>
      <c r="AB501" s="9">
        <v>20332.775539999999</v>
      </c>
      <c r="AC501" s="9">
        <v>10458.14</v>
      </c>
      <c r="AD501" s="9">
        <v>9874.6355399999993</v>
      </c>
      <c r="AE501" s="11">
        <v>0.48565113604750881</v>
      </c>
    </row>
    <row r="502" spans="1:31" x14ac:dyDescent="0.3">
      <c r="A502" t="s">
        <v>515</v>
      </c>
      <c r="B502" s="4">
        <v>45408</v>
      </c>
      <c r="C502" s="4" t="str">
        <f t="shared" si="35"/>
        <v>Apr-2024</v>
      </c>
      <c r="D502" s="4" t="str">
        <f t="shared" si="36"/>
        <v>Q2-2024</v>
      </c>
      <c r="E502" s="4">
        <v>45406</v>
      </c>
      <c r="F502" t="s">
        <v>2066</v>
      </c>
      <c r="G502" s="4">
        <v>45408</v>
      </c>
      <c r="H502" s="13">
        <v>0</v>
      </c>
      <c r="I502" s="7" t="s">
        <v>649</v>
      </c>
      <c r="J502" s="7" t="s">
        <v>658</v>
      </c>
      <c r="K502" s="7" t="s">
        <v>683</v>
      </c>
      <c r="M502" s="7" t="s">
        <v>703</v>
      </c>
      <c r="N502" s="7" t="s">
        <v>710</v>
      </c>
      <c r="O502" s="7" t="s">
        <v>725</v>
      </c>
      <c r="P502" s="7" t="s">
        <v>730</v>
      </c>
      <c r="Q502" s="7" t="s">
        <v>1927</v>
      </c>
      <c r="R502" s="9">
        <v>1232.77</v>
      </c>
      <c r="S502" s="9">
        <v>891.73</v>
      </c>
      <c r="T502" s="9">
        <v>891.73</v>
      </c>
      <c r="U502" s="9">
        <f t="shared" si="39"/>
        <v>943.2399999999999</v>
      </c>
      <c r="V502" s="9">
        <f t="shared" si="37"/>
        <v>1641.4680000000001</v>
      </c>
      <c r="W502" s="9" t="str">
        <f t="shared" si="38"/>
        <v>Low</v>
      </c>
      <c r="X502" t="s">
        <v>2065</v>
      </c>
      <c r="Y502" s="11">
        <v>0.16700000000000001</v>
      </c>
      <c r="Z502" t="s">
        <v>2065</v>
      </c>
      <c r="AA502" s="13">
        <v>10</v>
      </c>
      <c r="AB502" s="9">
        <v>7428.1108999999988</v>
      </c>
      <c r="AC502" s="9">
        <v>12327.7</v>
      </c>
      <c r="AD502" s="9">
        <v>-4899.589100000002</v>
      </c>
      <c r="AE502" s="11">
        <v>-0.65960096260813805</v>
      </c>
    </row>
    <row r="503" spans="1:31" x14ac:dyDescent="0.3">
      <c r="A503" t="s">
        <v>516</v>
      </c>
      <c r="B503" s="4">
        <v>44980</v>
      </c>
      <c r="C503" s="4" t="str">
        <f t="shared" si="35"/>
        <v>Feb-2023</v>
      </c>
      <c r="D503" s="4" t="str">
        <f t="shared" si="36"/>
        <v>Q1-2023</v>
      </c>
      <c r="E503" s="4">
        <v>45003</v>
      </c>
      <c r="F503" t="s">
        <v>2064</v>
      </c>
      <c r="G503" s="4">
        <v>45003</v>
      </c>
      <c r="H503" s="13">
        <v>23</v>
      </c>
      <c r="I503" s="7" t="s">
        <v>647</v>
      </c>
      <c r="J503" s="7" t="s">
        <v>659</v>
      </c>
      <c r="K503" s="7" t="s">
        <v>699</v>
      </c>
      <c r="M503" s="7" t="s">
        <v>702</v>
      </c>
      <c r="N503" s="7" t="s">
        <v>710</v>
      </c>
      <c r="O503" s="7" t="s">
        <v>723</v>
      </c>
      <c r="P503" s="7" t="s">
        <v>728</v>
      </c>
      <c r="Q503" s="7" t="s">
        <v>1928</v>
      </c>
      <c r="R503" s="9">
        <v>770.11</v>
      </c>
      <c r="S503" s="9">
        <v>1667.82</v>
      </c>
      <c r="T503" s="9">
        <v>1667.82</v>
      </c>
      <c r="U503" s="9">
        <f t="shared" si="39"/>
        <v>952.86009999999999</v>
      </c>
      <c r="V503" s="9">
        <f t="shared" si="37"/>
        <v>1647.3616</v>
      </c>
      <c r="W503" s="9" t="str">
        <f t="shared" si="38"/>
        <v>High</v>
      </c>
      <c r="X503" t="s">
        <v>2065</v>
      </c>
      <c r="Y503" s="11">
        <v>6.9000000000000006E-2</v>
      </c>
      <c r="Z503" t="s">
        <v>2065</v>
      </c>
      <c r="AA503" s="13">
        <v>7</v>
      </c>
      <c r="AB503" s="9">
        <v>10869.182940000001</v>
      </c>
      <c r="AC503" s="9">
        <v>5390.77</v>
      </c>
      <c r="AD503" s="9">
        <v>5478.4129400000002</v>
      </c>
      <c r="AE503" s="11">
        <v>0.50403171703355287</v>
      </c>
    </row>
    <row r="504" spans="1:31" x14ac:dyDescent="0.3">
      <c r="A504" t="s">
        <v>517</v>
      </c>
      <c r="B504" s="4">
        <v>45740</v>
      </c>
      <c r="C504" s="4" t="str">
        <f t="shared" si="35"/>
        <v>Mar-2025</v>
      </c>
      <c r="D504" s="4" t="str">
        <f t="shared" si="36"/>
        <v>Q1-2025</v>
      </c>
      <c r="E504" s="4">
        <v>45741</v>
      </c>
      <c r="F504" t="s">
        <v>2064</v>
      </c>
      <c r="G504" s="4">
        <v>45741</v>
      </c>
      <c r="H504" s="13">
        <v>1</v>
      </c>
      <c r="I504" s="7" t="s">
        <v>647</v>
      </c>
      <c r="J504" s="7" t="s">
        <v>659</v>
      </c>
      <c r="K504" s="7" t="s">
        <v>699</v>
      </c>
      <c r="M504" s="7" t="s">
        <v>703</v>
      </c>
      <c r="N504" s="7" t="s">
        <v>708</v>
      </c>
      <c r="O504" s="7" t="s">
        <v>715</v>
      </c>
      <c r="P504" s="7" t="s">
        <v>729</v>
      </c>
      <c r="Q504" s="7" t="s">
        <v>1929</v>
      </c>
      <c r="R504" s="9">
        <v>1133.03</v>
      </c>
      <c r="S504" s="9">
        <v>1921.51</v>
      </c>
      <c r="T504" s="9">
        <v>1921.51</v>
      </c>
      <c r="U504" s="9">
        <f t="shared" si="39"/>
        <v>949.91319999999996</v>
      </c>
      <c r="V504" s="9">
        <f t="shared" si="37"/>
        <v>1635.0488</v>
      </c>
      <c r="W504" s="9" t="str">
        <f t="shared" si="38"/>
        <v>High</v>
      </c>
      <c r="X504" t="s">
        <v>2065</v>
      </c>
      <c r="Y504" s="11">
        <v>0.10100000000000001</v>
      </c>
      <c r="Z504" t="s">
        <v>2065</v>
      </c>
      <c r="AA504" s="13">
        <v>5</v>
      </c>
      <c r="AB504" s="9">
        <v>8637.1874499999994</v>
      </c>
      <c r="AC504" s="9">
        <v>5665.15</v>
      </c>
      <c r="AD504" s="9">
        <v>2972.0374499999998</v>
      </c>
      <c r="AE504" s="11">
        <v>0.3440978289755654</v>
      </c>
    </row>
    <row r="505" spans="1:31" x14ac:dyDescent="0.3">
      <c r="A505" t="s">
        <v>518</v>
      </c>
      <c r="B505" s="4">
        <v>45726</v>
      </c>
      <c r="C505" s="4" t="str">
        <f t="shared" si="35"/>
        <v>Mar-2025</v>
      </c>
      <c r="D505" s="4" t="str">
        <f t="shared" si="36"/>
        <v>Q1-2025</v>
      </c>
      <c r="E505" s="4">
        <v>45743</v>
      </c>
      <c r="F505" t="s">
        <v>2064</v>
      </c>
      <c r="G505" s="4">
        <v>45743</v>
      </c>
      <c r="H505" s="13">
        <v>17</v>
      </c>
      <c r="I505" s="7" t="s">
        <v>648</v>
      </c>
      <c r="J505" s="7" t="s">
        <v>655</v>
      </c>
      <c r="K505" s="7" t="s">
        <v>1426</v>
      </c>
      <c r="M505" s="7" t="s">
        <v>706</v>
      </c>
      <c r="N505" s="7" t="s">
        <v>711</v>
      </c>
      <c r="O505" s="7" t="s">
        <v>721</v>
      </c>
      <c r="P505" s="7" t="s">
        <v>729</v>
      </c>
      <c r="Q505" s="7" t="s">
        <v>1930</v>
      </c>
      <c r="R505" s="9">
        <v>996.73</v>
      </c>
      <c r="S505" s="9">
        <v>1217.43</v>
      </c>
      <c r="T505" s="9">
        <v>1217.43</v>
      </c>
      <c r="U505" s="9">
        <f t="shared" si="39"/>
        <v>943.69300000000021</v>
      </c>
      <c r="V505" s="9">
        <f t="shared" si="37"/>
        <v>1625.2850000000001</v>
      </c>
      <c r="W505" s="9" t="str">
        <f t="shared" si="38"/>
        <v>Medium</v>
      </c>
      <c r="X505" t="s">
        <v>2065</v>
      </c>
      <c r="Y505" s="11">
        <v>7.0000000000000007E-2</v>
      </c>
      <c r="Z505" t="s">
        <v>2065</v>
      </c>
      <c r="AA505" s="13">
        <v>9</v>
      </c>
      <c r="AB505" s="9">
        <v>10189.8891</v>
      </c>
      <c r="AC505" s="9">
        <v>8970.57</v>
      </c>
      <c r="AD505" s="9">
        <v>1219.3191000000006</v>
      </c>
      <c r="AE505" s="11">
        <v>0.11965970267527255</v>
      </c>
    </row>
    <row r="506" spans="1:31" x14ac:dyDescent="0.3">
      <c r="A506" t="s">
        <v>519</v>
      </c>
      <c r="B506" s="4">
        <v>45387</v>
      </c>
      <c r="C506" s="4" t="str">
        <f t="shared" si="35"/>
        <v>Apr-2024</v>
      </c>
      <c r="D506" s="4" t="str">
        <f t="shared" si="36"/>
        <v>Q2-2024</v>
      </c>
      <c r="E506" s="4">
        <v>45391</v>
      </c>
      <c r="F506" t="s">
        <v>2064</v>
      </c>
      <c r="G506" s="4">
        <v>45391</v>
      </c>
      <c r="H506" s="13">
        <v>4</v>
      </c>
      <c r="I506" s="7" t="s">
        <v>646</v>
      </c>
      <c r="J506" s="7" t="s">
        <v>651</v>
      </c>
      <c r="K506" s="7" t="s">
        <v>665</v>
      </c>
      <c r="M506" s="7" t="s">
        <v>703</v>
      </c>
      <c r="N506" s="7" t="s">
        <v>711</v>
      </c>
      <c r="O506" s="7" t="s">
        <v>723</v>
      </c>
      <c r="P506" s="7" t="s">
        <v>727</v>
      </c>
      <c r="Q506" s="7" t="s">
        <v>1931</v>
      </c>
      <c r="R506" s="9">
        <v>395.07</v>
      </c>
      <c r="S506" s="9">
        <v>970.27</v>
      </c>
      <c r="T506" s="9">
        <v>970.27</v>
      </c>
      <c r="U506" s="9">
        <f t="shared" si="39"/>
        <v>928.74400000000026</v>
      </c>
      <c r="V506" s="9">
        <f t="shared" si="37"/>
        <v>1628.6296000000002</v>
      </c>
      <c r="W506" s="9" t="str">
        <f t="shared" si="38"/>
        <v>Medium</v>
      </c>
      <c r="X506" t="s">
        <v>2065</v>
      </c>
      <c r="Y506" s="11">
        <v>0.123</v>
      </c>
      <c r="Z506" t="s">
        <v>2065</v>
      </c>
      <c r="AA506" s="13">
        <v>38</v>
      </c>
      <c r="AB506" s="9">
        <v>32335.21802</v>
      </c>
      <c r="AC506" s="9">
        <v>15012.66</v>
      </c>
      <c r="AD506" s="9">
        <v>17322.55802</v>
      </c>
      <c r="AE506" s="11">
        <v>0.53571799049833657</v>
      </c>
    </row>
    <row r="507" spans="1:31" x14ac:dyDescent="0.3">
      <c r="A507" t="s">
        <v>520</v>
      </c>
      <c r="B507" s="4">
        <v>45774</v>
      </c>
      <c r="C507" s="4" t="str">
        <f t="shared" si="35"/>
        <v>Apr-2025</v>
      </c>
      <c r="D507" s="4" t="str">
        <f t="shared" si="36"/>
        <v>Q2-2025</v>
      </c>
      <c r="E507" s="4">
        <v>45794</v>
      </c>
      <c r="F507" t="s">
        <v>2064</v>
      </c>
      <c r="G507" s="4">
        <v>45794</v>
      </c>
      <c r="H507" s="13">
        <v>20</v>
      </c>
      <c r="I507" s="7" t="s">
        <v>648</v>
      </c>
      <c r="J507" s="7" t="s">
        <v>1425</v>
      </c>
      <c r="K507" s="7" t="s">
        <v>697</v>
      </c>
      <c r="M507" s="7" t="s">
        <v>701</v>
      </c>
      <c r="N507" s="7" t="s">
        <v>711</v>
      </c>
      <c r="O507" s="7" t="s">
        <v>725</v>
      </c>
      <c r="P507" s="7" t="s">
        <v>730</v>
      </c>
      <c r="Q507" s="7" t="s">
        <v>1932</v>
      </c>
      <c r="R507" s="9">
        <v>932.26</v>
      </c>
      <c r="S507" s="9">
        <v>1624.67</v>
      </c>
      <c r="T507" s="9">
        <v>1624.67</v>
      </c>
      <c r="U507" s="9">
        <f t="shared" si="39"/>
        <v>913.79500000000007</v>
      </c>
      <c r="V507" s="9">
        <f t="shared" si="37"/>
        <v>1635.45</v>
      </c>
      <c r="W507" s="9" t="str">
        <f t="shared" si="38"/>
        <v>Medium</v>
      </c>
      <c r="X507" t="s">
        <v>2065</v>
      </c>
      <c r="Y507" s="11">
        <v>0.23499999999999999</v>
      </c>
      <c r="Z507" t="s">
        <v>2065</v>
      </c>
      <c r="AA507" s="13">
        <v>28</v>
      </c>
      <c r="AB507" s="9">
        <v>34800.431400000001</v>
      </c>
      <c r="AC507" s="9">
        <v>26103.279999999999</v>
      </c>
      <c r="AD507" s="9">
        <v>8697.1514000000025</v>
      </c>
      <c r="AE507" s="11">
        <v>0.24991504559337163</v>
      </c>
    </row>
    <row r="508" spans="1:31" x14ac:dyDescent="0.3">
      <c r="A508" t="s">
        <v>521</v>
      </c>
      <c r="B508" s="4">
        <v>45589</v>
      </c>
      <c r="C508" s="4" t="str">
        <f t="shared" si="35"/>
        <v>Oct-2024</v>
      </c>
      <c r="D508" s="4" t="str">
        <f t="shared" si="36"/>
        <v>Q4-2024</v>
      </c>
      <c r="E508" s="4">
        <v>45593</v>
      </c>
      <c r="F508" t="s">
        <v>2064</v>
      </c>
      <c r="G508" s="4">
        <v>45593</v>
      </c>
      <c r="H508" s="13">
        <v>4</v>
      </c>
      <c r="I508" s="7" t="s">
        <v>647</v>
      </c>
      <c r="J508" s="7" t="s">
        <v>659</v>
      </c>
      <c r="K508" s="7" t="s">
        <v>685</v>
      </c>
      <c r="M508" s="7" t="s">
        <v>705</v>
      </c>
      <c r="N508" s="7" t="s">
        <v>710</v>
      </c>
      <c r="O508" s="7" t="s">
        <v>714</v>
      </c>
      <c r="P508" s="7" t="s">
        <v>729</v>
      </c>
      <c r="Q508" s="7" t="s">
        <v>1933</v>
      </c>
      <c r="R508" s="9">
        <v>1331.77</v>
      </c>
      <c r="S508" s="9">
        <v>2606.11</v>
      </c>
      <c r="T508" s="9">
        <v>2606.11</v>
      </c>
      <c r="U508" s="9">
        <f t="shared" si="39"/>
        <v>902.39080000000001</v>
      </c>
      <c r="V508" s="9">
        <f t="shared" si="37"/>
        <v>1642.2704000000001</v>
      </c>
      <c r="W508" s="9" t="str">
        <f t="shared" si="38"/>
        <v>High</v>
      </c>
      <c r="X508" t="s">
        <v>2065</v>
      </c>
      <c r="Y508" s="11">
        <v>0.02</v>
      </c>
      <c r="Z508" t="s">
        <v>2065</v>
      </c>
      <c r="AA508" s="13">
        <v>6</v>
      </c>
      <c r="AB508" s="9">
        <v>15323.926799999999</v>
      </c>
      <c r="AC508" s="9">
        <v>7990.62</v>
      </c>
      <c r="AD508" s="9">
        <v>7333.3067999999994</v>
      </c>
      <c r="AE508" s="11">
        <v>0.47855271665745619</v>
      </c>
    </row>
    <row r="509" spans="1:31" x14ac:dyDescent="0.3">
      <c r="A509" t="s">
        <v>522</v>
      </c>
      <c r="B509" s="4">
        <v>45029</v>
      </c>
      <c r="C509" s="4" t="str">
        <f t="shared" si="35"/>
        <v>Apr-2023</v>
      </c>
      <c r="D509" s="4" t="str">
        <f t="shared" si="36"/>
        <v>Q2-2023</v>
      </c>
      <c r="E509" s="4">
        <v>45036</v>
      </c>
      <c r="F509" t="s">
        <v>2064</v>
      </c>
      <c r="G509" s="4">
        <v>45036</v>
      </c>
      <c r="H509" s="13">
        <v>7</v>
      </c>
      <c r="I509" s="7" t="s">
        <v>649</v>
      </c>
      <c r="J509" s="7" t="s">
        <v>657</v>
      </c>
      <c r="K509" s="7" t="s">
        <v>679</v>
      </c>
      <c r="M509" s="7" t="s">
        <v>705</v>
      </c>
      <c r="N509" s="7" t="s">
        <v>708</v>
      </c>
      <c r="O509" s="7" t="s">
        <v>720</v>
      </c>
      <c r="P509" s="7" t="s">
        <v>731</v>
      </c>
      <c r="Q509" s="7" t="s">
        <v>1934</v>
      </c>
      <c r="R509" s="9">
        <v>227.02</v>
      </c>
      <c r="S509" s="9">
        <v>434.72</v>
      </c>
      <c r="T509" s="9">
        <v>434.72</v>
      </c>
      <c r="U509" s="9">
        <f t="shared" si="39"/>
        <v>902.06410000000005</v>
      </c>
      <c r="V509" s="9">
        <f t="shared" si="37"/>
        <v>1629.0308000000002</v>
      </c>
      <c r="W509" s="9" t="str">
        <f t="shared" si="38"/>
        <v>Low</v>
      </c>
      <c r="X509" t="s">
        <v>2065</v>
      </c>
      <c r="Y509" s="11">
        <v>9.8000000000000004E-2</v>
      </c>
      <c r="Z509" t="s">
        <v>2065</v>
      </c>
      <c r="AA509" s="13">
        <v>10</v>
      </c>
      <c r="AB509" s="9">
        <v>3921.1744000000008</v>
      </c>
      <c r="AC509" s="9">
        <v>2270.2000000000003</v>
      </c>
      <c r="AD509" s="9">
        <v>1650.9744000000005</v>
      </c>
      <c r="AE509" s="11">
        <v>0.42104079838938052</v>
      </c>
    </row>
    <row r="510" spans="1:31" x14ac:dyDescent="0.3">
      <c r="A510" t="s">
        <v>523</v>
      </c>
      <c r="B510" s="4">
        <v>45608</v>
      </c>
      <c r="C510" s="4" t="str">
        <f t="shared" si="35"/>
        <v>Nov-2024</v>
      </c>
      <c r="D510" s="4" t="str">
        <f t="shared" si="36"/>
        <v>Q4-2024</v>
      </c>
      <c r="E510" s="4">
        <v>45617</v>
      </c>
      <c r="F510" t="s">
        <v>2064</v>
      </c>
      <c r="G510" s="4">
        <v>45617</v>
      </c>
      <c r="H510" s="13">
        <v>9</v>
      </c>
      <c r="I510" s="7" t="s">
        <v>647</v>
      </c>
      <c r="J510" s="7" t="s">
        <v>654</v>
      </c>
      <c r="K510" s="7" t="s">
        <v>691</v>
      </c>
      <c r="M510" s="7" t="s">
        <v>701</v>
      </c>
      <c r="N510" s="7" t="s">
        <v>711</v>
      </c>
      <c r="O510" s="7" t="s">
        <v>722</v>
      </c>
      <c r="P510" s="7" t="s">
        <v>731</v>
      </c>
      <c r="Q510" s="7" t="s">
        <v>1935</v>
      </c>
      <c r="R510" s="9">
        <v>903.41</v>
      </c>
      <c r="S510" s="9">
        <v>1860.41</v>
      </c>
      <c r="T510" s="9">
        <v>1860.41</v>
      </c>
      <c r="U510" s="9">
        <f t="shared" si="39"/>
        <v>914.24800000000027</v>
      </c>
      <c r="V510" s="9">
        <f t="shared" si="37"/>
        <v>1635.8512000000003</v>
      </c>
      <c r="W510" s="9" t="str">
        <f t="shared" si="38"/>
        <v>High</v>
      </c>
      <c r="X510" t="s">
        <v>2065</v>
      </c>
      <c r="Y510" s="11">
        <v>0.108</v>
      </c>
      <c r="Z510" t="s">
        <v>2065</v>
      </c>
      <c r="AA510" s="13">
        <v>5</v>
      </c>
      <c r="AB510" s="9">
        <v>8297.4286000000011</v>
      </c>
      <c r="AC510" s="9">
        <v>4517.05</v>
      </c>
      <c r="AD510" s="9">
        <v>3780.3786000000009</v>
      </c>
      <c r="AE510" s="11">
        <v>0.455608451996803</v>
      </c>
    </row>
    <row r="511" spans="1:31" x14ac:dyDescent="0.3">
      <c r="A511" t="s">
        <v>524</v>
      </c>
      <c r="B511" s="4">
        <v>45056</v>
      </c>
      <c r="C511" s="4" t="str">
        <f t="shared" si="35"/>
        <v>May-2023</v>
      </c>
      <c r="D511" s="4" t="str">
        <f t="shared" si="36"/>
        <v>Q2-2023</v>
      </c>
      <c r="E511" s="4">
        <v>45060</v>
      </c>
      <c r="F511" t="s">
        <v>2064</v>
      </c>
      <c r="G511" s="4">
        <v>45060</v>
      </c>
      <c r="H511" s="13">
        <v>4</v>
      </c>
      <c r="I511" s="7" t="s">
        <v>647</v>
      </c>
      <c r="J511" s="7" t="s">
        <v>654</v>
      </c>
      <c r="K511" s="7" t="s">
        <v>680</v>
      </c>
      <c r="M511" s="7" t="s">
        <v>703</v>
      </c>
      <c r="N511" s="7" t="s">
        <v>710</v>
      </c>
      <c r="O511" s="7" t="s">
        <v>712</v>
      </c>
      <c r="P511" s="7" t="s">
        <v>732</v>
      </c>
      <c r="Q511" s="7" t="s">
        <v>1936</v>
      </c>
      <c r="R511" s="9">
        <v>622.6</v>
      </c>
      <c r="S511" s="9">
        <v>833.69</v>
      </c>
      <c r="T511" s="9">
        <v>833.69</v>
      </c>
      <c r="U511" s="9">
        <f t="shared" si="39"/>
        <v>902.40070000000003</v>
      </c>
      <c r="V511" s="9">
        <f t="shared" si="37"/>
        <v>1621.2340000000002</v>
      </c>
      <c r="W511" s="9" t="str">
        <f t="shared" si="38"/>
        <v>Low</v>
      </c>
      <c r="X511" t="s">
        <v>2065</v>
      </c>
      <c r="Y511" s="11">
        <v>0.20899999999999999</v>
      </c>
      <c r="Z511" t="s">
        <v>2065</v>
      </c>
      <c r="AA511" s="13">
        <v>14</v>
      </c>
      <c r="AB511" s="9">
        <v>9232.2830599999998</v>
      </c>
      <c r="AC511" s="9">
        <v>8716.4</v>
      </c>
      <c r="AD511" s="9">
        <v>515.88306000000011</v>
      </c>
      <c r="AE511" s="11">
        <v>5.5878167582959715E-2</v>
      </c>
    </row>
    <row r="512" spans="1:31" x14ac:dyDescent="0.3">
      <c r="A512" t="s">
        <v>525</v>
      </c>
      <c r="B512" s="4">
        <v>45353</v>
      </c>
      <c r="C512" s="4" t="str">
        <f t="shared" si="35"/>
        <v>Mar-2024</v>
      </c>
      <c r="D512" s="4" t="str">
        <f t="shared" si="36"/>
        <v>Q1-2024</v>
      </c>
      <c r="E512" s="4">
        <v>45374</v>
      </c>
      <c r="F512" t="s">
        <v>2064</v>
      </c>
      <c r="G512" s="4">
        <v>45374</v>
      </c>
      <c r="H512" s="13">
        <v>21</v>
      </c>
      <c r="I512" s="7" t="s">
        <v>648</v>
      </c>
      <c r="J512" s="7" t="s">
        <v>1425</v>
      </c>
      <c r="K512" s="7" t="s">
        <v>677</v>
      </c>
      <c r="M512" s="7" t="s">
        <v>705</v>
      </c>
      <c r="N512" s="7" t="s">
        <v>708</v>
      </c>
      <c r="O512" s="7" t="s">
        <v>721</v>
      </c>
      <c r="P512" s="7" t="s">
        <v>727</v>
      </c>
      <c r="Q512" s="7" t="s">
        <v>1937</v>
      </c>
      <c r="R512" s="9">
        <v>225.01</v>
      </c>
      <c r="S512" s="9">
        <v>333.48</v>
      </c>
      <c r="T512" s="9">
        <v>333.48</v>
      </c>
      <c r="U512" s="9">
        <f t="shared" si="39"/>
        <v>929.65000000000009</v>
      </c>
      <c r="V512" s="9">
        <f t="shared" si="37"/>
        <v>1629.432</v>
      </c>
      <c r="W512" s="9" t="str">
        <f t="shared" si="38"/>
        <v>Low</v>
      </c>
      <c r="X512" t="s">
        <v>2065</v>
      </c>
      <c r="Y512" s="11">
        <v>0.11899999999999999</v>
      </c>
      <c r="Z512" t="s">
        <v>2065</v>
      </c>
      <c r="AA512" s="13">
        <v>12</v>
      </c>
      <c r="AB512" s="9">
        <v>3525.5505600000001</v>
      </c>
      <c r="AC512" s="9">
        <v>2700.12</v>
      </c>
      <c r="AD512" s="9">
        <v>825.43056000000024</v>
      </c>
      <c r="AE512" s="11">
        <v>0.23412813004729685</v>
      </c>
    </row>
    <row r="513" spans="1:31" x14ac:dyDescent="0.3">
      <c r="A513" t="s">
        <v>526</v>
      </c>
      <c r="B513" s="4">
        <v>45575</v>
      </c>
      <c r="C513" s="4" t="str">
        <f t="shared" si="35"/>
        <v>Oct-2024</v>
      </c>
      <c r="D513" s="4" t="str">
        <f t="shared" si="36"/>
        <v>Q4-2024</v>
      </c>
      <c r="E513" s="4">
        <v>45576</v>
      </c>
      <c r="F513" t="s">
        <v>2064</v>
      </c>
      <c r="G513" s="4">
        <v>45576</v>
      </c>
      <c r="H513" s="13">
        <v>1</v>
      </c>
      <c r="I513" s="7" t="s">
        <v>649</v>
      </c>
      <c r="J513" s="7" t="s">
        <v>658</v>
      </c>
      <c r="K513" s="7" t="s">
        <v>693</v>
      </c>
      <c r="M513" s="7" t="s">
        <v>703</v>
      </c>
      <c r="N513" s="7" t="s">
        <v>710</v>
      </c>
      <c r="O513" s="7" t="s">
        <v>716</v>
      </c>
      <c r="P513" s="7" t="s">
        <v>727</v>
      </c>
      <c r="Q513" s="7" t="s">
        <v>1938</v>
      </c>
      <c r="R513" s="9">
        <v>1389.46</v>
      </c>
      <c r="S513" s="9">
        <v>1784.7</v>
      </c>
      <c r="T513" s="9">
        <v>1784.7</v>
      </c>
      <c r="U513" s="9">
        <f t="shared" si="39"/>
        <v>950.18110000000001</v>
      </c>
      <c r="V513" s="9">
        <f t="shared" si="37"/>
        <v>1636.2524000000001</v>
      </c>
      <c r="W513" s="9" t="str">
        <f t="shared" si="38"/>
        <v>High</v>
      </c>
      <c r="X513" t="s">
        <v>2065</v>
      </c>
      <c r="Y513" s="11">
        <v>0.14599999999999999</v>
      </c>
      <c r="Z513" t="s">
        <v>2065</v>
      </c>
      <c r="AA513" s="13">
        <v>33</v>
      </c>
      <c r="AB513" s="9">
        <v>50296.415399999998</v>
      </c>
      <c r="AC513" s="9">
        <v>45852.18</v>
      </c>
      <c r="AD513" s="9">
        <v>4444.2353999999978</v>
      </c>
      <c r="AE513" s="11">
        <v>8.8360877503011831E-2</v>
      </c>
    </row>
    <row r="514" spans="1:31" x14ac:dyDescent="0.3">
      <c r="A514" t="s">
        <v>527</v>
      </c>
      <c r="B514" s="4">
        <v>45078</v>
      </c>
      <c r="C514" s="4" t="str">
        <f t="shared" si="35"/>
        <v>Jun-2023</v>
      </c>
      <c r="D514" s="4" t="str">
        <f t="shared" si="36"/>
        <v>Q2-2023</v>
      </c>
      <c r="E514" s="4">
        <v>45085</v>
      </c>
      <c r="F514" t="s">
        <v>2064</v>
      </c>
      <c r="G514" s="4">
        <v>45085</v>
      </c>
      <c r="H514" s="13">
        <v>7</v>
      </c>
      <c r="I514" s="7" t="s">
        <v>649</v>
      </c>
      <c r="J514" s="7" t="s">
        <v>656</v>
      </c>
      <c r="K514" s="7" t="s">
        <v>698</v>
      </c>
      <c r="M514" s="7" t="s">
        <v>704</v>
      </c>
      <c r="N514" s="7" t="s">
        <v>708</v>
      </c>
      <c r="O514" s="7" t="s">
        <v>720</v>
      </c>
      <c r="P514" s="7" t="s">
        <v>730</v>
      </c>
      <c r="Q514" s="7" t="s">
        <v>1939</v>
      </c>
      <c r="R514" s="9">
        <v>804.17</v>
      </c>
      <c r="S514" s="9">
        <v>1072.29</v>
      </c>
      <c r="T514" s="9">
        <v>1072.29</v>
      </c>
      <c r="U514" s="9">
        <f t="shared" si="39"/>
        <v>945.05200000000025</v>
      </c>
      <c r="V514" s="9">
        <f t="shared" si="37"/>
        <v>1621.8320000000003</v>
      </c>
      <c r="W514" s="9" t="str">
        <f t="shared" si="38"/>
        <v>Medium</v>
      </c>
      <c r="X514" t="s">
        <v>2065</v>
      </c>
      <c r="Y514" s="11">
        <v>3.2000000000000001E-2</v>
      </c>
      <c r="Z514" t="s">
        <v>2065</v>
      </c>
      <c r="AA514" s="13">
        <v>5</v>
      </c>
      <c r="AB514" s="9">
        <v>5189.8836000000001</v>
      </c>
      <c r="AC514" s="9">
        <v>4020.85</v>
      </c>
      <c r="AD514" s="9">
        <v>1169.0336000000002</v>
      </c>
      <c r="AE514" s="11">
        <v>0.2252523736755869</v>
      </c>
    </row>
    <row r="515" spans="1:31" x14ac:dyDescent="0.3">
      <c r="A515" t="s">
        <v>528</v>
      </c>
      <c r="B515" s="4">
        <v>45661</v>
      </c>
      <c r="C515" s="4" t="str">
        <f t="shared" ref="C515:C578" si="40">TEXT(B515,"MMM-YYYY")</f>
        <v>Jan-2025</v>
      </c>
      <c r="D515" s="4" t="str">
        <f t="shared" ref="D515:D578" si="41">"Q" &amp; INT((MONTH(B515)-1)/3)+1 &amp; "-" &amp; YEAR(B515)</f>
        <v>Q1-2025</v>
      </c>
      <c r="E515" s="4">
        <v>45662</v>
      </c>
      <c r="F515" t="s">
        <v>2064</v>
      </c>
      <c r="G515" s="4">
        <v>45662</v>
      </c>
      <c r="H515" s="13">
        <v>1</v>
      </c>
      <c r="I515" s="7" t="s">
        <v>647</v>
      </c>
      <c r="J515" s="7" t="s">
        <v>654</v>
      </c>
      <c r="K515" s="7" t="s">
        <v>680</v>
      </c>
      <c r="M515" s="7" t="s">
        <v>702</v>
      </c>
      <c r="N515" s="7" t="s">
        <v>707</v>
      </c>
      <c r="O515" s="7" t="s">
        <v>714</v>
      </c>
      <c r="P515" s="7" t="s">
        <v>727</v>
      </c>
      <c r="Q515" s="7" t="s">
        <v>1940</v>
      </c>
      <c r="R515" s="9">
        <v>1428.33</v>
      </c>
      <c r="S515" s="9">
        <v>3028.05</v>
      </c>
      <c r="T515" s="9">
        <v>3028.05</v>
      </c>
      <c r="U515" s="9">
        <f t="shared" si="39"/>
        <v>930.10299999999995</v>
      </c>
      <c r="V515" s="9">
        <f t="shared" ref="V515:V578" si="42">_xlfn.PERCENTILE.INC(T515:T1145,0.66)</f>
        <v>1629.8332</v>
      </c>
      <c r="W515" s="9" t="str">
        <f t="shared" ref="W515:W578" si="43">IF(T515&lt;=U515,"Low",IF(T515&lt;=V515,"Medium","High"))</f>
        <v>High</v>
      </c>
      <c r="X515" t="s">
        <v>2065</v>
      </c>
      <c r="Y515" s="11">
        <v>0</v>
      </c>
      <c r="Z515" t="s">
        <v>2065</v>
      </c>
      <c r="AA515" s="13">
        <v>11</v>
      </c>
      <c r="AB515" s="9">
        <v>33308.550000000003</v>
      </c>
      <c r="AC515" s="9">
        <v>15711.63</v>
      </c>
      <c r="AD515" s="9">
        <v>17596.920000000006</v>
      </c>
      <c r="AE515" s="11">
        <v>0.52830039134096207</v>
      </c>
    </row>
    <row r="516" spans="1:31" x14ac:dyDescent="0.3">
      <c r="A516" t="s">
        <v>529</v>
      </c>
      <c r="B516" s="4">
        <v>45874</v>
      </c>
      <c r="C516" s="4" t="str">
        <f t="shared" si="40"/>
        <v>Aug-2025</v>
      </c>
      <c r="D516" s="4" t="str">
        <f t="shared" si="41"/>
        <v>Q3-2025</v>
      </c>
      <c r="E516" s="4">
        <v>45897</v>
      </c>
      <c r="F516" t="s">
        <v>2064</v>
      </c>
      <c r="G516" s="4">
        <v>45897</v>
      </c>
      <c r="H516" s="13">
        <v>23</v>
      </c>
      <c r="I516" s="7" t="s">
        <v>647</v>
      </c>
      <c r="J516" s="7" t="s">
        <v>654</v>
      </c>
      <c r="K516" s="7" t="s">
        <v>691</v>
      </c>
      <c r="M516" s="7" t="s">
        <v>703</v>
      </c>
      <c r="N516" s="7" t="s">
        <v>710</v>
      </c>
      <c r="O516" s="7" t="s">
        <v>725</v>
      </c>
      <c r="P516" s="7" t="s">
        <v>731</v>
      </c>
      <c r="Q516" s="7" t="s">
        <v>1941</v>
      </c>
      <c r="R516" s="9">
        <v>638.54</v>
      </c>
      <c r="S516" s="9">
        <v>987.24</v>
      </c>
      <c r="T516" s="9">
        <v>987.24</v>
      </c>
      <c r="U516" s="9">
        <f t="shared" si="39"/>
        <v>915.15400000000011</v>
      </c>
      <c r="V516" s="9">
        <f t="shared" si="42"/>
        <v>1612.2640000000001</v>
      </c>
      <c r="W516" s="9" t="str">
        <f t="shared" si="43"/>
        <v>Medium</v>
      </c>
      <c r="X516" t="s">
        <v>2065</v>
      </c>
      <c r="Y516" s="11">
        <v>0</v>
      </c>
      <c r="Z516" t="s">
        <v>2065</v>
      </c>
      <c r="AA516" s="13">
        <v>11</v>
      </c>
      <c r="AB516" s="9">
        <v>10859.64</v>
      </c>
      <c r="AC516" s="9">
        <v>7023.94</v>
      </c>
      <c r="AD516" s="9">
        <v>3835.7</v>
      </c>
      <c r="AE516" s="11">
        <v>0.35320692030306716</v>
      </c>
    </row>
    <row r="517" spans="1:31" x14ac:dyDescent="0.3">
      <c r="A517" t="s">
        <v>530</v>
      </c>
      <c r="B517" s="4">
        <v>45199</v>
      </c>
      <c r="C517" s="4" t="str">
        <f t="shared" si="40"/>
        <v>Sep-2023</v>
      </c>
      <c r="D517" s="4" t="str">
        <f t="shared" si="41"/>
        <v>Q3-2023</v>
      </c>
      <c r="E517" s="4">
        <v>45229</v>
      </c>
      <c r="F517" t="s">
        <v>2064</v>
      </c>
      <c r="G517" s="4">
        <v>45229</v>
      </c>
      <c r="H517" s="13">
        <v>30</v>
      </c>
      <c r="I517" s="7" t="s">
        <v>647</v>
      </c>
      <c r="J517" s="7" t="s">
        <v>652</v>
      </c>
      <c r="K517" s="7" t="s">
        <v>689</v>
      </c>
      <c r="M517" s="7" t="s">
        <v>706</v>
      </c>
      <c r="N517" s="7" t="s">
        <v>708</v>
      </c>
      <c r="O517" s="7" t="s">
        <v>726</v>
      </c>
      <c r="P517" s="7" t="s">
        <v>728</v>
      </c>
      <c r="Q517" s="7" t="s">
        <v>1942</v>
      </c>
      <c r="R517" s="9">
        <v>649.13</v>
      </c>
      <c r="S517" s="9">
        <v>975.43</v>
      </c>
      <c r="T517" s="9">
        <v>975.43</v>
      </c>
      <c r="U517" s="9">
        <f t="shared" si="39"/>
        <v>902.42050000000006</v>
      </c>
      <c r="V517" s="9">
        <f t="shared" si="42"/>
        <v>1622.4300000000003</v>
      </c>
      <c r="W517" s="9" t="str">
        <f t="shared" si="43"/>
        <v>Medium</v>
      </c>
      <c r="X517" t="s">
        <v>2065</v>
      </c>
      <c r="Y517" s="11">
        <v>0.157</v>
      </c>
      <c r="Z517" t="s">
        <v>2065</v>
      </c>
      <c r="AA517" s="13">
        <v>27</v>
      </c>
      <c r="AB517" s="9">
        <v>22201.762229999997</v>
      </c>
      <c r="AC517" s="9">
        <v>17526.509999999998</v>
      </c>
      <c r="AD517" s="9">
        <v>4675.2522299999982</v>
      </c>
      <c r="AE517" s="11">
        <v>0.21058023149543473</v>
      </c>
    </row>
    <row r="518" spans="1:31" x14ac:dyDescent="0.3">
      <c r="A518" t="s">
        <v>531</v>
      </c>
      <c r="B518" s="4">
        <v>45794</v>
      </c>
      <c r="C518" s="4" t="str">
        <f t="shared" si="40"/>
        <v>May-2025</v>
      </c>
      <c r="D518" s="4" t="str">
        <f t="shared" si="41"/>
        <v>Q2-2025</v>
      </c>
      <c r="E518" s="4">
        <v>45807</v>
      </c>
      <c r="F518" t="s">
        <v>2064</v>
      </c>
      <c r="G518" s="4">
        <v>45807</v>
      </c>
      <c r="H518" s="13">
        <v>13</v>
      </c>
      <c r="I518" s="7" t="s">
        <v>646</v>
      </c>
      <c r="J518" s="7" t="s">
        <v>651</v>
      </c>
      <c r="K518" s="7" t="s">
        <v>665</v>
      </c>
      <c r="M518" s="7" t="s">
        <v>704</v>
      </c>
      <c r="N518" s="7" t="s">
        <v>710</v>
      </c>
      <c r="O518" s="7" t="s">
        <v>721</v>
      </c>
      <c r="P518" s="7" t="s">
        <v>733</v>
      </c>
      <c r="Q518" s="7" t="s">
        <v>1943</v>
      </c>
      <c r="R518" s="9">
        <v>66.400000000000006</v>
      </c>
      <c r="S518" s="9">
        <v>141.43</v>
      </c>
      <c r="T518" s="9">
        <v>141.43</v>
      </c>
      <c r="U518" s="9">
        <f t="shared" si="39"/>
        <v>902.09379999999999</v>
      </c>
      <c r="V518" s="9">
        <f t="shared" si="42"/>
        <v>1630.2344000000003</v>
      </c>
      <c r="W518" s="9" t="str">
        <f t="shared" si="43"/>
        <v>Low</v>
      </c>
      <c r="X518" t="s">
        <v>2065</v>
      </c>
      <c r="Y518" s="11">
        <v>0.107</v>
      </c>
      <c r="Z518" t="s">
        <v>2065</v>
      </c>
      <c r="AA518" s="13">
        <v>8</v>
      </c>
      <c r="AB518" s="9">
        <v>1010.3759200000001</v>
      </c>
      <c r="AC518" s="9">
        <v>531.20000000000005</v>
      </c>
      <c r="AD518" s="9">
        <v>479.17592000000002</v>
      </c>
      <c r="AE518" s="11">
        <v>0.47425508715607551</v>
      </c>
    </row>
    <row r="519" spans="1:31" x14ac:dyDescent="0.3">
      <c r="A519" t="s">
        <v>532</v>
      </c>
      <c r="B519" s="4">
        <v>45413</v>
      </c>
      <c r="C519" s="4" t="str">
        <f t="shared" si="40"/>
        <v>May-2024</v>
      </c>
      <c r="D519" s="4" t="str">
        <f t="shared" si="41"/>
        <v>Q2-2024</v>
      </c>
      <c r="E519" s="4">
        <v>45438</v>
      </c>
      <c r="F519" t="s">
        <v>2064</v>
      </c>
      <c r="G519" s="4">
        <v>45438</v>
      </c>
      <c r="H519" s="13">
        <v>25</v>
      </c>
      <c r="I519" s="7" t="s">
        <v>649</v>
      </c>
      <c r="J519" s="7" t="s">
        <v>656</v>
      </c>
      <c r="K519" s="7" t="s">
        <v>671</v>
      </c>
      <c r="M519" s="7" t="s">
        <v>703</v>
      </c>
      <c r="N519" s="7" t="s">
        <v>707</v>
      </c>
      <c r="O519" s="7" t="s">
        <v>717</v>
      </c>
      <c r="P519" s="7" t="s">
        <v>729</v>
      </c>
      <c r="Q519" s="7" t="s">
        <v>1944</v>
      </c>
      <c r="R519" s="9">
        <v>930.71</v>
      </c>
      <c r="S519" s="9">
        <v>1625.42</v>
      </c>
      <c r="T519" s="9">
        <v>1625.42</v>
      </c>
      <c r="U519" s="9">
        <f t="shared" ref="U519:U582" si="44">_xlfn.PERCENTILE.INC(T519:T1149,0.33)</f>
        <v>915.60699999999997</v>
      </c>
      <c r="V519" s="9">
        <f t="shared" si="42"/>
        <v>1637.0548000000001</v>
      </c>
      <c r="W519" s="9" t="str">
        <f t="shared" si="43"/>
        <v>Medium</v>
      </c>
      <c r="X519" t="s">
        <v>2065</v>
      </c>
      <c r="Y519" s="11">
        <v>0.13800000000000001</v>
      </c>
      <c r="Z519" t="s">
        <v>2065</v>
      </c>
      <c r="AA519" s="13">
        <v>7</v>
      </c>
      <c r="AB519" s="9">
        <v>9807.7842799999999</v>
      </c>
      <c r="AC519" s="9">
        <v>6514.97</v>
      </c>
      <c r="AD519" s="9">
        <v>3292.8142799999996</v>
      </c>
      <c r="AE519" s="11">
        <v>0.33573477821231196</v>
      </c>
    </row>
    <row r="520" spans="1:31" x14ac:dyDescent="0.3">
      <c r="A520" t="s">
        <v>533</v>
      </c>
      <c r="B520" s="4">
        <v>45047</v>
      </c>
      <c r="C520" s="4" t="str">
        <f t="shared" si="40"/>
        <v>May-2023</v>
      </c>
      <c r="D520" s="4" t="str">
        <f t="shared" si="41"/>
        <v>Q2-2023</v>
      </c>
      <c r="E520" s="4">
        <v>45064</v>
      </c>
      <c r="F520" t="s">
        <v>2064</v>
      </c>
      <c r="G520" s="4">
        <v>45064</v>
      </c>
      <c r="H520" s="13">
        <v>17</v>
      </c>
      <c r="I520" s="7" t="s">
        <v>646</v>
      </c>
      <c r="J520" s="7" t="s">
        <v>651</v>
      </c>
      <c r="K520" s="7" t="s">
        <v>663</v>
      </c>
      <c r="M520" s="7" t="s">
        <v>701</v>
      </c>
      <c r="N520" s="7" t="s">
        <v>711</v>
      </c>
      <c r="O520" s="7" t="s">
        <v>721</v>
      </c>
      <c r="P520" s="7" t="s">
        <v>727</v>
      </c>
      <c r="Q520" s="7" t="s">
        <v>1945</v>
      </c>
      <c r="R520" s="9">
        <v>327.97</v>
      </c>
      <c r="S520" s="9">
        <v>299.94</v>
      </c>
      <c r="T520" s="9">
        <v>299.94</v>
      </c>
      <c r="U520" s="9">
        <f t="shared" si="44"/>
        <v>902.43040000000008</v>
      </c>
      <c r="V520" s="9">
        <f t="shared" si="42"/>
        <v>1641.4832000000001</v>
      </c>
      <c r="W520" s="9" t="str">
        <f t="shared" si="43"/>
        <v>Low</v>
      </c>
      <c r="X520" t="s">
        <v>2065</v>
      </c>
      <c r="Y520" s="11">
        <v>4.9000000000000002E-2</v>
      </c>
      <c r="Z520" t="s">
        <v>2065</v>
      </c>
      <c r="AA520" s="13">
        <v>3</v>
      </c>
      <c r="AB520" s="9">
        <v>855.72881999999993</v>
      </c>
      <c r="AC520" s="9">
        <v>983.91000000000008</v>
      </c>
      <c r="AD520" s="9">
        <v>-128.18118000000015</v>
      </c>
      <c r="AE520" s="11">
        <v>-0.14979182306843442</v>
      </c>
    </row>
    <row r="521" spans="1:31" x14ac:dyDescent="0.3">
      <c r="A521" t="s">
        <v>534</v>
      </c>
      <c r="B521" s="4">
        <v>45482</v>
      </c>
      <c r="C521" s="4" t="str">
        <f t="shared" si="40"/>
        <v>Jul-2024</v>
      </c>
      <c r="D521" s="4" t="str">
        <f t="shared" si="41"/>
        <v>Q3-2024</v>
      </c>
      <c r="E521" s="4">
        <v>45512</v>
      </c>
      <c r="F521" t="s">
        <v>2064</v>
      </c>
      <c r="G521" s="4">
        <v>45512</v>
      </c>
      <c r="H521" s="13">
        <v>30</v>
      </c>
      <c r="I521" s="7" t="s">
        <v>649</v>
      </c>
      <c r="J521" s="7" t="s">
        <v>657</v>
      </c>
      <c r="K521" s="7" t="s">
        <v>673</v>
      </c>
      <c r="M521" s="7" t="s">
        <v>701</v>
      </c>
      <c r="N521" s="7" t="s">
        <v>711</v>
      </c>
      <c r="O521" s="7" t="s">
        <v>713</v>
      </c>
      <c r="P521" s="7" t="s">
        <v>727</v>
      </c>
      <c r="Q521" s="7" t="s">
        <v>1946</v>
      </c>
      <c r="R521" s="9">
        <v>1062.3800000000001</v>
      </c>
      <c r="S521" s="9">
        <v>1503.96</v>
      </c>
      <c r="T521" s="9">
        <v>1503.96</v>
      </c>
      <c r="U521" s="9">
        <f t="shared" si="44"/>
        <v>931.00900000000013</v>
      </c>
      <c r="V521" s="9">
        <f t="shared" si="42"/>
        <v>1648.9744000000001</v>
      </c>
      <c r="W521" s="9" t="str">
        <f t="shared" si="43"/>
        <v>Medium</v>
      </c>
      <c r="X521" t="s">
        <v>2065</v>
      </c>
      <c r="Y521" s="11">
        <v>0.18</v>
      </c>
      <c r="Z521" t="s">
        <v>2065</v>
      </c>
      <c r="AA521" s="13">
        <v>6</v>
      </c>
      <c r="AB521" s="9">
        <v>7399.4832000000006</v>
      </c>
      <c r="AC521" s="9">
        <v>6374.2800000000007</v>
      </c>
      <c r="AD521" s="9">
        <v>1025.2031999999999</v>
      </c>
      <c r="AE521" s="11">
        <v>0.13855064905073369</v>
      </c>
    </row>
    <row r="522" spans="1:31" x14ac:dyDescent="0.3">
      <c r="A522" t="s">
        <v>535</v>
      </c>
      <c r="B522" s="4">
        <v>45056</v>
      </c>
      <c r="C522" s="4" t="str">
        <f t="shared" si="40"/>
        <v>May-2023</v>
      </c>
      <c r="D522" s="4" t="str">
        <f t="shared" si="41"/>
        <v>Q2-2023</v>
      </c>
      <c r="E522" s="4">
        <v>45073</v>
      </c>
      <c r="F522" t="s">
        <v>2064</v>
      </c>
      <c r="G522" s="4">
        <v>45073</v>
      </c>
      <c r="H522" s="13">
        <v>17</v>
      </c>
      <c r="I522" s="7" t="s">
        <v>647</v>
      </c>
      <c r="J522" s="7" t="s">
        <v>654</v>
      </c>
      <c r="K522" s="7" t="s">
        <v>691</v>
      </c>
      <c r="M522" s="7" t="s">
        <v>704</v>
      </c>
      <c r="N522" s="7" t="s">
        <v>707</v>
      </c>
      <c r="O522" s="7" t="s">
        <v>724</v>
      </c>
      <c r="P522" s="7" t="s">
        <v>731</v>
      </c>
      <c r="Q522" s="7" t="s">
        <v>1947</v>
      </c>
      <c r="R522" s="9">
        <v>1286.1600000000001</v>
      </c>
      <c r="S522" s="9">
        <v>3101.11</v>
      </c>
      <c r="T522" s="9">
        <v>3101.11</v>
      </c>
      <c r="U522" s="9">
        <f t="shared" si="44"/>
        <v>916.06000000000017</v>
      </c>
      <c r="V522" s="9">
        <f t="shared" si="42"/>
        <v>1653.5440000000001</v>
      </c>
      <c r="W522" s="9" t="str">
        <f t="shared" si="43"/>
        <v>High</v>
      </c>
      <c r="X522" t="s">
        <v>2065</v>
      </c>
      <c r="Y522" s="11">
        <v>0.1</v>
      </c>
      <c r="Z522" t="s">
        <v>2065</v>
      </c>
      <c r="AA522" s="13">
        <v>23</v>
      </c>
      <c r="AB522" s="9">
        <v>64192.976999999999</v>
      </c>
      <c r="AC522" s="9">
        <v>29581.68</v>
      </c>
      <c r="AD522" s="9">
        <v>34611.296999999999</v>
      </c>
      <c r="AE522" s="11">
        <v>0.53917575749758417</v>
      </c>
    </row>
    <row r="523" spans="1:31" x14ac:dyDescent="0.3">
      <c r="A523" t="s">
        <v>536</v>
      </c>
      <c r="B523" s="4">
        <v>45482</v>
      </c>
      <c r="C523" s="4" t="str">
        <f t="shared" si="40"/>
        <v>Jul-2024</v>
      </c>
      <c r="D523" s="4" t="str">
        <f t="shared" si="41"/>
        <v>Q3-2024</v>
      </c>
      <c r="E523" s="4">
        <v>45485</v>
      </c>
      <c r="F523" t="s">
        <v>2064</v>
      </c>
      <c r="G523" s="4">
        <v>45485</v>
      </c>
      <c r="H523" s="13">
        <v>3</v>
      </c>
      <c r="I523" s="7" t="s">
        <v>647</v>
      </c>
      <c r="J523" s="7" t="s">
        <v>659</v>
      </c>
      <c r="K523" s="7" t="s">
        <v>685</v>
      </c>
      <c r="M523" s="7" t="s">
        <v>705</v>
      </c>
      <c r="N523" s="7" t="s">
        <v>707</v>
      </c>
      <c r="O523" s="7" t="s">
        <v>726</v>
      </c>
      <c r="P523" s="7" t="s">
        <v>733</v>
      </c>
      <c r="Q523" s="7" t="s">
        <v>1948</v>
      </c>
      <c r="R523" s="9">
        <v>748.39</v>
      </c>
      <c r="S523" s="9">
        <v>979.42</v>
      </c>
      <c r="T523" s="9">
        <v>979.42</v>
      </c>
      <c r="U523" s="9">
        <f t="shared" si="44"/>
        <v>902.44029999999998</v>
      </c>
      <c r="V523" s="9">
        <f t="shared" si="42"/>
        <v>1642.4823999999999</v>
      </c>
      <c r="W523" s="9" t="str">
        <f t="shared" si="43"/>
        <v>Medium</v>
      </c>
      <c r="X523" t="s">
        <v>2065</v>
      </c>
      <c r="Y523" s="11">
        <v>0</v>
      </c>
      <c r="Z523" t="s">
        <v>2065</v>
      </c>
      <c r="AA523" s="13">
        <v>23</v>
      </c>
      <c r="AB523" s="9">
        <v>22526.66</v>
      </c>
      <c r="AC523" s="9">
        <v>17212.97</v>
      </c>
      <c r="AD523" s="9">
        <v>5313.6899999999987</v>
      </c>
      <c r="AE523" s="11">
        <v>0.23588450307324738</v>
      </c>
    </row>
    <row r="524" spans="1:31" x14ac:dyDescent="0.3">
      <c r="A524" t="s">
        <v>537</v>
      </c>
      <c r="B524" s="4">
        <v>45406</v>
      </c>
      <c r="C524" s="4" t="str">
        <f t="shared" si="40"/>
        <v>Apr-2024</v>
      </c>
      <c r="D524" s="4" t="str">
        <f t="shared" si="41"/>
        <v>Q2-2024</v>
      </c>
      <c r="E524" s="4">
        <v>45422</v>
      </c>
      <c r="F524" t="s">
        <v>2064</v>
      </c>
      <c r="G524" s="4">
        <v>45422</v>
      </c>
      <c r="H524" s="13">
        <v>16</v>
      </c>
      <c r="I524" s="7" t="s">
        <v>646</v>
      </c>
      <c r="J524" s="7" t="s">
        <v>650</v>
      </c>
      <c r="K524" s="7" t="s">
        <v>662</v>
      </c>
      <c r="M524" s="7" t="s">
        <v>703</v>
      </c>
      <c r="N524" s="7" t="s">
        <v>708</v>
      </c>
      <c r="O524" s="7" t="s">
        <v>725</v>
      </c>
      <c r="P524" s="7" t="s">
        <v>732</v>
      </c>
      <c r="Q524" s="7" t="s">
        <v>1949</v>
      </c>
      <c r="R524" s="9">
        <v>513.30999999999995</v>
      </c>
      <c r="S524" s="9">
        <v>1186.26</v>
      </c>
      <c r="T524" s="9">
        <v>1186.26</v>
      </c>
      <c r="U524" s="9">
        <f t="shared" si="44"/>
        <v>902.11360000000002</v>
      </c>
      <c r="V524" s="9">
        <f t="shared" si="42"/>
        <v>1649.2432000000001</v>
      </c>
      <c r="W524" s="9" t="str">
        <f t="shared" si="43"/>
        <v>Medium</v>
      </c>
      <c r="X524" t="s">
        <v>2065</v>
      </c>
      <c r="Y524" s="11">
        <v>9.4E-2</v>
      </c>
      <c r="Z524" t="s">
        <v>2065</v>
      </c>
      <c r="AA524" s="13">
        <v>15</v>
      </c>
      <c r="AB524" s="9">
        <v>16121.273400000002</v>
      </c>
      <c r="AC524" s="9">
        <v>7699.65</v>
      </c>
      <c r="AD524" s="9">
        <v>8421.6234000000022</v>
      </c>
      <c r="AE524" s="11">
        <v>0.52239194702820446</v>
      </c>
    </row>
    <row r="525" spans="1:31" x14ac:dyDescent="0.3">
      <c r="A525" t="s">
        <v>538</v>
      </c>
      <c r="B525" s="4">
        <v>45304</v>
      </c>
      <c r="C525" s="4" t="str">
        <f t="shared" si="40"/>
        <v>Jan-2024</v>
      </c>
      <c r="D525" s="4" t="str">
        <f t="shared" si="41"/>
        <v>Q1-2024</v>
      </c>
      <c r="E525" s="4">
        <v>45306</v>
      </c>
      <c r="F525" t="s">
        <v>2064</v>
      </c>
      <c r="G525" s="4">
        <v>45306</v>
      </c>
      <c r="H525" s="13">
        <v>2</v>
      </c>
      <c r="I525" s="7" t="s">
        <v>648</v>
      </c>
      <c r="J525" s="7" t="s">
        <v>1425</v>
      </c>
      <c r="K525" s="7" t="s">
        <v>686</v>
      </c>
      <c r="M525" s="7" t="s">
        <v>703</v>
      </c>
      <c r="N525" s="7" t="s">
        <v>711</v>
      </c>
      <c r="O525" s="7" t="s">
        <v>718</v>
      </c>
      <c r="P525" s="7" t="s">
        <v>727</v>
      </c>
      <c r="Q525" s="7" t="s">
        <v>1950</v>
      </c>
      <c r="R525" s="9">
        <v>1061.3699999999999</v>
      </c>
      <c r="S525" s="9">
        <v>1938.33</v>
      </c>
      <c r="T525" s="9">
        <v>1938.33</v>
      </c>
      <c r="U525" s="9">
        <f t="shared" si="44"/>
        <v>901.78690000000006</v>
      </c>
      <c r="V525" s="9">
        <f t="shared" si="42"/>
        <v>1653.8128000000002</v>
      </c>
      <c r="W525" s="9" t="str">
        <f t="shared" si="43"/>
        <v>High</v>
      </c>
      <c r="X525" t="s">
        <v>2065</v>
      </c>
      <c r="Y525" s="11">
        <v>0.17</v>
      </c>
      <c r="Z525" t="s">
        <v>2065</v>
      </c>
      <c r="AA525" s="13">
        <v>4</v>
      </c>
      <c r="AB525" s="9">
        <v>6435.2555999999995</v>
      </c>
      <c r="AC525" s="9">
        <v>4245.4799999999996</v>
      </c>
      <c r="AD525" s="9">
        <v>2189.7755999999999</v>
      </c>
      <c r="AE525" s="11">
        <v>0.34027795259600879</v>
      </c>
    </row>
    <row r="526" spans="1:31" x14ac:dyDescent="0.3">
      <c r="A526" t="s">
        <v>539</v>
      </c>
      <c r="B526" s="4">
        <v>45398</v>
      </c>
      <c r="C526" s="4" t="str">
        <f t="shared" si="40"/>
        <v>Apr-2024</v>
      </c>
      <c r="D526" s="4" t="str">
        <f t="shared" si="41"/>
        <v>Q2-2024</v>
      </c>
      <c r="E526" s="4">
        <v>45409</v>
      </c>
      <c r="F526" t="s">
        <v>2064</v>
      </c>
      <c r="G526" s="4">
        <v>45409</v>
      </c>
      <c r="H526" s="13">
        <v>11</v>
      </c>
      <c r="I526" s="7" t="s">
        <v>646</v>
      </c>
      <c r="J526" s="7" t="s">
        <v>650</v>
      </c>
      <c r="K526" s="7" t="s">
        <v>678</v>
      </c>
      <c r="M526" s="7" t="s">
        <v>706</v>
      </c>
      <c r="N526" s="7" t="s">
        <v>708</v>
      </c>
      <c r="O526" s="7" t="s">
        <v>726</v>
      </c>
      <c r="P526" s="7" t="s">
        <v>728</v>
      </c>
      <c r="Q526" s="7" t="s">
        <v>1951</v>
      </c>
      <c r="R526" s="9">
        <v>401.3</v>
      </c>
      <c r="S526" s="9">
        <v>826.47</v>
      </c>
      <c r="T526" s="9">
        <v>826.47</v>
      </c>
      <c r="U526" s="9">
        <f t="shared" si="44"/>
        <v>900.82280000000014</v>
      </c>
      <c r="V526" s="9">
        <f t="shared" si="42"/>
        <v>1643.4816000000005</v>
      </c>
      <c r="W526" s="9" t="str">
        <f t="shared" si="43"/>
        <v>Low</v>
      </c>
      <c r="X526" t="s">
        <v>2065</v>
      </c>
      <c r="Y526" s="11">
        <v>0.22500000000000001</v>
      </c>
      <c r="Z526" t="s">
        <v>2065</v>
      </c>
      <c r="AA526" s="13">
        <v>13</v>
      </c>
      <c r="AB526" s="9">
        <v>8326.6852500000005</v>
      </c>
      <c r="AC526" s="9">
        <v>5216.9000000000005</v>
      </c>
      <c r="AD526" s="9">
        <v>3109.7852499999999</v>
      </c>
      <c r="AE526" s="11">
        <v>0.37347217489696755</v>
      </c>
    </row>
    <row r="527" spans="1:31" x14ac:dyDescent="0.3">
      <c r="A527" t="s">
        <v>540</v>
      </c>
      <c r="B527" s="4">
        <v>45695</v>
      </c>
      <c r="C527" s="4" t="str">
        <f t="shared" si="40"/>
        <v>Feb-2025</v>
      </c>
      <c r="D527" s="4" t="str">
        <f t="shared" si="41"/>
        <v>Q1-2025</v>
      </c>
      <c r="E527" s="4">
        <v>45704</v>
      </c>
      <c r="F527" t="s">
        <v>2064</v>
      </c>
      <c r="G527" s="4">
        <v>45704</v>
      </c>
      <c r="H527" s="13">
        <v>9</v>
      </c>
      <c r="I527" s="7" t="s">
        <v>646</v>
      </c>
      <c r="J527" s="7" t="s">
        <v>651</v>
      </c>
      <c r="K527" s="7" t="s">
        <v>665</v>
      </c>
      <c r="M527" s="7" t="s">
        <v>705</v>
      </c>
      <c r="N527" s="7" t="s">
        <v>710</v>
      </c>
      <c r="O527" s="7" t="s">
        <v>712</v>
      </c>
      <c r="P527" s="7" t="s">
        <v>728</v>
      </c>
      <c r="Q527" s="7" t="s">
        <v>1952</v>
      </c>
      <c r="R527" s="9">
        <v>90.68</v>
      </c>
      <c r="S527" s="9">
        <v>118.17</v>
      </c>
      <c r="T527" s="9">
        <v>118.17</v>
      </c>
      <c r="U527" s="9">
        <f t="shared" si="44"/>
        <v>902.12350000000004</v>
      </c>
      <c r="V527" s="9">
        <f t="shared" si="42"/>
        <v>1649.5119999999999</v>
      </c>
      <c r="W527" s="9" t="str">
        <f t="shared" si="43"/>
        <v>Low</v>
      </c>
      <c r="X527" t="s">
        <v>2065</v>
      </c>
      <c r="Y527" s="11">
        <v>0.13500000000000001</v>
      </c>
      <c r="Z527" t="s">
        <v>2065</v>
      </c>
      <c r="AA527" s="13">
        <v>21</v>
      </c>
      <c r="AB527" s="9">
        <v>2146.5580500000001</v>
      </c>
      <c r="AC527" s="9">
        <v>1904.2800000000002</v>
      </c>
      <c r="AD527" s="9">
        <v>242.27804999999989</v>
      </c>
      <c r="AE527" s="11">
        <v>0.11286815653552899</v>
      </c>
    </row>
    <row r="528" spans="1:31" x14ac:dyDescent="0.3">
      <c r="A528" t="s">
        <v>541</v>
      </c>
      <c r="B528" s="4">
        <v>44938</v>
      </c>
      <c r="C528" s="4" t="str">
        <f t="shared" si="40"/>
        <v>Jan-2023</v>
      </c>
      <c r="D528" s="4" t="str">
        <f t="shared" si="41"/>
        <v>Q1-2023</v>
      </c>
      <c r="E528" s="4">
        <v>44952</v>
      </c>
      <c r="F528" t="s">
        <v>2064</v>
      </c>
      <c r="G528" s="4">
        <v>44952</v>
      </c>
      <c r="H528" s="13">
        <v>14</v>
      </c>
      <c r="I528" s="7" t="s">
        <v>647</v>
      </c>
      <c r="J528" s="7" t="s">
        <v>659</v>
      </c>
      <c r="K528" s="7" t="s">
        <v>676</v>
      </c>
      <c r="M528" s="7" t="s">
        <v>703</v>
      </c>
      <c r="N528" s="7" t="s">
        <v>707</v>
      </c>
      <c r="O528" s="7" t="s">
        <v>724</v>
      </c>
      <c r="P528" s="7" t="s">
        <v>728</v>
      </c>
      <c r="Q528" s="7" t="s">
        <v>1953</v>
      </c>
      <c r="R528" s="9">
        <v>1083.0899999999999</v>
      </c>
      <c r="S528" s="9">
        <v>1425.87</v>
      </c>
      <c r="T528" s="9">
        <v>1425.87</v>
      </c>
      <c r="U528" s="9">
        <f t="shared" si="44"/>
        <v>916.96600000000001</v>
      </c>
      <c r="V528" s="9">
        <f t="shared" si="42"/>
        <v>1654.0816</v>
      </c>
      <c r="W528" s="9" t="str">
        <f t="shared" si="43"/>
        <v>Medium</v>
      </c>
      <c r="X528" t="s">
        <v>2065</v>
      </c>
      <c r="Y528" s="11">
        <v>0</v>
      </c>
      <c r="Z528" t="s">
        <v>2065</v>
      </c>
      <c r="AA528" s="13">
        <v>8</v>
      </c>
      <c r="AB528" s="9">
        <v>11406.96</v>
      </c>
      <c r="AC528" s="9">
        <v>8664.7199999999993</v>
      </c>
      <c r="AD528" s="9">
        <v>2742.24</v>
      </c>
      <c r="AE528" s="11">
        <v>0.24040059752992909</v>
      </c>
    </row>
    <row r="529" spans="1:31" x14ac:dyDescent="0.3">
      <c r="A529" t="s">
        <v>542</v>
      </c>
      <c r="B529" s="4">
        <v>45448</v>
      </c>
      <c r="C529" s="4" t="str">
        <f t="shared" si="40"/>
        <v>Jun-2024</v>
      </c>
      <c r="D529" s="4" t="str">
        <f t="shared" si="41"/>
        <v>Q2-2024</v>
      </c>
      <c r="E529" s="4">
        <v>45466</v>
      </c>
      <c r="F529" t="s">
        <v>2064</v>
      </c>
      <c r="G529" s="4">
        <v>45466</v>
      </c>
      <c r="H529" s="13">
        <v>18</v>
      </c>
      <c r="I529" s="7" t="s">
        <v>646</v>
      </c>
      <c r="J529" s="7" t="s">
        <v>650</v>
      </c>
      <c r="K529" s="7" t="s">
        <v>664</v>
      </c>
      <c r="M529" s="7" t="s">
        <v>704</v>
      </c>
      <c r="N529" s="7" t="s">
        <v>710</v>
      </c>
      <c r="O529" s="7" t="s">
        <v>726</v>
      </c>
      <c r="P529" s="7" t="s">
        <v>731</v>
      </c>
      <c r="Q529" s="7" t="s">
        <v>1954</v>
      </c>
      <c r="R529" s="9">
        <v>1208.74</v>
      </c>
      <c r="S529" s="9">
        <v>1594.78</v>
      </c>
      <c r="T529" s="9">
        <v>1594.78</v>
      </c>
      <c r="U529" s="9">
        <f t="shared" si="44"/>
        <v>902.46010000000001</v>
      </c>
      <c r="V529" s="9">
        <f t="shared" si="42"/>
        <v>1658.6512</v>
      </c>
      <c r="W529" s="9" t="str">
        <f t="shared" si="43"/>
        <v>Medium</v>
      </c>
      <c r="X529" t="s">
        <v>2065</v>
      </c>
      <c r="Y529" s="11">
        <v>5.8999999999999997E-2</v>
      </c>
      <c r="Z529" t="s">
        <v>2065</v>
      </c>
      <c r="AA529" s="13">
        <v>39</v>
      </c>
      <c r="AB529" s="9">
        <v>58526.83122</v>
      </c>
      <c r="AC529" s="9">
        <v>47140.86</v>
      </c>
      <c r="AD529" s="9">
        <v>11385.971219999999</v>
      </c>
      <c r="AE529" s="11">
        <v>0.1945427589817838</v>
      </c>
    </row>
    <row r="530" spans="1:31" x14ac:dyDescent="0.3">
      <c r="A530" t="s">
        <v>543</v>
      </c>
      <c r="B530" s="4">
        <v>45162</v>
      </c>
      <c r="C530" s="4" t="str">
        <f t="shared" si="40"/>
        <v>Aug-2023</v>
      </c>
      <c r="D530" s="4" t="str">
        <f t="shared" si="41"/>
        <v>Q3-2023</v>
      </c>
      <c r="E530" s="4">
        <v>45189</v>
      </c>
      <c r="F530" t="s">
        <v>2064</v>
      </c>
      <c r="G530" s="4">
        <v>45189</v>
      </c>
      <c r="H530" s="13">
        <v>27</v>
      </c>
      <c r="I530" s="7" t="s">
        <v>646</v>
      </c>
      <c r="J530" s="7" t="s">
        <v>661</v>
      </c>
      <c r="K530" s="7" t="s">
        <v>687</v>
      </c>
      <c r="M530" s="7" t="s">
        <v>705</v>
      </c>
      <c r="N530" s="7" t="s">
        <v>709</v>
      </c>
      <c r="O530" s="7" t="s">
        <v>724</v>
      </c>
      <c r="P530" s="7" t="s">
        <v>728</v>
      </c>
      <c r="Q530" s="7" t="s">
        <v>1955</v>
      </c>
      <c r="R530" s="9">
        <v>1399.64</v>
      </c>
      <c r="S530" s="9">
        <v>3342.11</v>
      </c>
      <c r="T530" s="9">
        <v>3342.11</v>
      </c>
      <c r="U530" s="9">
        <f t="shared" si="44"/>
        <v>902.13340000000005</v>
      </c>
      <c r="V530" s="9">
        <f t="shared" si="42"/>
        <v>1671.6656000000003</v>
      </c>
      <c r="W530" s="9" t="str">
        <f t="shared" si="43"/>
        <v>High</v>
      </c>
      <c r="X530" t="s">
        <v>2065</v>
      </c>
      <c r="Y530" s="11">
        <v>0</v>
      </c>
      <c r="Z530" t="s">
        <v>2065</v>
      </c>
      <c r="AA530" s="13">
        <v>10</v>
      </c>
      <c r="AB530" s="9">
        <v>33421.1</v>
      </c>
      <c r="AC530" s="9">
        <v>13996.400000000001</v>
      </c>
      <c r="AD530" s="9">
        <v>19424.699999999997</v>
      </c>
      <c r="AE530" s="11">
        <v>0.58121067229983447</v>
      </c>
    </row>
    <row r="531" spans="1:31" x14ac:dyDescent="0.3">
      <c r="A531" t="s">
        <v>544</v>
      </c>
      <c r="B531" s="4">
        <v>45316</v>
      </c>
      <c r="C531" s="4" t="str">
        <f t="shared" si="40"/>
        <v>Jan-2024</v>
      </c>
      <c r="D531" s="4" t="str">
        <f t="shared" si="41"/>
        <v>Q1-2024</v>
      </c>
      <c r="E531" s="4">
        <v>45330</v>
      </c>
      <c r="F531" t="s">
        <v>2064</v>
      </c>
      <c r="G531" s="4">
        <v>45330</v>
      </c>
      <c r="H531" s="13">
        <v>14</v>
      </c>
      <c r="I531" s="7" t="s">
        <v>647</v>
      </c>
      <c r="J531" s="7" t="s">
        <v>652</v>
      </c>
      <c r="K531" s="7" t="s">
        <v>666</v>
      </c>
      <c r="M531" s="7" t="s">
        <v>704</v>
      </c>
      <c r="N531" s="7" t="s">
        <v>709</v>
      </c>
      <c r="O531" s="7" t="s">
        <v>714</v>
      </c>
      <c r="P531" s="7" t="s">
        <v>729</v>
      </c>
      <c r="Q531" s="7" t="s">
        <v>1956</v>
      </c>
      <c r="R531" s="9">
        <v>937.16</v>
      </c>
      <c r="S531" s="9">
        <v>1069.77</v>
      </c>
      <c r="T531" s="9">
        <v>1069.77</v>
      </c>
      <c r="U531" s="9">
        <f t="shared" si="44"/>
        <v>901.80669999999998</v>
      </c>
      <c r="V531" s="9">
        <f t="shared" si="42"/>
        <v>1654.3504</v>
      </c>
      <c r="W531" s="9" t="str">
        <f t="shared" si="43"/>
        <v>Medium</v>
      </c>
      <c r="X531" t="s">
        <v>2065</v>
      </c>
      <c r="Y531" s="11">
        <v>3.7999999999999999E-2</v>
      </c>
      <c r="Z531" t="s">
        <v>2065</v>
      </c>
      <c r="AA531" s="13">
        <v>9</v>
      </c>
      <c r="AB531" s="9">
        <v>9262.0686600000008</v>
      </c>
      <c r="AC531" s="9">
        <v>8434.44</v>
      </c>
      <c r="AD531" s="9">
        <v>827.62866000000031</v>
      </c>
      <c r="AE531" s="11">
        <v>8.9356783066645962E-2</v>
      </c>
    </row>
    <row r="532" spans="1:31" x14ac:dyDescent="0.3">
      <c r="A532" t="s">
        <v>545</v>
      </c>
      <c r="B532" s="4">
        <v>45727</v>
      </c>
      <c r="C532" s="4" t="str">
        <f t="shared" si="40"/>
        <v>Mar-2025</v>
      </c>
      <c r="D532" s="4" t="str">
        <f t="shared" si="41"/>
        <v>Q1-2025</v>
      </c>
      <c r="E532" s="4">
        <v>45742</v>
      </c>
      <c r="F532" t="s">
        <v>2064</v>
      </c>
      <c r="G532" s="4">
        <v>45742</v>
      </c>
      <c r="H532" s="13">
        <v>15</v>
      </c>
      <c r="I532" s="7" t="s">
        <v>649</v>
      </c>
      <c r="J532" s="7" t="s">
        <v>656</v>
      </c>
      <c r="K532" s="7" t="s">
        <v>671</v>
      </c>
      <c r="M532" s="7" t="s">
        <v>705</v>
      </c>
      <c r="N532" s="7" t="s">
        <v>708</v>
      </c>
      <c r="O532" s="7" t="s">
        <v>714</v>
      </c>
      <c r="P532" s="7" t="s">
        <v>730</v>
      </c>
      <c r="Q532" s="7" t="s">
        <v>1957</v>
      </c>
      <c r="R532" s="9">
        <v>116.97</v>
      </c>
      <c r="S532" s="9">
        <v>140.82</v>
      </c>
      <c r="T532" s="9">
        <v>140.82</v>
      </c>
      <c r="U532" s="9">
        <f t="shared" si="44"/>
        <v>901.48</v>
      </c>
      <c r="V532" s="9">
        <f t="shared" si="42"/>
        <v>1658.92</v>
      </c>
      <c r="W532" s="9" t="str">
        <f t="shared" si="43"/>
        <v>Low</v>
      </c>
      <c r="X532" t="s">
        <v>2065</v>
      </c>
      <c r="Y532" s="11">
        <v>0.122</v>
      </c>
      <c r="Z532" t="s">
        <v>2065</v>
      </c>
      <c r="AA532" s="13">
        <v>5</v>
      </c>
      <c r="AB532" s="9">
        <v>618.19979999999987</v>
      </c>
      <c r="AC532" s="9">
        <v>584.85</v>
      </c>
      <c r="AD532" s="9">
        <v>33.349799999999846</v>
      </c>
      <c r="AE532" s="11">
        <v>5.3946636669891926E-2</v>
      </c>
    </row>
    <row r="533" spans="1:31" x14ac:dyDescent="0.3">
      <c r="A533" t="s">
        <v>546</v>
      </c>
      <c r="B533" s="4">
        <v>45769</v>
      </c>
      <c r="C533" s="4" t="str">
        <f t="shared" si="40"/>
        <v>Apr-2025</v>
      </c>
      <c r="D533" s="4" t="str">
        <f t="shared" si="41"/>
        <v>Q2-2025</v>
      </c>
      <c r="E533" s="4">
        <v>45789</v>
      </c>
      <c r="F533" t="s">
        <v>2064</v>
      </c>
      <c r="G533" s="4">
        <v>45789</v>
      </c>
      <c r="H533" s="13">
        <v>20</v>
      </c>
      <c r="I533" s="7" t="s">
        <v>649</v>
      </c>
      <c r="J533" s="7" t="s">
        <v>657</v>
      </c>
      <c r="K533" s="7" t="s">
        <v>679</v>
      </c>
      <c r="M533" s="7" t="s">
        <v>706</v>
      </c>
      <c r="N533" s="7" t="s">
        <v>709</v>
      </c>
      <c r="O533" s="7" t="s">
        <v>723</v>
      </c>
      <c r="P533" s="7" t="s">
        <v>732</v>
      </c>
      <c r="Q533" s="7" t="s">
        <v>1958</v>
      </c>
      <c r="R533" s="9">
        <v>59.51</v>
      </c>
      <c r="S533" s="9">
        <v>67.040000000000006</v>
      </c>
      <c r="T533" s="9">
        <v>67.040000000000006</v>
      </c>
      <c r="U533" s="9">
        <f t="shared" si="44"/>
        <v>902.14330000000007</v>
      </c>
      <c r="V533" s="9">
        <f t="shared" si="42"/>
        <v>1672.4622000000002</v>
      </c>
      <c r="W533" s="9" t="str">
        <f t="shared" si="43"/>
        <v>Low</v>
      </c>
      <c r="X533" t="s">
        <v>2065</v>
      </c>
      <c r="Y533" s="11">
        <v>0.114</v>
      </c>
      <c r="Z533" t="s">
        <v>2065</v>
      </c>
      <c r="AA533" s="13">
        <v>9</v>
      </c>
      <c r="AB533" s="9">
        <v>534.57695999999999</v>
      </c>
      <c r="AC533" s="9">
        <v>535.59</v>
      </c>
      <c r="AD533" s="9">
        <v>-1.0130400000000463</v>
      </c>
      <c r="AE533" s="11">
        <v>-1.8950311663264469E-3</v>
      </c>
    </row>
    <row r="534" spans="1:31" x14ac:dyDescent="0.3">
      <c r="A534" t="s">
        <v>547</v>
      </c>
      <c r="B534" s="4">
        <v>45155</v>
      </c>
      <c r="C534" s="4" t="str">
        <f t="shared" si="40"/>
        <v>Aug-2023</v>
      </c>
      <c r="D534" s="4" t="str">
        <f t="shared" si="41"/>
        <v>Q3-2023</v>
      </c>
      <c r="E534" s="4">
        <v>45172</v>
      </c>
      <c r="F534" t="s">
        <v>2064</v>
      </c>
      <c r="G534" s="4">
        <v>45172</v>
      </c>
      <c r="H534" s="13">
        <v>17</v>
      </c>
      <c r="I534" s="7" t="s">
        <v>646</v>
      </c>
      <c r="J534" s="7" t="s">
        <v>661</v>
      </c>
      <c r="K534" s="7" t="s">
        <v>687</v>
      </c>
      <c r="M534" s="7" t="s">
        <v>706</v>
      </c>
      <c r="N534" s="7" t="s">
        <v>707</v>
      </c>
      <c r="O534" s="7" t="s">
        <v>720</v>
      </c>
      <c r="P534" s="7" t="s">
        <v>730</v>
      </c>
      <c r="Q534" s="7" t="s">
        <v>1959</v>
      </c>
      <c r="R534" s="9">
        <v>676.37</v>
      </c>
      <c r="S534" s="9">
        <v>1276.67</v>
      </c>
      <c r="T534" s="9">
        <v>1276.67</v>
      </c>
      <c r="U534" s="9">
        <f t="shared" si="44"/>
        <v>917.87200000000018</v>
      </c>
      <c r="V534" s="9">
        <f t="shared" si="42"/>
        <v>1686.0044000000003</v>
      </c>
      <c r="W534" s="9" t="str">
        <f t="shared" si="43"/>
        <v>Medium</v>
      </c>
      <c r="X534" t="s">
        <v>2065</v>
      </c>
      <c r="Y534" s="11">
        <v>6.6000000000000003E-2</v>
      </c>
      <c r="Z534" t="s">
        <v>2065</v>
      </c>
      <c r="AA534" s="13">
        <v>10</v>
      </c>
      <c r="AB534" s="9">
        <v>11924.0978</v>
      </c>
      <c r="AC534" s="9">
        <v>6763.7</v>
      </c>
      <c r="AD534" s="9">
        <v>5160.3977999999997</v>
      </c>
      <c r="AE534" s="11">
        <v>0.4327705027712872</v>
      </c>
    </row>
    <row r="535" spans="1:31" x14ac:dyDescent="0.3">
      <c r="A535" t="s">
        <v>548</v>
      </c>
      <c r="B535" s="4">
        <v>45832</v>
      </c>
      <c r="C535" s="4" t="str">
        <f t="shared" si="40"/>
        <v>Jun-2025</v>
      </c>
      <c r="D535" s="4" t="str">
        <f t="shared" si="41"/>
        <v>Q2-2025</v>
      </c>
      <c r="E535" s="4">
        <v>45852</v>
      </c>
      <c r="F535" t="s">
        <v>2064</v>
      </c>
      <c r="G535" s="4">
        <v>45852</v>
      </c>
      <c r="H535" s="13">
        <v>20</v>
      </c>
      <c r="I535" s="7" t="s">
        <v>646</v>
      </c>
      <c r="J535" s="7" t="s">
        <v>661</v>
      </c>
      <c r="K535" s="7" t="s">
        <v>682</v>
      </c>
      <c r="M535" s="7" t="s">
        <v>706</v>
      </c>
      <c r="N535" s="7" t="s">
        <v>709</v>
      </c>
      <c r="O535" s="7" t="s">
        <v>713</v>
      </c>
      <c r="P535" s="7" t="s">
        <v>731</v>
      </c>
      <c r="Q535" s="7" t="s">
        <v>1960</v>
      </c>
      <c r="R535" s="9">
        <v>1151.06</v>
      </c>
      <c r="S535" s="9">
        <v>2821.36</v>
      </c>
      <c r="T535" s="9">
        <v>2821.36</v>
      </c>
      <c r="U535" s="9">
        <f t="shared" si="44"/>
        <v>902.92299999999989</v>
      </c>
      <c r="V535" s="9">
        <f t="shared" si="42"/>
        <v>1699.0155999999999</v>
      </c>
      <c r="W535" s="9" t="str">
        <f t="shared" si="43"/>
        <v>High</v>
      </c>
      <c r="X535" t="s">
        <v>2065</v>
      </c>
      <c r="Y535" s="11">
        <v>0.248</v>
      </c>
      <c r="Z535" t="s">
        <v>2065</v>
      </c>
      <c r="AA535" s="13">
        <v>20</v>
      </c>
      <c r="AB535" s="9">
        <v>42433.254400000005</v>
      </c>
      <c r="AC535" s="9">
        <v>23021.199999999997</v>
      </c>
      <c r="AD535" s="9">
        <v>19412.054400000008</v>
      </c>
      <c r="AE535" s="11">
        <v>0.45747267501594235</v>
      </c>
    </row>
    <row r="536" spans="1:31" x14ac:dyDescent="0.3">
      <c r="A536" t="s">
        <v>549</v>
      </c>
      <c r="B536" s="4">
        <v>45667</v>
      </c>
      <c r="C536" s="4" t="str">
        <f t="shared" si="40"/>
        <v>Jan-2025</v>
      </c>
      <c r="D536" s="4" t="str">
        <f t="shared" si="41"/>
        <v>Q1-2025</v>
      </c>
      <c r="E536" s="4">
        <v>45694</v>
      </c>
      <c r="F536" t="s">
        <v>2064</v>
      </c>
      <c r="G536" s="4">
        <v>45694</v>
      </c>
      <c r="H536" s="13">
        <v>27</v>
      </c>
      <c r="I536" s="7" t="s">
        <v>648</v>
      </c>
      <c r="J536" s="7" t="s">
        <v>655</v>
      </c>
      <c r="K536" s="7" t="s">
        <v>672</v>
      </c>
      <c r="M536" s="7" t="s">
        <v>703</v>
      </c>
      <c r="N536" s="7" t="s">
        <v>707</v>
      </c>
      <c r="O536" s="7" t="s">
        <v>717</v>
      </c>
      <c r="P536" s="7" t="s">
        <v>731</v>
      </c>
      <c r="Q536" s="7" t="s">
        <v>1961</v>
      </c>
      <c r="R536" s="9">
        <v>725.62</v>
      </c>
      <c r="S536" s="9">
        <v>1559.19</v>
      </c>
      <c r="T536" s="9">
        <v>1559.19</v>
      </c>
      <c r="U536" s="9">
        <f t="shared" si="44"/>
        <v>902.15319999999997</v>
      </c>
      <c r="V536" s="9">
        <f t="shared" si="42"/>
        <v>1673.2588000000001</v>
      </c>
      <c r="W536" s="9" t="str">
        <f t="shared" si="43"/>
        <v>Medium</v>
      </c>
      <c r="X536" t="s">
        <v>2065</v>
      </c>
      <c r="Y536" s="11">
        <v>0.19</v>
      </c>
      <c r="Z536" t="s">
        <v>2065</v>
      </c>
      <c r="AA536" s="13">
        <v>12</v>
      </c>
      <c r="AB536" s="9">
        <v>15155.326800000001</v>
      </c>
      <c r="AC536" s="9">
        <v>8707.44</v>
      </c>
      <c r="AD536" s="9">
        <v>6447.8868000000002</v>
      </c>
      <c r="AE536" s="11">
        <v>0.42545349797405885</v>
      </c>
    </row>
    <row r="537" spans="1:31" x14ac:dyDescent="0.3">
      <c r="A537" t="s">
        <v>550</v>
      </c>
      <c r="B537" s="4">
        <v>45108</v>
      </c>
      <c r="C537" s="4" t="str">
        <f t="shared" si="40"/>
        <v>Jul-2023</v>
      </c>
      <c r="D537" s="4" t="str">
        <f t="shared" si="41"/>
        <v>Q3-2023</v>
      </c>
      <c r="E537" s="4">
        <v>45118</v>
      </c>
      <c r="F537" t="s">
        <v>2064</v>
      </c>
      <c r="G537" s="4">
        <v>45118</v>
      </c>
      <c r="H537" s="13">
        <v>10</v>
      </c>
      <c r="I537" s="7" t="s">
        <v>649</v>
      </c>
      <c r="J537" s="7" t="s">
        <v>657</v>
      </c>
      <c r="K537" s="7" t="s">
        <v>690</v>
      </c>
      <c r="M537" s="7" t="s">
        <v>701</v>
      </c>
      <c r="N537" s="7" t="s">
        <v>711</v>
      </c>
      <c r="O537" s="7" t="s">
        <v>721</v>
      </c>
      <c r="P537" s="7" t="s">
        <v>729</v>
      </c>
      <c r="Q537" s="7" t="s">
        <v>1962</v>
      </c>
      <c r="R537" s="9">
        <v>479.5</v>
      </c>
      <c r="S537" s="9">
        <v>656.66</v>
      </c>
      <c r="T537" s="9">
        <v>656.66</v>
      </c>
      <c r="U537" s="9">
        <f t="shared" si="44"/>
        <v>901.82650000000001</v>
      </c>
      <c r="V537" s="9">
        <f t="shared" si="42"/>
        <v>1686.8010000000002</v>
      </c>
      <c r="W537" s="9" t="str">
        <f t="shared" si="43"/>
        <v>Low</v>
      </c>
      <c r="X537" t="s">
        <v>2065</v>
      </c>
      <c r="Y537" s="11">
        <v>0.14899999999999999</v>
      </c>
      <c r="Z537" t="s">
        <v>2065</v>
      </c>
      <c r="AA537" s="13">
        <v>14</v>
      </c>
      <c r="AB537" s="9">
        <v>7823.4472399999995</v>
      </c>
      <c r="AC537" s="9">
        <v>6713</v>
      </c>
      <c r="AD537" s="9">
        <v>1110.4472399999995</v>
      </c>
      <c r="AE537" s="11">
        <v>0.14193835606412289</v>
      </c>
    </row>
    <row r="538" spans="1:31" x14ac:dyDescent="0.3">
      <c r="A538" t="s">
        <v>551</v>
      </c>
      <c r="B538" s="4">
        <v>45520</v>
      </c>
      <c r="C538" s="4" t="str">
        <f t="shared" si="40"/>
        <v>Aug-2024</v>
      </c>
      <c r="D538" s="4" t="str">
        <f t="shared" si="41"/>
        <v>Q3-2024</v>
      </c>
      <c r="E538" s="4">
        <v>45530</v>
      </c>
      <c r="F538" t="s">
        <v>2064</v>
      </c>
      <c r="G538" s="4">
        <v>45530</v>
      </c>
      <c r="H538" s="13">
        <v>10</v>
      </c>
      <c r="I538" s="7" t="s">
        <v>648</v>
      </c>
      <c r="J538" s="7" t="s">
        <v>1425</v>
      </c>
      <c r="K538" s="7" t="s">
        <v>677</v>
      </c>
      <c r="M538" s="7" t="s">
        <v>701</v>
      </c>
      <c r="N538" s="7" t="s">
        <v>710</v>
      </c>
      <c r="O538" s="7" t="s">
        <v>716</v>
      </c>
      <c r="P538" s="7" t="s">
        <v>731</v>
      </c>
      <c r="Q538" s="7" t="s">
        <v>1814</v>
      </c>
      <c r="R538" s="9">
        <v>1291.7</v>
      </c>
      <c r="S538" s="9">
        <v>2657.84</v>
      </c>
      <c r="T538" s="9">
        <v>2657.84</v>
      </c>
      <c r="U538" s="9">
        <f t="shared" si="44"/>
        <v>903.3760000000002</v>
      </c>
      <c r="V538" s="9">
        <f t="shared" si="42"/>
        <v>1699.2812000000001</v>
      </c>
      <c r="W538" s="9" t="str">
        <f t="shared" si="43"/>
        <v>High</v>
      </c>
      <c r="X538" t="s">
        <v>2065</v>
      </c>
      <c r="Y538" s="11">
        <v>8.6999999999999994E-2</v>
      </c>
      <c r="Z538" t="s">
        <v>2065</v>
      </c>
      <c r="AA538" s="13">
        <v>21</v>
      </c>
      <c r="AB538" s="9">
        <v>50958.766320000002</v>
      </c>
      <c r="AC538" s="9">
        <v>27125.7</v>
      </c>
      <c r="AD538" s="9">
        <v>23833.066320000002</v>
      </c>
      <c r="AE538" s="11">
        <v>0.46769315745083367</v>
      </c>
    </row>
    <row r="539" spans="1:31" x14ac:dyDescent="0.3">
      <c r="A539" t="s">
        <v>552</v>
      </c>
      <c r="B539" s="4">
        <v>45114</v>
      </c>
      <c r="C539" s="4" t="str">
        <f t="shared" si="40"/>
        <v>Jul-2023</v>
      </c>
      <c r="D539" s="4" t="str">
        <f t="shared" si="41"/>
        <v>Q3-2023</v>
      </c>
      <c r="E539" s="4">
        <v>45120</v>
      </c>
      <c r="F539" t="s">
        <v>2064</v>
      </c>
      <c r="G539" s="4">
        <v>45120</v>
      </c>
      <c r="H539" s="13">
        <v>6</v>
      </c>
      <c r="I539" s="7" t="s">
        <v>646</v>
      </c>
      <c r="J539" s="7" t="s">
        <v>661</v>
      </c>
      <c r="K539" s="7" t="s">
        <v>695</v>
      </c>
      <c r="M539" s="7" t="s">
        <v>705</v>
      </c>
      <c r="N539" s="7" t="s">
        <v>709</v>
      </c>
      <c r="O539" s="7" t="s">
        <v>717</v>
      </c>
      <c r="P539" s="7" t="s">
        <v>733</v>
      </c>
      <c r="Q539" s="7" t="s">
        <v>1963</v>
      </c>
      <c r="R539" s="9">
        <v>612.59</v>
      </c>
      <c r="S539" s="9">
        <v>1424.74</v>
      </c>
      <c r="T539" s="9">
        <v>1424.74</v>
      </c>
      <c r="U539" s="9">
        <f t="shared" si="44"/>
        <v>902.16309999999999</v>
      </c>
      <c r="V539" s="9">
        <f t="shared" si="42"/>
        <v>1674.0554000000002</v>
      </c>
      <c r="W539" s="9" t="str">
        <f t="shared" si="43"/>
        <v>Medium</v>
      </c>
      <c r="X539" t="s">
        <v>2065</v>
      </c>
      <c r="Y539" s="11">
        <v>4.3999999999999997E-2</v>
      </c>
      <c r="Z539" t="s">
        <v>2065</v>
      </c>
      <c r="AA539" s="13">
        <v>15</v>
      </c>
      <c r="AB539" s="9">
        <v>20430.771599999996</v>
      </c>
      <c r="AC539" s="9">
        <v>9188.85</v>
      </c>
      <c r="AD539" s="9">
        <v>11241.921599999996</v>
      </c>
      <c r="AE539" s="11">
        <v>0.55024459281802152</v>
      </c>
    </row>
    <row r="540" spans="1:31" x14ac:dyDescent="0.3">
      <c r="A540" t="s">
        <v>553</v>
      </c>
      <c r="B540" s="4">
        <v>45288</v>
      </c>
      <c r="C540" s="4" t="str">
        <f t="shared" si="40"/>
        <v>Dec-2023</v>
      </c>
      <c r="D540" s="4" t="str">
        <f t="shared" si="41"/>
        <v>Q4-2023</v>
      </c>
      <c r="E540" s="4">
        <v>45292</v>
      </c>
      <c r="F540" t="s">
        <v>2064</v>
      </c>
      <c r="G540" s="4">
        <v>45292</v>
      </c>
      <c r="H540" s="13">
        <v>4</v>
      </c>
      <c r="I540" s="7" t="s">
        <v>646</v>
      </c>
      <c r="J540" s="7" t="s">
        <v>661</v>
      </c>
      <c r="K540" s="7" t="s">
        <v>695</v>
      </c>
      <c r="M540" s="7" t="s">
        <v>702</v>
      </c>
      <c r="N540" s="7" t="s">
        <v>710</v>
      </c>
      <c r="O540" s="7" t="s">
        <v>720</v>
      </c>
      <c r="P540" s="7" t="s">
        <v>728</v>
      </c>
      <c r="Q540" s="7" t="s">
        <v>1964</v>
      </c>
      <c r="R540" s="9">
        <v>1141.8</v>
      </c>
      <c r="S540" s="9">
        <v>2318.7399999999998</v>
      </c>
      <c r="T540" s="9">
        <v>2318.7399999999998</v>
      </c>
      <c r="U540" s="9">
        <f t="shared" si="44"/>
        <v>901.83640000000003</v>
      </c>
      <c r="V540" s="9">
        <f t="shared" si="42"/>
        <v>1687.5976000000003</v>
      </c>
      <c r="W540" s="9" t="str">
        <f t="shared" si="43"/>
        <v>High</v>
      </c>
      <c r="X540" t="s">
        <v>2065</v>
      </c>
      <c r="Y540" s="11">
        <v>0.107</v>
      </c>
      <c r="Z540" t="s">
        <v>2065</v>
      </c>
      <c r="AA540" s="13">
        <v>32</v>
      </c>
      <c r="AB540" s="9">
        <v>66260.314239999992</v>
      </c>
      <c r="AC540" s="9">
        <v>36537.599999999999</v>
      </c>
      <c r="AD540" s="9">
        <v>29722.714239999994</v>
      </c>
      <c r="AE540" s="11">
        <v>0.44857490612468304</v>
      </c>
    </row>
    <row r="541" spans="1:31" x14ac:dyDescent="0.3">
      <c r="A541" t="s">
        <v>554</v>
      </c>
      <c r="B541" s="4">
        <v>44952</v>
      </c>
      <c r="C541" s="4" t="str">
        <f t="shared" si="40"/>
        <v>Jan-2023</v>
      </c>
      <c r="D541" s="4" t="str">
        <f t="shared" si="41"/>
        <v>Q1-2023</v>
      </c>
      <c r="E541" s="4">
        <v>44972</v>
      </c>
      <c r="F541" t="s">
        <v>2064</v>
      </c>
      <c r="G541" s="4">
        <v>44972</v>
      </c>
      <c r="H541" s="13">
        <v>20</v>
      </c>
      <c r="I541" s="7" t="s">
        <v>649</v>
      </c>
      <c r="J541" s="7" t="s">
        <v>656</v>
      </c>
      <c r="K541" s="7" t="s">
        <v>671</v>
      </c>
      <c r="M541" s="7" t="s">
        <v>705</v>
      </c>
      <c r="N541" s="7" t="s">
        <v>708</v>
      </c>
      <c r="O541" s="7" t="s">
        <v>719</v>
      </c>
      <c r="P541" s="7" t="s">
        <v>729</v>
      </c>
      <c r="Q541" s="7" t="s">
        <v>1965</v>
      </c>
      <c r="R541" s="9">
        <v>492.62</v>
      </c>
      <c r="S541" s="9">
        <v>366.7</v>
      </c>
      <c r="T541" s="9">
        <v>366.7</v>
      </c>
      <c r="U541" s="9">
        <f t="shared" si="44"/>
        <v>901.50970000000007</v>
      </c>
      <c r="V541" s="9">
        <f t="shared" si="42"/>
        <v>1661.3098000000002</v>
      </c>
      <c r="W541" s="9" t="str">
        <f t="shared" si="43"/>
        <v>Low</v>
      </c>
      <c r="X541" t="s">
        <v>2065</v>
      </c>
      <c r="Y541" s="11">
        <v>8.8999999999999996E-2</v>
      </c>
      <c r="Z541" t="s">
        <v>2065</v>
      </c>
      <c r="AA541" s="13">
        <v>10</v>
      </c>
      <c r="AB541" s="9">
        <v>3340.6370000000002</v>
      </c>
      <c r="AC541" s="9">
        <v>4926.2</v>
      </c>
      <c r="AD541" s="9">
        <v>-1585.5629999999996</v>
      </c>
      <c r="AE541" s="11">
        <v>-0.47462894052840809</v>
      </c>
    </row>
    <row r="542" spans="1:31" x14ac:dyDescent="0.3">
      <c r="A542" t="s">
        <v>555</v>
      </c>
      <c r="B542" s="4">
        <v>45115</v>
      </c>
      <c r="C542" s="4" t="str">
        <f t="shared" si="40"/>
        <v>Jul-2023</v>
      </c>
      <c r="D542" s="4" t="str">
        <f t="shared" si="41"/>
        <v>Q3-2023</v>
      </c>
      <c r="E542" s="4">
        <v>45116</v>
      </c>
      <c r="F542" t="s">
        <v>2064</v>
      </c>
      <c r="G542" s="4">
        <v>45116</v>
      </c>
      <c r="H542" s="13">
        <v>1</v>
      </c>
      <c r="I542" s="7" t="s">
        <v>646</v>
      </c>
      <c r="J542" s="7" t="s">
        <v>650</v>
      </c>
      <c r="K542" s="7" t="s">
        <v>664</v>
      </c>
      <c r="M542" s="7" t="s">
        <v>704</v>
      </c>
      <c r="N542" s="7" t="s">
        <v>708</v>
      </c>
      <c r="O542" s="7" t="s">
        <v>726</v>
      </c>
      <c r="P542" s="7" t="s">
        <v>731</v>
      </c>
      <c r="Q542" s="7" t="s">
        <v>1966</v>
      </c>
      <c r="R542" s="9">
        <v>1258.72</v>
      </c>
      <c r="S542" s="9">
        <v>2797.41</v>
      </c>
      <c r="T542" s="9">
        <v>2797.41</v>
      </c>
      <c r="U542" s="9">
        <f t="shared" si="44"/>
        <v>902.173</v>
      </c>
      <c r="V542" s="9">
        <f t="shared" si="42"/>
        <v>1674.8520000000003</v>
      </c>
      <c r="W542" s="9" t="str">
        <f t="shared" si="43"/>
        <v>High</v>
      </c>
      <c r="X542" t="s">
        <v>2065</v>
      </c>
      <c r="Y542" s="11">
        <v>0</v>
      </c>
      <c r="Z542" t="s">
        <v>2065</v>
      </c>
      <c r="AA542" s="13">
        <v>7</v>
      </c>
      <c r="AB542" s="9">
        <v>19581.87</v>
      </c>
      <c r="AC542" s="9">
        <v>8811.0400000000009</v>
      </c>
      <c r="AD542" s="9">
        <v>10770.829999999998</v>
      </c>
      <c r="AE542" s="11">
        <v>0.55004093071805704</v>
      </c>
    </row>
    <row r="543" spans="1:31" x14ac:dyDescent="0.3">
      <c r="A543" t="s">
        <v>556</v>
      </c>
      <c r="B543" s="4">
        <v>45450</v>
      </c>
      <c r="C543" s="4" t="str">
        <f t="shared" si="40"/>
        <v>Jun-2024</v>
      </c>
      <c r="D543" s="4" t="str">
        <f t="shared" si="41"/>
        <v>Q2-2024</v>
      </c>
      <c r="E543" s="4">
        <v>45452</v>
      </c>
      <c r="F543" t="s">
        <v>2064</v>
      </c>
      <c r="G543" s="4">
        <v>45452</v>
      </c>
      <c r="H543" s="13">
        <v>2</v>
      </c>
      <c r="I543" s="7" t="s">
        <v>647</v>
      </c>
      <c r="J543" s="7" t="s">
        <v>659</v>
      </c>
      <c r="K543" s="7" t="s">
        <v>685</v>
      </c>
      <c r="M543" s="7" t="s">
        <v>701</v>
      </c>
      <c r="N543" s="7" t="s">
        <v>707</v>
      </c>
      <c r="O543" s="7" t="s">
        <v>719</v>
      </c>
      <c r="P543" s="7" t="s">
        <v>732</v>
      </c>
      <c r="Q543" s="7" t="s">
        <v>1967</v>
      </c>
      <c r="R543" s="9">
        <v>1370.28</v>
      </c>
      <c r="S543" s="9">
        <v>2209.66</v>
      </c>
      <c r="T543" s="9">
        <v>2209.66</v>
      </c>
      <c r="U543" s="9">
        <f t="shared" si="44"/>
        <v>901.84630000000004</v>
      </c>
      <c r="V543" s="9">
        <f t="shared" si="42"/>
        <v>1655.4256</v>
      </c>
      <c r="W543" s="9" t="str">
        <f t="shared" si="43"/>
        <v>High</v>
      </c>
      <c r="X543" t="s">
        <v>2065</v>
      </c>
      <c r="Y543" s="11">
        <v>0.13300000000000001</v>
      </c>
      <c r="Z543" t="s">
        <v>2065</v>
      </c>
      <c r="AA543" s="13">
        <v>16</v>
      </c>
      <c r="AB543" s="9">
        <v>30652.403519999996</v>
      </c>
      <c r="AC543" s="9">
        <v>21924.48</v>
      </c>
      <c r="AD543" s="9">
        <v>8727.9235199999966</v>
      </c>
      <c r="AE543" s="11">
        <v>0.28473863442079589</v>
      </c>
    </row>
    <row r="544" spans="1:31" x14ac:dyDescent="0.3">
      <c r="A544" t="s">
        <v>557</v>
      </c>
      <c r="B544" s="4">
        <v>44968</v>
      </c>
      <c r="C544" s="4" t="str">
        <f t="shared" si="40"/>
        <v>Feb-2023</v>
      </c>
      <c r="D544" s="4" t="str">
        <f t="shared" si="41"/>
        <v>Q1-2023</v>
      </c>
      <c r="E544" s="4">
        <v>44969</v>
      </c>
      <c r="F544" t="s">
        <v>2064</v>
      </c>
      <c r="G544" s="4">
        <v>44969</v>
      </c>
      <c r="H544" s="13">
        <v>1</v>
      </c>
      <c r="I544" s="7" t="s">
        <v>646</v>
      </c>
      <c r="J544" s="7" t="s">
        <v>651</v>
      </c>
      <c r="K544" s="7" t="s">
        <v>663</v>
      </c>
      <c r="M544" s="7" t="s">
        <v>703</v>
      </c>
      <c r="N544" s="7" t="s">
        <v>711</v>
      </c>
      <c r="O544" s="7" t="s">
        <v>726</v>
      </c>
      <c r="P544" s="7" t="s">
        <v>733</v>
      </c>
      <c r="Q544" s="7" t="s">
        <v>1968</v>
      </c>
      <c r="R544" s="9">
        <v>944.61</v>
      </c>
      <c r="S544" s="9">
        <v>839.04</v>
      </c>
      <c r="T544" s="9">
        <v>839.04</v>
      </c>
      <c r="U544" s="9">
        <f t="shared" si="44"/>
        <v>901.51959999999997</v>
      </c>
      <c r="V544" s="9">
        <f t="shared" si="42"/>
        <v>1646.5552</v>
      </c>
      <c r="W544" s="9" t="str">
        <f t="shared" si="43"/>
        <v>Low</v>
      </c>
      <c r="X544" t="s">
        <v>2065</v>
      </c>
      <c r="Y544" s="11">
        <v>5.8999999999999997E-2</v>
      </c>
      <c r="Z544" t="s">
        <v>2065</v>
      </c>
      <c r="AA544" s="13">
        <v>6</v>
      </c>
      <c r="AB544" s="9">
        <v>4737.2198399999997</v>
      </c>
      <c r="AC544" s="9">
        <v>5667.66</v>
      </c>
      <c r="AD544" s="9">
        <v>-930.44016000000011</v>
      </c>
      <c r="AE544" s="11">
        <v>-0.19641059343363726</v>
      </c>
    </row>
    <row r="545" spans="1:31" x14ac:dyDescent="0.3">
      <c r="A545" t="s">
        <v>558</v>
      </c>
      <c r="B545" s="4">
        <v>45108</v>
      </c>
      <c r="C545" s="4" t="str">
        <f t="shared" si="40"/>
        <v>Jul-2023</v>
      </c>
      <c r="D545" s="4" t="str">
        <f t="shared" si="41"/>
        <v>Q3-2023</v>
      </c>
      <c r="E545" s="4">
        <v>45115</v>
      </c>
      <c r="F545" t="s">
        <v>2064</v>
      </c>
      <c r="G545" s="4">
        <v>45115</v>
      </c>
      <c r="H545" s="13">
        <v>7</v>
      </c>
      <c r="I545" s="7" t="s">
        <v>649</v>
      </c>
      <c r="J545" s="7" t="s">
        <v>656</v>
      </c>
      <c r="K545" s="7" t="s">
        <v>698</v>
      </c>
      <c r="M545" s="7" t="s">
        <v>705</v>
      </c>
      <c r="N545" s="7" t="s">
        <v>710</v>
      </c>
      <c r="O545" s="7" t="s">
        <v>725</v>
      </c>
      <c r="P545" s="7" t="s">
        <v>731</v>
      </c>
      <c r="Q545" s="7" t="s">
        <v>1969</v>
      </c>
      <c r="R545" s="9">
        <v>460.21</v>
      </c>
      <c r="S545" s="9">
        <v>1139.1500000000001</v>
      </c>
      <c r="T545" s="9">
        <v>1139.1500000000001</v>
      </c>
      <c r="U545" s="9">
        <f t="shared" si="44"/>
        <v>902.18290000000002</v>
      </c>
      <c r="V545" s="9">
        <f t="shared" si="42"/>
        <v>1651.1248000000001</v>
      </c>
      <c r="W545" s="9" t="str">
        <f t="shared" si="43"/>
        <v>Medium</v>
      </c>
      <c r="X545" t="s">
        <v>2065</v>
      </c>
      <c r="Y545" s="11">
        <v>0.115</v>
      </c>
      <c r="Z545" t="s">
        <v>2065</v>
      </c>
      <c r="AA545" s="13">
        <v>14</v>
      </c>
      <c r="AB545" s="9">
        <v>14114.068500000001</v>
      </c>
      <c r="AC545" s="9">
        <v>6442.94</v>
      </c>
      <c r="AD545" s="9">
        <v>7671.1285000000016</v>
      </c>
      <c r="AE545" s="11">
        <v>0.54350937151821255</v>
      </c>
    </row>
    <row r="546" spans="1:31" x14ac:dyDescent="0.3">
      <c r="A546" t="s">
        <v>559</v>
      </c>
      <c r="B546" s="4">
        <v>45889</v>
      </c>
      <c r="C546" s="4" t="str">
        <f t="shared" si="40"/>
        <v>Aug-2025</v>
      </c>
      <c r="D546" s="4" t="str">
        <f t="shared" si="41"/>
        <v>Q3-2025</v>
      </c>
      <c r="E546" s="4">
        <v>45895</v>
      </c>
      <c r="F546" t="s">
        <v>2064</v>
      </c>
      <c r="G546" s="4">
        <v>45895</v>
      </c>
      <c r="H546" s="13">
        <v>6</v>
      </c>
      <c r="I546" s="7" t="s">
        <v>648</v>
      </c>
      <c r="J546" s="7" t="s">
        <v>1425</v>
      </c>
      <c r="K546" s="7" t="s">
        <v>700</v>
      </c>
      <c r="M546" s="7" t="s">
        <v>701</v>
      </c>
      <c r="N546" s="7" t="s">
        <v>707</v>
      </c>
      <c r="O546" s="7" t="s">
        <v>724</v>
      </c>
      <c r="P546" s="7" t="s">
        <v>729</v>
      </c>
      <c r="Q546" s="7" t="s">
        <v>1970</v>
      </c>
      <c r="R546" s="9">
        <v>1304.95</v>
      </c>
      <c r="S546" s="9">
        <v>1712.03</v>
      </c>
      <c r="T546" s="9">
        <v>1712.03</v>
      </c>
      <c r="U546" s="9">
        <f t="shared" si="44"/>
        <v>901.85620000000006</v>
      </c>
      <c r="V546" s="9">
        <f t="shared" si="42"/>
        <v>1655.6944000000001</v>
      </c>
      <c r="W546" s="9" t="str">
        <f t="shared" si="43"/>
        <v>High</v>
      </c>
      <c r="X546" t="s">
        <v>2065</v>
      </c>
      <c r="Y546" s="11">
        <v>0.21199999999999999</v>
      </c>
      <c r="Z546" t="s">
        <v>2065</v>
      </c>
      <c r="AA546" s="13">
        <v>8</v>
      </c>
      <c r="AB546" s="9">
        <v>10792.637119999999</v>
      </c>
      <c r="AC546" s="9">
        <v>10439.6</v>
      </c>
      <c r="AD546" s="9">
        <v>353.03711999999905</v>
      </c>
      <c r="AE546" s="11">
        <v>3.2710922833287949E-2</v>
      </c>
    </row>
    <row r="547" spans="1:31" x14ac:dyDescent="0.3">
      <c r="A547" t="s">
        <v>560</v>
      </c>
      <c r="B547" s="4">
        <v>45355</v>
      </c>
      <c r="C547" s="4" t="str">
        <f t="shared" si="40"/>
        <v>Mar-2024</v>
      </c>
      <c r="D547" s="4" t="str">
        <f t="shared" si="41"/>
        <v>Q1-2024</v>
      </c>
      <c r="E547" s="4">
        <v>45367</v>
      </c>
      <c r="F547" t="s">
        <v>2064</v>
      </c>
      <c r="G547" s="4">
        <v>45367</v>
      </c>
      <c r="H547" s="13">
        <v>12</v>
      </c>
      <c r="I547" s="7" t="s">
        <v>646</v>
      </c>
      <c r="J547" s="7" t="s">
        <v>661</v>
      </c>
      <c r="K547" s="7" t="s">
        <v>682</v>
      </c>
      <c r="M547" s="7" t="s">
        <v>706</v>
      </c>
      <c r="N547" s="7" t="s">
        <v>710</v>
      </c>
      <c r="O547" s="7" t="s">
        <v>724</v>
      </c>
      <c r="P547" s="7" t="s">
        <v>732</v>
      </c>
      <c r="Q547" s="7" t="s">
        <v>1971</v>
      </c>
      <c r="R547" s="9">
        <v>441.08</v>
      </c>
      <c r="S547" s="9">
        <v>1054.29</v>
      </c>
      <c r="T547" s="9">
        <v>1054.29</v>
      </c>
      <c r="U547" s="9">
        <f t="shared" si="44"/>
        <v>901.52949999999998</v>
      </c>
      <c r="V547" s="9">
        <f t="shared" si="42"/>
        <v>1646.8240000000001</v>
      </c>
      <c r="W547" s="9" t="str">
        <f t="shared" si="43"/>
        <v>Medium</v>
      </c>
      <c r="X547" t="s">
        <v>2065</v>
      </c>
      <c r="Y547" s="11">
        <v>0.23699999999999999</v>
      </c>
      <c r="Z547" t="s">
        <v>2065</v>
      </c>
      <c r="AA547" s="13">
        <v>6</v>
      </c>
      <c r="AB547" s="9">
        <v>4826.5396199999996</v>
      </c>
      <c r="AC547" s="9">
        <v>2646.48</v>
      </c>
      <c r="AD547" s="9">
        <v>2180.0596199999995</v>
      </c>
      <c r="AE547" s="11">
        <v>0.45168169985932899</v>
      </c>
    </row>
    <row r="548" spans="1:31" x14ac:dyDescent="0.3">
      <c r="A548" t="s">
        <v>561</v>
      </c>
      <c r="B548" s="4">
        <v>45177</v>
      </c>
      <c r="C548" s="4" t="str">
        <f t="shared" si="40"/>
        <v>Sep-2023</v>
      </c>
      <c r="D548" s="4" t="str">
        <f t="shared" si="41"/>
        <v>Q3-2023</v>
      </c>
      <c r="E548" s="4">
        <v>45201</v>
      </c>
      <c r="F548" t="s">
        <v>2064</v>
      </c>
      <c r="G548" s="4">
        <v>45201</v>
      </c>
      <c r="H548" s="13">
        <v>24</v>
      </c>
      <c r="I548" s="7" t="s">
        <v>648</v>
      </c>
      <c r="J548" s="7" t="s">
        <v>653</v>
      </c>
      <c r="K548" s="7" t="s">
        <v>667</v>
      </c>
      <c r="M548" s="7" t="s">
        <v>702</v>
      </c>
      <c r="N548" s="7" t="s">
        <v>711</v>
      </c>
      <c r="O548" s="7" t="s">
        <v>720</v>
      </c>
      <c r="P548" s="7" t="s">
        <v>733</v>
      </c>
      <c r="Q548" s="7" t="s">
        <v>1972</v>
      </c>
      <c r="R548" s="9">
        <v>1299.03</v>
      </c>
      <c r="S548" s="9">
        <v>2451.2199999999998</v>
      </c>
      <c r="T548" s="9">
        <v>2451.2199999999998</v>
      </c>
      <c r="U548" s="9">
        <f t="shared" si="44"/>
        <v>892.27920000000006</v>
      </c>
      <c r="V548" s="9">
        <f t="shared" si="42"/>
        <v>1651.3936000000001</v>
      </c>
      <c r="W548" s="9" t="str">
        <f t="shared" si="43"/>
        <v>High</v>
      </c>
      <c r="X548" t="s">
        <v>2065</v>
      </c>
      <c r="Y548" s="11">
        <v>0.20799999999999999</v>
      </c>
      <c r="Z548" t="s">
        <v>2065</v>
      </c>
      <c r="AA548" s="13">
        <v>8</v>
      </c>
      <c r="AB548" s="9">
        <v>15530.929919999999</v>
      </c>
      <c r="AC548" s="9">
        <v>10392.24</v>
      </c>
      <c r="AD548" s="9">
        <v>5138.6899199999989</v>
      </c>
      <c r="AE548" s="11">
        <v>0.3308681416032041</v>
      </c>
    </row>
    <row r="549" spans="1:31" x14ac:dyDescent="0.3">
      <c r="A549" t="s">
        <v>562</v>
      </c>
      <c r="B549" s="4">
        <v>44985</v>
      </c>
      <c r="C549" s="4" t="str">
        <f t="shared" si="40"/>
        <v>Feb-2023</v>
      </c>
      <c r="D549" s="4" t="str">
        <f t="shared" si="41"/>
        <v>Q1-2023</v>
      </c>
      <c r="E549" s="4">
        <v>44991</v>
      </c>
      <c r="F549" t="s">
        <v>2064</v>
      </c>
      <c r="G549" s="4">
        <v>44991</v>
      </c>
      <c r="H549" s="13">
        <v>6</v>
      </c>
      <c r="I549" s="7" t="s">
        <v>649</v>
      </c>
      <c r="J549" s="7" t="s">
        <v>656</v>
      </c>
      <c r="K549" s="7" t="s">
        <v>698</v>
      </c>
      <c r="M549" s="7" t="s">
        <v>705</v>
      </c>
      <c r="N549" s="7" t="s">
        <v>709</v>
      </c>
      <c r="O549" s="7" t="s">
        <v>726</v>
      </c>
      <c r="P549" s="7" t="s">
        <v>728</v>
      </c>
      <c r="Q549" s="7" t="s">
        <v>1973</v>
      </c>
      <c r="R549" s="9">
        <v>880.02</v>
      </c>
      <c r="S549" s="9">
        <v>1251.21</v>
      </c>
      <c r="T549" s="9">
        <v>1251.21</v>
      </c>
      <c r="U549" s="9">
        <f t="shared" si="44"/>
        <v>881.43540000000007</v>
      </c>
      <c r="V549" s="9">
        <f t="shared" si="42"/>
        <v>1634.4888000000001</v>
      </c>
      <c r="W549" s="9" t="str">
        <f t="shared" si="43"/>
        <v>Medium</v>
      </c>
      <c r="X549" t="s">
        <v>2065</v>
      </c>
      <c r="Y549" s="11">
        <v>0.123</v>
      </c>
      <c r="Z549" t="s">
        <v>2065</v>
      </c>
      <c r="AA549" s="13">
        <v>29</v>
      </c>
      <c r="AB549" s="9">
        <v>31822.023930000003</v>
      </c>
      <c r="AC549" s="9">
        <v>25520.579999999998</v>
      </c>
      <c r="AD549" s="9">
        <v>6301.4439300000049</v>
      </c>
      <c r="AE549" s="11">
        <v>0.19802146915172672</v>
      </c>
    </row>
    <row r="550" spans="1:31" x14ac:dyDescent="0.3">
      <c r="A550" t="s">
        <v>563</v>
      </c>
      <c r="B550" s="4">
        <v>45486</v>
      </c>
      <c r="C550" s="4" t="str">
        <f t="shared" si="40"/>
        <v>Jul-2024</v>
      </c>
      <c r="D550" s="4" t="str">
        <f t="shared" si="41"/>
        <v>Q3-2024</v>
      </c>
      <c r="E550" s="4">
        <v>45507</v>
      </c>
      <c r="F550" t="s">
        <v>2064</v>
      </c>
      <c r="G550" s="4">
        <v>45507</v>
      </c>
      <c r="H550" s="13">
        <v>21</v>
      </c>
      <c r="I550" s="7" t="s">
        <v>648</v>
      </c>
      <c r="J550" s="7" t="s">
        <v>655</v>
      </c>
      <c r="K550" s="7" t="s">
        <v>1426</v>
      </c>
      <c r="M550" s="7" t="s">
        <v>701</v>
      </c>
      <c r="N550" s="7" t="s">
        <v>709</v>
      </c>
      <c r="O550" s="7" t="s">
        <v>724</v>
      </c>
      <c r="P550" s="7" t="s">
        <v>732</v>
      </c>
      <c r="Q550" s="7" t="s">
        <v>1974</v>
      </c>
      <c r="R550" s="9">
        <v>702.98</v>
      </c>
      <c r="S550" s="9">
        <v>1104.8</v>
      </c>
      <c r="T550" s="9">
        <v>1104.8</v>
      </c>
      <c r="U550" s="9">
        <f t="shared" si="44"/>
        <v>870.59160000000008</v>
      </c>
      <c r="V550" s="9">
        <f t="shared" si="42"/>
        <v>1647.0928000000001</v>
      </c>
      <c r="W550" s="9" t="str">
        <f t="shared" si="43"/>
        <v>Medium</v>
      </c>
      <c r="X550" t="s">
        <v>2065</v>
      </c>
      <c r="Y550" s="11">
        <v>0.17499999999999999</v>
      </c>
      <c r="Z550" t="s">
        <v>2065</v>
      </c>
      <c r="AA550" s="13">
        <v>12</v>
      </c>
      <c r="AB550" s="9">
        <v>10937.519999999999</v>
      </c>
      <c r="AC550" s="9">
        <v>8435.76</v>
      </c>
      <c r="AD550" s="9">
        <v>2501.7599999999984</v>
      </c>
      <c r="AE550" s="11">
        <v>0.22873192460448061</v>
      </c>
    </row>
    <row r="551" spans="1:31" x14ac:dyDescent="0.3">
      <c r="A551" t="s">
        <v>564</v>
      </c>
      <c r="B551" s="4">
        <v>45633</v>
      </c>
      <c r="C551" s="4" t="str">
        <f t="shared" si="40"/>
        <v>Dec-2024</v>
      </c>
      <c r="D551" s="4" t="str">
        <f t="shared" si="41"/>
        <v>Q4-2024</v>
      </c>
      <c r="E551" s="4">
        <v>45652</v>
      </c>
      <c r="F551" t="s">
        <v>2064</v>
      </c>
      <c r="G551" s="4">
        <v>45652</v>
      </c>
      <c r="H551" s="13">
        <v>19</v>
      </c>
      <c r="I551" s="7" t="s">
        <v>649</v>
      </c>
      <c r="J551" s="7" t="s">
        <v>658</v>
      </c>
      <c r="K551" s="7" t="s">
        <v>683</v>
      </c>
      <c r="M551" s="7" t="s">
        <v>706</v>
      </c>
      <c r="N551" s="7" t="s">
        <v>708</v>
      </c>
      <c r="O551" s="7" t="s">
        <v>726</v>
      </c>
      <c r="P551" s="7" t="s">
        <v>729</v>
      </c>
      <c r="Q551" s="7" t="s">
        <v>1975</v>
      </c>
      <c r="R551" s="9">
        <v>1035.24</v>
      </c>
      <c r="S551" s="9">
        <v>2383.41</v>
      </c>
      <c r="T551" s="9">
        <v>2383.41</v>
      </c>
      <c r="U551" s="9">
        <f t="shared" si="44"/>
        <v>866.60580000000004</v>
      </c>
      <c r="V551" s="9">
        <f t="shared" si="42"/>
        <v>1651.6624000000002</v>
      </c>
      <c r="W551" s="9" t="str">
        <f t="shared" si="43"/>
        <v>High</v>
      </c>
      <c r="X551" t="s">
        <v>2065</v>
      </c>
      <c r="Y551" s="11">
        <v>0.17</v>
      </c>
      <c r="Z551" t="s">
        <v>2065</v>
      </c>
      <c r="AA551" s="13">
        <v>15</v>
      </c>
      <c r="AB551" s="9">
        <v>29673.454499999993</v>
      </c>
      <c r="AC551" s="9">
        <v>15528.6</v>
      </c>
      <c r="AD551" s="9">
        <v>14144.854499999992</v>
      </c>
      <c r="AE551" s="11">
        <v>0.47668378145860962</v>
      </c>
    </row>
    <row r="552" spans="1:31" x14ac:dyDescent="0.3">
      <c r="A552" t="s">
        <v>565</v>
      </c>
      <c r="B552" s="4">
        <v>45875</v>
      </c>
      <c r="C552" s="4" t="str">
        <f t="shared" si="40"/>
        <v>Aug-2025</v>
      </c>
      <c r="D552" s="4" t="str">
        <f t="shared" si="41"/>
        <v>Q3-2025</v>
      </c>
      <c r="E552" s="4">
        <v>45892</v>
      </c>
      <c r="F552" t="s">
        <v>2064</v>
      </c>
      <c r="G552" s="4">
        <v>45892</v>
      </c>
      <c r="H552" s="13">
        <v>17</v>
      </c>
      <c r="I552" s="7" t="s">
        <v>648</v>
      </c>
      <c r="J552" s="7" t="s">
        <v>655</v>
      </c>
      <c r="K552" s="7" t="s">
        <v>672</v>
      </c>
      <c r="M552" s="7" t="s">
        <v>704</v>
      </c>
      <c r="N552" s="7" t="s">
        <v>710</v>
      </c>
      <c r="O552" s="7" t="s">
        <v>720</v>
      </c>
      <c r="P552" s="7" t="s">
        <v>732</v>
      </c>
      <c r="Q552" s="7" t="s">
        <v>1976</v>
      </c>
      <c r="R552" s="9">
        <v>86.64</v>
      </c>
      <c r="S552" s="9">
        <v>213.06</v>
      </c>
      <c r="T552" s="9">
        <v>213.06</v>
      </c>
      <c r="U552" s="9">
        <f t="shared" si="44"/>
        <v>864.14400000000001</v>
      </c>
      <c r="V552" s="9">
        <f t="shared" si="42"/>
        <v>1635.4880000000003</v>
      </c>
      <c r="W552" s="9" t="str">
        <f t="shared" si="43"/>
        <v>Low</v>
      </c>
      <c r="X552" t="s">
        <v>2065</v>
      </c>
      <c r="Y552" s="11">
        <v>0.21199999999999999</v>
      </c>
      <c r="Z552" t="s">
        <v>2065</v>
      </c>
      <c r="AA552" s="13">
        <v>11</v>
      </c>
      <c r="AB552" s="9">
        <v>1846.8040799999999</v>
      </c>
      <c r="AC552" s="9">
        <v>953.04</v>
      </c>
      <c r="AD552" s="9">
        <v>893.76407999999992</v>
      </c>
      <c r="AE552" s="11">
        <v>0.48395175735154322</v>
      </c>
    </row>
    <row r="553" spans="1:31" x14ac:dyDescent="0.3">
      <c r="A553" t="s">
        <v>566</v>
      </c>
      <c r="B553" s="4">
        <v>44988</v>
      </c>
      <c r="C553" s="4" t="str">
        <f t="shared" si="40"/>
        <v>Mar-2023</v>
      </c>
      <c r="D553" s="4" t="str">
        <f t="shared" si="41"/>
        <v>Q1-2023</v>
      </c>
      <c r="E553" s="4">
        <v>45005</v>
      </c>
      <c r="F553" t="s">
        <v>2064</v>
      </c>
      <c r="G553" s="4">
        <v>45005</v>
      </c>
      <c r="H553" s="13">
        <v>17</v>
      </c>
      <c r="I553" s="7" t="s">
        <v>647</v>
      </c>
      <c r="J553" s="7" t="s">
        <v>652</v>
      </c>
      <c r="K553" s="7" t="s">
        <v>694</v>
      </c>
      <c r="M553" s="7" t="s">
        <v>705</v>
      </c>
      <c r="N553" s="7" t="s">
        <v>708</v>
      </c>
      <c r="O553" s="7" t="s">
        <v>726</v>
      </c>
      <c r="P553" s="7" t="s">
        <v>729</v>
      </c>
      <c r="Q553" s="7" t="s">
        <v>1977</v>
      </c>
      <c r="R553" s="9">
        <v>1171.17</v>
      </c>
      <c r="S553" s="9">
        <v>2030.64</v>
      </c>
      <c r="T553" s="9">
        <v>2030.64</v>
      </c>
      <c r="U553" s="9">
        <f t="shared" si="44"/>
        <v>870.92020000000002</v>
      </c>
      <c r="V553" s="9">
        <f t="shared" si="42"/>
        <v>1647.3616</v>
      </c>
      <c r="W553" s="9" t="str">
        <f t="shared" si="43"/>
        <v>High</v>
      </c>
      <c r="X553" t="s">
        <v>2065</v>
      </c>
      <c r="Y553" s="11">
        <v>0.157</v>
      </c>
      <c r="Z553" t="s">
        <v>2065</v>
      </c>
      <c r="AA553" s="13">
        <v>11</v>
      </c>
      <c r="AB553" s="9">
        <v>18830.12472</v>
      </c>
      <c r="AC553" s="9">
        <v>12882.87</v>
      </c>
      <c r="AD553" s="9">
        <v>5947.254719999999</v>
      </c>
      <c r="AE553" s="11">
        <v>0.31583724528830415</v>
      </c>
    </row>
    <row r="554" spans="1:31" x14ac:dyDescent="0.3">
      <c r="A554" t="s">
        <v>567</v>
      </c>
      <c r="B554" s="4">
        <v>45704</v>
      </c>
      <c r="C554" s="4" t="str">
        <f t="shared" si="40"/>
        <v>Feb-2025</v>
      </c>
      <c r="D554" s="4" t="str">
        <f t="shared" si="41"/>
        <v>Q1-2025</v>
      </c>
      <c r="E554" s="4">
        <v>45733</v>
      </c>
      <c r="F554" t="s">
        <v>2064</v>
      </c>
      <c r="G554" s="4">
        <v>45733</v>
      </c>
      <c r="H554" s="13">
        <v>29</v>
      </c>
      <c r="I554" s="7" t="s">
        <v>649</v>
      </c>
      <c r="J554" s="7" t="s">
        <v>656</v>
      </c>
      <c r="K554" s="7" t="s">
        <v>684</v>
      </c>
      <c r="M554" s="7" t="s">
        <v>704</v>
      </c>
      <c r="N554" s="7" t="s">
        <v>707</v>
      </c>
      <c r="O554" s="7" t="s">
        <v>716</v>
      </c>
      <c r="P554" s="7" t="s">
        <v>733</v>
      </c>
      <c r="Q554" s="7" t="s">
        <v>1978</v>
      </c>
      <c r="R554" s="9">
        <v>730.42</v>
      </c>
      <c r="S554" s="9">
        <v>956.7</v>
      </c>
      <c r="T554" s="9">
        <v>956.7</v>
      </c>
      <c r="U554" s="9">
        <f t="shared" si="44"/>
        <v>866.68039999999996</v>
      </c>
      <c r="V554" s="9">
        <f t="shared" si="42"/>
        <v>1619.5008000000003</v>
      </c>
      <c r="W554" s="9" t="str">
        <f t="shared" si="43"/>
        <v>Medium</v>
      </c>
      <c r="X554" t="s">
        <v>2065</v>
      </c>
      <c r="Y554" s="11">
        <v>4.2000000000000003E-2</v>
      </c>
      <c r="Z554" t="s">
        <v>2065</v>
      </c>
      <c r="AA554" s="13">
        <v>22</v>
      </c>
      <c r="AB554" s="9">
        <v>20163.409200000002</v>
      </c>
      <c r="AC554" s="9">
        <v>16069.24</v>
      </c>
      <c r="AD554" s="9">
        <v>4094.1692000000021</v>
      </c>
      <c r="AE554" s="11">
        <v>0.20304945256975698</v>
      </c>
    </row>
    <row r="555" spans="1:31" x14ac:dyDescent="0.3">
      <c r="A555" t="s">
        <v>568</v>
      </c>
      <c r="B555" s="4">
        <v>45703</v>
      </c>
      <c r="C555" s="4" t="str">
        <f t="shared" si="40"/>
        <v>Feb-2025</v>
      </c>
      <c r="D555" s="4" t="str">
        <f t="shared" si="41"/>
        <v>Q1-2025</v>
      </c>
      <c r="E555" s="4">
        <v>45717</v>
      </c>
      <c r="F555" t="s">
        <v>2064</v>
      </c>
      <c r="G555" s="4">
        <v>45717</v>
      </c>
      <c r="H555" s="13">
        <v>14</v>
      </c>
      <c r="I555" s="7" t="s">
        <v>646</v>
      </c>
      <c r="J555" s="7" t="s">
        <v>650</v>
      </c>
      <c r="K555" s="7" t="s">
        <v>675</v>
      </c>
      <c r="M555" s="7" t="s">
        <v>702</v>
      </c>
      <c r="N555" s="7" t="s">
        <v>711</v>
      </c>
      <c r="O555" s="7" t="s">
        <v>716</v>
      </c>
      <c r="P555" s="7" t="s">
        <v>733</v>
      </c>
      <c r="Q555" s="7" t="s">
        <v>1979</v>
      </c>
      <c r="R555" s="9">
        <v>1162.8599999999999</v>
      </c>
      <c r="S555" s="9">
        <v>1447.68</v>
      </c>
      <c r="T555" s="9">
        <v>1447.68</v>
      </c>
      <c r="U555" s="9">
        <f t="shared" si="44"/>
        <v>864.21860000000004</v>
      </c>
      <c r="V555" s="9">
        <f t="shared" si="42"/>
        <v>1636.4872</v>
      </c>
      <c r="W555" s="9" t="str">
        <f t="shared" si="43"/>
        <v>Medium</v>
      </c>
      <c r="X555" t="s">
        <v>2065</v>
      </c>
      <c r="Y555" s="11">
        <v>8.6999999999999994E-2</v>
      </c>
      <c r="Z555" t="s">
        <v>2065</v>
      </c>
      <c r="AA555" s="13">
        <v>12</v>
      </c>
      <c r="AB555" s="9">
        <v>15860.782080000001</v>
      </c>
      <c r="AC555" s="9">
        <v>13954.32</v>
      </c>
      <c r="AD555" s="9">
        <v>1906.4620800000012</v>
      </c>
      <c r="AE555" s="11">
        <v>0.12019975247021369</v>
      </c>
    </row>
    <row r="556" spans="1:31" x14ac:dyDescent="0.3">
      <c r="A556" t="s">
        <v>569</v>
      </c>
      <c r="B556" s="4">
        <v>45535</v>
      </c>
      <c r="C556" s="4" t="str">
        <f t="shared" si="40"/>
        <v>Aug-2024</v>
      </c>
      <c r="D556" s="4" t="str">
        <f t="shared" si="41"/>
        <v>Q3-2024</v>
      </c>
      <c r="E556" s="4">
        <v>45561</v>
      </c>
      <c r="F556" t="s">
        <v>2064</v>
      </c>
      <c r="G556" s="4">
        <v>45561</v>
      </c>
      <c r="H556" s="13">
        <v>26</v>
      </c>
      <c r="I556" s="7" t="s">
        <v>647</v>
      </c>
      <c r="J556" s="7" t="s">
        <v>652</v>
      </c>
      <c r="K556" s="7" t="s">
        <v>689</v>
      </c>
      <c r="M556" s="7" t="s">
        <v>702</v>
      </c>
      <c r="N556" s="7" t="s">
        <v>708</v>
      </c>
      <c r="O556" s="7" t="s">
        <v>714</v>
      </c>
      <c r="P556" s="7" t="s">
        <v>730</v>
      </c>
      <c r="Q556" s="7" t="s">
        <v>1980</v>
      </c>
      <c r="R556" s="9">
        <v>1189.03</v>
      </c>
      <c r="S556" s="9">
        <v>2949.62</v>
      </c>
      <c r="T556" s="9">
        <v>2949.62</v>
      </c>
      <c r="U556" s="9">
        <f t="shared" si="44"/>
        <v>861.7568</v>
      </c>
      <c r="V556" s="9">
        <f t="shared" si="42"/>
        <v>1647.6304</v>
      </c>
      <c r="W556" s="9" t="str">
        <f t="shared" si="43"/>
        <v>High</v>
      </c>
      <c r="X556" t="s">
        <v>2065</v>
      </c>
      <c r="Y556" s="11">
        <v>0.125</v>
      </c>
      <c r="Z556" t="s">
        <v>2065</v>
      </c>
      <c r="AA556" s="13">
        <v>13</v>
      </c>
      <c r="AB556" s="9">
        <v>33551.927499999998</v>
      </c>
      <c r="AC556" s="9">
        <v>15457.39</v>
      </c>
      <c r="AD556" s="9">
        <v>18094.537499999999</v>
      </c>
      <c r="AE556" s="11">
        <v>0.53929949330034765</v>
      </c>
    </row>
    <row r="557" spans="1:31" x14ac:dyDescent="0.3">
      <c r="A557" t="s">
        <v>570</v>
      </c>
      <c r="B557" s="4">
        <v>45053</v>
      </c>
      <c r="C557" s="4" t="str">
        <f t="shared" si="40"/>
        <v>May-2023</v>
      </c>
      <c r="D557" s="4" t="str">
        <f t="shared" si="41"/>
        <v>Q2-2023</v>
      </c>
      <c r="E557" s="4">
        <v>45066</v>
      </c>
      <c r="F557" t="s">
        <v>2064</v>
      </c>
      <c r="G557" s="4">
        <v>45066</v>
      </c>
      <c r="H557" s="13">
        <v>13</v>
      </c>
      <c r="I557" s="7" t="s">
        <v>647</v>
      </c>
      <c r="J557" s="7" t="s">
        <v>654</v>
      </c>
      <c r="K557" s="7" t="s">
        <v>691</v>
      </c>
      <c r="M557" s="7" t="s">
        <v>706</v>
      </c>
      <c r="N557" s="7" t="s">
        <v>707</v>
      </c>
      <c r="O557" s="7" t="s">
        <v>726</v>
      </c>
      <c r="P557" s="7" t="s">
        <v>733</v>
      </c>
      <c r="Q557" s="7" t="s">
        <v>1981</v>
      </c>
      <c r="R557" s="9">
        <v>1443.28</v>
      </c>
      <c r="S557" s="9">
        <v>2580.5700000000002</v>
      </c>
      <c r="T557" s="9">
        <v>2580.5700000000002</v>
      </c>
      <c r="U557" s="9">
        <f t="shared" si="44"/>
        <v>834.43</v>
      </c>
      <c r="V557" s="9">
        <f t="shared" si="42"/>
        <v>1620.5</v>
      </c>
      <c r="W557" s="9" t="str">
        <f t="shared" si="43"/>
        <v>High</v>
      </c>
      <c r="X557" t="s">
        <v>2065</v>
      </c>
      <c r="Y557" s="11">
        <v>0</v>
      </c>
      <c r="Z557" t="s">
        <v>2065</v>
      </c>
      <c r="AA557" s="13">
        <v>18</v>
      </c>
      <c r="AB557" s="9">
        <v>46450.26</v>
      </c>
      <c r="AC557" s="9">
        <v>25979.040000000001</v>
      </c>
      <c r="AD557" s="9">
        <v>20471.22</v>
      </c>
      <c r="AE557" s="11">
        <v>0.4407127107577008</v>
      </c>
    </row>
    <row r="558" spans="1:31" x14ac:dyDescent="0.3">
      <c r="A558" t="s">
        <v>571</v>
      </c>
      <c r="B558" s="4">
        <v>45791</v>
      </c>
      <c r="C558" s="4" t="str">
        <f t="shared" si="40"/>
        <v>May-2025</v>
      </c>
      <c r="D558" s="4" t="str">
        <f t="shared" si="41"/>
        <v>Q2-2025</v>
      </c>
      <c r="E558" s="4">
        <v>45789</v>
      </c>
      <c r="F558" t="s">
        <v>2066</v>
      </c>
      <c r="G558" s="4">
        <v>45791</v>
      </c>
      <c r="H558" s="13">
        <v>0</v>
      </c>
      <c r="I558" s="7" t="s">
        <v>648</v>
      </c>
      <c r="J558" s="7" t="s">
        <v>653</v>
      </c>
      <c r="K558" s="7" t="s">
        <v>688</v>
      </c>
      <c r="M558" s="7" t="s">
        <v>703</v>
      </c>
      <c r="N558" s="7" t="s">
        <v>710</v>
      </c>
      <c r="O558" s="7" t="s">
        <v>721</v>
      </c>
      <c r="P558" s="7" t="s">
        <v>728</v>
      </c>
      <c r="Q558" s="7" t="s">
        <v>1982</v>
      </c>
      <c r="R558" s="9">
        <v>883.5</v>
      </c>
      <c r="S558" s="9">
        <v>1978.91</v>
      </c>
      <c r="T558" s="9">
        <v>1978.91</v>
      </c>
      <c r="U558" s="9">
        <f t="shared" si="44"/>
        <v>799.1464000000002</v>
      </c>
      <c r="V558" s="9">
        <f t="shared" si="42"/>
        <v>1589.6592000000001</v>
      </c>
      <c r="W558" s="9" t="str">
        <f t="shared" si="43"/>
        <v>High</v>
      </c>
      <c r="X558" t="s">
        <v>2065</v>
      </c>
      <c r="Y558" s="11">
        <v>5.3999999999999999E-2</v>
      </c>
      <c r="Z558" t="s">
        <v>2065</v>
      </c>
      <c r="AA558" s="13">
        <v>27</v>
      </c>
      <c r="AB558" s="9">
        <v>50545.319219999998</v>
      </c>
      <c r="AC558" s="9">
        <v>23854.5</v>
      </c>
      <c r="AD558" s="9">
        <v>26690.819219999998</v>
      </c>
      <c r="AE558" s="11">
        <v>0.52805718970390547</v>
      </c>
    </row>
    <row r="559" spans="1:31" x14ac:dyDescent="0.3">
      <c r="A559" t="s">
        <v>572</v>
      </c>
      <c r="B559" s="4">
        <v>45362</v>
      </c>
      <c r="C559" s="4" t="str">
        <f t="shared" si="40"/>
        <v>Mar-2024</v>
      </c>
      <c r="D559" s="4" t="str">
        <f t="shared" si="41"/>
        <v>Q1-2024</v>
      </c>
      <c r="E559" s="4">
        <v>45380</v>
      </c>
      <c r="F559" t="s">
        <v>2064</v>
      </c>
      <c r="G559" s="4">
        <v>45380</v>
      </c>
      <c r="H559" s="13">
        <v>18</v>
      </c>
      <c r="I559" s="7" t="s">
        <v>648</v>
      </c>
      <c r="J559" s="7" t="s">
        <v>1425</v>
      </c>
      <c r="K559" s="7" t="s">
        <v>700</v>
      </c>
      <c r="M559" s="7" t="s">
        <v>701</v>
      </c>
      <c r="N559" s="7" t="s">
        <v>707</v>
      </c>
      <c r="O559" s="7" t="s">
        <v>724</v>
      </c>
      <c r="P559" s="7" t="s">
        <v>732</v>
      </c>
      <c r="Q559" s="7" t="s">
        <v>1983</v>
      </c>
      <c r="R559" s="9">
        <v>710.98</v>
      </c>
      <c r="S559" s="9">
        <v>1481.45</v>
      </c>
      <c r="T559" s="9">
        <v>1481.45</v>
      </c>
      <c r="U559" s="9">
        <f t="shared" si="44"/>
        <v>763.86279999999999</v>
      </c>
      <c r="V559" s="9">
        <f t="shared" si="42"/>
        <v>1565.4834000000001</v>
      </c>
      <c r="W559" s="9" t="str">
        <f t="shared" si="43"/>
        <v>Medium</v>
      </c>
      <c r="X559" t="s">
        <v>2065</v>
      </c>
      <c r="Y559" s="11">
        <v>0.21099999999999999</v>
      </c>
      <c r="Z559" t="s">
        <v>2065</v>
      </c>
      <c r="AA559" s="13">
        <v>9</v>
      </c>
      <c r="AB559" s="9">
        <v>10519.776450000001</v>
      </c>
      <c r="AC559" s="9">
        <v>6398.82</v>
      </c>
      <c r="AD559" s="9">
        <v>4120.9564500000015</v>
      </c>
      <c r="AE559" s="11">
        <v>0.39173422264120461</v>
      </c>
    </row>
    <row r="560" spans="1:31" x14ac:dyDescent="0.3">
      <c r="A560" t="s">
        <v>573</v>
      </c>
      <c r="B560" s="4">
        <v>45430</v>
      </c>
      <c r="C560" s="4" t="str">
        <f t="shared" si="40"/>
        <v>May-2024</v>
      </c>
      <c r="D560" s="4" t="str">
        <f t="shared" si="41"/>
        <v>Q2-2024</v>
      </c>
      <c r="E560" s="4">
        <v>45434</v>
      </c>
      <c r="F560" t="s">
        <v>2064</v>
      </c>
      <c r="G560" s="4">
        <v>45434</v>
      </c>
      <c r="H560" s="13">
        <v>4</v>
      </c>
      <c r="I560" s="7" t="s">
        <v>646</v>
      </c>
      <c r="J560" s="7" t="s">
        <v>650</v>
      </c>
      <c r="K560" s="7" t="s">
        <v>664</v>
      </c>
      <c r="M560" s="7" t="s">
        <v>701</v>
      </c>
      <c r="N560" s="7" t="s">
        <v>711</v>
      </c>
      <c r="O560" s="7" t="s">
        <v>722</v>
      </c>
      <c r="P560" s="7" t="s">
        <v>733</v>
      </c>
      <c r="Q560" s="7" t="s">
        <v>1984</v>
      </c>
      <c r="R560" s="9">
        <v>857.42</v>
      </c>
      <c r="S560" s="9">
        <v>1658.92</v>
      </c>
      <c r="T560" s="9">
        <v>1658.92</v>
      </c>
      <c r="U560" s="9">
        <f t="shared" si="44"/>
        <v>747.75520000000006</v>
      </c>
      <c r="V560" s="9">
        <f t="shared" si="42"/>
        <v>1577.9376000000002</v>
      </c>
      <c r="W560" s="9" t="str">
        <f t="shared" si="43"/>
        <v>High</v>
      </c>
      <c r="X560" t="s">
        <v>2065</v>
      </c>
      <c r="Y560" s="11">
        <v>0.122</v>
      </c>
      <c r="Z560" t="s">
        <v>2065</v>
      </c>
      <c r="AA560" s="13">
        <v>9</v>
      </c>
      <c r="AB560" s="9">
        <v>13108.78584</v>
      </c>
      <c r="AC560" s="9">
        <v>7716.78</v>
      </c>
      <c r="AD560" s="9">
        <v>5392.0058400000007</v>
      </c>
      <c r="AE560" s="11">
        <v>0.41132763215544305</v>
      </c>
    </row>
    <row r="561" spans="1:31" x14ac:dyDescent="0.3">
      <c r="A561" t="s">
        <v>574</v>
      </c>
      <c r="B561" s="4">
        <v>45299</v>
      </c>
      <c r="C561" s="4" t="str">
        <f t="shared" si="40"/>
        <v>Jan-2024</v>
      </c>
      <c r="D561" s="4" t="str">
        <f t="shared" si="41"/>
        <v>Q1-2024</v>
      </c>
      <c r="E561" s="4">
        <v>45303</v>
      </c>
      <c r="F561" t="s">
        <v>2064</v>
      </c>
      <c r="G561" s="4">
        <v>45303</v>
      </c>
      <c r="H561" s="13">
        <v>4</v>
      </c>
      <c r="I561" s="7" t="s">
        <v>647</v>
      </c>
      <c r="J561" s="7" t="s">
        <v>654</v>
      </c>
      <c r="K561" s="7" t="s">
        <v>668</v>
      </c>
      <c r="M561" s="7" t="s">
        <v>701</v>
      </c>
      <c r="N561" s="7" t="s">
        <v>711</v>
      </c>
      <c r="O561" s="7" t="s">
        <v>718</v>
      </c>
      <c r="P561" s="7" t="s">
        <v>728</v>
      </c>
      <c r="Q561" s="7" t="s">
        <v>1985</v>
      </c>
      <c r="R561" s="9">
        <v>802.32</v>
      </c>
      <c r="S561" s="9">
        <v>602.34</v>
      </c>
      <c r="T561" s="9">
        <v>602.34</v>
      </c>
      <c r="U561" s="9">
        <f t="shared" si="44"/>
        <v>738.83860000000004</v>
      </c>
      <c r="V561" s="9">
        <f t="shared" si="42"/>
        <v>1556.7718</v>
      </c>
      <c r="W561" s="9" t="str">
        <f t="shared" si="43"/>
        <v>Low</v>
      </c>
      <c r="X561" t="s">
        <v>2065</v>
      </c>
      <c r="Y561" s="11">
        <v>0.12</v>
      </c>
      <c r="Z561" t="s">
        <v>2065</v>
      </c>
      <c r="AA561" s="13">
        <v>25</v>
      </c>
      <c r="AB561" s="9">
        <v>13251.48</v>
      </c>
      <c r="AC561" s="9">
        <v>20058</v>
      </c>
      <c r="AD561" s="9">
        <v>-6806.52</v>
      </c>
      <c r="AE561" s="11">
        <v>-0.51364224977134632</v>
      </c>
    </row>
    <row r="562" spans="1:31" x14ac:dyDescent="0.3">
      <c r="A562" t="s">
        <v>575</v>
      </c>
      <c r="B562" s="4">
        <v>45590</v>
      </c>
      <c r="C562" s="4" t="str">
        <f t="shared" si="40"/>
        <v>Oct-2024</v>
      </c>
      <c r="D562" s="4" t="str">
        <f t="shared" si="41"/>
        <v>Q4-2024</v>
      </c>
      <c r="E562" s="4">
        <v>45601</v>
      </c>
      <c r="F562" t="s">
        <v>2064</v>
      </c>
      <c r="G562" s="4">
        <v>45601</v>
      </c>
      <c r="H562" s="13">
        <v>11</v>
      </c>
      <c r="I562" s="7" t="s">
        <v>648</v>
      </c>
      <c r="J562" s="7" t="s">
        <v>1425</v>
      </c>
      <c r="K562" s="7" t="s">
        <v>700</v>
      </c>
      <c r="M562" s="7" t="s">
        <v>701</v>
      </c>
      <c r="N562" s="7" t="s">
        <v>710</v>
      </c>
      <c r="O562" s="7" t="s">
        <v>725</v>
      </c>
      <c r="P562" s="7" t="s">
        <v>727</v>
      </c>
      <c r="Q562" s="7" t="s">
        <v>1986</v>
      </c>
      <c r="R562" s="9">
        <v>446.66</v>
      </c>
      <c r="S562" s="9">
        <v>527.64</v>
      </c>
      <c r="T562" s="9">
        <v>527.64</v>
      </c>
      <c r="U562" s="9">
        <f t="shared" si="44"/>
        <v>764.93200000000013</v>
      </c>
      <c r="V562" s="9">
        <f t="shared" si="42"/>
        <v>1566.2160000000001</v>
      </c>
      <c r="W562" s="9" t="str">
        <f t="shared" si="43"/>
        <v>Low</v>
      </c>
      <c r="X562" t="s">
        <v>2065</v>
      </c>
      <c r="Y562" s="11">
        <v>0.14499999999999999</v>
      </c>
      <c r="Z562" t="s">
        <v>2065</v>
      </c>
      <c r="AA562" s="13">
        <v>15</v>
      </c>
      <c r="AB562" s="9">
        <v>6766.9829999999993</v>
      </c>
      <c r="AC562" s="9">
        <v>6699.9000000000005</v>
      </c>
      <c r="AD562" s="9">
        <v>67.082999999998719</v>
      </c>
      <c r="AE562" s="11">
        <v>9.9132804087137105E-3</v>
      </c>
    </row>
    <row r="563" spans="1:31" x14ac:dyDescent="0.3">
      <c r="A563" t="s">
        <v>576</v>
      </c>
      <c r="B563" s="4">
        <v>45626</v>
      </c>
      <c r="C563" s="4" t="str">
        <f t="shared" si="40"/>
        <v>Nov-2024</v>
      </c>
      <c r="D563" s="4" t="str">
        <f t="shared" si="41"/>
        <v>Q4-2024</v>
      </c>
      <c r="E563" s="4">
        <v>45645</v>
      </c>
      <c r="F563" t="s">
        <v>2064</v>
      </c>
      <c r="G563" s="4">
        <v>45645</v>
      </c>
      <c r="H563" s="13">
        <v>19</v>
      </c>
      <c r="I563" s="7" t="s">
        <v>646</v>
      </c>
      <c r="J563" s="7" t="s">
        <v>650</v>
      </c>
      <c r="K563" s="7" t="s">
        <v>662</v>
      </c>
      <c r="M563" s="7" t="s">
        <v>701</v>
      </c>
      <c r="N563" s="7" t="s">
        <v>708</v>
      </c>
      <c r="O563" s="7" t="s">
        <v>716</v>
      </c>
      <c r="P563" s="7" t="s">
        <v>730</v>
      </c>
      <c r="Q563" s="7" t="s">
        <v>1987</v>
      </c>
      <c r="R563" s="9">
        <v>1195.98</v>
      </c>
      <c r="S563" s="9">
        <v>1841.9</v>
      </c>
      <c r="T563" s="9">
        <v>1841.9</v>
      </c>
      <c r="U563" s="9">
        <f t="shared" si="44"/>
        <v>836.56839999999988</v>
      </c>
      <c r="V563" s="9">
        <f t="shared" si="42"/>
        <v>1578.6702</v>
      </c>
      <c r="W563" s="9" t="str">
        <f t="shared" si="43"/>
        <v>High</v>
      </c>
      <c r="X563" t="s">
        <v>2065</v>
      </c>
      <c r="Y563" s="11">
        <v>5.5E-2</v>
      </c>
      <c r="Z563" t="s">
        <v>2065</v>
      </c>
      <c r="AA563" s="13">
        <v>19</v>
      </c>
      <c r="AB563" s="9">
        <v>33071.3145</v>
      </c>
      <c r="AC563" s="9">
        <v>22723.62</v>
      </c>
      <c r="AD563" s="9">
        <v>10347.694500000001</v>
      </c>
      <c r="AE563" s="11">
        <v>0.31289032977506842</v>
      </c>
    </row>
    <row r="564" spans="1:31" x14ac:dyDescent="0.3">
      <c r="A564" t="s">
        <v>577</v>
      </c>
      <c r="B564" s="4">
        <v>45029</v>
      </c>
      <c r="C564" s="4" t="str">
        <f t="shared" si="40"/>
        <v>Apr-2023</v>
      </c>
      <c r="D564" s="4" t="str">
        <f t="shared" si="41"/>
        <v>Q2-2023</v>
      </c>
      <c r="E564" s="4">
        <v>45048</v>
      </c>
      <c r="F564" t="s">
        <v>2064</v>
      </c>
      <c r="G564" s="4">
        <v>45048</v>
      </c>
      <c r="H564" s="13">
        <v>19</v>
      </c>
      <c r="I564" s="7" t="s">
        <v>648</v>
      </c>
      <c r="J564" s="7" t="s">
        <v>653</v>
      </c>
      <c r="K564" s="7" t="s">
        <v>681</v>
      </c>
      <c r="M564" s="7" t="s">
        <v>704</v>
      </c>
      <c r="N564" s="7" t="s">
        <v>710</v>
      </c>
      <c r="O564" s="7" t="s">
        <v>718</v>
      </c>
      <c r="P564" s="7" t="s">
        <v>732</v>
      </c>
      <c r="Q564" s="7" t="s">
        <v>1988</v>
      </c>
      <c r="R564" s="9">
        <v>671.05</v>
      </c>
      <c r="S564" s="9">
        <v>1645.48</v>
      </c>
      <c r="T564" s="9">
        <v>1645.48</v>
      </c>
      <c r="U564" s="9">
        <f t="shared" si="44"/>
        <v>801.28480000000013</v>
      </c>
      <c r="V564" s="9">
        <f t="shared" si="42"/>
        <v>1557.0744000000002</v>
      </c>
      <c r="W564" s="9" t="str">
        <f t="shared" si="43"/>
        <v>High</v>
      </c>
      <c r="X564" t="s">
        <v>2065</v>
      </c>
      <c r="Y564" s="11">
        <v>0.13700000000000001</v>
      </c>
      <c r="Z564" t="s">
        <v>2065</v>
      </c>
      <c r="AA564" s="13">
        <v>6</v>
      </c>
      <c r="AB564" s="9">
        <v>8520.2954399999999</v>
      </c>
      <c r="AC564" s="9">
        <v>4026.2999999999997</v>
      </c>
      <c r="AD564" s="9">
        <v>4493.9954400000006</v>
      </c>
      <c r="AE564" s="11">
        <v>0.52744596377517172</v>
      </c>
    </row>
    <row r="565" spans="1:31" x14ac:dyDescent="0.3">
      <c r="A565" t="s">
        <v>578</v>
      </c>
      <c r="B565" s="4">
        <v>45692</v>
      </c>
      <c r="C565" s="4" t="str">
        <f t="shared" si="40"/>
        <v>Feb-2025</v>
      </c>
      <c r="D565" s="4" t="str">
        <f t="shared" si="41"/>
        <v>Q1-2025</v>
      </c>
      <c r="E565" s="4">
        <v>45696</v>
      </c>
      <c r="F565" t="s">
        <v>2064</v>
      </c>
      <c r="G565" s="4">
        <v>45696</v>
      </c>
      <c r="H565" s="13">
        <v>4</v>
      </c>
      <c r="I565" s="7" t="s">
        <v>649</v>
      </c>
      <c r="J565" s="7" t="s">
        <v>658</v>
      </c>
      <c r="K565" s="7" t="s">
        <v>693</v>
      </c>
      <c r="M565" s="7" t="s">
        <v>706</v>
      </c>
      <c r="N565" s="7" t="s">
        <v>709</v>
      </c>
      <c r="O565" s="7" t="s">
        <v>716</v>
      </c>
      <c r="P565" s="7" t="s">
        <v>729</v>
      </c>
      <c r="Q565" s="7" t="s">
        <v>1989</v>
      </c>
      <c r="R565" s="9">
        <v>586.21</v>
      </c>
      <c r="S565" s="9">
        <v>727.22</v>
      </c>
      <c r="T565" s="9">
        <v>727.22</v>
      </c>
      <c r="U565" s="9">
        <f t="shared" si="44"/>
        <v>766.00119999999993</v>
      </c>
      <c r="V565" s="9">
        <f t="shared" si="42"/>
        <v>1547.0886</v>
      </c>
      <c r="W565" s="9" t="str">
        <f t="shared" si="43"/>
        <v>Low</v>
      </c>
      <c r="X565" t="s">
        <v>2065</v>
      </c>
      <c r="Y565" s="11">
        <v>6.8000000000000005E-2</v>
      </c>
      <c r="Z565" t="s">
        <v>2065</v>
      </c>
      <c r="AA565" s="13">
        <v>15</v>
      </c>
      <c r="AB565" s="9">
        <v>10166.535600000001</v>
      </c>
      <c r="AC565" s="9">
        <v>8793.1500000000015</v>
      </c>
      <c r="AD565" s="9">
        <v>1373.3855999999996</v>
      </c>
      <c r="AE565" s="11">
        <v>0.13508884973559721</v>
      </c>
    </row>
    <row r="566" spans="1:31" x14ac:dyDescent="0.3">
      <c r="A566" t="s">
        <v>579</v>
      </c>
      <c r="B566" s="4">
        <v>45315</v>
      </c>
      <c r="C566" s="4" t="str">
        <f t="shared" si="40"/>
        <v>Jan-2024</v>
      </c>
      <c r="D566" s="4" t="str">
        <f t="shared" si="41"/>
        <v>Q1-2024</v>
      </c>
      <c r="E566" s="4">
        <v>45326</v>
      </c>
      <c r="F566" t="s">
        <v>2064</v>
      </c>
      <c r="G566" s="4">
        <v>45326</v>
      </c>
      <c r="H566" s="13">
        <v>11</v>
      </c>
      <c r="I566" s="7" t="s">
        <v>649</v>
      </c>
      <c r="J566" s="7" t="s">
        <v>658</v>
      </c>
      <c r="K566" s="7" t="s">
        <v>693</v>
      </c>
      <c r="M566" s="7" t="s">
        <v>704</v>
      </c>
      <c r="N566" s="7" t="s">
        <v>707</v>
      </c>
      <c r="O566" s="7" t="s">
        <v>717</v>
      </c>
      <c r="P566" s="7" t="s">
        <v>731</v>
      </c>
      <c r="Q566" s="7" t="s">
        <v>1990</v>
      </c>
      <c r="R566" s="9">
        <v>525.34</v>
      </c>
      <c r="S566" s="9">
        <v>1233.79</v>
      </c>
      <c r="T566" s="9">
        <v>1233.79</v>
      </c>
      <c r="U566" s="9">
        <f t="shared" si="44"/>
        <v>837.63760000000013</v>
      </c>
      <c r="V566" s="9">
        <f t="shared" si="42"/>
        <v>1552.2328</v>
      </c>
      <c r="W566" s="9" t="str">
        <f t="shared" si="43"/>
        <v>Medium</v>
      </c>
      <c r="X566" t="s">
        <v>2065</v>
      </c>
      <c r="Y566" s="11">
        <v>0.14299999999999999</v>
      </c>
      <c r="Z566" t="s">
        <v>2065</v>
      </c>
      <c r="AA566" s="13">
        <v>4</v>
      </c>
      <c r="AB566" s="9">
        <v>4229.4321199999995</v>
      </c>
      <c r="AC566" s="9">
        <v>2101.36</v>
      </c>
      <c r="AD566" s="9">
        <v>2128.0721199999994</v>
      </c>
      <c r="AE566" s="11">
        <v>0.50315788494082736</v>
      </c>
    </row>
    <row r="567" spans="1:31" x14ac:dyDescent="0.3">
      <c r="A567" t="s">
        <v>580</v>
      </c>
      <c r="B567" s="4">
        <v>45330</v>
      </c>
      <c r="C567" s="4" t="str">
        <f t="shared" si="40"/>
        <v>Feb-2024</v>
      </c>
      <c r="D567" s="4" t="str">
        <f t="shared" si="41"/>
        <v>Q1-2024</v>
      </c>
      <c r="E567" s="4">
        <v>45331</v>
      </c>
      <c r="F567" t="s">
        <v>2064</v>
      </c>
      <c r="G567" s="4">
        <v>45331</v>
      </c>
      <c r="H567" s="13">
        <v>1</v>
      </c>
      <c r="I567" s="7" t="s">
        <v>646</v>
      </c>
      <c r="J567" s="7" t="s">
        <v>650</v>
      </c>
      <c r="K567" s="7" t="s">
        <v>675</v>
      </c>
      <c r="M567" s="7" t="s">
        <v>701</v>
      </c>
      <c r="N567" s="7" t="s">
        <v>711</v>
      </c>
      <c r="O567" s="7" t="s">
        <v>721</v>
      </c>
      <c r="P567" s="7" t="s">
        <v>727</v>
      </c>
      <c r="Q567" s="7" t="s">
        <v>1991</v>
      </c>
      <c r="R567" s="9">
        <v>1233.52</v>
      </c>
      <c r="S567" s="9">
        <v>1543.76</v>
      </c>
      <c r="T567" s="9">
        <v>1543.76</v>
      </c>
      <c r="U567" s="9">
        <f t="shared" si="44"/>
        <v>802.35399999999993</v>
      </c>
      <c r="V567" s="9">
        <f t="shared" si="42"/>
        <v>1557.3770000000002</v>
      </c>
      <c r="W567" s="9" t="str">
        <f t="shared" si="43"/>
        <v>Medium</v>
      </c>
      <c r="X567" t="s">
        <v>2065</v>
      </c>
      <c r="Y567" s="11">
        <v>0.126</v>
      </c>
      <c r="Z567" t="s">
        <v>2065</v>
      </c>
      <c r="AA567" s="13">
        <v>13</v>
      </c>
      <c r="AB567" s="9">
        <v>17540.201120000002</v>
      </c>
      <c r="AC567" s="9">
        <v>16035.76</v>
      </c>
      <c r="AD567" s="9">
        <v>1504.4411200000013</v>
      </c>
      <c r="AE567" s="11">
        <v>8.5771030201277493E-2</v>
      </c>
    </row>
    <row r="568" spans="1:31" x14ac:dyDescent="0.3">
      <c r="A568" t="s">
        <v>581</v>
      </c>
      <c r="B568" s="4">
        <v>45834</v>
      </c>
      <c r="C568" s="4" t="str">
        <f t="shared" si="40"/>
        <v>Jun-2025</v>
      </c>
      <c r="D568" s="4" t="str">
        <f t="shared" si="41"/>
        <v>Q2-2025</v>
      </c>
      <c r="E568" s="4">
        <v>45849</v>
      </c>
      <c r="F568" t="s">
        <v>2064</v>
      </c>
      <c r="G568" s="4">
        <v>45849</v>
      </c>
      <c r="H568" s="13">
        <v>15</v>
      </c>
      <c r="I568" s="7" t="s">
        <v>646</v>
      </c>
      <c r="J568" s="7" t="s">
        <v>651</v>
      </c>
      <c r="K568" s="7" t="s">
        <v>663</v>
      </c>
      <c r="M568" s="7" t="s">
        <v>705</v>
      </c>
      <c r="N568" s="7" t="s">
        <v>708</v>
      </c>
      <c r="O568" s="7" t="s">
        <v>720</v>
      </c>
      <c r="P568" s="7" t="s">
        <v>731</v>
      </c>
      <c r="Q568" s="7" t="s">
        <v>1992</v>
      </c>
      <c r="R568" s="9">
        <v>1170.1500000000001</v>
      </c>
      <c r="S568" s="9">
        <v>2115.19</v>
      </c>
      <c r="T568" s="9">
        <v>2115.19</v>
      </c>
      <c r="U568" s="9">
        <f t="shared" si="44"/>
        <v>767.07040000000006</v>
      </c>
      <c r="V568" s="9">
        <f t="shared" si="42"/>
        <v>1567.6812000000002</v>
      </c>
      <c r="W568" s="9" t="str">
        <f t="shared" si="43"/>
        <v>High</v>
      </c>
      <c r="X568" t="s">
        <v>2065</v>
      </c>
      <c r="Y568" s="11">
        <v>9.1999999999999998E-2</v>
      </c>
      <c r="Z568" t="s">
        <v>2065</v>
      </c>
      <c r="AA568" s="13">
        <v>23</v>
      </c>
      <c r="AB568" s="9">
        <v>44173.627960000005</v>
      </c>
      <c r="AC568" s="9">
        <v>26913.45</v>
      </c>
      <c r="AD568" s="9">
        <v>17260.177960000005</v>
      </c>
      <c r="AE568" s="11">
        <v>0.39073489674946776</v>
      </c>
    </row>
    <row r="569" spans="1:31" x14ac:dyDescent="0.3">
      <c r="A569" t="s">
        <v>582</v>
      </c>
      <c r="B569" s="4">
        <v>45600</v>
      </c>
      <c r="C569" s="4" t="str">
        <f t="shared" si="40"/>
        <v>Nov-2024</v>
      </c>
      <c r="D569" s="4" t="str">
        <f t="shared" si="41"/>
        <v>Q4-2024</v>
      </c>
      <c r="E569" s="4">
        <v>45603</v>
      </c>
      <c r="F569" t="s">
        <v>2064</v>
      </c>
      <c r="G569" s="4">
        <v>45603</v>
      </c>
      <c r="H569" s="13">
        <v>3</v>
      </c>
      <c r="I569" s="7" t="s">
        <v>649</v>
      </c>
      <c r="J569" s="7" t="s">
        <v>657</v>
      </c>
      <c r="K569" s="7" t="s">
        <v>679</v>
      </c>
      <c r="M569" s="7" t="s">
        <v>701</v>
      </c>
      <c r="N569" s="7" t="s">
        <v>708</v>
      </c>
      <c r="O569" s="7" t="s">
        <v>719</v>
      </c>
      <c r="P569" s="7" t="s">
        <v>732</v>
      </c>
      <c r="Q569" s="7" t="s">
        <v>1993</v>
      </c>
      <c r="R569" s="9">
        <v>740.68</v>
      </c>
      <c r="S569" s="9">
        <v>1837.19</v>
      </c>
      <c r="T569" s="9">
        <v>1837.19</v>
      </c>
      <c r="U569" s="9">
        <f t="shared" si="44"/>
        <v>748.03660000000013</v>
      </c>
      <c r="V569" s="9">
        <f t="shared" si="42"/>
        <v>1507.0830000000008</v>
      </c>
      <c r="W569" s="9" t="str">
        <f t="shared" si="43"/>
        <v>High</v>
      </c>
      <c r="X569" t="s">
        <v>2065</v>
      </c>
      <c r="Y569" s="11">
        <v>0.19700000000000001</v>
      </c>
      <c r="Z569" t="s">
        <v>2065</v>
      </c>
      <c r="AA569" s="13">
        <v>17</v>
      </c>
      <c r="AB569" s="9">
        <v>25079.480689999997</v>
      </c>
      <c r="AC569" s="9">
        <v>12591.56</v>
      </c>
      <c r="AD569" s="9">
        <v>12487.920689999997</v>
      </c>
      <c r="AE569" s="11">
        <v>0.4979337827748298</v>
      </c>
    </row>
    <row r="570" spans="1:31" x14ac:dyDescent="0.3">
      <c r="A570" t="s">
        <v>583</v>
      </c>
      <c r="B570" s="4">
        <v>45342</v>
      </c>
      <c r="C570" s="4" t="str">
        <f t="shared" si="40"/>
        <v>Feb-2024</v>
      </c>
      <c r="D570" s="4" t="str">
        <f t="shared" si="41"/>
        <v>Q1-2024</v>
      </c>
      <c r="E570" s="4">
        <v>45342</v>
      </c>
      <c r="F570" t="s">
        <v>2064</v>
      </c>
      <c r="G570" s="4">
        <v>45342</v>
      </c>
      <c r="H570" s="13">
        <v>0</v>
      </c>
      <c r="I570" s="7" t="s">
        <v>648</v>
      </c>
      <c r="J570" s="7" t="s">
        <v>1425</v>
      </c>
      <c r="K570" s="7" t="s">
        <v>700</v>
      </c>
      <c r="M570" s="7" t="s">
        <v>706</v>
      </c>
      <c r="N570" s="7" t="s">
        <v>708</v>
      </c>
      <c r="O570" s="7" t="s">
        <v>712</v>
      </c>
      <c r="P570" s="7" t="s">
        <v>729</v>
      </c>
      <c r="Q570" s="7" t="s">
        <v>1994</v>
      </c>
      <c r="R570" s="9">
        <v>1407.05</v>
      </c>
      <c r="S570" s="9">
        <v>2858.93</v>
      </c>
      <c r="T570" s="9">
        <v>2858.93</v>
      </c>
      <c r="U570" s="9">
        <f t="shared" si="44"/>
        <v>738.28840000000002</v>
      </c>
      <c r="V570" s="9">
        <f t="shared" si="42"/>
        <v>1435.2064</v>
      </c>
      <c r="W570" s="9" t="str">
        <f t="shared" si="43"/>
        <v>High</v>
      </c>
      <c r="X570" t="s">
        <v>2065</v>
      </c>
      <c r="Y570" s="11">
        <v>0</v>
      </c>
      <c r="Z570" t="s">
        <v>2065</v>
      </c>
      <c r="AA570" s="13">
        <v>12</v>
      </c>
      <c r="AB570" s="9">
        <v>34307.159999999996</v>
      </c>
      <c r="AC570" s="9">
        <v>16884.599999999999</v>
      </c>
      <c r="AD570" s="9">
        <v>17422.559999999998</v>
      </c>
      <c r="AE570" s="11">
        <v>0.50784034586366222</v>
      </c>
    </row>
    <row r="571" spans="1:31" x14ac:dyDescent="0.3">
      <c r="A571" t="s">
        <v>584</v>
      </c>
      <c r="B571" s="4">
        <v>45760</v>
      </c>
      <c r="C571" s="4" t="str">
        <f t="shared" si="40"/>
        <v>Apr-2025</v>
      </c>
      <c r="D571" s="4" t="str">
        <f t="shared" si="41"/>
        <v>Q2-2025</v>
      </c>
      <c r="E571" s="4">
        <v>45761</v>
      </c>
      <c r="F571" t="s">
        <v>2064</v>
      </c>
      <c r="G571" s="4">
        <v>45761</v>
      </c>
      <c r="H571" s="13">
        <v>1</v>
      </c>
      <c r="I571" s="7" t="s">
        <v>647</v>
      </c>
      <c r="J571" s="7" t="s">
        <v>652</v>
      </c>
      <c r="K571" s="7" t="s">
        <v>666</v>
      </c>
      <c r="M571" s="7" t="s">
        <v>706</v>
      </c>
      <c r="N571" s="7" t="s">
        <v>708</v>
      </c>
      <c r="O571" s="7" t="s">
        <v>715</v>
      </c>
      <c r="P571" s="7" t="s">
        <v>727</v>
      </c>
      <c r="Q571" s="7" t="s">
        <v>1995</v>
      </c>
      <c r="R571" s="9">
        <v>138.9</v>
      </c>
      <c r="S571" s="9">
        <v>289.92</v>
      </c>
      <c r="T571" s="9">
        <v>289.92</v>
      </c>
      <c r="U571" s="9">
        <f t="shared" si="44"/>
        <v>728.54020000000014</v>
      </c>
      <c r="V571" s="9">
        <f t="shared" si="42"/>
        <v>1432.4541999999999</v>
      </c>
      <c r="W571" s="9" t="str">
        <f t="shared" si="43"/>
        <v>Low</v>
      </c>
      <c r="X571" t="s">
        <v>2065</v>
      </c>
      <c r="Y571" s="11">
        <v>2.9000000000000001E-2</v>
      </c>
      <c r="Z571" t="s">
        <v>2065</v>
      </c>
      <c r="AA571" s="13">
        <v>12</v>
      </c>
      <c r="AB571" s="9">
        <v>3378.1478400000001</v>
      </c>
      <c r="AC571" s="9">
        <v>1666.8000000000002</v>
      </c>
      <c r="AD571" s="9">
        <v>1711.3478399999999</v>
      </c>
      <c r="AE571" s="11">
        <v>0.50659353025828491</v>
      </c>
    </row>
    <row r="572" spans="1:31" x14ac:dyDescent="0.3">
      <c r="A572" t="s">
        <v>585</v>
      </c>
      <c r="B572" s="4">
        <v>45078</v>
      </c>
      <c r="C572" s="4" t="str">
        <f t="shared" si="40"/>
        <v>Jun-2023</v>
      </c>
      <c r="D572" s="4" t="str">
        <f t="shared" si="41"/>
        <v>Q2-2023</v>
      </c>
      <c r="E572" s="4">
        <v>45078</v>
      </c>
      <c r="F572" t="s">
        <v>2064</v>
      </c>
      <c r="G572" s="4">
        <v>45078</v>
      </c>
      <c r="H572" s="13">
        <v>0</v>
      </c>
      <c r="I572" s="7" t="s">
        <v>647</v>
      </c>
      <c r="J572" s="7" t="s">
        <v>654</v>
      </c>
      <c r="K572" s="7" t="s">
        <v>668</v>
      </c>
      <c r="M572" s="7" t="s">
        <v>701</v>
      </c>
      <c r="N572" s="7" t="s">
        <v>707</v>
      </c>
      <c r="O572" s="7" t="s">
        <v>718</v>
      </c>
      <c r="P572" s="7" t="s">
        <v>733</v>
      </c>
      <c r="Q572" s="7" t="s">
        <v>1996</v>
      </c>
      <c r="R572" s="9">
        <v>669.37</v>
      </c>
      <c r="S572" s="9">
        <v>997.2</v>
      </c>
      <c r="T572" s="9">
        <v>997.2</v>
      </c>
      <c r="U572" s="9">
        <f t="shared" si="44"/>
        <v>748.33199999999999</v>
      </c>
      <c r="V572" s="9">
        <f t="shared" si="42"/>
        <v>1433.8719999999998</v>
      </c>
      <c r="W572" s="9" t="str">
        <f t="shared" si="43"/>
        <v>Medium</v>
      </c>
      <c r="X572" t="s">
        <v>2065</v>
      </c>
      <c r="Y572" s="11">
        <v>8.2000000000000003E-2</v>
      </c>
      <c r="Z572" t="s">
        <v>2065</v>
      </c>
      <c r="AA572" s="13">
        <v>5</v>
      </c>
      <c r="AB572" s="9">
        <v>4577.1480000000001</v>
      </c>
      <c r="AC572" s="9">
        <v>3346.85</v>
      </c>
      <c r="AD572" s="9">
        <v>1230.2980000000002</v>
      </c>
      <c r="AE572" s="11">
        <v>0.26879139586484863</v>
      </c>
    </row>
    <row r="573" spans="1:31" x14ac:dyDescent="0.3">
      <c r="A573" t="s">
        <v>586</v>
      </c>
      <c r="B573" s="4">
        <v>45740</v>
      </c>
      <c r="C573" s="4" t="str">
        <f t="shared" si="40"/>
        <v>Mar-2025</v>
      </c>
      <c r="D573" s="4" t="str">
        <f t="shared" si="41"/>
        <v>Q1-2025</v>
      </c>
      <c r="E573" s="4">
        <v>45751</v>
      </c>
      <c r="F573" t="s">
        <v>2064</v>
      </c>
      <c r="G573" s="4">
        <v>45751</v>
      </c>
      <c r="H573" s="13">
        <v>11</v>
      </c>
      <c r="I573" s="7" t="s">
        <v>647</v>
      </c>
      <c r="J573" s="7" t="s">
        <v>654</v>
      </c>
      <c r="K573" s="7" t="s">
        <v>691</v>
      </c>
      <c r="M573" s="7" t="s">
        <v>702</v>
      </c>
      <c r="N573" s="7" t="s">
        <v>709</v>
      </c>
      <c r="O573" s="7" t="s">
        <v>713</v>
      </c>
      <c r="P573" s="7" t="s">
        <v>730</v>
      </c>
      <c r="Q573" s="7" t="s">
        <v>1997</v>
      </c>
      <c r="R573" s="9">
        <v>23.83</v>
      </c>
      <c r="S573" s="9">
        <v>47.29</v>
      </c>
      <c r="T573" s="9">
        <v>47.29</v>
      </c>
      <c r="U573" s="9">
        <f t="shared" si="44"/>
        <v>738.58380000000011</v>
      </c>
      <c r="V573" s="9">
        <f t="shared" si="42"/>
        <v>1435.2898</v>
      </c>
      <c r="W573" s="9" t="str">
        <f t="shared" si="43"/>
        <v>Low</v>
      </c>
      <c r="X573" t="s">
        <v>2065</v>
      </c>
      <c r="Y573" s="11">
        <v>6.4000000000000001E-2</v>
      </c>
      <c r="Z573" t="s">
        <v>2065</v>
      </c>
      <c r="AA573" s="13">
        <v>19</v>
      </c>
      <c r="AB573" s="9">
        <v>841.00536</v>
      </c>
      <c r="AC573" s="9">
        <v>452.77</v>
      </c>
      <c r="AD573" s="9">
        <v>388.23536000000001</v>
      </c>
      <c r="AE573" s="11">
        <v>0.46163244429262618</v>
      </c>
    </row>
    <row r="574" spans="1:31" x14ac:dyDescent="0.3">
      <c r="A574" t="s">
        <v>587</v>
      </c>
      <c r="B574" s="4">
        <v>45293</v>
      </c>
      <c r="C574" s="4" t="str">
        <f t="shared" si="40"/>
        <v>Jan-2024</v>
      </c>
      <c r="D574" s="4" t="str">
        <f t="shared" si="41"/>
        <v>Q1-2024</v>
      </c>
      <c r="E574" s="4">
        <v>45293</v>
      </c>
      <c r="F574" t="s">
        <v>2064</v>
      </c>
      <c r="G574" s="4">
        <v>45293</v>
      </c>
      <c r="H574" s="13">
        <v>0</v>
      </c>
      <c r="I574" s="7" t="s">
        <v>648</v>
      </c>
      <c r="J574" s="7" t="s">
        <v>653</v>
      </c>
      <c r="K574" s="7" t="s">
        <v>688</v>
      </c>
      <c r="M574" s="7" t="s">
        <v>702</v>
      </c>
      <c r="N574" s="7" t="s">
        <v>711</v>
      </c>
      <c r="O574" s="7" t="s">
        <v>720</v>
      </c>
      <c r="P574" s="7" t="s">
        <v>731</v>
      </c>
      <c r="Q574" s="7" t="s">
        <v>1998</v>
      </c>
      <c r="R574" s="9">
        <v>444.41</v>
      </c>
      <c r="S574" s="9">
        <v>754.24</v>
      </c>
      <c r="T574" s="9">
        <v>754.24</v>
      </c>
      <c r="U574" s="9">
        <f t="shared" si="44"/>
        <v>769.20880000000011</v>
      </c>
      <c r="V574" s="9">
        <f t="shared" si="42"/>
        <v>1470.0780000000002</v>
      </c>
      <c r="W574" s="9" t="str">
        <f t="shared" si="43"/>
        <v>Low</v>
      </c>
      <c r="X574" t="s">
        <v>2065</v>
      </c>
      <c r="Y574" s="11">
        <v>0.20699999999999999</v>
      </c>
      <c r="Z574" t="s">
        <v>2065</v>
      </c>
      <c r="AA574" s="13">
        <v>32</v>
      </c>
      <c r="AB574" s="9">
        <v>19139.594240000002</v>
      </c>
      <c r="AC574" s="9">
        <v>14221.12</v>
      </c>
      <c r="AD574" s="9">
        <v>4918.4742400000014</v>
      </c>
      <c r="AE574" s="11">
        <v>0.25697902360546598</v>
      </c>
    </row>
    <row r="575" spans="1:31" x14ac:dyDescent="0.3">
      <c r="A575" t="s">
        <v>588</v>
      </c>
      <c r="B575" s="4">
        <v>45279</v>
      </c>
      <c r="C575" s="4" t="str">
        <f t="shared" si="40"/>
        <v>Dec-2023</v>
      </c>
      <c r="D575" s="4" t="str">
        <f t="shared" si="41"/>
        <v>Q4-2023</v>
      </c>
      <c r="E575" s="4">
        <v>45292</v>
      </c>
      <c r="F575" t="s">
        <v>2064</v>
      </c>
      <c r="G575" s="4">
        <v>45292</v>
      </c>
      <c r="H575" s="13">
        <v>13</v>
      </c>
      <c r="I575" s="7" t="s">
        <v>648</v>
      </c>
      <c r="J575" s="7" t="s">
        <v>653</v>
      </c>
      <c r="K575" s="7" t="s">
        <v>667</v>
      </c>
      <c r="M575" s="7" t="s">
        <v>706</v>
      </c>
      <c r="N575" s="7" t="s">
        <v>707</v>
      </c>
      <c r="O575" s="7" t="s">
        <v>723</v>
      </c>
      <c r="P575" s="7" t="s">
        <v>732</v>
      </c>
      <c r="Q575" s="7" t="s">
        <v>1999</v>
      </c>
      <c r="R575" s="9">
        <v>856.1</v>
      </c>
      <c r="S575" s="9">
        <v>901.48</v>
      </c>
      <c r="T575" s="9">
        <v>901.48</v>
      </c>
      <c r="U575" s="9">
        <f t="shared" si="44"/>
        <v>835.23260000000028</v>
      </c>
      <c r="V575" s="9">
        <f t="shared" si="42"/>
        <v>1512.0170000000005</v>
      </c>
      <c r="W575" s="9" t="str">
        <f t="shared" si="43"/>
        <v>Medium</v>
      </c>
      <c r="X575" t="s">
        <v>2065</v>
      </c>
      <c r="Y575" s="11">
        <v>5.6000000000000001E-2</v>
      </c>
      <c r="Z575" t="s">
        <v>2065</v>
      </c>
      <c r="AA575" s="13">
        <v>17</v>
      </c>
      <c r="AB575" s="9">
        <v>14466.95104</v>
      </c>
      <c r="AC575" s="9">
        <v>14553.7</v>
      </c>
      <c r="AD575" s="9">
        <v>-86.748960000000807</v>
      </c>
      <c r="AE575" s="11">
        <v>-5.9963540182134192E-3</v>
      </c>
    </row>
    <row r="576" spans="1:31" x14ac:dyDescent="0.3">
      <c r="A576" t="s">
        <v>589</v>
      </c>
      <c r="B576" s="4">
        <v>45042</v>
      </c>
      <c r="C576" s="4" t="str">
        <f t="shared" si="40"/>
        <v>Apr-2023</v>
      </c>
      <c r="D576" s="4" t="str">
        <f t="shared" si="41"/>
        <v>Q2-2023</v>
      </c>
      <c r="E576" s="4">
        <v>45042</v>
      </c>
      <c r="F576" t="s">
        <v>2064</v>
      </c>
      <c r="G576" s="4">
        <v>45042</v>
      </c>
      <c r="H576" s="13">
        <v>0</v>
      </c>
      <c r="I576" s="7" t="s">
        <v>649</v>
      </c>
      <c r="J576" s="7" t="s">
        <v>657</v>
      </c>
      <c r="K576" s="7" t="s">
        <v>673</v>
      </c>
      <c r="M576" s="7" t="s">
        <v>704</v>
      </c>
      <c r="N576" s="7" t="s">
        <v>711</v>
      </c>
      <c r="O576" s="7" t="s">
        <v>724</v>
      </c>
      <c r="P576" s="7" t="s">
        <v>727</v>
      </c>
      <c r="Q576" s="7" t="s">
        <v>2000</v>
      </c>
      <c r="R576" s="9">
        <v>81.489999999999995</v>
      </c>
      <c r="S576" s="9">
        <v>113.08</v>
      </c>
      <c r="T576" s="9">
        <v>113.08</v>
      </c>
      <c r="U576" s="9">
        <f t="shared" si="44"/>
        <v>790.20080000000007</v>
      </c>
      <c r="V576" s="9">
        <f t="shared" si="42"/>
        <v>1553.9560000000001</v>
      </c>
      <c r="W576" s="9" t="str">
        <f t="shared" si="43"/>
        <v>Low</v>
      </c>
      <c r="X576" t="s">
        <v>2065</v>
      </c>
      <c r="Y576" s="11">
        <v>0.121</v>
      </c>
      <c r="Z576" t="s">
        <v>2065</v>
      </c>
      <c r="AA576" s="13">
        <v>5</v>
      </c>
      <c r="AB576" s="9">
        <v>496.98660000000001</v>
      </c>
      <c r="AC576" s="9">
        <v>407.45</v>
      </c>
      <c r="AD576" s="9">
        <v>89.536600000000021</v>
      </c>
      <c r="AE576" s="11">
        <v>0.18015898215364362</v>
      </c>
    </row>
    <row r="577" spans="1:31" x14ac:dyDescent="0.3">
      <c r="A577" t="s">
        <v>590</v>
      </c>
      <c r="B577" s="4">
        <v>45872</v>
      </c>
      <c r="C577" s="4" t="str">
        <f t="shared" si="40"/>
        <v>Aug-2025</v>
      </c>
      <c r="D577" s="4" t="str">
        <f t="shared" si="41"/>
        <v>Q3-2025</v>
      </c>
      <c r="E577" s="4">
        <v>45885</v>
      </c>
      <c r="F577" t="s">
        <v>2064</v>
      </c>
      <c r="G577" s="4">
        <v>45885</v>
      </c>
      <c r="H577" s="13">
        <v>13</v>
      </c>
      <c r="I577" s="7" t="s">
        <v>648</v>
      </c>
      <c r="J577" s="7" t="s">
        <v>653</v>
      </c>
      <c r="K577" s="7" t="s">
        <v>681</v>
      </c>
      <c r="M577" s="7" t="s">
        <v>706</v>
      </c>
      <c r="N577" s="7" t="s">
        <v>710</v>
      </c>
      <c r="O577" s="7" t="s">
        <v>719</v>
      </c>
      <c r="P577" s="7" t="s">
        <v>729</v>
      </c>
      <c r="Q577" s="7" t="s">
        <v>2001</v>
      </c>
      <c r="R577" s="9">
        <v>698.66</v>
      </c>
      <c r="S577" s="9">
        <v>868.62</v>
      </c>
      <c r="T577" s="9">
        <v>868.62</v>
      </c>
      <c r="U577" s="9">
        <f t="shared" si="44"/>
        <v>862.279</v>
      </c>
      <c r="V577" s="9">
        <f t="shared" si="42"/>
        <v>1569.8790000000001</v>
      </c>
      <c r="W577" s="9" t="str">
        <f t="shared" si="43"/>
        <v>Medium</v>
      </c>
      <c r="X577" t="s">
        <v>2065</v>
      </c>
      <c r="Y577" s="11">
        <v>7.1999999999999995E-2</v>
      </c>
      <c r="Z577" t="s">
        <v>2065</v>
      </c>
      <c r="AA577" s="13">
        <v>15</v>
      </c>
      <c r="AB577" s="9">
        <v>12091.190399999999</v>
      </c>
      <c r="AC577" s="9">
        <v>10479.9</v>
      </c>
      <c r="AD577" s="9">
        <v>1611.2903999999999</v>
      </c>
      <c r="AE577" s="11">
        <v>0.13326151906432637</v>
      </c>
    </row>
    <row r="578" spans="1:31" x14ac:dyDescent="0.3">
      <c r="A578" t="s">
        <v>591</v>
      </c>
      <c r="B578" s="4">
        <v>45140</v>
      </c>
      <c r="C578" s="4" t="str">
        <f t="shared" si="40"/>
        <v>Aug-2023</v>
      </c>
      <c r="D578" s="4" t="str">
        <f t="shared" si="41"/>
        <v>Q3-2023</v>
      </c>
      <c r="E578" s="4">
        <v>45157</v>
      </c>
      <c r="F578" t="s">
        <v>2064</v>
      </c>
      <c r="G578" s="4">
        <v>45157</v>
      </c>
      <c r="H578" s="13">
        <v>17</v>
      </c>
      <c r="I578" s="7" t="s">
        <v>648</v>
      </c>
      <c r="J578" s="7" t="s">
        <v>653</v>
      </c>
      <c r="K578" s="7" t="s">
        <v>688</v>
      </c>
      <c r="M578" s="7" t="s">
        <v>701</v>
      </c>
      <c r="N578" s="7" t="s">
        <v>708</v>
      </c>
      <c r="O578" s="7" t="s">
        <v>721</v>
      </c>
      <c r="P578" s="7" t="s">
        <v>729</v>
      </c>
      <c r="Q578" s="7" t="s">
        <v>2002</v>
      </c>
      <c r="R578" s="9">
        <v>175.38</v>
      </c>
      <c r="S578" s="9">
        <v>347.9</v>
      </c>
      <c r="T578" s="9">
        <v>347.9</v>
      </c>
      <c r="U578" s="9">
        <f t="shared" si="44"/>
        <v>836.59720000000004</v>
      </c>
      <c r="V578" s="9">
        <f t="shared" si="42"/>
        <v>1582.3332</v>
      </c>
      <c r="W578" s="9" t="str">
        <f t="shared" si="43"/>
        <v>Low</v>
      </c>
      <c r="X578" t="s">
        <v>2065</v>
      </c>
      <c r="Y578" s="11">
        <v>7.1999999999999995E-2</v>
      </c>
      <c r="Z578" t="s">
        <v>2065</v>
      </c>
      <c r="AA578" s="13">
        <v>43</v>
      </c>
      <c r="AB578" s="9">
        <v>13882.6016</v>
      </c>
      <c r="AC578" s="9">
        <v>7541.34</v>
      </c>
      <c r="AD578" s="9">
        <v>6341.2615999999998</v>
      </c>
      <c r="AE578" s="11">
        <v>0.45677761148169804</v>
      </c>
    </row>
    <row r="579" spans="1:31" x14ac:dyDescent="0.3">
      <c r="A579" t="s">
        <v>592</v>
      </c>
      <c r="B579" s="4">
        <v>45092</v>
      </c>
      <c r="C579" s="4" t="str">
        <f t="shared" ref="C579:C632" si="45">TEXT(B579,"MMM-YYYY")</f>
        <v>Jun-2023</v>
      </c>
      <c r="D579" s="4" t="str">
        <f t="shared" ref="D579:D632" si="46">"Q" &amp; INT((MONTH(B579)-1)/3)+1 &amp; "-" &amp; YEAR(B579)</f>
        <v>Q2-2023</v>
      </c>
      <c r="E579" s="4">
        <v>45119</v>
      </c>
      <c r="F579" t="s">
        <v>2064</v>
      </c>
      <c r="G579" s="4">
        <v>45119</v>
      </c>
      <c r="H579" s="13">
        <v>27</v>
      </c>
      <c r="I579" s="7" t="s">
        <v>649</v>
      </c>
      <c r="J579" s="7" t="s">
        <v>658</v>
      </c>
      <c r="K579" s="7" t="s">
        <v>693</v>
      </c>
      <c r="M579" s="7" t="s">
        <v>704</v>
      </c>
      <c r="N579" s="7" t="s">
        <v>711</v>
      </c>
      <c r="O579" s="7" t="s">
        <v>714</v>
      </c>
      <c r="P579" s="7" t="s">
        <v>733</v>
      </c>
      <c r="Q579" s="7" t="s">
        <v>2003</v>
      </c>
      <c r="R579" s="9">
        <v>751.28</v>
      </c>
      <c r="S579" s="9">
        <v>1111.8800000000001</v>
      </c>
      <c r="T579" s="9">
        <v>1111.8800000000001</v>
      </c>
      <c r="U579" s="9">
        <f t="shared" si="44"/>
        <v>881.40190000000007</v>
      </c>
      <c r="V579" s="9">
        <f t="shared" ref="V579:V632" si="47">_xlfn.PERCENTILE.INC(T579:T1209,0.66)</f>
        <v>1594.7874000000002</v>
      </c>
      <c r="W579" s="9" t="str">
        <f t="shared" ref="W579:W632" si="48">IF(T579&lt;=U579,"Low",IF(T579&lt;=V579,"Medium","High"))</f>
        <v>Medium</v>
      </c>
      <c r="X579" t="s">
        <v>2065</v>
      </c>
      <c r="Y579" s="11">
        <v>0.13500000000000001</v>
      </c>
      <c r="Z579" t="s">
        <v>2065</v>
      </c>
      <c r="AA579" s="13">
        <v>7</v>
      </c>
      <c r="AB579" s="9">
        <v>6732.4334000000008</v>
      </c>
      <c r="AC579" s="9">
        <v>5258.96</v>
      </c>
      <c r="AD579" s="9">
        <v>1473.4734000000008</v>
      </c>
      <c r="AE579" s="11">
        <v>0.21886193482433863</v>
      </c>
    </row>
    <row r="580" spans="1:31" x14ac:dyDescent="0.3">
      <c r="A580" t="s">
        <v>593</v>
      </c>
      <c r="B580" s="4">
        <v>45607</v>
      </c>
      <c r="C580" s="4" t="str">
        <f t="shared" si="45"/>
        <v>Nov-2024</v>
      </c>
      <c r="D580" s="4" t="str">
        <f t="shared" si="46"/>
        <v>Q4-2024</v>
      </c>
      <c r="E580" s="4">
        <v>45620</v>
      </c>
      <c r="F580" t="s">
        <v>2064</v>
      </c>
      <c r="G580" s="4">
        <v>45620</v>
      </c>
      <c r="H580" s="13">
        <v>13</v>
      </c>
      <c r="I580" s="7" t="s">
        <v>649</v>
      </c>
      <c r="J580" s="7" t="s">
        <v>658</v>
      </c>
      <c r="K580" s="7" t="s">
        <v>683</v>
      </c>
      <c r="M580" s="7" t="s">
        <v>701</v>
      </c>
      <c r="N580" s="7" t="s">
        <v>707</v>
      </c>
      <c r="O580" s="7" t="s">
        <v>718</v>
      </c>
      <c r="P580" s="7" t="s">
        <v>729</v>
      </c>
      <c r="Q580" s="7" t="s">
        <v>2004</v>
      </c>
      <c r="R580" s="9">
        <v>164.53</v>
      </c>
      <c r="S580" s="9">
        <v>327.72</v>
      </c>
      <c r="T580" s="9">
        <v>327.72</v>
      </c>
      <c r="U580" s="9">
        <f t="shared" si="44"/>
        <v>867.76959999999997</v>
      </c>
      <c r="V580" s="9">
        <f t="shared" si="47"/>
        <v>1628.5536</v>
      </c>
      <c r="W580" s="9" t="str">
        <f t="shared" si="48"/>
        <v>Low</v>
      </c>
      <c r="X580" t="s">
        <v>2065</v>
      </c>
      <c r="Y580" s="11">
        <v>6.7000000000000004E-2</v>
      </c>
      <c r="Z580" t="s">
        <v>2065</v>
      </c>
      <c r="AA580" s="13">
        <v>14</v>
      </c>
      <c r="AB580" s="9">
        <v>4280.6786400000001</v>
      </c>
      <c r="AC580" s="9">
        <v>2303.42</v>
      </c>
      <c r="AD580" s="9">
        <v>1977.25864</v>
      </c>
      <c r="AE580" s="11">
        <v>0.46190307805960412</v>
      </c>
    </row>
    <row r="581" spans="1:31" x14ac:dyDescent="0.3">
      <c r="A581" t="s">
        <v>594</v>
      </c>
      <c r="B581" s="4">
        <v>45849</v>
      </c>
      <c r="C581" s="4" t="str">
        <f t="shared" si="45"/>
        <v>Jul-2025</v>
      </c>
      <c r="D581" s="4" t="str">
        <f t="shared" si="46"/>
        <v>Q3-2025</v>
      </c>
      <c r="E581" s="4">
        <v>45872</v>
      </c>
      <c r="F581" t="s">
        <v>2064</v>
      </c>
      <c r="G581" s="4">
        <v>45872</v>
      </c>
      <c r="H581" s="13">
        <v>23</v>
      </c>
      <c r="I581" s="7" t="s">
        <v>646</v>
      </c>
      <c r="J581" s="7" t="s">
        <v>650</v>
      </c>
      <c r="K581" s="7" t="s">
        <v>678</v>
      </c>
      <c r="M581" s="7" t="s">
        <v>705</v>
      </c>
      <c r="N581" s="7" t="s">
        <v>707</v>
      </c>
      <c r="O581" s="7" t="s">
        <v>712</v>
      </c>
      <c r="P581" s="7" t="s">
        <v>730</v>
      </c>
      <c r="Q581" s="7" t="s">
        <v>2005</v>
      </c>
      <c r="R581" s="9">
        <v>389.93</v>
      </c>
      <c r="S581" s="9">
        <v>486.13</v>
      </c>
      <c r="T581" s="9">
        <v>486.13</v>
      </c>
      <c r="U581" s="9">
        <f t="shared" si="44"/>
        <v>895.44730000000004</v>
      </c>
      <c r="V581" s="9">
        <f t="shared" si="47"/>
        <v>1663.6518000000003</v>
      </c>
      <c r="W581" s="9" t="str">
        <f t="shared" si="48"/>
        <v>Low</v>
      </c>
      <c r="X581" t="s">
        <v>2065</v>
      </c>
      <c r="Y581" s="11">
        <v>0.13200000000000001</v>
      </c>
      <c r="Z581" t="s">
        <v>2065</v>
      </c>
      <c r="AA581" s="13">
        <v>17</v>
      </c>
      <c r="AB581" s="9">
        <v>7173.3342799999991</v>
      </c>
      <c r="AC581" s="9">
        <v>6628.81</v>
      </c>
      <c r="AD581" s="9">
        <v>544.52427999999873</v>
      </c>
      <c r="AE581" s="11">
        <v>7.5909508569562828E-2</v>
      </c>
    </row>
    <row r="582" spans="1:31" x14ac:dyDescent="0.3">
      <c r="A582" t="s">
        <v>595</v>
      </c>
      <c r="B582" s="4">
        <v>45080</v>
      </c>
      <c r="C582" s="4" t="str">
        <f t="shared" si="45"/>
        <v>Jun-2023</v>
      </c>
      <c r="D582" s="4" t="str">
        <f t="shared" si="46"/>
        <v>Q2-2023</v>
      </c>
      <c r="E582" s="4">
        <v>45108</v>
      </c>
      <c r="F582" t="s">
        <v>2064</v>
      </c>
      <c r="G582" s="4">
        <v>45108</v>
      </c>
      <c r="H582" s="13">
        <v>28</v>
      </c>
      <c r="I582" s="7" t="s">
        <v>648</v>
      </c>
      <c r="J582" s="7" t="s">
        <v>655</v>
      </c>
      <c r="K582" s="7" t="s">
        <v>672</v>
      </c>
      <c r="M582" s="7" t="s">
        <v>705</v>
      </c>
      <c r="N582" s="7" t="s">
        <v>709</v>
      </c>
      <c r="O582" s="7" t="s">
        <v>720</v>
      </c>
      <c r="P582" s="7" t="s">
        <v>727</v>
      </c>
      <c r="Q582" s="7" t="s">
        <v>2006</v>
      </c>
      <c r="R582" s="9">
        <v>860.4</v>
      </c>
      <c r="S582" s="9">
        <v>2066.6</v>
      </c>
      <c r="T582" s="9">
        <v>2066.6</v>
      </c>
      <c r="U582" s="9">
        <f t="shared" si="44"/>
        <v>925.12</v>
      </c>
      <c r="V582" s="9">
        <f t="shared" si="47"/>
        <v>1698.75</v>
      </c>
      <c r="W582" s="9" t="str">
        <f t="shared" si="48"/>
        <v>High</v>
      </c>
      <c r="X582" t="s">
        <v>2065</v>
      </c>
      <c r="Y582" s="11">
        <v>0.01</v>
      </c>
      <c r="Z582" t="s">
        <v>2065</v>
      </c>
      <c r="AA582" s="13">
        <v>3</v>
      </c>
      <c r="AB582" s="9">
        <v>6137.8019999999988</v>
      </c>
      <c r="AC582" s="9">
        <v>2581.1999999999998</v>
      </c>
      <c r="AD582" s="9">
        <v>3556.601999999999</v>
      </c>
      <c r="AE582" s="11">
        <v>0.57945857491004105</v>
      </c>
    </row>
    <row r="583" spans="1:31" x14ac:dyDescent="0.3">
      <c r="A583" t="s">
        <v>596</v>
      </c>
      <c r="B583" s="4">
        <v>44955</v>
      </c>
      <c r="C583" s="4" t="str">
        <f t="shared" si="45"/>
        <v>Jan-2023</v>
      </c>
      <c r="D583" s="4" t="str">
        <f t="shared" si="46"/>
        <v>Q1-2023</v>
      </c>
      <c r="E583" s="4">
        <v>44963</v>
      </c>
      <c r="F583" t="s">
        <v>2064</v>
      </c>
      <c r="G583" s="4">
        <v>44963</v>
      </c>
      <c r="H583" s="13">
        <v>8</v>
      </c>
      <c r="I583" s="7" t="s">
        <v>648</v>
      </c>
      <c r="J583" s="7" t="s">
        <v>655</v>
      </c>
      <c r="K583" s="7" t="s">
        <v>672</v>
      </c>
      <c r="M583" s="7" t="s">
        <v>701</v>
      </c>
      <c r="N583" s="7" t="s">
        <v>709</v>
      </c>
      <c r="O583" s="7" t="s">
        <v>726</v>
      </c>
      <c r="P583" s="7" t="s">
        <v>732</v>
      </c>
      <c r="Q583" s="7" t="s">
        <v>2007</v>
      </c>
      <c r="R583" s="9">
        <v>41.84</v>
      </c>
      <c r="S583" s="9">
        <v>86.2</v>
      </c>
      <c r="T583" s="9">
        <v>86.2</v>
      </c>
      <c r="U583" s="9">
        <f t="shared" ref="U583:U632" si="49">_xlfn.PERCENTILE.INC(T583:T1213,0.33)</f>
        <v>910.17100000000005</v>
      </c>
      <c r="V583" s="9">
        <f t="shared" si="47"/>
        <v>1630.6182000000003</v>
      </c>
      <c r="W583" s="9" t="str">
        <f t="shared" si="48"/>
        <v>Low</v>
      </c>
      <c r="X583" t="s">
        <v>2065</v>
      </c>
      <c r="Y583" s="11">
        <v>0.22600000000000001</v>
      </c>
      <c r="Z583" t="s">
        <v>2065</v>
      </c>
      <c r="AA583" s="13">
        <v>27</v>
      </c>
      <c r="AB583" s="9">
        <v>1801.4076000000002</v>
      </c>
      <c r="AC583" s="9">
        <v>1129.68</v>
      </c>
      <c r="AD583" s="9">
        <v>671.72760000000017</v>
      </c>
      <c r="AE583" s="11">
        <v>0.37289039970742882</v>
      </c>
    </row>
    <row r="584" spans="1:31" x14ac:dyDescent="0.3">
      <c r="A584" t="s">
        <v>597</v>
      </c>
      <c r="B584" s="4">
        <v>45541</v>
      </c>
      <c r="C584" s="4" t="str">
        <f t="shared" si="45"/>
        <v>Sep-2024</v>
      </c>
      <c r="D584" s="4" t="str">
        <f t="shared" si="46"/>
        <v>Q3-2024</v>
      </c>
      <c r="E584" s="4">
        <v>45539</v>
      </c>
      <c r="F584" t="s">
        <v>2066</v>
      </c>
      <c r="G584" s="4">
        <v>45541</v>
      </c>
      <c r="H584" s="13">
        <v>0</v>
      </c>
      <c r="I584" s="7" t="s">
        <v>647</v>
      </c>
      <c r="J584" s="7" t="s">
        <v>652</v>
      </c>
      <c r="K584" s="7" t="s">
        <v>666</v>
      </c>
      <c r="M584" s="7" t="s">
        <v>701</v>
      </c>
      <c r="N584" s="7" t="s">
        <v>711</v>
      </c>
      <c r="O584" s="7" t="s">
        <v>720</v>
      </c>
      <c r="P584" s="7" t="s">
        <v>731</v>
      </c>
      <c r="Q584" s="7" t="s">
        <v>2008</v>
      </c>
      <c r="R584" s="9">
        <v>1368.17</v>
      </c>
      <c r="S584" s="9">
        <v>2307.75</v>
      </c>
      <c r="T584" s="9">
        <v>2307.75</v>
      </c>
      <c r="U584" s="9">
        <f t="shared" si="49"/>
        <v>940.52199999999993</v>
      </c>
      <c r="V584" s="9">
        <f t="shared" si="47"/>
        <v>1665.7164</v>
      </c>
      <c r="W584" s="9" t="str">
        <f t="shared" si="48"/>
        <v>High</v>
      </c>
      <c r="X584" t="s">
        <v>2065</v>
      </c>
      <c r="Y584" s="11">
        <v>0.16300000000000001</v>
      </c>
      <c r="Z584" t="s">
        <v>2065</v>
      </c>
      <c r="AA584" s="13">
        <v>21</v>
      </c>
      <c r="AB584" s="9">
        <v>40563.321749999996</v>
      </c>
      <c r="AC584" s="9">
        <v>28731.57</v>
      </c>
      <c r="AD584" s="9">
        <v>11831.751749999996</v>
      </c>
      <c r="AE584" s="11">
        <v>0.29168596750831921</v>
      </c>
    </row>
    <row r="585" spans="1:31" x14ac:dyDescent="0.3">
      <c r="A585" t="s">
        <v>598</v>
      </c>
      <c r="B585" s="4">
        <v>45507</v>
      </c>
      <c r="C585" s="4" t="str">
        <f t="shared" si="45"/>
        <v>Aug-2024</v>
      </c>
      <c r="D585" s="4" t="str">
        <f t="shared" si="46"/>
        <v>Q3-2024</v>
      </c>
      <c r="E585" s="4">
        <v>45513</v>
      </c>
      <c r="F585" t="s">
        <v>2064</v>
      </c>
      <c r="G585" s="4">
        <v>45513</v>
      </c>
      <c r="H585" s="13">
        <v>6</v>
      </c>
      <c r="I585" s="7" t="s">
        <v>646</v>
      </c>
      <c r="J585" s="7" t="s">
        <v>650</v>
      </c>
      <c r="K585" s="7" t="s">
        <v>675</v>
      </c>
      <c r="M585" s="7" t="s">
        <v>704</v>
      </c>
      <c r="N585" s="7" t="s">
        <v>709</v>
      </c>
      <c r="O585" s="7" t="s">
        <v>722</v>
      </c>
      <c r="P585" s="7" t="s">
        <v>731</v>
      </c>
      <c r="Q585" s="7" t="s">
        <v>2009</v>
      </c>
      <c r="R585" s="9">
        <v>643.21</v>
      </c>
      <c r="S585" s="9">
        <v>1112.81</v>
      </c>
      <c r="T585" s="9">
        <v>1112.81</v>
      </c>
      <c r="U585" s="9">
        <f t="shared" si="49"/>
        <v>925.57300000000009</v>
      </c>
      <c r="V585" s="9">
        <f t="shared" si="47"/>
        <v>1597.5846000000004</v>
      </c>
      <c r="W585" s="9" t="str">
        <f t="shared" si="48"/>
        <v>Medium</v>
      </c>
      <c r="X585" t="s">
        <v>2065</v>
      </c>
      <c r="Y585" s="11">
        <v>0.14099999999999999</v>
      </c>
      <c r="Z585" t="s">
        <v>2065</v>
      </c>
      <c r="AA585" s="13">
        <v>4</v>
      </c>
      <c r="AB585" s="9">
        <v>3823.6151599999998</v>
      </c>
      <c r="AC585" s="9">
        <v>2572.84</v>
      </c>
      <c r="AD585" s="9">
        <v>1250.7751599999997</v>
      </c>
      <c r="AE585" s="11">
        <v>0.32711847496702562</v>
      </c>
    </row>
    <row r="586" spans="1:31" x14ac:dyDescent="0.3">
      <c r="A586" t="s">
        <v>599</v>
      </c>
      <c r="B586" s="4">
        <v>45764</v>
      </c>
      <c r="C586" s="4" t="str">
        <f t="shared" si="45"/>
        <v>Apr-2025</v>
      </c>
      <c r="D586" s="4" t="str">
        <f t="shared" si="46"/>
        <v>Q2-2025</v>
      </c>
      <c r="E586" s="4">
        <v>45764</v>
      </c>
      <c r="F586" t="s">
        <v>2064</v>
      </c>
      <c r="G586" s="4">
        <v>45764</v>
      </c>
      <c r="H586" s="13">
        <v>0</v>
      </c>
      <c r="I586" s="7" t="s">
        <v>648</v>
      </c>
      <c r="J586" s="7" t="s">
        <v>655</v>
      </c>
      <c r="K586" s="7" t="s">
        <v>670</v>
      </c>
      <c r="M586" s="7" t="s">
        <v>701</v>
      </c>
      <c r="N586" s="7" t="s">
        <v>710</v>
      </c>
      <c r="O586" s="7" t="s">
        <v>716</v>
      </c>
      <c r="P586" s="7" t="s">
        <v>730</v>
      </c>
      <c r="Q586" s="7" t="s">
        <v>2010</v>
      </c>
      <c r="R586" s="9">
        <v>719.41</v>
      </c>
      <c r="S586" s="9">
        <v>1125.99</v>
      </c>
      <c r="T586" s="9">
        <v>1125.99</v>
      </c>
      <c r="U586" s="9">
        <f t="shared" si="49"/>
        <v>910.62400000000002</v>
      </c>
      <c r="V586" s="9">
        <f t="shared" si="47"/>
        <v>1632.6828000000003</v>
      </c>
      <c r="W586" s="9" t="str">
        <f t="shared" si="48"/>
        <v>Medium</v>
      </c>
      <c r="X586" t="s">
        <v>2065</v>
      </c>
      <c r="Y586" s="11">
        <v>4.1000000000000002E-2</v>
      </c>
      <c r="Z586" t="s">
        <v>2065</v>
      </c>
      <c r="AA586" s="13">
        <v>21</v>
      </c>
      <c r="AB586" s="9">
        <v>22676.312610000001</v>
      </c>
      <c r="AC586" s="9">
        <v>15107.609999999999</v>
      </c>
      <c r="AD586" s="9">
        <v>7568.7026100000021</v>
      </c>
      <c r="AE586" s="11">
        <v>0.33377131194876403</v>
      </c>
    </row>
    <row r="587" spans="1:31" x14ac:dyDescent="0.3">
      <c r="A587" t="s">
        <v>600</v>
      </c>
      <c r="B587" s="4">
        <v>45049</v>
      </c>
      <c r="C587" s="4" t="str">
        <f t="shared" si="45"/>
        <v>May-2023</v>
      </c>
      <c r="D587" s="4" t="str">
        <f t="shared" si="46"/>
        <v>Q2-2023</v>
      </c>
      <c r="E587" s="4">
        <v>45062</v>
      </c>
      <c r="F587" t="s">
        <v>2064</v>
      </c>
      <c r="G587" s="4">
        <v>45062</v>
      </c>
      <c r="H587" s="13">
        <v>13</v>
      </c>
      <c r="I587" s="7" t="s">
        <v>648</v>
      </c>
      <c r="J587" s="7" t="s">
        <v>1425</v>
      </c>
      <c r="K587" s="7" t="s">
        <v>700</v>
      </c>
      <c r="M587" s="7" t="s">
        <v>701</v>
      </c>
      <c r="N587" s="7" t="s">
        <v>709</v>
      </c>
      <c r="O587" s="7" t="s">
        <v>716</v>
      </c>
      <c r="P587" s="7" t="s">
        <v>730</v>
      </c>
      <c r="Q587" s="7" t="s">
        <v>2011</v>
      </c>
      <c r="R587" s="9">
        <v>64.5</v>
      </c>
      <c r="S587" s="9">
        <v>123.62</v>
      </c>
      <c r="T587" s="9">
        <v>123.62</v>
      </c>
      <c r="U587" s="9">
        <f t="shared" si="49"/>
        <v>896.27350000000013</v>
      </c>
      <c r="V587" s="9">
        <f t="shared" si="47"/>
        <v>1667.7810000000004</v>
      </c>
      <c r="W587" s="9" t="str">
        <f t="shared" si="48"/>
        <v>Low</v>
      </c>
      <c r="X587" t="s">
        <v>2065</v>
      </c>
      <c r="Y587" s="11">
        <v>0</v>
      </c>
      <c r="Z587" t="s">
        <v>2065</v>
      </c>
      <c r="AA587" s="13">
        <v>3</v>
      </c>
      <c r="AB587" s="9">
        <v>370.86</v>
      </c>
      <c r="AC587" s="9">
        <v>193.5</v>
      </c>
      <c r="AD587" s="9">
        <v>177.36</v>
      </c>
      <c r="AE587" s="11">
        <v>0.47823976702798904</v>
      </c>
    </row>
    <row r="588" spans="1:31" x14ac:dyDescent="0.3">
      <c r="A588" t="s">
        <v>601</v>
      </c>
      <c r="B588" s="4">
        <v>45364</v>
      </c>
      <c r="C588" s="4" t="str">
        <f t="shared" si="45"/>
        <v>Mar-2024</v>
      </c>
      <c r="D588" s="4" t="str">
        <f t="shared" si="46"/>
        <v>Q1-2024</v>
      </c>
      <c r="E588" s="4">
        <v>45388</v>
      </c>
      <c r="F588" t="s">
        <v>2064</v>
      </c>
      <c r="G588" s="4">
        <v>45388</v>
      </c>
      <c r="H588" s="13">
        <v>24</v>
      </c>
      <c r="I588" s="7" t="s">
        <v>646</v>
      </c>
      <c r="J588" s="7" t="s">
        <v>651</v>
      </c>
      <c r="K588" s="7" t="s">
        <v>669</v>
      </c>
      <c r="M588" s="7" t="s">
        <v>704</v>
      </c>
      <c r="N588" s="7" t="s">
        <v>710</v>
      </c>
      <c r="O588" s="7" t="s">
        <v>716</v>
      </c>
      <c r="P588" s="7" t="s">
        <v>727</v>
      </c>
      <c r="Q588" s="7" t="s">
        <v>2012</v>
      </c>
      <c r="R588" s="9">
        <v>1232.78</v>
      </c>
      <c r="S588" s="9">
        <v>1731.75</v>
      </c>
      <c r="T588" s="9">
        <v>1731.75</v>
      </c>
      <c r="U588" s="9">
        <f t="shared" si="49"/>
        <v>926.02600000000007</v>
      </c>
      <c r="V588" s="9">
        <f t="shared" si="47"/>
        <v>1700.0700000000002</v>
      </c>
      <c r="W588" s="9" t="str">
        <f t="shared" si="48"/>
        <v>High</v>
      </c>
      <c r="X588" t="s">
        <v>2065</v>
      </c>
      <c r="Y588" s="11">
        <v>9.2999999999999999E-2</v>
      </c>
      <c r="Z588" t="s">
        <v>2065</v>
      </c>
      <c r="AA588" s="13">
        <v>16</v>
      </c>
      <c r="AB588" s="9">
        <v>25131.155999999999</v>
      </c>
      <c r="AC588" s="9">
        <v>19724.48</v>
      </c>
      <c r="AD588" s="9">
        <v>5406.6759999999995</v>
      </c>
      <c r="AE588" s="11">
        <v>0.21513837246484005</v>
      </c>
    </row>
    <row r="589" spans="1:31" x14ac:dyDescent="0.3">
      <c r="A589" t="s">
        <v>602</v>
      </c>
      <c r="B589" s="4">
        <v>45459</v>
      </c>
      <c r="C589" s="4" t="str">
        <f t="shared" si="45"/>
        <v>Jun-2024</v>
      </c>
      <c r="D589" s="4" t="str">
        <f t="shared" si="46"/>
        <v>Q2-2024</v>
      </c>
      <c r="E589" s="4">
        <v>45464</v>
      </c>
      <c r="F589" t="s">
        <v>2064</v>
      </c>
      <c r="G589" s="4">
        <v>45464</v>
      </c>
      <c r="H589" s="13">
        <v>5</v>
      </c>
      <c r="I589" s="7" t="s">
        <v>647</v>
      </c>
      <c r="J589" s="7" t="s">
        <v>652</v>
      </c>
      <c r="K589" s="7" t="s">
        <v>689</v>
      </c>
      <c r="M589" s="7" t="s">
        <v>705</v>
      </c>
      <c r="N589" s="7" t="s">
        <v>710</v>
      </c>
      <c r="O589" s="7" t="s">
        <v>721</v>
      </c>
      <c r="P589" s="7" t="s">
        <v>730</v>
      </c>
      <c r="Q589" s="7" t="s">
        <v>2013</v>
      </c>
      <c r="R589" s="9">
        <v>1367.13</v>
      </c>
      <c r="S589" s="9">
        <v>3062.01</v>
      </c>
      <c r="T589" s="9">
        <v>3062.01</v>
      </c>
      <c r="U589" s="9">
        <f t="shared" si="49"/>
        <v>911.07700000000011</v>
      </c>
      <c r="V589" s="9">
        <f t="shared" si="47"/>
        <v>1634.7474000000002</v>
      </c>
      <c r="W589" s="9" t="str">
        <f t="shared" si="48"/>
        <v>High</v>
      </c>
      <c r="X589" t="s">
        <v>2065</v>
      </c>
      <c r="Y589" s="11">
        <v>0.10299999999999999</v>
      </c>
      <c r="Z589" t="s">
        <v>2065</v>
      </c>
      <c r="AA589" s="13">
        <v>25</v>
      </c>
      <c r="AB589" s="9">
        <v>68665.574250000005</v>
      </c>
      <c r="AC589" s="9">
        <v>34178.25</v>
      </c>
      <c r="AD589" s="9">
        <v>34487.324250000005</v>
      </c>
      <c r="AE589" s="11">
        <v>0.50225057645971705</v>
      </c>
    </row>
    <row r="590" spans="1:31" x14ac:dyDescent="0.3">
      <c r="A590" t="s">
        <v>603</v>
      </c>
      <c r="B590" s="4">
        <v>45703</v>
      </c>
      <c r="C590" s="4" t="str">
        <f t="shared" si="45"/>
        <v>Feb-2025</v>
      </c>
      <c r="D590" s="4" t="str">
        <f t="shared" si="46"/>
        <v>Q1-2025</v>
      </c>
      <c r="E590" s="4">
        <v>45715</v>
      </c>
      <c r="F590" t="s">
        <v>2064</v>
      </c>
      <c r="G590" s="4">
        <v>45715</v>
      </c>
      <c r="H590" s="13">
        <v>12</v>
      </c>
      <c r="I590" s="7" t="s">
        <v>649</v>
      </c>
      <c r="J590" s="7" t="s">
        <v>657</v>
      </c>
      <c r="K590" s="7" t="s">
        <v>679</v>
      </c>
      <c r="M590" s="7" t="s">
        <v>703</v>
      </c>
      <c r="N590" s="7" t="s">
        <v>711</v>
      </c>
      <c r="O590" s="7" t="s">
        <v>723</v>
      </c>
      <c r="P590" s="7" t="s">
        <v>733</v>
      </c>
      <c r="Q590" s="7" t="s">
        <v>2014</v>
      </c>
      <c r="R590" s="9">
        <v>1027.26</v>
      </c>
      <c r="S590" s="9">
        <v>2200.41</v>
      </c>
      <c r="T590" s="9">
        <v>2200.41</v>
      </c>
      <c r="U590" s="9">
        <f t="shared" si="49"/>
        <v>896.68660000000011</v>
      </c>
      <c r="V590" s="9">
        <f t="shared" si="47"/>
        <v>1585.2636</v>
      </c>
      <c r="W590" s="9" t="str">
        <f t="shared" si="48"/>
        <v>High</v>
      </c>
      <c r="X590" t="s">
        <v>2065</v>
      </c>
      <c r="Y590" s="11">
        <v>8.7999999999999995E-2</v>
      </c>
      <c r="Z590" t="s">
        <v>2065</v>
      </c>
      <c r="AA590" s="13">
        <v>6</v>
      </c>
      <c r="AB590" s="9">
        <v>12040.64352</v>
      </c>
      <c r="AC590" s="9">
        <v>6163.5599999999995</v>
      </c>
      <c r="AD590" s="9">
        <v>5877.0835200000001</v>
      </c>
      <c r="AE590" s="11">
        <v>0.48810377204822358</v>
      </c>
    </row>
    <row r="591" spans="1:31" x14ac:dyDescent="0.3">
      <c r="A591" t="s">
        <v>604</v>
      </c>
      <c r="B591" s="4">
        <v>45019</v>
      </c>
      <c r="C591" s="4" t="str">
        <f t="shared" si="45"/>
        <v>Apr-2023</v>
      </c>
      <c r="D591" s="4" t="str">
        <f t="shared" si="46"/>
        <v>Q2-2023</v>
      </c>
      <c r="E591" s="4">
        <v>45032</v>
      </c>
      <c r="F591" t="s">
        <v>2064</v>
      </c>
      <c r="G591" s="4">
        <v>45032</v>
      </c>
      <c r="H591" s="13">
        <v>13</v>
      </c>
      <c r="I591" s="7" t="s">
        <v>649</v>
      </c>
      <c r="J591" s="7" t="s">
        <v>657</v>
      </c>
      <c r="K591" s="7" t="s">
        <v>673</v>
      </c>
      <c r="M591" s="7" t="s">
        <v>703</v>
      </c>
      <c r="N591" s="7" t="s">
        <v>709</v>
      </c>
      <c r="O591" s="7" t="s">
        <v>724</v>
      </c>
      <c r="P591" s="7" t="s">
        <v>733</v>
      </c>
      <c r="Q591" s="7" t="s">
        <v>2015</v>
      </c>
      <c r="R591" s="9">
        <v>790.54</v>
      </c>
      <c r="S591" s="9">
        <v>601.49</v>
      </c>
      <c r="T591" s="9">
        <v>601.49</v>
      </c>
      <c r="U591" s="9">
        <f t="shared" si="49"/>
        <v>883.05430000000001</v>
      </c>
      <c r="V591" s="9">
        <f t="shared" si="47"/>
        <v>1561.0878000000002</v>
      </c>
      <c r="W591" s="9" t="str">
        <f t="shared" si="48"/>
        <v>Low</v>
      </c>
      <c r="X591" t="s">
        <v>2065</v>
      </c>
      <c r="Y591" s="11">
        <v>0</v>
      </c>
      <c r="Z591" t="s">
        <v>2065</v>
      </c>
      <c r="AA591" s="13">
        <v>15</v>
      </c>
      <c r="AB591" s="9">
        <v>9022.35</v>
      </c>
      <c r="AC591" s="9">
        <v>11858.099999999999</v>
      </c>
      <c r="AD591" s="9">
        <v>-2835.7499999999982</v>
      </c>
      <c r="AE591" s="11">
        <v>-0.31430281467688553</v>
      </c>
    </row>
    <row r="592" spans="1:31" x14ac:dyDescent="0.3">
      <c r="A592" t="s">
        <v>605</v>
      </c>
      <c r="B592" s="4">
        <v>45899</v>
      </c>
      <c r="C592" s="4" t="str">
        <f t="shared" si="45"/>
        <v>Aug-2025</v>
      </c>
      <c r="D592" s="4" t="str">
        <f t="shared" si="46"/>
        <v>Q3-2025</v>
      </c>
      <c r="E592" s="4">
        <v>45922</v>
      </c>
      <c r="F592" t="s">
        <v>2064</v>
      </c>
      <c r="G592" s="4">
        <v>45922</v>
      </c>
      <c r="H592" s="13">
        <v>23</v>
      </c>
      <c r="I592" s="7" t="s">
        <v>649</v>
      </c>
      <c r="J592" s="7" t="s">
        <v>657</v>
      </c>
      <c r="K592" s="7" t="s">
        <v>673</v>
      </c>
      <c r="M592" s="7" t="s">
        <v>701</v>
      </c>
      <c r="N592" s="7" t="s">
        <v>711</v>
      </c>
      <c r="O592" s="7" t="s">
        <v>718</v>
      </c>
      <c r="P592" s="7" t="s">
        <v>727</v>
      </c>
      <c r="Q592" s="7" t="s">
        <v>2016</v>
      </c>
      <c r="R592" s="9">
        <v>663.9</v>
      </c>
      <c r="S592" s="9">
        <v>947.77</v>
      </c>
      <c r="T592" s="9">
        <v>947.77</v>
      </c>
      <c r="U592" s="9">
        <f t="shared" si="49"/>
        <v>911.53000000000009</v>
      </c>
      <c r="V592" s="9">
        <f t="shared" si="47"/>
        <v>1573.5420000000001</v>
      </c>
      <c r="W592" s="9" t="str">
        <f t="shared" si="48"/>
        <v>Medium</v>
      </c>
      <c r="X592" t="s">
        <v>2065</v>
      </c>
      <c r="Y592" s="11">
        <v>0.17399999999999999</v>
      </c>
      <c r="Z592" t="s">
        <v>2065</v>
      </c>
      <c r="AA592" s="13">
        <v>15</v>
      </c>
      <c r="AB592" s="9">
        <v>11742.8703</v>
      </c>
      <c r="AC592" s="9">
        <v>9958.5</v>
      </c>
      <c r="AD592" s="9">
        <v>1784.3703000000005</v>
      </c>
      <c r="AE592" s="11">
        <v>0.1519535049280073</v>
      </c>
    </row>
    <row r="593" spans="1:31" x14ac:dyDescent="0.3">
      <c r="A593" t="s">
        <v>606</v>
      </c>
      <c r="B593" s="4">
        <v>44984</v>
      </c>
      <c r="C593" s="4" t="str">
        <f t="shared" si="45"/>
        <v>Feb-2023</v>
      </c>
      <c r="D593" s="4" t="str">
        <f t="shared" si="46"/>
        <v>Q1-2023</v>
      </c>
      <c r="E593" s="4">
        <v>44983</v>
      </c>
      <c r="F593" t="s">
        <v>2066</v>
      </c>
      <c r="G593" s="4">
        <v>44984</v>
      </c>
      <c r="H593" s="13">
        <v>0</v>
      </c>
      <c r="I593" s="7" t="s">
        <v>648</v>
      </c>
      <c r="J593" s="7" t="s">
        <v>1425</v>
      </c>
      <c r="K593" s="7" t="s">
        <v>686</v>
      </c>
      <c r="M593" s="7" t="s">
        <v>703</v>
      </c>
      <c r="N593" s="7" t="s">
        <v>708</v>
      </c>
      <c r="O593" s="7" t="s">
        <v>716</v>
      </c>
      <c r="P593" s="7" t="s">
        <v>729</v>
      </c>
      <c r="Q593" s="7" t="s">
        <v>2017</v>
      </c>
      <c r="R593" s="9">
        <v>1015.91</v>
      </c>
      <c r="S593" s="9">
        <v>2331.48</v>
      </c>
      <c r="T593" s="9">
        <v>2331.48</v>
      </c>
      <c r="U593" s="9">
        <f t="shared" si="49"/>
        <v>897.0997000000001</v>
      </c>
      <c r="V593" s="9">
        <f t="shared" si="47"/>
        <v>1585.9962</v>
      </c>
      <c r="W593" s="9" t="str">
        <f t="shared" si="48"/>
        <v>High</v>
      </c>
      <c r="X593" t="s">
        <v>2065</v>
      </c>
      <c r="Y593" s="11">
        <v>0.14599999999999999</v>
      </c>
      <c r="Z593" t="s">
        <v>2065</v>
      </c>
      <c r="AA593" s="13">
        <v>26</v>
      </c>
      <c r="AB593" s="9">
        <v>51768.181920000003</v>
      </c>
      <c r="AC593" s="9">
        <v>26413.66</v>
      </c>
      <c r="AD593" s="9">
        <v>25354.521920000003</v>
      </c>
      <c r="AE593" s="11">
        <v>0.48977037592669626</v>
      </c>
    </row>
    <row r="594" spans="1:31" x14ac:dyDescent="0.3">
      <c r="A594" t="s">
        <v>607</v>
      </c>
      <c r="B594" s="4">
        <v>45504</v>
      </c>
      <c r="C594" s="4" t="str">
        <f t="shared" si="45"/>
        <v>Jul-2024</v>
      </c>
      <c r="D594" s="4" t="str">
        <f t="shared" si="46"/>
        <v>Q3-2024</v>
      </c>
      <c r="E594" s="4">
        <v>45519</v>
      </c>
      <c r="F594" t="s">
        <v>2064</v>
      </c>
      <c r="G594" s="4">
        <v>45519</v>
      </c>
      <c r="H594" s="13">
        <v>15</v>
      </c>
      <c r="I594" s="7" t="s">
        <v>647</v>
      </c>
      <c r="J594" s="7" t="s">
        <v>652</v>
      </c>
      <c r="K594" s="7" t="s">
        <v>689</v>
      </c>
      <c r="M594" s="7" t="s">
        <v>701</v>
      </c>
      <c r="N594" s="7" t="s">
        <v>709</v>
      </c>
      <c r="O594" s="7" t="s">
        <v>721</v>
      </c>
      <c r="P594" s="7" t="s">
        <v>732</v>
      </c>
      <c r="Q594" s="7" t="s">
        <v>2018</v>
      </c>
      <c r="R594" s="9">
        <v>1252.52</v>
      </c>
      <c r="S594" s="9">
        <v>1417.24</v>
      </c>
      <c r="T594" s="9">
        <v>1417.24</v>
      </c>
      <c r="U594" s="9">
        <f t="shared" si="49"/>
        <v>883.4674</v>
      </c>
      <c r="V594" s="9">
        <f t="shared" si="47"/>
        <v>1561.8204000000001</v>
      </c>
      <c r="W594" s="9" t="str">
        <f t="shared" si="48"/>
        <v>Medium</v>
      </c>
      <c r="X594" t="s">
        <v>2065</v>
      </c>
      <c r="Y594" s="11">
        <v>0.192</v>
      </c>
      <c r="Z594" t="s">
        <v>2065</v>
      </c>
      <c r="AA594" s="13">
        <v>5</v>
      </c>
      <c r="AB594" s="9">
        <v>5725.6496000000006</v>
      </c>
      <c r="AC594" s="9">
        <v>6262.6</v>
      </c>
      <c r="AD594" s="9">
        <v>-536.95039999999972</v>
      </c>
      <c r="AE594" s="11">
        <v>-9.3779821943696953E-2</v>
      </c>
    </row>
    <row r="595" spans="1:31" x14ac:dyDescent="0.3">
      <c r="A595" t="s">
        <v>608</v>
      </c>
      <c r="B595" s="4">
        <v>45823</v>
      </c>
      <c r="C595" s="4" t="str">
        <f t="shared" si="45"/>
        <v>Jun-2025</v>
      </c>
      <c r="D595" s="4" t="str">
        <f t="shared" si="46"/>
        <v>Q2-2025</v>
      </c>
      <c r="E595" s="4">
        <v>45850</v>
      </c>
      <c r="F595" t="s">
        <v>2064</v>
      </c>
      <c r="G595" s="4">
        <v>45850</v>
      </c>
      <c r="H595" s="13">
        <v>27</v>
      </c>
      <c r="I595" s="7" t="s">
        <v>649</v>
      </c>
      <c r="J595" s="7" t="s">
        <v>657</v>
      </c>
      <c r="K595" s="7" t="s">
        <v>673</v>
      </c>
      <c r="M595" s="7" t="s">
        <v>704</v>
      </c>
      <c r="N595" s="7" t="s">
        <v>711</v>
      </c>
      <c r="O595" s="7" t="s">
        <v>712</v>
      </c>
      <c r="P595" s="7" t="s">
        <v>733</v>
      </c>
      <c r="Q595" s="7" t="s">
        <v>2019</v>
      </c>
      <c r="R595" s="9">
        <v>318.83</v>
      </c>
      <c r="S595" s="9">
        <v>699.5</v>
      </c>
      <c r="T595" s="9">
        <v>699.5</v>
      </c>
      <c r="U595" s="9">
        <f t="shared" si="49"/>
        <v>869.83510000000001</v>
      </c>
      <c r="V595" s="9">
        <f t="shared" si="47"/>
        <v>1574.2746000000002</v>
      </c>
      <c r="W595" s="9" t="str">
        <f t="shared" si="48"/>
        <v>Low</v>
      </c>
      <c r="X595" t="s">
        <v>2065</v>
      </c>
      <c r="Y595" s="11">
        <v>0.08</v>
      </c>
      <c r="Z595" t="s">
        <v>2065</v>
      </c>
      <c r="AA595" s="13">
        <v>13</v>
      </c>
      <c r="AB595" s="9">
        <v>8366.02</v>
      </c>
      <c r="AC595" s="9">
        <v>4144.79</v>
      </c>
      <c r="AD595" s="9">
        <v>4221.2300000000005</v>
      </c>
      <c r="AE595" s="11">
        <v>0.50456848059172699</v>
      </c>
    </row>
    <row r="596" spans="1:31" x14ac:dyDescent="0.3">
      <c r="A596" t="s">
        <v>609</v>
      </c>
      <c r="B596" s="4">
        <v>45473</v>
      </c>
      <c r="C596" s="4" t="str">
        <f t="shared" si="45"/>
        <v>Jun-2024</v>
      </c>
      <c r="D596" s="4" t="str">
        <f t="shared" si="46"/>
        <v>Q2-2024</v>
      </c>
      <c r="E596" s="4">
        <v>45494</v>
      </c>
      <c r="F596" t="s">
        <v>2064</v>
      </c>
      <c r="G596" s="4">
        <v>45494</v>
      </c>
      <c r="H596" s="13">
        <v>21</v>
      </c>
      <c r="I596" s="7" t="s">
        <v>646</v>
      </c>
      <c r="J596" s="7" t="s">
        <v>650</v>
      </c>
      <c r="K596" s="7" t="s">
        <v>662</v>
      </c>
      <c r="M596" s="7" t="s">
        <v>705</v>
      </c>
      <c r="N596" s="7" t="s">
        <v>707</v>
      </c>
      <c r="O596" s="7" t="s">
        <v>723</v>
      </c>
      <c r="P596" s="7" t="s">
        <v>731</v>
      </c>
      <c r="Q596" s="7" t="s">
        <v>2020</v>
      </c>
      <c r="R596" s="9">
        <v>753.43</v>
      </c>
      <c r="S596" s="9">
        <v>1787.2</v>
      </c>
      <c r="T596" s="9">
        <v>1787.2</v>
      </c>
      <c r="U596" s="9">
        <f t="shared" si="49"/>
        <v>897.51280000000008</v>
      </c>
      <c r="V596" s="9">
        <f t="shared" si="47"/>
        <v>1586.7288000000001</v>
      </c>
      <c r="W596" s="9" t="str">
        <f t="shared" si="48"/>
        <v>High</v>
      </c>
      <c r="X596" t="s">
        <v>2065</v>
      </c>
      <c r="Y596" s="11">
        <v>7.2999999999999995E-2</v>
      </c>
      <c r="Z596" t="s">
        <v>2065</v>
      </c>
      <c r="AA596" s="13">
        <v>9</v>
      </c>
      <c r="AB596" s="9">
        <v>14910.609600000002</v>
      </c>
      <c r="AC596" s="9">
        <v>6780.87</v>
      </c>
      <c r="AD596" s="9">
        <v>8129.7396000000017</v>
      </c>
      <c r="AE596" s="11">
        <v>0.54523187301476939</v>
      </c>
    </row>
    <row r="597" spans="1:31" x14ac:dyDescent="0.3">
      <c r="A597" t="s">
        <v>610</v>
      </c>
      <c r="B597" s="4">
        <v>45705</v>
      </c>
      <c r="C597" s="4" t="str">
        <f t="shared" si="45"/>
        <v>Feb-2025</v>
      </c>
      <c r="D597" s="4" t="str">
        <f t="shared" si="46"/>
        <v>Q1-2025</v>
      </c>
      <c r="E597" s="4">
        <v>45703</v>
      </c>
      <c r="F597" t="s">
        <v>2066</v>
      </c>
      <c r="G597" s="4">
        <v>45705</v>
      </c>
      <c r="H597" s="13">
        <v>0</v>
      </c>
      <c r="I597" s="7" t="s">
        <v>648</v>
      </c>
      <c r="J597" s="7" t="s">
        <v>653</v>
      </c>
      <c r="K597" s="7" t="s">
        <v>667</v>
      </c>
      <c r="M597" s="7" t="s">
        <v>705</v>
      </c>
      <c r="N597" s="7" t="s">
        <v>707</v>
      </c>
      <c r="O597" s="7" t="s">
        <v>726</v>
      </c>
      <c r="P597" s="7" t="s">
        <v>727</v>
      </c>
      <c r="Q597" s="7" t="s">
        <v>2021</v>
      </c>
      <c r="R597" s="9">
        <v>1133.47</v>
      </c>
      <c r="S597" s="9">
        <v>1698.75</v>
      </c>
      <c r="T597" s="9">
        <v>1698.75</v>
      </c>
      <c r="U597" s="9">
        <f t="shared" si="49"/>
        <v>883.88049999999998</v>
      </c>
      <c r="V597" s="9">
        <f t="shared" si="47"/>
        <v>1562.5530000000001</v>
      </c>
      <c r="W597" s="9" t="str">
        <f t="shared" si="48"/>
        <v>High</v>
      </c>
      <c r="X597" t="s">
        <v>2065</v>
      </c>
      <c r="Y597" s="11">
        <v>4.2999999999999997E-2</v>
      </c>
      <c r="Z597" t="s">
        <v>2065</v>
      </c>
      <c r="AA597" s="13">
        <v>5</v>
      </c>
      <c r="AB597" s="9">
        <v>8128.5187499999993</v>
      </c>
      <c r="AC597" s="9">
        <v>5667.35</v>
      </c>
      <c r="AD597" s="9">
        <v>2461.1687499999989</v>
      </c>
      <c r="AE597" s="11">
        <v>0.30278194904821976</v>
      </c>
    </row>
    <row r="598" spans="1:31" x14ac:dyDescent="0.3">
      <c r="A598" t="s">
        <v>611</v>
      </c>
      <c r="B598" s="4">
        <v>44933</v>
      </c>
      <c r="C598" s="4" t="str">
        <f t="shared" si="45"/>
        <v>Jan-2023</v>
      </c>
      <c r="D598" s="4" t="str">
        <f t="shared" si="46"/>
        <v>Q1-2023</v>
      </c>
      <c r="E598" s="4">
        <v>44956</v>
      </c>
      <c r="F598" t="s">
        <v>2064</v>
      </c>
      <c r="G598" s="4">
        <v>44956</v>
      </c>
      <c r="H598" s="13">
        <v>23</v>
      </c>
      <c r="I598" s="7" t="s">
        <v>646</v>
      </c>
      <c r="J598" s="7" t="s">
        <v>661</v>
      </c>
      <c r="K598" s="7" t="s">
        <v>695</v>
      </c>
      <c r="M598" s="7" t="s">
        <v>704</v>
      </c>
      <c r="N598" s="7" t="s">
        <v>708</v>
      </c>
      <c r="O598" s="7" t="s">
        <v>720</v>
      </c>
      <c r="P598" s="7" t="s">
        <v>728</v>
      </c>
      <c r="Q598" s="7" t="s">
        <v>2022</v>
      </c>
      <c r="R598" s="9">
        <v>299.02</v>
      </c>
      <c r="S598" s="9">
        <v>724.7</v>
      </c>
      <c r="T598" s="9">
        <v>724.7</v>
      </c>
      <c r="U598" s="9">
        <f t="shared" si="49"/>
        <v>870.2482</v>
      </c>
      <c r="V598" s="9">
        <f t="shared" si="47"/>
        <v>1489.8140000000001</v>
      </c>
      <c r="W598" s="9" t="str">
        <f t="shared" si="48"/>
        <v>Low</v>
      </c>
      <c r="X598" t="s">
        <v>2065</v>
      </c>
      <c r="Y598" s="11">
        <v>0.14000000000000001</v>
      </c>
      <c r="Z598" t="s">
        <v>2065</v>
      </c>
      <c r="AA598" s="13">
        <v>5</v>
      </c>
      <c r="AB598" s="9">
        <v>3116.21</v>
      </c>
      <c r="AC598" s="9">
        <v>1495.1</v>
      </c>
      <c r="AD598" s="9">
        <v>1621.1100000000001</v>
      </c>
      <c r="AE598" s="11">
        <v>0.52021847051386139</v>
      </c>
    </row>
    <row r="599" spans="1:31" x14ac:dyDescent="0.3">
      <c r="A599" t="s">
        <v>612</v>
      </c>
      <c r="B599" s="4">
        <v>45726</v>
      </c>
      <c r="C599" s="4" t="str">
        <f t="shared" si="45"/>
        <v>Mar-2025</v>
      </c>
      <c r="D599" s="4" t="str">
        <f t="shared" si="46"/>
        <v>Q1-2025</v>
      </c>
      <c r="E599" s="4">
        <v>45751</v>
      </c>
      <c r="F599" t="s">
        <v>2064</v>
      </c>
      <c r="G599" s="4">
        <v>45751</v>
      </c>
      <c r="H599" s="13">
        <v>25</v>
      </c>
      <c r="I599" s="7" t="s">
        <v>647</v>
      </c>
      <c r="J599" s="7" t="s">
        <v>652</v>
      </c>
      <c r="K599" s="7" t="s">
        <v>666</v>
      </c>
      <c r="M599" s="7" t="s">
        <v>701</v>
      </c>
      <c r="N599" s="7" t="s">
        <v>711</v>
      </c>
      <c r="O599" s="7" t="s">
        <v>722</v>
      </c>
      <c r="P599" s="7" t="s">
        <v>728</v>
      </c>
      <c r="Q599" s="7" t="s">
        <v>2023</v>
      </c>
      <c r="R599" s="9">
        <v>783.72</v>
      </c>
      <c r="S599" s="9">
        <v>1355.94</v>
      </c>
      <c r="T599" s="9">
        <v>1355.94</v>
      </c>
      <c r="U599" s="9">
        <f t="shared" si="49"/>
        <v>897.92590000000007</v>
      </c>
      <c r="V599" s="9">
        <f t="shared" si="47"/>
        <v>1531.7530000000002</v>
      </c>
      <c r="W599" s="9" t="str">
        <f t="shared" si="48"/>
        <v>Medium</v>
      </c>
      <c r="X599" t="s">
        <v>2065</v>
      </c>
      <c r="Y599" s="11">
        <v>0.187</v>
      </c>
      <c r="Z599" t="s">
        <v>2065</v>
      </c>
      <c r="AA599" s="13">
        <v>4</v>
      </c>
      <c r="AB599" s="9">
        <v>4409.5168800000001</v>
      </c>
      <c r="AC599" s="9">
        <v>3134.88</v>
      </c>
      <c r="AD599" s="9">
        <v>1274.63688</v>
      </c>
      <c r="AE599" s="11">
        <v>0.28906497348525856</v>
      </c>
    </row>
    <row r="600" spans="1:31" x14ac:dyDescent="0.3">
      <c r="A600" t="s">
        <v>613</v>
      </c>
      <c r="B600" s="4">
        <v>45521</v>
      </c>
      <c r="C600" s="4" t="str">
        <f t="shared" si="45"/>
        <v>Aug-2024</v>
      </c>
      <c r="D600" s="4" t="str">
        <f t="shared" si="46"/>
        <v>Q3-2024</v>
      </c>
      <c r="E600" s="4">
        <v>45519</v>
      </c>
      <c r="F600" t="s">
        <v>2066</v>
      </c>
      <c r="G600" s="4">
        <v>45521</v>
      </c>
      <c r="H600" s="13">
        <v>0</v>
      </c>
      <c r="I600" s="7" t="s">
        <v>648</v>
      </c>
      <c r="J600" s="7" t="s">
        <v>655</v>
      </c>
      <c r="K600" s="7" t="s">
        <v>1426</v>
      </c>
      <c r="M600" s="7" t="s">
        <v>704</v>
      </c>
      <c r="N600" s="7" t="s">
        <v>711</v>
      </c>
      <c r="O600" s="7" t="s">
        <v>724</v>
      </c>
      <c r="P600" s="7" t="s">
        <v>732</v>
      </c>
      <c r="Q600" s="7" t="s">
        <v>2024</v>
      </c>
      <c r="R600" s="9">
        <v>165.3</v>
      </c>
      <c r="S600" s="9">
        <v>275.07</v>
      </c>
      <c r="T600" s="9">
        <v>275.07</v>
      </c>
      <c r="U600" s="9">
        <f t="shared" si="49"/>
        <v>884.29359999999997</v>
      </c>
      <c r="V600" s="9">
        <f t="shared" si="47"/>
        <v>1563.2856000000002</v>
      </c>
      <c r="W600" s="9" t="str">
        <f t="shared" si="48"/>
        <v>Low</v>
      </c>
      <c r="X600" t="s">
        <v>2065</v>
      </c>
      <c r="Y600" s="11">
        <v>0.13300000000000001</v>
      </c>
      <c r="Z600" t="s">
        <v>2065</v>
      </c>
      <c r="AA600" s="13">
        <v>25</v>
      </c>
      <c r="AB600" s="9">
        <v>5962.1422499999999</v>
      </c>
      <c r="AC600" s="9">
        <v>4132.5</v>
      </c>
      <c r="AD600" s="9">
        <v>1829.6422499999999</v>
      </c>
      <c r="AE600" s="11">
        <v>0.30687665159280625</v>
      </c>
    </row>
    <row r="601" spans="1:31" x14ac:dyDescent="0.3">
      <c r="A601" t="s">
        <v>614</v>
      </c>
      <c r="B601" s="4">
        <v>45360</v>
      </c>
      <c r="C601" s="4" t="str">
        <f t="shared" si="45"/>
        <v>Mar-2024</v>
      </c>
      <c r="D601" s="4" t="str">
        <f t="shared" si="46"/>
        <v>Q1-2024</v>
      </c>
      <c r="E601" s="4">
        <v>45373</v>
      </c>
      <c r="F601" t="s">
        <v>2064</v>
      </c>
      <c r="G601" s="4">
        <v>45373</v>
      </c>
      <c r="H601" s="13">
        <v>13</v>
      </c>
      <c r="I601" s="7" t="s">
        <v>649</v>
      </c>
      <c r="J601" s="7" t="s">
        <v>658</v>
      </c>
      <c r="K601" s="7" t="s">
        <v>693</v>
      </c>
      <c r="M601" s="7" t="s">
        <v>704</v>
      </c>
      <c r="N601" s="7" t="s">
        <v>708</v>
      </c>
      <c r="O601" s="7" t="s">
        <v>718</v>
      </c>
      <c r="P601" s="7" t="s">
        <v>731</v>
      </c>
      <c r="Q601" s="7" t="s">
        <v>2025</v>
      </c>
      <c r="R601" s="9">
        <v>985.45</v>
      </c>
      <c r="S601" s="9">
        <v>1802.44</v>
      </c>
      <c r="T601" s="9">
        <v>1802.44</v>
      </c>
      <c r="U601" s="9">
        <f t="shared" si="49"/>
        <v>916.27920000000006</v>
      </c>
      <c r="V601" s="9">
        <f t="shared" si="47"/>
        <v>1575.7398000000001</v>
      </c>
      <c r="W601" s="9" t="str">
        <f t="shared" si="48"/>
        <v>High</v>
      </c>
      <c r="X601" t="s">
        <v>2065</v>
      </c>
      <c r="Y601" s="11">
        <v>8.9999999999999993E-3</v>
      </c>
      <c r="Z601" t="s">
        <v>2065</v>
      </c>
      <c r="AA601" s="13">
        <v>19</v>
      </c>
      <c r="AB601" s="9">
        <v>33938.142760000002</v>
      </c>
      <c r="AC601" s="9">
        <v>18723.55</v>
      </c>
      <c r="AD601" s="9">
        <v>15214.592760000003</v>
      </c>
      <c r="AE601" s="11">
        <v>0.44830363486867486</v>
      </c>
    </row>
    <row r="602" spans="1:31" x14ac:dyDescent="0.3">
      <c r="A602" t="s">
        <v>615</v>
      </c>
      <c r="B602" s="4">
        <v>45523</v>
      </c>
      <c r="C602" s="4" t="str">
        <f t="shared" si="45"/>
        <v>Aug-2024</v>
      </c>
      <c r="D602" s="4" t="str">
        <f t="shared" si="46"/>
        <v>Q3-2024</v>
      </c>
      <c r="E602" s="4">
        <v>45537</v>
      </c>
      <c r="F602" t="s">
        <v>2064</v>
      </c>
      <c r="G602" s="4">
        <v>45537</v>
      </c>
      <c r="H602" s="13">
        <v>14</v>
      </c>
      <c r="I602" s="7" t="s">
        <v>648</v>
      </c>
      <c r="J602" s="7" t="s">
        <v>653</v>
      </c>
      <c r="K602" s="7" t="s">
        <v>667</v>
      </c>
      <c r="M602" s="7" t="s">
        <v>704</v>
      </c>
      <c r="N602" s="7" t="s">
        <v>710</v>
      </c>
      <c r="O602" s="7" t="s">
        <v>712</v>
      </c>
      <c r="P602" s="7" t="s">
        <v>728</v>
      </c>
      <c r="Q602" s="7" t="s">
        <v>2026</v>
      </c>
      <c r="R602" s="9">
        <v>1337.01</v>
      </c>
      <c r="S602" s="9">
        <v>1269.78</v>
      </c>
      <c r="T602" s="9">
        <v>1269.78</v>
      </c>
      <c r="U602" s="9">
        <f t="shared" si="49"/>
        <v>898.33900000000006</v>
      </c>
      <c r="V602" s="9">
        <f t="shared" si="47"/>
        <v>1534.2200000000003</v>
      </c>
      <c r="W602" s="9" t="str">
        <f t="shared" si="48"/>
        <v>Medium</v>
      </c>
      <c r="X602" t="s">
        <v>2065</v>
      </c>
      <c r="Y602" s="11">
        <v>0.16</v>
      </c>
      <c r="Z602" t="s">
        <v>2065</v>
      </c>
      <c r="AA602" s="13">
        <v>7</v>
      </c>
      <c r="AB602" s="9">
        <v>7466.3063999999986</v>
      </c>
      <c r="AC602" s="9">
        <v>9359.07</v>
      </c>
      <c r="AD602" s="9">
        <v>-1892.7636000000011</v>
      </c>
      <c r="AE602" s="11">
        <v>-0.25350735672996244</v>
      </c>
    </row>
    <row r="603" spans="1:31" x14ac:dyDescent="0.3">
      <c r="A603" t="s">
        <v>616</v>
      </c>
      <c r="B603" s="4">
        <v>45880</v>
      </c>
      <c r="C603" s="4" t="str">
        <f t="shared" si="45"/>
        <v>Aug-2025</v>
      </c>
      <c r="D603" s="4" t="str">
        <f t="shared" si="46"/>
        <v>Q3-2025</v>
      </c>
      <c r="E603" s="4">
        <v>45897</v>
      </c>
      <c r="F603" t="s">
        <v>2064</v>
      </c>
      <c r="G603" s="4">
        <v>45897</v>
      </c>
      <c r="H603" s="13">
        <v>17</v>
      </c>
      <c r="I603" s="7" t="s">
        <v>649</v>
      </c>
      <c r="J603" s="7" t="s">
        <v>657</v>
      </c>
      <c r="K603" s="7" t="s">
        <v>690</v>
      </c>
      <c r="M603" s="7" t="s">
        <v>702</v>
      </c>
      <c r="N603" s="7" t="s">
        <v>708</v>
      </c>
      <c r="O603" s="7" t="s">
        <v>721</v>
      </c>
      <c r="P603" s="7" t="s">
        <v>729</v>
      </c>
      <c r="Q603" s="7" t="s">
        <v>2027</v>
      </c>
      <c r="R603" s="9">
        <v>416.16</v>
      </c>
      <c r="S603" s="9">
        <v>571.9</v>
      </c>
      <c r="T603" s="9">
        <v>571.9</v>
      </c>
      <c r="U603" s="9">
        <f t="shared" si="49"/>
        <v>884.70669999999996</v>
      </c>
      <c r="V603" s="9">
        <f t="shared" si="47"/>
        <v>1564.0182000000002</v>
      </c>
      <c r="W603" s="9" t="str">
        <f t="shared" si="48"/>
        <v>Low</v>
      </c>
      <c r="X603" t="s">
        <v>2065</v>
      </c>
      <c r="Y603" s="11">
        <v>7.0999999999999994E-2</v>
      </c>
      <c r="Z603" t="s">
        <v>2065</v>
      </c>
      <c r="AA603" s="13">
        <v>2</v>
      </c>
      <c r="AB603" s="9">
        <v>1062.5902000000001</v>
      </c>
      <c r="AC603" s="9">
        <v>832.32</v>
      </c>
      <c r="AD603" s="9">
        <v>230.27020000000005</v>
      </c>
      <c r="AE603" s="11">
        <v>0.21670649701079497</v>
      </c>
    </row>
    <row r="604" spans="1:31" x14ac:dyDescent="0.3">
      <c r="A604" t="s">
        <v>617</v>
      </c>
      <c r="B604" s="4">
        <v>45793</v>
      </c>
      <c r="C604" s="4" t="str">
        <f t="shared" si="45"/>
        <v>May-2025</v>
      </c>
      <c r="D604" s="4" t="str">
        <f t="shared" si="46"/>
        <v>Q2-2025</v>
      </c>
      <c r="E604" s="4">
        <v>45795</v>
      </c>
      <c r="F604" t="s">
        <v>2064</v>
      </c>
      <c r="G604" s="4">
        <v>45795</v>
      </c>
      <c r="H604" s="13">
        <v>2</v>
      </c>
      <c r="I604" s="7" t="s">
        <v>647</v>
      </c>
      <c r="J604" s="7" t="s">
        <v>652</v>
      </c>
      <c r="K604" s="7" t="s">
        <v>689</v>
      </c>
      <c r="M604" s="7" t="s">
        <v>706</v>
      </c>
      <c r="N604" s="7" t="s">
        <v>707</v>
      </c>
      <c r="O604" s="7" t="s">
        <v>713</v>
      </c>
      <c r="P604" s="7" t="s">
        <v>728</v>
      </c>
      <c r="Q604" s="7" t="s">
        <v>2028</v>
      </c>
      <c r="R604" s="9">
        <v>1144.3800000000001</v>
      </c>
      <c r="S604" s="9">
        <v>2755.04</v>
      </c>
      <c r="T604" s="9">
        <v>2755.04</v>
      </c>
      <c r="U604" s="9">
        <f t="shared" si="49"/>
        <v>916.87959999999998</v>
      </c>
      <c r="V604" s="9">
        <f t="shared" si="47"/>
        <v>1576.4724000000001</v>
      </c>
      <c r="W604" s="9" t="str">
        <f t="shared" si="48"/>
        <v>High</v>
      </c>
      <c r="X604" t="s">
        <v>2065</v>
      </c>
      <c r="Y604" s="11">
        <v>0.15</v>
      </c>
      <c r="Z604" t="s">
        <v>2065</v>
      </c>
      <c r="AA604" s="13">
        <v>17</v>
      </c>
      <c r="AB604" s="9">
        <v>39810.328000000001</v>
      </c>
      <c r="AC604" s="9">
        <v>19454.460000000003</v>
      </c>
      <c r="AD604" s="9">
        <v>20355.867999999999</v>
      </c>
      <c r="AE604" s="11">
        <v>0.51132128326096682</v>
      </c>
    </row>
    <row r="605" spans="1:31" x14ac:dyDescent="0.3">
      <c r="A605" t="s">
        <v>618</v>
      </c>
      <c r="B605" s="4">
        <v>45026</v>
      </c>
      <c r="C605" s="4" t="str">
        <f t="shared" si="45"/>
        <v>Apr-2023</v>
      </c>
      <c r="D605" s="4" t="str">
        <f t="shared" si="46"/>
        <v>Q2-2023</v>
      </c>
      <c r="E605" s="4">
        <v>45041</v>
      </c>
      <c r="F605" t="s">
        <v>2064</v>
      </c>
      <c r="G605" s="4">
        <v>45041</v>
      </c>
      <c r="H605" s="13">
        <v>15</v>
      </c>
      <c r="I605" s="7" t="s">
        <v>649</v>
      </c>
      <c r="J605" s="7" t="s">
        <v>658</v>
      </c>
      <c r="K605" s="7" t="s">
        <v>683</v>
      </c>
      <c r="M605" s="7" t="s">
        <v>705</v>
      </c>
      <c r="N605" s="7" t="s">
        <v>707</v>
      </c>
      <c r="O605" s="7" t="s">
        <v>726</v>
      </c>
      <c r="P605" s="7" t="s">
        <v>728</v>
      </c>
      <c r="Q605" s="7" t="s">
        <v>2029</v>
      </c>
      <c r="R605" s="9">
        <v>405.66</v>
      </c>
      <c r="S605" s="9">
        <v>962.51</v>
      </c>
      <c r="T605" s="9">
        <v>962.51</v>
      </c>
      <c r="U605" s="9">
        <f t="shared" si="49"/>
        <v>898.75210000000004</v>
      </c>
      <c r="V605" s="9">
        <f t="shared" si="47"/>
        <v>1536.6870000000001</v>
      </c>
      <c r="W605" s="9" t="str">
        <f t="shared" si="48"/>
        <v>Medium</v>
      </c>
      <c r="X605" t="s">
        <v>2065</v>
      </c>
      <c r="Y605" s="11">
        <v>0.19</v>
      </c>
      <c r="Z605" t="s">
        <v>2065</v>
      </c>
      <c r="AA605" s="13">
        <v>7</v>
      </c>
      <c r="AB605" s="9">
        <v>5457.4317000000001</v>
      </c>
      <c r="AC605" s="9">
        <v>2839.6200000000003</v>
      </c>
      <c r="AD605" s="9">
        <v>2617.8116999999997</v>
      </c>
      <c r="AE605" s="11">
        <v>0.47967832561239376</v>
      </c>
    </row>
    <row r="606" spans="1:31" x14ac:dyDescent="0.3">
      <c r="A606" t="s">
        <v>619</v>
      </c>
      <c r="B606" s="4">
        <v>45186</v>
      </c>
      <c r="C606" s="4" t="str">
        <f t="shared" si="45"/>
        <v>Sep-2023</v>
      </c>
      <c r="D606" s="4" t="str">
        <f t="shared" si="46"/>
        <v>Q3-2023</v>
      </c>
      <c r="E606" s="4">
        <v>45201</v>
      </c>
      <c r="F606" t="s">
        <v>2064</v>
      </c>
      <c r="G606" s="4">
        <v>45201</v>
      </c>
      <c r="H606" s="13">
        <v>15</v>
      </c>
      <c r="I606" s="7" t="s">
        <v>648</v>
      </c>
      <c r="J606" s="7" t="s">
        <v>655</v>
      </c>
      <c r="K606" s="7" t="s">
        <v>1426</v>
      </c>
      <c r="M606" s="7" t="s">
        <v>705</v>
      </c>
      <c r="N606" s="7" t="s">
        <v>707</v>
      </c>
      <c r="O606" s="7" t="s">
        <v>717</v>
      </c>
      <c r="P606" s="7" t="s">
        <v>731</v>
      </c>
      <c r="Q606" s="7" t="s">
        <v>2030</v>
      </c>
      <c r="R606" s="9">
        <v>689.33</v>
      </c>
      <c r="S606" s="9">
        <v>668.27</v>
      </c>
      <c r="T606" s="9">
        <v>668.27</v>
      </c>
      <c r="U606" s="9">
        <f t="shared" si="49"/>
        <v>885.11980000000005</v>
      </c>
      <c r="V606" s="9">
        <f t="shared" si="47"/>
        <v>1564.7508</v>
      </c>
      <c r="W606" s="9" t="str">
        <f t="shared" si="48"/>
        <v>Low</v>
      </c>
      <c r="X606" t="s">
        <v>2065</v>
      </c>
      <c r="Y606" s="11">
        <v>0.186</v>
      </c>
      <c r="Z606" t="s">
        <v>2065</v>
      </c>
      <c r="AA606" s="13">
        <v>13</v>
      </c>
      <c r="AB606" s="9">
        <v>7071.6331400000008</v>
      </c>
      <c r="AC606" s="9">
        <v>8961.2900000000009</v>
      </c>
      <c r="AD606" s="9">
        <v>-1889.6568600000001</v>
      </c>
      <c r="AE606" s="11">
        <v>-0.26721647214861033</v>
      </c>
    </row>
    <row r="607" spans="1:31" x14ac:dyDescent="0.3">
      <c r="A607" t="s">
        <v>620</v>
      </c>
      <c r="B607" s="4">
        <v>45038</v>
      </c>
      <c r="C607" s="4" t="str">
        <f t="shared" si="45"/>
        <v>Apr-2023</v>
      </c>
      <c r="D607" s="4" t="str">
        <f t="shared" si="46"/>
        <v>Q2-2023</v>
      </c>
      <c r="E607" s="4">
        <v>45060</v>
      </c>
      <c r="F607" t="s">
        <v>2064</v>
      </c>
      <c r="G607" s="4">
        <v>45060</v>
      </c>
      <c r="H607" s="13">
        <v>22</v>
      </c>
      <c r="I607" s="7" t="s">
        <v>647</v>
      </c>
      <c r="J607" s="7" t="s">
        <v>652</v>
      </c>
      <c r="K607" s="7" t="s">
        <v>694</v>
      </c>
      <c r="M607" s="7" t="s">
        <v>706</v>
      </c>
      <c r="N607" s="7" t="s">
        <v>707</v>
      </c>
      <c r="O607" s="7" t="s">
        <v>720</v>
      </c>
      <c r="P607" s="7" t="s">
        <v>733</v>
      </c>
      <c r="Q607" s="7" t="s">
        <v>2031</v>
      </c>
      <c r="R607" s="9">
        <v>1209.22</v>
      </c>
      <c r="S607" s="9">
        <v>1404.33</v>
      </c>
      <c r="T607" s="9">
        <v>1404.33</v>
      </c>
      <c r="U607" s="9">
        <f t="shared" si="49"/>
        <v>921.375</v>
      </c>
      <c r="V607" s="9">
        <f t="shared" si="47"/>
        <v>1577.2049999999999</v>
      </c>
      <c r="W607" s="9" t="str">
        <f t="shared" si="48"/>
        <v>Medium</v>
      </c>
      <c r="X607" t="s">
        <v>2065</v>
      </c>
      <c r="Y607" s="11">
        <v>0.10299999999999999</v>
      </c>
      <c r="Z607" t="s">
        <v>2065</v>
      </c>
      <c r="AA607" s="13">
        <v>11</v>
      </c>
      <c r="AB607" s="9">
        <v>13856.52411</v>
      </c>
      <c r="AC607" s="9">
        <v>13301.42</v>
      </c>
      <c r="AD607" s="9">
        <v>555.10411000000022</v>
      </c>
      <c r="AE607" s="11">
        <v>4.0060848275751328E-2</v>
      </c>
    </row>
    <row r="608" spans="1:31" x14ac:dyDescent="0.3">
      <c r="A608" t="s">
        <v>621</v>
      </c>
      <c r="B608" s="4">
        <v>45827</v>
      </c>
      <c r="C608" s="4" t="str">
        <f t="shared" si="45"/>
        <v>Jun-2025</v>
      </c>
      <c r="D608" s="4" t="str">
        <f t="shared" si="46"/>
        <v>Q2-2025</v>
      </c>
      <c r="E608" s="4">
        <v>45829</v>
      </c>
      <c r="F608" t="s">
        <v>2064</v>
      </c>
      <c r="G608" s="4">
        <v>45829</v>
      </c>
      <c r="H608" s="13">
        <v>2</v>
      </c>
      <c r="I608" s="7" t="s">
        <v>646</v>
      </c>
      <c r="J608" s="7" t="s">
        <v>661</v>
      </c>
      <c r="K608" s="7" t="s">
        <v>682</v>
      </c>
      <c r="M608" s="7" t="s">
        <v>705</v>
      </c>
      <c r="N608" s="7" t="s">
        <v>2057</v>
      </c>
      <c r="O608" s="7" t="s">
        <v>722</v>
      </c>
      <c r="P608" s="7" t="s">
        <v>730</v>
      </c>
      <c r="Q608" s="7" t="s">
        <v>2032</v>
      </c>
      <c r="R608" s="9">
        <v>1466.27</v>
      </c>
      <c r="S608" s="9">
        <v>3589.89</v>
      </c>
      <c r="T608" s="9">
        <v>3589.89</v>
      </c>
      <c r="U608" s="9">
        <f t="shared" si="49"/>
        <v>899.16520000000003</v>
      </c>
      <c r="V608" s="9">
        <f t="shared" si="47"/>
        <v>1589.6592000000001</v>
      </c>
      <c r="W608" s="9" t="str">
        <f t="shared" si="48"/>
        <v>High</v>
      </c>
      <c r="X608" t="s">
        <v>2065</v>
      </c>
      <c r="Y608" s="11">
        <v>9.7000000000000003E-2</v>
      </c>
      <c r="Z608" t="s">
        <v>2065</v>
      </c>
      <c r="AA608" s="13">
        <v>9</v>
      </c>
      <c r="AB608" s="9">
        <v>29175.036029999999</v>
      </c>
      <c r="AC608" s="9">
        <v>13196.43</v>
      </c>
      <c r="AD608" s="9">
        <v>15978.606029999999</v>
      </c>
      <c r="AE608" s="11">
        <v>0.54768076425234147</v>
      </c>
    </row>
    <row r="609" spans="1:31" x14ac:dyDescent="0.3">
      <c r="A609" t="s">
        <v>622</v>
      </c>
      <c r="B609" s="4">
        <v>45623</v>
      </c>
      <c r="C609" s="4" t="str">
        <f t="shared" si="45"/>
        <v>Nov-2024</v>
      </c>
      <c r="D609" s="4" t="str">
        <f t="shared" si="46"/>
        <v>Q4-2024</v>
      </c>
      <c r="E609" s="4">
        <v>45650</v>
      </c>
      <c r="F609" t="s">
        <v>2064</v>
      </c>
      <c r="G609" s="4">
        <v>45650</v>
      </c>
      <c r="H609" s="13">
        <v>27</v>
      </c>
      <c r="I609" s="7" t="s">
        <v>646</v>
      </c>
      <c r="J609" s="7" t="s">
        <v>650</v>
      </c>
      <c r="K609" s="7" t="s">
        <v>675</v>
      </c>
      <c r="M609" s="7" t="s">
        <v>701</v>
      </c>
      <c r="N609" s="7" t="s">
        <v>710</v>
      </c>
      <c r="O609" s="7" t="s">
        <v>717</v>
      </c>
      <c r="P609" s="7" t="s">
        <v>728</v>
      </c>
      <c r="Q609" s="7" t="s">
        <v>2033</v>
      </c>
      <c r="R609" s="9">
        <v>143.33000000000001</v>
      </c>
      <c r="S609" s="9">
        <v>233.51</v>
      </c>
      <c r="T609" s="9">
        <v>233.51</v>
      </c>
      <c r="U609" s="9">
        <f t="shared" si="49"/>
        <v>885.53290000000004</v>
      </c>
      <c r="V609" s="9">
        <f t="shared" si="47"/>
        <v>1565.4834000000001</v>
      </c>
      <c r="W609" s="9" t="str">
        <f t="shared" si="48"/>
        <v>Low</v>
      </c>
      <c r="X609" t="s">
        <v>2065</v>
      </c>
      <c r="Y609" s="11">
        <v>0.16300000000000001</v>
      </c>
      <c r="Z609" t="s">
        <v>2065</v>
      </c>
      <c r="AA609" s="13">
        <v>14</v>
      </c>
      <c r="AB609" s="9">
        <v>2736.27018</v>
      </c>
      <c r="AC609" s="9">
        <v>2006.6200000000001</v>
      </c>
      <c r="AD609" s="9">
        <v>729.65017999999986</v>
      </c>
      <c r="AE609" s="11">
        <v>0.26665867476580835</v>
      </c>
    </row>
    <row r="610" spans="1:31" x14ac:dyDescent="0.3">
      <c r="A610" t="s">
        <v>623</v>
      </c>
      <c r="B610" s="4">
        <v>45319</v>
      </c>
      <c r="C610" s="4" t="str">
        <f t="shared" si="45"/>
        <v>Jan-2024</v>
      </c>
      <c r="D610" s="4" t="str">
        <f t="shared" si="46"/>
        <v>Q1-2024</v>
      </c>
      <c r="E610" s="4">
        <v>45318</v>
      </c>
      <c r="F610" t="s">
        <v>2066</v>
      </c>
      <c r="G610" s="4">
        <v>45319</v>
      </c>
      <c r="H610" s="13">
        <v>0</v>
      </c>
      <c r="I610" s="7" t="s">
        <v>646</v>
      </c>
      <c r="J610" s="7" t="s">
        <v>661</v>
      </c>
      <c r="K610" s="7" t="s">
        <v>695</v>
      </c>
      <c r="M610" s="7" t="s">
        <v>706</v>
      </c>
      <c r="N610" s="7" t="s">
        <v>711</v>
      </c>
      <c r="O610" s="7" t="s">
        <v>719</v>
      </c>
      <c r="P610" s="7" t="s">
        <v>727</v>
      </c>
      <c r="Q610" s="7" t="s">
        <v>2034</v>
      </c>
      <c r="R610" s="9">
        <v>109.75</v>
      </c>
      <c r="S610" s="9">
        <v>124.25</v>
      </c>
      <c r="T610" s="9">
        <v>124.25</v>
      </c>
      <c r="U610" s="9">
        <f t="shared" si="49"/>
        <v>922.13120000000015</v>
      </c>
      <c r="V610" s="9">
        <f t="shared" si="47"/>
        <v>1577.9376000000002</v>
      </c>
      <c r="W610" s="9" t="str">
        <f t="shared" si="48"/>
        <v>Low</v>
      </c>
      <c r="X610" t="s">
        <v>2065</v>
      </c>
      <c r="Y610" s="11">
        <v>0.12</v>
      </c>
      <c r="Z610" t="s">
        <v>2065</v>
      </c>
      <c r="AA610" s="13">
        <v>19</v>
      </c>
      <c r="AB610" s="9">
        <v>2077.46</v>
      </c>
      <c r="AC610" s="9">
        <v>2085.25</v>
      </c>
      <c r="AD610" s="9">
        <v>-7.7899999999999636</v>
      </c>
      <c r="AE610" s="11">
        <v>-3.7497713554051405E-3</v>
      </c>
    </row>
    <row r="611" spans="1:31" x14ac:dyDescent="0.3">
      <c r="A611" t="s">
        <v>624</v>
      </c>
      <c r="B611" s="4">
        <v>45032</v>
      </c>
      <c r="C611" s="4" t="str">
        <f t="shared" si="45"/>
        <v>Apr-2023</v>
      </c>
      <c r="D611" s="4" t="str">
        <f t="shared" si="46"/>
        <v>Q2-2023</v>
      </c>
      <c r="E611" s="4">
        <v>45039</v>
      </c>
      <c r="F611" t="s">
        <v>2064</v>
      </c>
      <c r="G611" s="4">
        <v>45039</v>
      </c>
      <c r="H611" s="13">
        <v>7</v>
      </c>
      <c r="I611" s="7" t="s">
        <v>648</v>
      </c>
      <c r="J611" s="7" t="s">
        <v>1425</v>
      </c>
      <c r="K611" s="7" t="s">
        <v>697</v>
      </c>
      <c r="M611" s="7" t="s">
        <v>701</v>
      </c>
      <c r="N611" s="7" t="s">
        <v>710</v>
      </c>
      <c r="O611" s="7" t="s">
        <v>719</v>
      </c>
      <c r="P611" s="7" t="s">
        <v>728</v>
      </c>
      <c r="Q611" s="7" t="s">
        <v>2035</v>
      </c>
      <c r="R611" s="9">
        <v>1099.1500000000001</v>
      </c>
      <c r="S611" s="9">
        <v>1431.37</v>
      </c>
      <c r="T611" s="9">
        <v>1431.37</v>
      </c>
      <c r="U611" s="9">
        <f t="shared" si="49"/>
        <v>972.79660000000013</v>
      </c>
      <c r="V611" s="9">
        <f t="shared" si="47"/>
        <v>1590.3918000000001</v>
      </c>
      <c r="W611" s="9" t="str">
        <f t="shared" si="48"/>
        <v>Medium</v>
      </c>
      <c r="X611" t="s">
        <v>2065</v>
      </c>
      <c r="Y611" s="11">
        <v>0.104</v>
      </c>
      <c r="Z611" t="s">
        <v>2065</v>
      </c>
      <c r="AA611" s="13">
        <v>8</v>
      </c>
      <c r="AB611" s="9">
        <v>10260.060159999999</v>
      </c>
      <c r="AC611" s="9">
        <v>8793.2000000000007</v>
      </c>
      <c r="AD611" s="9">
        <v>1466.8601599999984</v>
      </c>
      <c r="AE611" s="11">
        <v>0.14296798821109433</v>
      </c>
    </row>
    <row r="612" spans="1:31" x14ac:dyDescent="0.3">
      <c r="A612" t="s">
        <v>625</v>
      </c>
      <c r="B612" s="4">
        <v>45323</v>
      </c>
      <c r="C612" s="4" t="str">
        <f t="shared" si="45"/>
        <v>Feb-2024</v>
      </c>
      <c r="D612" s="4" t="str">
        <f t="shared" si="46"/>
        <v>Q1-2024</v>
      </c>
      <c r="E612" s="4">
        <v>45323</v>
      </c>
      <c r="F612" t="s">
        <v>2064</v>
      </c>
      <c r="G612" s="4">
        <v>45323</v>
      </c>
      <c r="H612" s="13">
        <v>0</v>
      </c>
      <c r="I612" s="7" t="s">
        <v>648</v>
      </c>
      <c r="J612" s="7" t="s">
        <v>1425</v>
      </c>
      <c r="K612" s="7" t="s">
        <v>697</v>
      </c>
      <c r="M612" s="7" t="s">
        <v>704</v>
      </c>
      <c r="N612" s="7" t="s">
        <v>710</v>
      </c>
      <c r="O612" s="7" t="s">
        <v>722</v>
      </c>
      <c r="P612" s="7" t="s">
        <v>728</v>
      </c>
      <c r="Q612" s="7" t="s">
        <v>2036</v>
      </c>
      <c r="R612" s="9">
        <v>714.43</v>
      </c>
      <c r="S612" s="9">
        <v>1595.52</v>
      </c>
      <c r="T612" s="9">
        <v>1595.52</v>
      </c>
      <c r="U612" s="9">
        <f t="shared" si="49"/>
        <v>947.8420000000001</v>
      </c>
      <c r="V612" s="9">
        <f t="shared" si="47"/>
        <v>1647.1880000000003</v>
      </c>
      <c r="W612" s="9" t="str">
        <f t="shared" si="48"/>
        <v>Medium</v>
      </c>
      <c r="X612" t="s">
        <v>2065</v>
      </c>
      <c r="Y612" s="11">
        <v>0.19400000000000001</v>
      </c>
      <c r="Z612" t="s">
        <v>2065</v>
      </c>
      <c r="AA612" s="13">
        <v>14</v>
      </c>
      <c r="AB612" s="9">
        <v>18003.847679999999</v>
      </c>
      <c r="AC612" s="9">
        <v>10002.019999999999</v>
      </c>
      <c r="AD612" s="9">
        <v>8001.8276800000003</v>
      </c>
      <c r="AE612" s="11">
        <v>0.44445097638151093</v>
      </c>
    </row>
    <row r="613" spans="1:31" x14ac:dyDescent="0.3">
      <c r="A613" t="s">
        <v>626</v>
      </c>
      <c r="B613" s="4">
        <v>45584</v>
      </c>
      <c r="C613" s="4" t="str">
        <f t="shared" si="45"/>
        <v>Oct-2024</v>
      </c>
      <c r="D613" s="4" t="str">
        <f t="shared" si="46"/>
        <v>Q4-2024</v>
      </c>
      <c r="E613" s="4">
        <v>45602</v>
      </c>
      <c r="F613" t="s">
        <v>2064</v>
      </c>
      <c r="G613" s="4">
        <v>45602</v>
      </c>
      <c r="H613" s="13">
        <v>18</v>
      </c>
      <c r="I613" s="7" t="s">
        <v>648</v>
      </c>
      <c r="J613" s="7" t="s">
        <v>1425</v>
      </c>
      <c r="K613" s="7" t="s">
        <v>677</v>
      </c>
      <c r="M613" s="7" t="s">
        <v>702</v>
      </c>
      <c r="N613" s="7" t="s">
        <v>2057</v>
      </c>
      <c r="O613" s="7" t="s">
        <v>712</v>
      </c>
      <c r="P613" s="7" t="s">
        <v>732</v>
      </c>
      <c r="Q613" s="7" t="s">
        <v>2037</v>
      </c>
      <c r="R613" s="9">
        <v>942.02</v>
      </c>
      <c r="S613" s="9">
        <v>1028.46</v>
      </c>
      <c r="T613" s="9">
        <v>1028.46</v>
      </c>
      <c r="U613" s="9">
        <f t="shared" si="49"/>
        <v>922.88740000000007</v>
      </c>
      <c r="V613" s="9">
        <f t="shared" si="47"/>
        <v>1718.1738000000003</v>
      </c>
      <c r="W613" s="9" t="str">
        <f t="shared" si="48"/>
        <v>Medium</v>
      </c>
      <c r="X613" t="s">
        <v>2065</v>
      </c>
      <c r="Y613" s="11">
        <v>0</v>
      </c>
      <c r="Z613" t="s">
        <v>2065</v>
      </c>
      <c r="AA613" s="13">
        <v>9</v>
      </c>
      <c r="AB613" s="9">
        <v>9256.14</v>
      </c>
      <c r="AC613" s="9">
        <v>8478.18</v>
      </c>
      <c r="AD613" s="9">
        <v>777.95999999999913</v>
      </c>
      <c r="AE613" s="11">
        <v>8.4047994088248354E-2</v>
      </c>
    </row>
    <row r="614" spans="1:31" x14ac:dyDescent="0.3">
      <c r="A614" t="s">
        <v>627</v>
      </c>
      <c r="B614" s="4">
        <v>45468</v>
      </c>
      <c r="C614" s="4" t="str">
        <f t="shared" si="45"/>
        <v>Jun-2024</v>
      </c>
      <c r="D614" s="4" t="str">
        <f t="shared" si="46"/>
        <v>Q2-2024</v>
      </c>
      <c r="E614" s="4">
        <v>45473</v>
      </c>
      <c r="F614" t="s">
        <v>2064</v>
      </c>
      <c r="G614" s="4">
        <v>45473</v>
      </c>
      <c r="H614" s="13">
        <v>5</v>
      </c>
      <c r="I614" s="7" t="s">
        <v>646</v>
      </c>
      <c r="J614" s="7" t="s">
        <v>650</v>
      </c>
      <c r="K614" s="7" t="s">
        <v>662</v>
      </c>
      <c r="M614" s="7" t="s">
        <v>702</v>
      </c>
      <c r="N614" s="7" t="s">
        <v>711</v>
      </c>
      <c r="O614" s="7" t="s">
        <v>724</v>
      </c>
      <c r="P614" s="7" t="s">
        <v>729</v>
      </c>
      <c r="Q614" s="7" t="s">
        <v>2038</v>
      </c>
      <c r="R614" s="9">
        <v>1323.55</v>
      </c>
      <c r="S614" s="9">
        <v>3230.35</v>
      </c>
      <c r="T614" s="9">
        <v>3230.35</v>
      </c>
      <c r="U614" s="9">
        <f t="shared" si="49"/>
        <v>899.9914</v>
      </c>
      <c r="V614" s="9">
        <f t="shared" si="47"/>
        <v>1818.4636</v>
      </c>
      <c r="W614" s="9" t="str">
        <f t="shared" si="48"/>
        <v>High</v>
      </c>
      <c r="X614" t="s">
        <v>2065</v>
      </c>
      <c r="Y614" s="11">
        <v>2.1999999999999999E-2</v>
      </c>
      <c r="Z614" t="s">
        <v>2065</v>
      </c>
      <c r="AA614" s="13">
        <v>26</v>
      </c>
      <c r="AB614" s="9">
        <v>82141.339799999987</v>
      </c>
      <c r="AC614" s="9">
        <v>34412.299999999996</v>
      </c>
      <c r="AD614" s="9">
        <v>47729.039799999991</v>
      </c>
      <c r="AE614" s="11">
        <v>0.58105991351263542</v>
      </c>
    </row>
    <row r="615" spans="1:31" x14ac:dyDescent="0.3">
      <c r="A615" t="s">
        <v>628</v>
      </c>
      <c r="B615" s="4">
        <v>45137</v>
      </c>
      <c r="C615" s="4" t="str">
        <f t="shared" si="45"/>
        <v>Jul-2023</v>
      </c>
      <c r="D615" s="4" t="str">
        <f t="shared" si="46"/>
        <v>Q3-2023</v>
      </c>
      <c r="E615" s="4">
        <v>45157</v>
      </c>
      <c r="F615" t="s">
        <v>2064</v>
      </c>
      <c r="G615" s="4">
        <v>45157</v>
      </c>
      <c r="H615" s="13">
        <v>20</v>
      </c>
      <c r="I615" s="7" t="s">
        <v>649</v>
      </c>
      <c r="J615" s="7" t="s">
        <v>657</v>
      </c>
      <c r="K615" s="7" t="s">
        <v>690</v>
      </c>
      <c r="M615" s="7" t="s">
        <v>706</v>
      </c>
      <c r="N615" s="7" t="s">
        <v>709</v>
      </c>
      <c r="O615" s="7" t="s">
        <v>715</v>
      </c>
      <c r="P615" s="7" t="s">
        <v>729</v>
      </c>
      <c r="Q615" s="7" t="s">
        <v>2039</v>
      </c>
      <c r="R615" s="9">
        <v>1418.51</v>
      </c>
      <c r="S615" s="9">
        <v>2789.61</v>
      </c>
      <c r="T615" s="9">
        <v>2789.61</v>
      </c>
      <c r="U615" s="9">
        <f t="shared" si="49"/>
        <v>886.35910000000001</v>
      </c>
      <c r="V615" s="9">
        <f t="shared" si="47"/>
        <v>1623.7834000000003</v>
      </c>
      <c r="W615" s="9" t="str">
        <f t="shared" si="48"/>
        <v>High</v>
      </c>
      <c r="X615" t="s">
        <v>2065</v>
      </c>
      <c r="Y615" s="11">
        <v>0.17100000000000001</v>
      </c>
      <c r="Z615" t="s">
        <v>2065</v>
      </c>
      <c r="AA615" s="13">
        <v>8</v>
      </c>
      <c r="AB615" s="9">
        <v>18500.693520000001</v>
      </c>
      <c r="AC615" s="9">
        <v>11348.08</v>
      </c>
      <c r="AD615" s="9">
        <v>7152.6135200000008</v>
      </c>
      <c r="AE615" s="11">
        <v>0.38661326464695689</v>
      </c>
    </row>
    <row r="616" spans="1:31" x14ac:dyDescent="0.3">
      <c r="A616" t="s">
        <v>629</v>
      </c>
      <c r="B616" s="4">
        <v>45727</v>
      </c>
      <c r="C616" s="4" t="str">
        <f t="shared" si="45"/>
        <v>Mar-2025</v>
      </c>
      <c r="D616" s="4" t="str">
        <f t="shared" si="46"/>
        <v>Q1-2025</v>
      </c>
      <c r="E616" s="4">
        <v>45743</v>
      </c>
      <c r="F616" t="s">
        <v>2064</v>
      </c>
      <c r="G616" s="4">
        <v>45743</v>
      </c>
      <c r="H616" s="13">
        <v>16</v>
      </c>
      <c r="I616" s="7" t="s">
        <v>647</v>
      </c>
      <c r="J616" s="7" t="s">
        <v>652</v>
      </c>
      <c r="K616" s="7" t="s">
        <v>689</v>
      </c>
      <c r="M616" s="7" t="s">
        <v>706</v>
      </c>
      <c r="N616" s="7" t="s">
        <v>710</v>
      </c>
      <c r="O616" s="7" t="s">
        <v>717</v>
      </c>
      <c r="P616" s="7" t="s">
        <v>728</v>
      </c>
      <c r="Q616" s="7" t="s">
        <v>2040</v>
      </c>
      <c r="R616" s="9">
        <v>1317.58</v>
      </c>
      <c r="S616" s="9">
        <v>1897.74</v>
      </c>
      <c r="T616" s="9">
        <v>1897.74</v>
      </c>
      <c r="U616" s="9">
        <f t="shared" si="49"/>
        <v>872.72680000000003</v>
      </c>
      <c r="V616" s="9">
        <f t="shared" si="47"/>
        <v>1504.616</v>
      </c>
      <c r="W616" s="9" t="str">
        <f t="shared" si="48"/>
        <v>High</v>
      </c>
      <c r="X616" t="s">
        <v>2065</v>
      </c>
      <c r="Y616" s="11">
        <v>8.1000000000000003E-2</v>
      </c>
      <c r="Z616" t="s">
        <v>2065</v>
      </c>
      <c r="AA616" s="13">
        <v>6</v>
      </c>
      <c r="AB616" s="9">
        <v>10464.138360000001</v>
      </c>
      <c r="AC616" s="9">
        <v>7905.48</v>
      </c>
      <c r="AD616" s="9">
        <v>2558.6583600000013</v>
      </c>
      <c r="AE616" s="11">
        <v>0.24451687009230266</v>
      </c>
    </row>
    <row r="617" spans="1:31" x14ac:dyDescent="0.3">
      <c r="A617" t="s">
        <v>630</v>
      </c>
      <c r="B617" s="4">
        <v>45208</v>
      </c>
      <c r="C617" s="4" t="str">
        <f t="shared" si="45"/>
        <v>Oct-2023</v>
      </c>
      <c r="D617" s="4" t="str">
        <f t="shared" si="46"/>
        <v>Q4-2023</v>
      </c>
      <c r="E617" s="4">
        <v>45210</v>
      </c>
      <c r="F617" t="s">
        <v>2064</v>
      </c>
      <c r="G617" s="4">
        <v>45210</v>
      </c>
      <c r="H617" s="13">
        <v>2</v>
      </c>
      <c r="I617" s="7" t="s">
        <v>646</v>
      </c>
      <c r="J617" s="7" t="s">
        <v>651</v>
      </c>
      <c r="K617" s="7" t="s">
        <v>663</v>
      </c>
      <c r="M617" s="7" t="s">
        <v>702</v>
      </c>
      <c r="N617" s="7" t="s">
        <v>709</v>
      </c>
      <c r="O617" s="7" t="s">
        <v>723</v>
      </c>
      <c r="P617" s="7" t="s">
        <v>729</v>
      </c>
      <c r="Q617" s="7" t="s">
        <v>2041</v>
      </c>
      <c r="R617" s="9">
        <v>391.16</v>
      </c>
      <c r="S617" s="9">
        <v>902.47</v>
      </c>
      <c r="T617" s="9">
        <v>902.47</v>
      </c>
      <c r="U617" s="9">
        <f t="shared" si="49"/>
        <v>845.38800000000003</v>
      </c>
      <c r="V617" s="9">
        <f t="shared" si="47"/>
        <v>1400.654</v>
      </c>
      <c r="W617" s="9" t="str">
        <f t="shared" si="48"/>
        <v>Medium</v>
      </c>
      <c r="X617" t="s">
        <v>2065</v>
      </c>
      <c r="Y617" s="11">
        <v>4.0000000000000001E-3</v>
      </c>
      <c r="Z617" t="s">
        <v>2065</v>
      </c>
      <c r="AA617" s="13">
        <v>12</v>
      </c>
      <c r="AB617" s="9">
        <v>10786.32144</v>
      </c>
      <c r="AC617" s="9">
        <v>4693.92</v>
      </c>
      <c r="AD617" s="9">
        <v>6092.4014399999996</v>
      </c>
      <c r="AE617" s="11">
        <v>0.56482661618139207</v>
      </c>
    </row>
    <row r="618" spans="1:31" x14ac:dyDescent="0.3">
      <c r="A618" t="s">
        <v>631</v>
      </c>
      <c r="B618" s="4">
        <v>45643</v>
      </c>
      <c r="C618" s="4" t="str">
        <f t="shared" si="45"/>
        <v>Dec-2024</v>
      </c>
      <c r="D618" s="4" t="str">
        <f t="shared" si="46"/>
        <v>Q4-2024</v>
      </c>
      <c r="E618" s="4">
        <v>45673</v>
      </c>
      <c r="F618" t="s">
        <v>2064</v>
      </c>
      <c r="G618" s="4">
        <v>45673</v>
      </c>
      <c r="H618" s="13">
        <v>30</v>
      </c>
      <c r="I618" s="7" t="s">
        <v>649</v>
      </c>
      <c r="J618" s="7" t="s">
        <v>658</v>
      </c>
      <c r="K618" s="7" t="s">
        <v>693</v>
      </c>
      <c r="M618" s="7" t="s">
        <v>701</v>
      </c>
      <c r="N618" s="7" t="s">
        <v>707</v>
      </c>
      <c r="O618" s="7" t="s">
        <v>726</v>
      </c>
      <c r="P618" s="7" t="s">
        <v>732</v>
      </c>
      <c r="Q618" s="7" t="s">
        <v>2042</v>
      </c>
      <c r="R618" s="9">
        <v>722.87</v>
      </c>
      <c r="S618" s="9">
        <v>-33.659999999999997</v>
      </c>
      <c r="T618" s="9">
        <v>33.659999999999997</v>
      </c>
      <c r="U618" s="9">
        <f t="shared" si="49"/>
        <v>741.29280000000006</v>
      </c>
      <c r="V618" s="9">
        <f t="shared" si="47"/>
        <v>1465.144</v>
      </c>
      <c r="W618" s="9" t="str">
        <f t="shared" si="48"/>
        <v>Low</v>
      </c>
      <c r="X618" t="s">
        <v>2067</v>
      </c>
      <c r="Y618" s="11">
        <v>0.10199999999999999</v>
      </c>
      <c r="Z618" t="s">
        <v>2065</v>
      </c>
      <c r="AA618" s="13">
        <v>28</v>
      </c>
      <c r="AB618" s="9">
        <v>846.34703999999988</v>
      </c>
      <c r="AC618" s="9">
        <v>20240.36</v>
      </c>
      <c r="AD618" s="9">
        <v>-19394.01296</v>
      </c>
      <c r="AE618" s="11">
        <v>-22.914965189693348</v>
      </c>
    </row>
    <row r="619" spans="1:31" x14ac:dyDescent="0.3">
      <c r="A619" t="s">
        <v>632</v>
      </c>
      <c r="B619" s="4">
        <v>45849</v>
      </c>
      <c r="C619" s="4" t="str">
        <f t="shared" si="45"/>
        <v>Jul-2025</v>
      </c>
      <c r="D619" s="4" t="str">
        <f t="shared" si="46"/>
        <v>Q3-2025</v>
      </c>
      <c r="E619" s="4">
        <v>45854</v>
      </c>
      <c r="F619" t="s">
        <v>2064</v>
      </c>
      <c r="G619" s="4">
        <v>45854</v>
      </c>
      <c r="H619" s="13">
        <v>5</v>
      </c>
      <c r="I619" s="7" t="s">
        <v>649</v>
      </c>
      <c r="J619" s="7" t="s">
        <v>658</v>
      </c>
      <c r="K619" s="7" t="s">
        <v>683</v>
      </c>
      <c r="M619" s="7" t="s">
        <v>706</v>
      </c>
      <c r="N619" s="7" t="s">
        <v>708</v>
      </c>
      <c r="O619" s="7" t="s">
        <v>723</v>
      </c>
      <c r="P619" s="7" t="s">
        <v>728</v>
      </c>
      <c r="Q619" s="7" t="s">
        <v>2043</v>
      </c>
      <c r="R619" s="9">
        <v>930.03</v>
      </c>
      <c r="S619" s="9">
        <v>1086.68</v>
      </c>
      <c r="T619" s="9">
        <v>1086.68</v>
      </c>
      <c r="U619" s="9">
        <f t="shared" si="49"/>
        <v>895.06970000000001</v>
      </c>
      <c r="V619" s="9">
        <f t="shared" si="47"/>
        <v>1507.0830000000001</v>
      </c>
      <c r="W619" s="9" t="str">
        <f t="shared" si="48"/>
        <v>Medium</v>
      </c>
      <c r="X619" t="s">
        <v>2065</v>
      </c>
      <c r="Y619" s="11">
        <v>0.109</v>
      </c>
      <c r="Z619" t="s">
        <v>2065</v>
      </c>
      <c r="AA619" s="13">
        <v>26</v>
      </c>
      <c r="AB619" s="9">
        <v>25174.028880000002</v>
      </c>
      <c r="AC619" s="9">
        <v>24180.78</v>
      </c>
      <c r="AD619" s="9">
        <v>993.24888000000283</v>
      </c>
      <c r="AE619" s="11">
        <v>3.9455300728168656E-2</v>
      </c>
    </row>
    <row r="620" spans="1:31" x14ac:dyDescent="0.3">
      <c r="A620" t="s">
        <v>633</v>
      </c>
      <c r="B620" s="4">
        <v>45578</v>
      </c>
      <c r="C620" s="4" t="str">
        <f t="shared" si="45"/>
        <v>Oct-2024</v>
      </c>
      <c r="D620" s="4" t="str">
        <f t="shared" si="46"/>
        <v>Q4-2024</v>
      </c>
      <c r="E620" s="4">
        <v>45589</v>
      </c>
      <c r="F620" t="s">
        <v>2064</v>
      </c>
      <c r="G620" s="4">
        <v>45589</v>
      </c>
      <c r="H620" s="13">
        <v>11</v>
      </c>
      <c r="I620" s="7" t="s">
        <v>649</v>
      </c>
      <c r="J620" s="7" t="s">
        <v>657</v>
      </c>
      <c r="K620" s="7" t="s">
        <v>690</v>
      </c>
      <c r="M620" s="7" t="s">
        <v>702</v>
      </c>
      <c r="N620" s="7" t="s">
        <v>710</v>
      </c>
      <c r="O620" s="7" t="s">
        <v>721</v>
      </c>
      <c r="P620" s="7" t="s">
        <v>727</v>
      </c>
      <c r="Q620" s="7" t="s">
        <v>2044</v>
      </c>
      <c r="R620" s="9">
        <v>816.7</v>
      </c>
      <c r="S620" s="9">
        <v>1010.75</v>
      </c>
      <c r="T620" s="9">
        <v>1010.75</v>
      </c>
      <c r="U620" s="9">
        <f t="shared" si="49"/>
        <v>848.54240000000004</v>
      </c>
      <c r="V620" s="9">
        <f t="shared" si="47"/>
        <v>1549.0220000000002</v>
      </c>
      <c r="W620" s="9" t="str">
        <f t="shared" si="48"/>
        <v>Medium</v>
      </c>
      <c r="X620" t="s">
        <v>2065</v>
      </c>
      <c r="Y620" s="11">
        <v>4.7E-2</v>
      </c>
      <c r="Z620" t="s">
        <v>2065</v>
      </c>
      <c r="AA620" s="13">
        <v>43</v>
      </c>
      <c r="AB620" s="9">
        <v>41419.524249999995</v>
      </c>
      <c r="AC620" s="9">
        <v>35118.1</v>
      </c>
      <c r="AD620" s="9">
        <v>6301.4242499999964</v>
      </c>
      <c r="AE620" s="11">
        <v>0.15213656757537472</v>
      </c>
    </row>
    <row r="621" spans="1:31" x14ac:dyDescent="0.3">
      <c r="A621" t="s">
        <v>634</v>
      </c>
      <c r="B621" s="4">
        <v>45177</v>
      </c>
      <c r="C621" s="4" t="str">
        <f t="shared" si="45"/>
        <v>Sep-2023</v>
      </c>
      <c r="D621" s="4" t="str">
        <f t="shared" si="46"/>
        <v>Q3-2023</v>
      </c>
      <c r="E621" s="4">
        <v>45183</v>
      </c>
      <c r="F621" t="s">
        <v>2064</v>
      </c>
      <c r="G621" s="4">
        <v>45183</v>
      </c>
      <c r="H621" s="13">
        <v>6</v>
      </c>
      <c r="I621" s="7" t="s">
        <v>646</v>
      </c>
      <c r="J621" s="7" t="s">
        <v>650</v>
      </c>
      <c r="K621" s="7" t="s">
        <v>678</v>
      </c>
      <c r="M621" s="7" t="s">
        <v>702</v>
      </c>
      <c r="N621" s="7" t="s">
        <v>711</v>
      </c>
      <c r="O621" s="7" t="s">
        <v>714</v>
      </c>
      <c r="P621" s="7" t="s">
        <v>733</v>
      </c>
      <c r="Q621" s="7" t="s">
        <v>2045</v>
      </c>
      <c r="R621" s="9">
        <v>251.03</v>
      </c>
      <c r="S621" s="9">
        <v>411.48</v>
      </c>
      <c r="T621" s="9">
        <v>411.48</v>
      </c>
      <c r="U621" s="9">
        <f t="shared" si="49"/>
        <v>744.44720000000029</v>
      </c>
      <c r="V621" s="9">
        <f t="shared" si="47"/>
        <v>1635.5822000000005</v>
      </c>
      <c r="W621" s="9" t="str">
        <f t="shared" si="48"/>
        <v>Low</v>
      </c>
      <c r="X621" t="s">
        <v>2065</v>
      </c>
      <c r="Y621" s="11">
        <v>0.16500000000000001</v>
      </c>
      <c r="Z621" t="s">
        <v>2065</v>
      </c>
      <c r="AA621" s="13">
        <v>3</v>
      </c>
      <c r="AB621" s="9">
        <v>1030.7574</v>
      </c>
      <c r="AC621" s="9">
        <v>753.09</v>
      </c>
      <c r="AD621" s="9">
        <v>277.66739999999993</v>
      </c>
      <c r="AE621" s="11">
        <v>0.26938191275658069</v>
      </c>
    </row>
    <row r="622" spans="1:31" x14ac:dyDescent="0.3">
      <c r="A622" t="s">
        <v>635</v>
      </c>
      <c r="B622" s="4">
        <v>45764</v>
      </c>
      <c r="C622" s="4" t="str">
        <f t="shared" si="45"/>
        <v>Apr-2025</v>
      </c>
      <c r="D622" s="4" t="str">
        <f t="shared" si="46"/>
        <v>Q2-2025</v>
      </c>
      <c r="E622" s="4">
        <v>45780</v>
      </c>
      <c r="F622" t="s">
        <v>2064</v>
      </c>
      <c r="G622" s="4">
        <v>45780</v>
      </c>
      <c r="H622" s="13">
        <v>16</v>
      </c>
      <c r="I622" s="7" t="s">
        <v>648</v>
      </c>
      <c r="J622" s="7" t="s">
        <v>655</v>
      </c>
      <c r="K622" s="7" t="s">
        <v>1426</v>
      </c>
      <c r="M622" s="7" t="s">
        <v>704</v>
      </c>
      <c r="N622" s="7" t="s">
        <v>709</v>
      </c>
      <c r="O622" s="7" t="s">
        <v>713</v>
      </c>
      <c r="P622" s="7" t="s">
        <v>729</v>
      </c>
      <c r="Q622" s="7" t="s">
        <v>2046</v>
      </c>
      <c r="R622" s="9">
        <v>168.68</v>
      </c>
      <c r="S622" s="9">
        <v>413.34</v>
      </c>
      <c r="T622" s="9">
        <v>413.34</v>
      </c>
      <c r="U622" s="9">
        <f t="shared" si="49"/>
        <v>896.23900000000003</v>
      </c>
      <c r="V622" s="9">
        <f t="shared" si="47"/>
        <v>1735.8720000000001</v>
      </c>
      <c r="W622" s="9" t="str">
        <f t="shared" si="48"/>
        <v>Low</v>
      </c>
      <c r="X622" t="s">
        <v>2065</v>
      </c>
      <c r="Y622" s="11">
        <v>0.186</v>
      </c>
      <c r="Z622" t="s">
        <v>2065</v>
      </c>
      <c r="AA622" s="13">
        <v>7</v>
      </c>
      <c r="AB622" s="9">
        <v>2355.2113199999999</v>
      </c>
      <c r="AC622" s="9">
        <v>1180.76</v>
      </c>
      <c r="AD622" s="9">
        <v>1174.4513199999999</v>
      </c>
      <c r="AE622" s="11">
        <v>0.49866069767361682</v>
      </c>
    </row>
    <row r="623" spans="1:31" x14ac:dyDescent="0.3">
      <c r="A623" t="s">
        <v>636</v>
      </c>
      <c r="B623" s="4">
        <v>45501</v>
      </c>
      <c r="C623" s="4" t="str">
        <f t="shared" si="45"/>
        <v>Jul-2024</v>
      </c>
      <c r="D623" s="4" t="str">
        <f t="shared" si="46"/>
        <v>Q3-2024</v>
      </c>
      <c r="E623" s="4">
        <v>45527</v>
      </c>
      <c r="F623" t="s">
        <v>2064</v>
      </c>
      <c r="G623" s="4">
        <v>45527</v>
      </c>
      <c r="H623" s="13">
        <v>26</v>
      </c>
      <c r="I623" s="7" t="s">
        <v>647</v>
      </c>
      <c r="J623" s="7" t="s">
        <v>654</v>
      </c>
      <c r="K623" s="7" t="s">
        <v>696</v>
      </c>
      <c r="M623" s="7" t="s">
        <v>701</v>
      </c>
      <c r="N623" s="7" t="s">
        <v>707</v>
      </c>
      <c r="O623" s="7" t="s">
        <v>713</v>
      </c>
      <c r="P623" s="7" t="s">
        <v>729</v>
      </c>
      <c r="Q623" s="7" t="s">
        <v>2047</v>
      </c>
      <c r="R623" s="9">
        <v>1339.24</v>
      </c>
      <c r="S623" s="9">
        <v>1558.89</v>
      </c>
      <c r="T623" s="9">
        <v>1558.89</v>
      </c>
      <c r="U623" s="9">
        <f t="shared" si="49"/>
        <v>974.58210000000008</v>
      </c>
      <c r="V623" s="9">
        <f t="shared" si="47"/>
        <v>1836.1618000000001</v>
      </c>
      <c r="W623" s="9" t="str">
        <f t="shared" si="48"/>
        <v>Medium</v>
      </c>
      <c r="X623" t="s">
        <v>2065</v>
      </c>
      <c r="Y623" s="11">
        <v>0.192</v>
      </c>
      <c r="Z623" t="s">
        <v>2065</v>
      </c>
      <c r="AA623" s="13">
        <v>24</v>
      </c>
      <c r="AB623" s="9">
        <v>30229.994880000002</v>
      </c>
      <c r="AC623" s="9">
        <v>32141.760000000002</v>
      </c>
      <c r="AD623" s="9">
        <v>-1911.76512</v>
      </c>
      <c r="AE623" s="11">
        <v>-6.3240669659021781E-2</v>
      </c>
    </row>
    <row r="624" spans="1:31" x14ac:dyDescent="0.3">
      <c r="A624" t="s">
        <v>637</v>
      </c>
      <c r="B624" s="4">
        <v>45857</v>
      </c>
      <c r="C624" s="4" t="str">
        <f t="shared" si="45"/>
        <v>Jul-2025</v>
      </c>
      <c r="D624" s="4" t="str">
        <f t="shared" si="46"/>
        <v>Q3-2025</v>
      </c>
      <c r="E624" s="4">
        <v>45869</v>
      </c>
      <c r="F624" t="s">
        <v>2064</v>
      </c>
      <c r="G624" s="4">
        <v>45869</v>
      </c>
      <c r="H624" s="13">
        <v>12</v>
      </c>
      <c r="I624" s="7" t="s">
        <v>646</v>
      </c>
      <c r="J624" s="7" t="s">
        <v>650</v>
      </c>
      <c r="K624" s="7" t="s">
        <v>664</v>
      </c>
      <c r="M624" s="7" t="s">
        <v>705</v>
      </c>
      <c r="N624" s="7" t="s">
        <v>709</v>
      </c>
      <c r="O624" s="7" t="s">
        <v>719</v>
      </c>
      <c r="P624" s="7" t="s">
        <v>733</v>
      </c>
      <c r="Q624" s="7" t="s">
        <v>2048</v>
      </c>
      <c r="R624" s="9">
        <v>619.64</v>
      </c>
      <c r="S624" s="9">
        <v>861.16</v>
      </c>
      <c r="T624" s="9">
        <v>861.16</v>
      </c>
      <c r="U624" s="9">
        <f t="shared" si="49"/>
        <v>935.99520000000007</v>
      </c>
      <c r="V624" s="9">
        <f t="shared" si="47"/>
        <v>1977.7292</v>
      </c>
      <c r="W624" s="9" t="str">
        <f t="shared" si="48"/>
        <v>Low</v>
      </c>
      <c r="X624" t="s">
        <v>2065</v>
      </c>
      <c r="Y624" s="11">
        <v>0.113</v>
      </c>
      <c r="Z624" t="s">
        <v>2065</v>
      </c>
      <c r="AA624" s="13">
        <v>14</v>
      </c>
      <c r="AB624" s="9">
        <v>10693.88488</v>
      </c>
      <c r="AC624" s="9">
        <v>8674.9599999999991</v>
      </c>
      <c r="AD624" s="9">
        <v>2018.9248800000005</v>
      </c>
      <c r="AE624" s="11">
        <v>0.18879246435276761</v>
      </c>
    </row>
    <row r="625" spans="1:31" x14ac:dyDescent="0.3">
      <c r="A625" t="s">
        <v>638</v>
      </c>
      <c r="B625" s="4">
        <v>45141</v>
      </c>
      <c r="C625" s="4" t="str">
        <f t="shared" si="45"/>
        <v>Aug-2023</v>
      </c>
      <c r="D625" s="4" t="str">
        <f t="shared" si="46"/>
        <v>Q3-2023</v>
      </c>
      <c r="E625" s="4">
        <v>45140</v>
      </c>
      <c r="F625" t="s">
        <v>2066</v>
      </c>
      <c r="G625" s="4">
        <v>45141</v>
      </c>
      <c r="H625" s="13">
        <v>0</v>
      </c>
      <c r="I625" s="7" t="s">
        <v>647</v>
      </c>
      <c r="J625" s="7" t="s">
        <v>659</v>
      </c>
      <c r="K625" s="7" t="s">
        <v>685</v>
      </c>
      <c r="M625" s="7" t="s">
        <v>703</v>
      </c>
      <c r="N625" s="7" t="s">
        <v>711</v>
      </c>
      <c r="O625" s="7" t="s">
        <v>713</v>
      </c>
      <c r="P625" s="7" t="s">
        <v>729</v>
      </c>
      <c r="Q625" s="7" t="s">
        <v>2049</v>
      </c>
      <c r="R625" s="9">
        <v>1021.97</v>
      </c>
      <c r="S625" s="9">
        <v>2296.25</v>
      </c>
      <c r="T625" s="9">
        <v>2296.25</v>
      </c>
      <c r="U625" s="9">
        <f t="shared" si="49"/>
        <v>1119.8995</v>
      </c>
      <c r="V625" s="9">
        <f t="shared" si="47"/>
        <v>2128.1417999999999</v>
      </c>
      <c r="W625" s="9" t="str">
        <f t="shared" si="48"/>
        <v>High</v>
      </c>
      <c r="X625" t="s">
        <v>2065</v>
      </c>
      <c r="Y625" s="11">
        <v>0.161</v>
      </c>
      <c r="Z625" t="s">
        <v>2065</v>
      </c>
      <c r="AA625" s="13">
        <v>26</v>
      </c>
      <c r="AB625" s="9">
        <v>50090.397499999999</v>
      </c>
      <c r="AC625" s="9">
        <v>26571.22</v>
      </c>
      <c r="AD625" s="9">
        <v>23519.177499999998</v>
      </c>
      <c r="AE625" s="11">
        <v>0.46953465482081669</v>
      </c>
    </row>
    <row r="626" spans="1:31" x14ac:dyDescent="0.3">
      <c r="A626" t="s">
        <v>639</v>
      </c>
      <c r="B626" s="4">
        <v>45249</v>
      </c>
      <c r="C626" s="4" t="str">
        <f t="shared" si="45"/>
        <v>Nov-2023</v>
      </c>
      <c r="D626" s="4" t="str">
        <f t="shared" si="46"/>
        <v>Q4-2023</v>
      </c>
      <c r="E626" s="4">
        <v>45272</v>
      </c>
      <c r="F626" t="s">
        <v>2064</v>
      </c>
      <c r="G626" s="4">
        <v>45272</v>
      </c>
      <c r="H626" s="13">
        <v>23</v>
      </c>
      <c r="I626" s="7" t="s">
        <v>647</v>
      </c>
      <c r="J626" s="7" t="s">
        <v>654</v>
      </c>
      <c r="K626" s="7" t="s">
        <v>680</v>
      </c>
      <c r="M626" s="7" t="s">
        <v>705</v>
      </c>
      <c r="N626" s="7" t="s">
        <v>711</v>
      </c>
      <c r="O626" s="7" t="s">
        <v>712</v>
      </c>
      <c r="P626" s="7" t="s">
        <v>729</v>
      </c>
      <c r="Q626" s="7" t="s">
        <v>2050</v>
      </c>
      <c r="R626" s="9">
        <v>1349.04</v>
      </c>
      <c r="S626" s="9">
        <v>2636.6</v>
      </c>
      <c r="T626" s="9">
        <v>2636.6</v>
      </c>
      <c r="U626" s="9">
        <f t="shared" si="49"/>
        <v>969.44260000000008</v>
      </c>
      <c r="V626" s="9">
        <f t="shared" si="47"/>
        <v>1837.1271999999999</v>
      </c>
      <c r="W626" s="9" t="str">
        <f t="shared" si="48"/>
        <v>High</v>
      </c>
      <c r="X626" t="s">
        <v>2065</v>
      </c>
      <c r="Y626" s="11">
        <v>0.114</v>
      </c>
      <c r="Z626" t="s">
        <v>2065</v>
      </c>
      <c r="AA626" s="13">
        <v>14</v>
      </c>
      <c r="AB626" s="9">
        <v>32704.386400000003</v>
      </c>
      <c r="AC626" s="9">
        <v>18886.559999999998</v>
      </c>
      <c r="AD626" s="9">
        <v>13817.826400000005</v>
      </c>
      <c r="AE626" s="11">
        <v>0.42250682312143928</v>
      </c>
    </row>
    <row r="627" spans="1:31" x14ac:dyDescent="0.3">
      <c r="A627" t="s">
        <v>640</v>
      </c>
      <c r="B627" s="4">
        <v>45282</v>
      </c>
      <c r="C627" s="4" t="str">
        <f t="shared" si="45"/>
        <v>Dec-2023</v>
      </c>
      <c r="D627" s="4" t="str">
        <f t="shared" si="46"/>
        <v>Q4-2023</v>
      </c>
      <c r="E627" s="4">
        <v>45307</v>
      </c>
      <c r="F627" t="s">
        <v>2064</v>
      </c>
      <c r="G627" s="4">
        <v>45307</v>
      </c>
      <c r="H627" s="13">
        <v>25</v>
      </c>
      <c r="I627" s="7" t="s">
        <v>647</v>
      </c>
      <c r="J627" s="7" t="s">
        <v>654</v>
      </c>
      <c r="K627" s="7" t="s">
        <v>696</v>
      </c>
      <c r="M627" s="7" t="s">
        <v>705</v>
      </c>
      <c r="N627" s="7" t="s">
        <v>707</v>
      </c>
      <c r="O627" s="7" t="s">
        <v>720</v>
      </c>
      <c r="P627" s="7" t="s">
        <v>727</v>
      </c>
      <c r="Q627" s="7" t="s">
        <v>2051</v>
      </c>
      <c r="R627" s="9">
        <v>1346.81</v>
      </c>
      <c r="S627" s="9">
        <v>978.09</v>
      </c>
      <c r="T627" s="9">
        <v>978.09</v>
      </c>
      <c r="U627" s="9">
        <f t="shared" si="49"/>
        <v>826.76050000000021</v>
      </c>
      <c r="V627" s="9">
        <f t="shared" si="47"/>
        <v>1561.0360000000003</v>
      </c>
      <c r="W627" s="9" t="str">
        <f t="shared" si="48"/>
        <v>Medium</v>
      </c>
      <c r="X627" t="s">
        <v>2065</v>
      </c>
      <c r="Y627" s="11">
        <v>0.159</v>
      </c>
      <c r="Z627" t="s">
        <v>2065</v>
      </c>
      <c r="AA627" s="13">
        <v>17</v>
      </c>
      <c r="AB627" s="9">
        <v>13983.752729999998</v>
      </c>
      <c r="AC627" s="9">
        <v>22895.77</v>
      </c>
      <c r="AD627" s="9">
        <v>-8912.0172700000021</v>
      </c>
      <c r="AE627" s="11">
        <v>-0.6373122753293996</v>
      </c>
    </row>
    <row r="628" spans="1:31" x14ac:dyDescent="0.3">
      <c r="A628" t="s">
        <v>641</v>
      </c>
      <c r="B628" s="4">
        <v>45141</v>
      </c>
      <c r="C628" s="4" t="str">
        <f t="shared" si="45"/>
        <v>Aug-2023</v>
      </c>
      <c r="D628" s="4" t="str">
        <f t="shared" si="46"/>
        <v>Q3-2023</v>
      </c>
      <c r="E628" s="4">
        <v>45168</v>
      </c>
      <c r="F628" t="s">
        <v>2064</v>
      </c>
      <c r="G628" s="4">
        <v>45168</v>
      </c>
      <c r="H628" s="13">
        <v>27</v>
      </c>
      <c r="I628" s="7" t="s">
        <v>647</v>
      </c>
      <c r="J628" s="7" t="s">
        <v>659</v>
      </c>
      <c r="K628" s="7" t="s">
        <v>685</v>
      </c>
      <c r="M628" s="7" t="s">
        <v>704</v>
      </c>
      <c r="N628" s="7" t="s">
        <v>710</v>
      </c>
      <c r="O628" s="7" t="s">
        <v>725</v>
      </c>
      <c r="P628" s="7" t="s">
        <v>732</v>
      </c>
      <c r="Q628" s="7" t="s">
        <v>2052</v>
      </c>
      <c r="R628" s="9">
        <v>226.04</v>
      </c>
      <c r="S628" s="9">
        <v>545.72</v>
      </c>
      <c r="T628" s="9">
        <v>545.72</v>
      </c>
      <c r="U628" s="9">
        <f t="shared" si="49"/>
        <v>830.46240000000034</v>
      </c>
      <c r="V628" s="9">
        <f t="shared" si="47"/>
        <v>1703.2647999999999</v>
      </c>
      <c r="W628" s="9" t="str">
        <f t="shared" si="48"/>
        <v>Low</v>
      </c>
      <c r="X628" t="s">
        <v>2065</v>
      </c>
      <c r="Y628" s="11">
        <v>0.151</v>
      </c>
      <c r="Z628" t="s">
        <v>2065</v>
      </c>
      <c r="AA628" s="13">
        <v>11</v>
      </c>
      <c r="AB628" s="9">
        <v>5096.4790800000001</v>
      </c>
      <c r="AC628" s="9">
        <v>2486.44</v>
      </c>
      <c r="AD628" s="9">
        <v>2610.03908</v>
      </c>
      <c r="AE628" s="11">
        <v>0.51212592831834014</v>
      </c>
    </row>
    <row r="629" spans="1:31" x14ac:dyDescent="0.3">
      <c r="A629" t="s">
        <v>642</v>
      </c>
      <c r="B629" s="4">
        <v>45100</v>
      </c>
      <c r="C629" s="4" t="str">
        <f t="shared" si="45"/>
        <v>Jun-2023</v>
      </c>
      <c r="D629" s="4" t="str">
        <f t="shared" si="46"/>
        <v>Q2-2023</v>
      </c>
      <c r="E629" s="4">
        <v>45125</v>
      </c>
      <c r="F629" t="s">
        <v>2064</v>
      </c>
      <c r="G629" s="4">
        <v>45125</v>
      </c>
      <c r="H629" s="13">
        <v>25</v>
      </c>
      <c r="I629" s="7" t="s">
        <v>648</v>
      </c>
      <c r="J629" s="7" t="s">
        <v>653</v>
      </c>
      <c r="K629" s="7" t="s">
        <v>688</v>
      </c>
      <c r="M629" s="7" t="s">
        <v>706</v>
      </c>
      <c r="N629" s="7" t="s">
        <v>708</v>
      </c>
      <c r="O629" s="7" t="s">
        <v>725</v>
      </c>
      <c r="P629" s="7" t="s">
        <v>730</v>
      </c>
      <c r="Q629" s="7" t="s">
        <v>2053</v>
      </c>
      <c r="R629" s="9">
        <v>807.02</v>
      </c>
      <c r="S629" s="9">
        <v>1435.54</v>
      </c>
      <c r="T629" s="9">
        <v>1435.54</v>
      </c>
      <c r="U629" s="9">
        <f t="shared" si="49"/>
        <v>1421.6443999999999</v>
      </c>
      <c r="V629" s="9">
        <f t="shared" si="47"/>
        <v>1845.4935999999998</v>
      </c>
      <c r="W629" s="9" t="str">
        <f t="shared" si="48"/>
        <v>Medium</v>
      </c>
      <c r="X629" t="s">
        <v>2065</v>
      </c>
      <c r="Y629" s="11">
        <v>0</v>
      </c>
      <c r="Z629" t="s">
        <v>2065</v>
      </c>
      <c r="AA629" s="13">
        <v>23</v>
      </c>
      <c r="AB629" s="9">
        <v>33017.42</v>
      </c>
      <c r="AC629" s="9">
        <v>18561.46</v>
      </c>
      <c r="AD629" s="9">
        <v>14455.96</v>
      </c>
      <c r="AE629" s="11">
        <v>0.43782827368098415</v>
      </c>
    </row>
    <row r="630" spans="1:31" x14ac:dyDescent="0.3">
      <c r="A630" t="s">
        <v>643</v>
      </c>
      <c r="B630" s="4">
        <v>45267</v>
      </c>
      <c r="C630" s="4" t="str">
        <f t="shared" si="45"/>
        <v>Dec-2023</v>
      </c>
      <c r="D630" s="4" t="str">
        <f t="shared" si="46"/>
        <v>Q4-2023</v>
      </c>
      <c r="E630" s="4">
        <v>45293</v>
      </c>
      <c r="F630" t="s">
        <v>2064</v>
      </c>
      <c r="G630" s="4">
        <v>45293</v>
      </c>
      <c r="H630" s="13">
        <v>26</v>
      </c>
      <c r="I630" s="7" t="s">
        <v>649</v>
      </c>
      <c r="J630" s="7" t="s">
        <v>656</v>
      </c>
      <c r="K630" s="7" t="s">
        <v>698</v>
      </c>
      <c r="M630" s="7" t="s">
        <v>706</v>
      </c>
      <c r="N630" s="7" t="s">
        <v>710</v>
      </c>
      <c r="O630" s="7" t="s">
        <v>718</v>
      </c>
      <c r="P630" s="7" t="s">
        <v>727</v>
      </c>
      <c r="Q630" s="7" t="s">
        <v>2054</v>
      </c>
      <c r="R630" s="9">
        <v>1071.99</v>
      </c>
      <c r="S630" s="9">
        <v>2397.3000000000002</v>
      </c>
      <c r="T630" s="9">
        <v>2397.3000000000002</v>
      </c>
      <c r="U630" s="9">
        <f t="shared" si="49"/>
        <v>1239.1808000000001</v>
      </c>
      <c r="V630" s="9">
        <f t="shared" si="47"/>
        <v>2027.7608</v>
      </c>
      <c r="W630" s="9" t="str">
        <f t="shared" si="48"/>
        <v>High</v>
      </c>
      <c r="X630" t="s">
        <v>2065</v>
      </c>
      <c r="Y630" s="11">
        <v>6.2E-2</v>
      </c>
      <c r="Z630" t="s">
        <v>2065</v>
      </c>
      <c r="AA630" s="13">
        <v>18</v>
      </c>
      <c r="AB630" s="9">
        <v>40476.013200000001</v>
      </c>
      <c r="AC630" s="9">
        <v>19295.82</v>
      </c>
      <c r="AD630" s="9">
        <v>21180.193200000002</v>
      </c>
      <c r="AE630" s="11">
        <v>0.52327765324476183</v>
      </c>
    </row>
    <row r="631" spans="1:31" x14ac:dyDescent="0.3">
      <c r="A631" t="s">
        <v>644</v>
      </c>
      <c r="B631" s="4">
        <v>45249</v>
      </c>
      <c r="C631" s="4" t="str">
        <f t="shared" si="45"/>
        <v>Nov-2023</v>
      </c>
      <c r="D631" s="4" t="str">
        <f t="shared" si="46"/>
        <v>Q4-2023</v>
      </c>
      <c r="E631" s="4">
        <v>45279</v>
      </c>
      <c r="F631" t="s">
        <v>2064</v>
      </c>
      <c r="G631" s="4">
        <v>45279</v>
      </c>
      <c r="H631" s="13">
        <v>30</v>
      </c>
      <c r="I631" s="7" t="s">
        <v>647</v>
      </c>
      <c r="J631" s="7" t="s">
        <v>652</v>
      </c>
      <c r="K631" s="7" t="s">
        <v>694</v>
      </c>
      <c r="M631" s="7" t="s">
        <v>704</v>
      </c>
      <c r="N631" s="7" t="s">
        <v>707</v>
      </c>
      <c r="O631" s="7" t="s">
        <v>2057</v>
      </c>
      <c r="P631" s="7" t="s">
        <v>730</v>
      </c>
      <c r="Q631" s="7" t="s">
        <v>2055</v>
      </c>
      <c r="R631" s="9">
        <v>807.11</v>
      </c>
      <c r="S631" s="9">
        <v>1853.86</v>
      </c>
      <c r="T631" s="9">
        <v>1853.86</v>
      </c>
      <c r="U631" s="9">
        <f t="shared" si="49"/>
        <v>642.58040000000005</v>
      </c>
      <c r="V631" s="9">
        <f t="shared" si="47"/>
        <v>1239.1808000000001</v>
      </c>
      <c r="W631" s="9" t="str">
        <f t="shared" si="48"/>
        <v>High</v>
      </c>
      <c r="X631" t="s">
        <v>2065</v>
      </c>
      <c r="Y631" s="11">
        <v>0.13900000000000001</v>
      </c>
      <c r="Z631" t="s">
        <v>2065</v>
      </c>
      <c r="AA631" s="13">
        <v>8</v>
      </c>
      <c r="AB631" s="9">
        <v>12769.38768</v>
      </c>
      <c r="AC631" s="9">
        <v>6456.88</v>
      </c>
      <c r="AD631" s="9">
        <v>6312.5076799999997</v>
      </c>
      <c r="AE631" s="11">
        <v>0.49434693645388639</v>
      </c>
    </row>
    <row r="632" spans="1:31" x14ac:dyDescent="0.3">
      <c r="A632" t="s">
        <v>645</v>
      </c>
      <c r="B632" s="4">
        <v>45716</v>
      </c>
      <c r="C632" s="4" t="str">
        <f t="shared" si="45"/>
        <v>Feb-2025</v>
      </c>
      <c r="D632" s="4" t="str">
        <f t="shared" si="46"/>
        <v>Q1-2025</v>
      </c>
      <c r="E632" s="4">
        <v>45726</v>
      </c>
      <c r="F632" t="s">
        <v>2064</v>
      </c>
      <c r="G632" s="4">
        <v>45726</v>
      </c>
      <c r="H632" s="13">
        <v>10</v>
      </c>
      <c r="I632" s="7" t="s">
        <v>647</v>
      </c>
      <c r="J632" s="7" t="s">
        <v>652</v>
      </c>
      <c r="K632" s="7" t="s">
        <v>666</v>
      </c>
      <c r="M632" s="7" t="s">
        <v>702</v>
      </c>
      <c r="N632" s="7" t="s">
        <v>710</v>
      </c>
      <c r="O632" s="7" t="s">
        <v>725</v>
      </c>
      <c r="P632" s="7" t="s">
        <v>731</v>
      </c>
      <c r="Q632" s="7" t="s">
        <v>2056</v>
      </c>
      <c r="R632" s="9">
        <v>51.86</v>
      </c>
      <c r="S632" s="9">
        <v>45.98</v>
      </c>
      <c r="T632" s="9">
        <v>45.98</v>
      </c>
      <c r="U632" s="9">
        <f t="shared" si="49"/>
        <v>45.98</v>
      </c>
      <c r="V632" s="9">
        <f t="shared" si="47"/>
        <v>45.98</v>
      </c>
      <c r="W632" s="9" t="str">
        <f t="shared" si="48"/>
        <v>Low</v>
      </c>
      <c r="X632" t="s">
        <v>2065</v>
      </c>
      <c r="Y632" s="11">
        <v>0.17299999999999999</v>
      </c>
      <c r="Z632" t="s">
        <v>2065</v>
      </c>
      <c r="AA632" s="13">
        <v>7</v>
      </c>
      <c r="AB632" s="9">
        <v>266.17821999999995</v>
      </c>
      <c r="AC632" s="9">
        <v>363.02</v>
      </c>
      <c r="AD632" s="9">
        <v>-96.841780000000028</v>
      </c>
      <c r="AE632" s="11">
        <v>-0.3638230806412337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FD1A-730B-4EB9-812C-225E27AAFCF7}">
  <dimension ref="A1:AX17"/>
  <sheetViews>
    <sheetView topLeftCell="B10" workbookViewId="0">
      <selection activeCell="G8" sqref="G8"/>
    </sheetView>
  </sheetViews>
  <sheetFormatPr defaultRowHeight="14.4" x14ac:dyDescent="0.3"/>
  <cols>
    <col min="1" max="1" width="19.5546875" bestFit="1" customWidth="1"/>
    <col min="2" max="2" width="15.5546875" bestFit="1" customWidth="1"/>
    <col min="3" max="3" width="10.109375" bestFit="1" customWidth="1"/>
    <col min="4" max="4" width="11.109375" bestFit="1" customWidth="1"/>
    <col min="5" max="5" width="9.109375" bestFit="1" customWidth="1"/>
    <col min="6" max="13" width="11.109375" bestFit="1" customWidth="1"/>
    <col min="14" max="14" width="10.109375" bestFit="1" customWidth="1"/>
    <col min="15" max="21" width="11.109375" bestFit="1" customWidth="1"/>
    <col min="22" max="22" width="10.109375" bestFit="1" customWidth="1"/>
    <col min="23" max="24" width="11.109375" bestFit="1" customWidth="1"/>
    <col min="25" max="25" width="10.109375" bestFit="1" customWidth="1"/>
    <col min="26" max="28" width="11.109375" bestFit="1" customWidth="1"/>
    <col min="29" max="30" width="10.109375" bestFit="1" customWidth="1"/>
    <col min="31" max="32" width="11.109375" bestFit="1" customWidth="1"/>
    <col min="33" max="34" width="10.109375" bestFit="1" customWidth="1"/>
    <col min="35" max="35" width="10.77734375" bestFit="1" customWidth="1"/>
    <col min="36" max="36" width="11.109375" bestFit="1" customWidth="1"/>
    <col min="37" max="41" width="10.109375" bestFit="1" customWidth="1"/>
    <col min="42" max="43" width="10.77734375" bestFit="1" customWidth="1"/>
    <col min="44" max="44" width="10.109375" bestFit="1" customWidth="1"/>
    <col min="45" max="45" width="10.77734375" bestFit="1" customWidth="1"/>
    <col min="46" max="46" width="9.77734375" bestFit="1" customWidth="1"/>
    <col min="47" max="47" width="10.109375" bestFit="1" customWidth="1"/>
    <col min="48" max="48" width="10.77734375" bestFit="1" customWidth="1"/>
    <col min="49" max="49" width="9.77734375" bestFit="1" customWidth="1"/>
    <col min="50" max="50" width="13.77734375" bestFit="1" customWidth="1"/>
  </cols>
  <sheetData>
    <row r="1" spans="1:50" x14ac:dyDescent="0.3">
      <c r="A1" s="25" t="s">
        <v>4</v>
      </c>
      <c r="B1" t="s">
        <v>2131</v>
      </c>
    </row>
    <row r="3" spans="1:50" x14ac:dyDescent="0.3">
      <c r="A3" s="25" t="s">
        <v>2130</v>
      </c>
      <c r="B3" s="25" t="s">
        <v>2132</v>
      </c>
    </row>
    <row r="4" spans="1:50" x14ac:dyDescent="0.3">
      <c r="A4" s="25" t="s">
        <v>2126</v>
      </c>
      <c r="B4" s="4">
        <v>44946</v>
      </c>
      <c r="C4" s="4">
        <v>44941</v>
      </c>
      <c r="D4" s="4">
        <v>44988</v>
      </c>
      <c r="E4" s="4">
        <v>44928</v>
      </c>
      <c r="F4" s="4">
        <v>44977</v>
      </c>
      <c r="G4" s="4">
        <v>44968</v>
      </c>
      <c r="H4" s="4">
        <v>44955</v>
      </c>
      <c r="I4" s="4">
        <v>44948</v>
      </c>
      <c r="J4" s="4">
        <v>44936</v>
      </c>
      <c r="K4" s="4">
        <v>44945</v>
      </c>
      <c r="L4" s="4">
        <v>44938</v>
      </c>
      <c r="M4" s="4">
        <v>44939</v>
      </c>
      <c r="N4" s="4">
        <v>44980</v>
      </c>
      <c r="O4" s="4">
        <v>44933</v>
      </c>
      <c r="P4" s="4">
        <v>44989</v>
      </c>
      <c r="Q4" s="4">
        <v>45048</v>
      </c>
      <c r="R4" s="4">
        <v>44962</v>
      </c>
      <c r="S4" s="4">
        <v>44978</v>
      </c>
      <c r="T4" s="4">
        <v>44952</v>
      </c>
      <c r="U4" s="4">
        <v>45029</v>
      </c>
      <c r="V4" s="4">
        <v>44985</v>
      </c>
      <c r="W4" s="4">
        <v>45019</v>
      </c>
      <c r="X4" s="4">
        <v>44984</v>
      </c>
      <c r="Y4" s="4">
        <v>45060</v>
      </c>
      <c r="Z4" s="4">
        <v>45115</v>
      </c>
      <c r="AA4" s="4">
        <v>45026</v>
      </c>
      <c r="AB4" s="4">
        <v>45053</v>
      </c>
      <c r="AC4" s="4">
        <v>45141</v>
      </c>
      <c r="AD4" s="4">
        <v>45267</v>
      </c>
      <c r="AE4" s="4">
        <v>45177</v>
      </c>
      <c r="AF4" s="4">
        <v>45038</v>
      </c>
      <c r="AG4" s="4">
        <v>45078</v>
      </c>
      <c r="AH4" s="4">
        <v>45208</v>
      </c>
      <c r="AI4" s="4">
        <v>45249</v>
      </c>
      <c r="AJ4" s="4">
        <v>45100</v>
      </c>
      <c r="AK4" s="4">
        <v>45186</v>
      </c>
      <c r="AL4" s="4">
        <v>45137</v>
      </c>
      <c r="AM4" s="4">
        <v>45319</v>
      </c>
      <c r="AN4" s="4">
        <v>45032</v>
      </c>
      <c r="AO4" s="4">
        <v>45323</v>
      </c>
      <c r="AP4" s="4">
        <v>45584</v>
      </c>
      <c r="AQ4" s="4">
        <v>45643</v>
      </c>
      <c r="AR4" s="4">
        <v>45849</v>
      </c>
      <c r="AS4" s="4">
        <v>45578</v>
      </c>
      <c r="AT4" s="4">
        <v>45764</v>
      </c>
      <c r="AU4" s="4">
        <v>45857</v>
      </c>
      <c r="AV4" s="4">
        <v>45282</v>
      </c>
      <c r="AW4" s="4">
        <v>45716</v>
      </c>
      <c r="AX4" t="s">
        <v>2127</v>
      </c>
    </row>
    <row r="5" spans="1:50" x14ac:dyDescent="0.3">
      <c r="A5" s="26" t="s">
        <v>2133</v>
      </c>
      <c r="B5" s="9">
        <v>47962.717579999997</v>
      </c>
      <c r="C5" s="9">
        <v>685.06776000000002</v>
      </c>
      <c r="D5" s="9">
        <v>82816.130620000011</v>
      </c>
      <c r="E5" s="9">
        <v>4141.7599999999993</v>
      </c>
      <c r="F5" s="9">
        <v>18167.423999999999</v>
      </c>
      <c r="G5" s="9"/>
      <c r="H5" s="9">
        <v>33356.127999999997</v>
      </c>
      <c r="I5" s="9">
        <v>26587.012579999999</v>
      </c>
      <c r="J5" s="9">
        <v>59160.6993</v>
      </c>
      <c r="K5" s="9">
        <v>62492.527879999994</v>
      </c>
      <c r="L5" s="9">
        <v>67681.434080000006</v>
      </c>
      <c r="M5" s="9">
        <v>33152.701359999999</v>
      </c>
      <c r="N5" s="9"/>
      <c r="O5" s="9">
        <v>61830.021119999998</v>
      </c>
      <c r="P5" s="9"/>
      <c r="Q5" s="9">
        <v>2373.9623200000001</v>
      </c>
      <c r="R5" s="9">
        <v>14668.195200000002</v>
      </c>
      <c r="S5" s="9">
        <v>52609.065839999996</v>
      </c>
      <c r="T5" s="9">
        <v>28355.403199999997</v>
      </c>
      <c r="U5" s="9"/>
      <c r="V5" s="9"/>
      <c r="W5" s="9"/>
      <c r="X5" s="9">
        <v>6435.2555999999995</v>
      </c>
      <c r="Y5" s="9"/>
      <c r="Z5" s="9"/>
      <c r="AA5" s="9">
        <v>4229.4321199999995</v>
      </c>
      <c r="AB5" s="9">
        <v>33308.550000000003</v>
      </c>
      <c r="AC5" s="9"/>
      <c r="AD5" s="9"/>
      <c r="AE5" s="9"/>
      <c r="AF5" s="9"/>
      <c r="AG5" s="9">
        <v>13251.48</v>
      </c>
      <c r="AH5" s="9"/>
      <c r="AI5" s="9"/>
      <c r="AJ5" s="9">
        <v>19139.594240000002</v>
      </c>
      <c r="AK5" s="9"/>
      <c r="AL5" s="9"/>
      <c r="AM5" s="9">
        <v>2077.46</v>
      </c>
      <c r="AN5" s="9"/>
      <c r="AO5" s="9"/>
      <c r="AP5" s="9"/>
      <c r="AQ5" s="9"/>
      <c r="AR5" s="9"/>
      <c r="AS5" s="9"/>
      <c r="AT5" s="9"/>
      <c r="AU5" s="9"/>
      <c r="AV5" s="9"/>
      <c r="AW5" s="9"/>
      <c r="AX5" s="9">
        <v>674482.02280000004</v>
      </c>
    </row>
    <row r="6" spans="1:50" x14ac:dyDescent="0.3">
      <c r="A6" s="26" t="s">
        <v>2134</v>
      </c>
      <c r="B6" s="9">
        <v>41301.398999999998</v>
      </c>
      <c r="C6" s="9"/>
      <c r="D6" s="9">
        <v>22942.525799999999</v>
      </c>
      <c r="E6" s="9"/>
      <c r="F6" s="9">
        <v>22044.871499999997</v>
      </c>
      <c r="G6" s="9">
        <v>28424.795849999995</v>
      </c>
      <c r="H6" s="9">
        <v>134697.22057</v>
      </c>
      <c r="I6" s="9">
        <v>121845.24255</v>
      </c>
      <c r="J6" s="9">
        <v>7203.8047000000006</v>
      </c>
      <c r="K6" s="9">
        <v>29685.815320000002</v>
      </c>
      <c r="L6" s="9">
        <v>89950.743950000004</v>
      </c>
      <c r="M6" s="9">
        <v>97.0154</v>
      </c>
      <c r="N6" s="9">
        <v>26150.364320000001</v>
      </c>
      <c r="O6" s="9">
        <v>86597.081299999991</v>
      </c>
      <c r="P6" s="9">
        <v>9774.3888000000006</v>
      </c>
      <c r="Q6" s="9">
        <v>31426.531500000001</v>
      </c>
      <c r="R6" s="9">
        <v>16873.45</v>
      </c>
      <c r="S6" s="9">
        <v>2795.6384399999997</v>
      </c>
      <c r="T6" s="9"/>
      <c r="U6" s="9"/>
      <c r="V6" s="9">
        <v>71368.798470000009</v>
      </c>
      <c r="W6" s="9">
        <v>25491.383519999999</v>
      </c>
      <c r="X6" s="9">
        <v>96060.058019999997</v>
      </c>
      <c r="Y6" s="9"/>
      <c r="Z6" s="9">
        <v>8330.2513199999994</v>
      </c>
      <c r="AA6" s="9">
        <v>10166.535600000001</v>
      </c>
      <c r="AB6" s="9"/>
      <c r="AC6" s="9"/>
      <c r="AD6" s="9">
        <v>20163.409200000002</v>
      </c>
      <c r="AE6" s="9">
        <v>33400.983200000002</v>
      </c>
      <c r="AF6" s="9"/>
      <c r="AG6" s="9"/>
      <c r="AH6" s="9"/>
      <c r="AI6" s="9"/>
      <c r="AJ6" s="9">
        <v>8128.5187499999993</v>
      </c>
      <c r="AK6" s="9"/>
      <c r="AL6" s="9"/>
      <c r="AM6" s="9"/>
      <c r="AN6" s="9"/>
      <c r="AO6" s="9">
        <v>18003.847679999999</v>
      </c>
      <c r="AP6" s="9"/>
      <c r="AQ6" s="9"/>
      <c r="AR6" s="9"/>
      <c r="AS6" s="9"/>
      <c r="AT6" s="9"/>
      <c r="AU6" s="9"/>
      <c r="AV6" s="9"/>
      <c r="AW6" s="9">
        <v>266.17821999999995</v>
      </c>
      <c r="AX6" s="9">
        <v>963190.85297999997</v>
      </c>
    </row>
    <row r="7" spans="1:50" x14ac:dyDescent="0.3">
      <c r="A7" s="26" t="s">
        <v>2135</v>
      </c>
      <c r="B7" s="9">
        <v>28658.181549999994</v>
      </c>
      <c r="C7" s="9">
        <v>5225.2710400000005</v>
      </c>
      <c r="D7" s="9">
        <v>65645.502460000003</v>
      </c>
      <c r="E7" s="9"/>
      <c r="F7" s="9">
        <v>6631.6443100000006</v>
      </c>
      <c r="G7" s="9">
        <v>50412.574340000006</v>
      </c>
      <c r="H7" s="9">
        <v>40890.496100000004</v>
      </c>
      <c r="I7" s="9">
        <v>29605.104090000001</v>
      </c>
      <c r="J7" s="9">
        <v>45104.930900000007</v>
      </c>
      <c r="K7" s="9">
        <v>37076.29408</v>
      </c>
      <c r="L7" s="9">
        <v>68565.901729999998</v>
      </c>
      <c r="M7" s="9"/>
      <c r="N7" s="9"/>
      <c r="O7" s="9">
        <v>40010.41807</v>
      </c>
      <c r="P7" s="9">
        <v>17453.3436</v>
      </c>
      <c r="Q7" s="9">
        <v>35902.591739999996</v>
      </c>
      <c r="R7" s="9">
        <v>83439.187559999991</v>
      </c>
      <c r="S7" s="9">
        <v>60480.885039999994</v>
      </c>
      <c r="T7" s="9">
        <v>61829.423899999994</v>
      </c>
      <c r="U7" s="9">
        <v>21931.50405</v>
      </c>
      <c r="V7" s="9"/>
      <c r="W7" s="9"/>
      <c r="X7" s="9">
        <v>25331.091030000003</v>
      </c>
      <c r="Y7" s="9"/>
      <c r="Z7" s="9"/>
      <c r="AA7" s="9">
        <v>33938.142760000002</v>
      </c>
      <c r="AB7" s="9"/>
      <c r="AC7" s="9"/>
      <c r="AD7" s="9"/>
      <c r="AE7" s="9"/>
      <c r="AF7" s="9">
        <v>4409.5168800000001</v>
      </c>
      <c r="AG7" s="9"/>
      <c r="AH7" s="9">
        <v>25131.155999999999</v>
      </c>
      <c r="AI7" s="9">
        <v>11305.14372</v>
      </c>
      <c r="AJ7" s="9"/>
      <c r="AK7" s="9"/>
      <c r="AL7" s="9"/>
      <c r="AM7" s="9"/>
      <c r="AN7" s="9"/>
      <c r="AO7" s="9"/>
      <c r="AP7" s="9"/>
      <c r="AQ7" s="9"/>
      <c r="AR7" s="9"/>
      <c r="AS7" s="9"/>
      <c r="AT7" s="9"/>
      <c r="AU7" s="9"/>
      <c r="AV7" s="9"/>
      <c r="AW7" s="9"/>
      <c r="AX7" s="9">
        <v>798978.3049499999</v>
      </c>
    </row>
    <row r="8" spans="1:50" x14ac:dyDescent="0.3">
      <c r="A8" s="26" t="s">
        <v>2136</v>
      </c>
      <c r="B8" s="9">
        <v>11003.7672</v>
      </c>
      <c r="C8" s="9"/>
      <c r="D8" s="9">
        <v>24568.705739999998</v>
      </c>
      <c r="E8" s="9"/>
      <c r="F8" s="9">
        <v>32506.559399999998</v>
      </c>
      <c r="G8" s="9">
        <v>121271.00638000001</v>
      </c>
      <c r="H8" s="9">
        <v>113628.32188999999</v>
      </c>
      <c r="I8" s="9">
        <v>95333.331109999999</v>
      </c>
      <c r="J8" s="9">
        <v>60044.289300000004</v>
      </c>
      <c r="K8" s="9">
        <v>171144.93173999997</v>
      </c>
      <c r="L8" s="9">
        <v>37576.075599999996</v>
      </c>
      <c r="M8" s="9">
        <v>524.81174999999996</v>
      </c>
      <c r="N8" s="9"/>
      <c r="O8" s="9">
        <v>22058.624650000002</v>
      </c>
      <c r="P8" s="9">
        <v>15000.053759999999</v>
      </c>
      <c r="Q8" s="9">
        <v>4856.35725</v>
      </c>
      <c r="R8" s="9">
        <v>4030.6516999999994</v>
      </c>
      <c r="S8" s="9">
        <v>17731.623</v>
      </c>
      <c r="T8" s="9">
        <v>52592.549860000006</v>
      </c>
      <c r="U8" s="9">
        <v>8520.2954399999999</v>
      </c>
      <c r="V8" s="9"/>
      <c r="W8" s="9">
        <v>30194.432919999999</v>
      </c>
      <c r="X8" s="9">
        <v>34800.431400000001</v>
      </c>
      <c r="Y8" s="9"/>
      <c r="Z8" s="9">
        <v>24447.95865</v>
      </c>
      <c r="AA8" s="9">
        <v>12885.542599999999</v>
      </c>
      <c r="AB8" s="9"/>
      <c r="AC8" s="9"/>
      <c r="AD8" s="9"/>
      <c r="AE8" s="9"/>
      <c r="AF8" s="9">
        <v>17234.67195</v>
      </c>
      <c r="AG8" s="9"/>
      <c r="AH8" s="9"/>
      <c r="AI8" s="9"/>
      <c r="AJ8" s="9"/>
      <c r="AK8" s="9">
        <v>22676.312610000001</v>
      </c>
      <c r="AL8" s="9"/>
      <c r="AM8" s="9"/>
      <c r="AN8" s="9">
        <v>10260.060159999999</v>
      </c>
      <c r="AO8" s="9"/>
      <c r="AP8" s="9"/>
      <c r="AQ8" s="9"/>
      <c r="AR8" s="9"/>
      <c r="AS8" s="9"/>
      <c r="AT8" s="9">
        <v>2355.2113199999999</v>
      </c>
      <c r="AU8" s="9"/>
      <c r="AV8" s="9"/>
      <c r="AW8" s="9"/>
      <c r="AX8" s="9">
        <v>947246.57738000026</v>
      </c>
    </row>
    <row r="9" spans="1:50" x14ac:dyDescent="0.3">
      <c r="A9" s="26" t="s">
        <v>2137</v>
      </c>
      <c r="B9" s="9">
        <v>5088.5051700000004</v>
      </c>
      <c r="C9" s="9"/>
      <c r="D9" s="9">
        <v>47396.42209</v>
      </c>
      <c r="E9" s="9"/>
      <c r="F9" s="9">
        <v>87404.929919999995</v>
      </c>
      <c r="G9" s="9">
        <v>113176.2611</v>
      </c>
      <c r="H9" s="9">
        <v>103822.1646</v>
      </c>
      <c r="I9" s="9">
        <v>10666.229420000001</v>
      </c>
      <c r="J9" s="9">
        <v>17745.654180000001</v>
      </c>
      <c r="K9" s="9">
        <v>168308.59188000002</v>
      </c>
      <c r="L9" s="9">
        <v>58782.592839999998</v>
      </c>
      <c r="M9" s="9">
        <v>26795.773259999998</v>
      </c>
      <c r="N9" s="9"/>
      <c r="O9" s="9">
        <v>60776.179739999992</v>
      </c>
      <c r="P9" s="9">
        <v>17930.494560000003</v>
      </c>
      <c r="Q9" s="9">
        <v>140373.01071999999</v>
      </c>
      <c r="R9" s="9">
        <v>3644.3212800000006</v>
      </c>
      <c r="S9" s="9"/>
      <c r="T9" s="9">
        <v>50152.392079999998</v>
      </c>
      <c r="U9" s="9">
        <v>76122.593299999993</v>
      </c>
      <c r="V9" s="9"/>
      <c r="W9" s="9">
        <v>31221.45046</v>
      </c>
      <c r="X9" s="9">
        <v>54508.506029999997</v>
      </c>
      <c r="Y9" s="9">
        <v>10428.057360000001</v>
      </c>
      <c r="Z9" s="9"/>
      <c r="AA9" s="9">
        <v>5035.1534599999995</v>
      </c>
      <c r="AB9" s="9">
        <v>119875.52006000001</v>
      </c>
      <c r="AC9" s="9"/>
      <c r="AD9" s="9"/>
      <c r="AE9" s="9">
        <v>13108.78584</v>
      </c>
      <c r="AF9" s="9">
        <v>39810.328000000001</v>
      </c>
      <c r="AG9" s="9"/>
      <c r="AH9" s="9"/>
      <c r="AI9" s="9"/>
      <c r="AJ9" s="9"/>
      <c r="AK9" s="9"/>
      <c r="AL9" s="9"/>
      <c r="AM9" s="9"/>
      <c r="AN9" s="9"/>
      <c r="AO9" s="9"/>
      <c r="AP9" s="9"/>
      <c r="AQ9" s="9"/>
      <c r="AR9" s="9"/>
      <c r="AS9" s="9"/>
      <c r="AT9" s="9"/>
      <c r="AU9" s="9"/>
      <c r="AV9" s="9"/>
      <c r="AW9" s="9"/>
      <c r="AX9" s="9">
        <v>1262173.91735</v>
      </c>
    </row>
    <row r="10" spans="1:50" x14ac:dyDescent="0.3">
      <c r="A10" s="26" t="s">
        <v>2138</v>
      </c>
      <c r="B10" s="9">
        <v>549.80010000000004</v>
      </c>
      <c r="C10" s="9"/>
      <c r="D10" s="9">
        <v>16587.973689999999</v>
      </c>
      <c r="E10" s="9"/>
      <c r="F10" s="9">
        <v>19510.808000000001</v>
      </c>
      <c r="G10" s="9">
        <v>33081.618699999999</v>
      </c>
      <c r="H10" s="9">
        <v>88650.274239999999</v>
      </c>
      <c r="I10" s="9">
        <v>65111.38614000001</v>
      </c>
      <c r="J10" s="9">
        <v>10661.415999999999</v>
      </c>
      <c r="K10" s="9">
        <v>140907.27539</v>
      </c>
      <c r="L10" s="9">
        <v>100846.07918</v>
      </c>
      <c r="M10" s="9">
        <v>3562.1983800000003</v>
      </c>
      <c r="N10" s="9"/>
      <c r="O10" s="9">
        <v>99043.626970000012</v>
      </c>
      <c r="P10" s="9">
        <v>10735.4121</v>
      </c>
      <c r="Q10" s="9">
        <v>51719.759140000002</v>
      </c>
      <c r="R10" s="9">
        <v>20631.89284</v>
      </c>
      <c r="S10" s="9">
        <v>29279.918670000003</v>
      </c>
      <c r="T10" s="9">
        <v>61356.867209999997</v>
      </c>
      <c r="U10" s="9">
        <v>63325.456480000001</v>
      </c>
      <c r="V10" s="9">
        <v>8780.5809000000008</v>
      </c>
      <c r="W10" s="9"/>
      <c r="X10" s="9">
        <v>47693.373</v>
      </c>
      <c r="Y10" s="9"/>
      <c r="Z10" s="9">
        <v>58526.83122</v>
      </c>
      <c r="AA10" s="9">
        <v>6732.4334000000008</v>
      </c>
      <c r="AB10" s="9"/>
      <c r="AC10" s="9">
        <v>30652.403519999996</v>
      </c>
      <c r="AD10" s="9"/>
      <c r="AE10" s="9">
        <v>97051.949399999983</v>
      </c>
      <c r="AF10" s="9">
        <v>68665.574250000005</v>
      </c>
      <c r="AG10" s="9">
        <v>4577.1480000000001</v>
      </c>
      <c r="AH10" s="9">
        <v>44173.627960000005</v>
      </c>
      <c r="AI10" s="9"/>
      <c r="AJ10" s="9">
        <v>33017.42</v>
      </c>
      <c r="AK10" s="9"/>
      <c r="AL10" s="9">
        <v>8366.02</v>
      </c>
      <c r="AM10" s="9">
        <v>29175.036029999999</v>
      </c>
      <c r="AN10" s="9"/>
      <c r="AO10" s="9"/>
      <c r="AP10" s="9"/>
      <c r="AQ10" s="9"/>
      <c r="AR10" s="9"/>
      <c r="AS10" s="9"/>
      <c r="AT10" s="9"/>
      <c r="AU10" s="9"/>
      <c r="AV10" s="9"/>
      <c r="AW10" s="9"/>
      <c r="AX10" s="9">
        <v>1252974.1609100003</v>
      </c>
    </row>
    <row r="11" spans="1:50" x14ac:dyDescent="0.3">
      <c r="A11" s="26" t="s">
        <v>2139</v>
      </c>
      <c r="B11" s="9">
        <v>27763.018220000002</v>
      </c>
      <c r="C11" s="9"/>
      <c r="D11" s="9">
        <v>59181.794840000002</v>
      </c>
      <c r="E11" s="9"/>
      <c r="F11" s="9"/>
      <c r="G11" s="9">
        <v>232059.66534000001</v>
      </c>
      <c r="H11" s="9">
        <v>142464.43945999999</v>
      </c>
      <c r="I11" s="9"/>
      <c r="J11" s="9">
        <v>34444.462359999998</v>
      </c>
      <c r="K11" s="9">
        <v>44264.6302</v>
      </c>
      <c r="L11" s="9">
        <v>71477.458799999993</v>
      </c>
      <c r="M11" s="9">
        <v>32086.37586</v>
      </c>
      <c r="N11" s="9"/>
      <c r="O11" s="9">
        <v>155202.54942000002</v>
      </c>
      <c r="P11" s="9">
        <v>141645.56601000001</v>
      </c>
      <c r="Q11" s="9">
        <v>12462.65055</v>
      </c>
      <c r="R11" s="9">
        <v>25483.91488</v>
      </c>
      <c r="S11" s="9">
        <v>17067.938400000003</v>
      </c>
      <c r="T11" s="9"/>
      <c r="U11" s="9">
        <v>108619.22301</v>
      </c>
      <c r="V11" s="9">
        <v>14114.068500000001</v>
      </c>
      <c r="W11" s="9">
        <v>35730.87182</v>
      </c>
      <c r="X11" s="9"/>
      <c r="Y11" s="9"/>
      <c r="Z11" s="9">
        <v>19581.87</v>
      </c>
      <c r="AA11" s="9">
        <v>41914.215840000004</v>
      </c>
      <c r="AB11" s="9"/>
      <c r="AC11" s="9"/>
      <c r="AD11" s="9"/>
      <c r="AE11" s="9">
        <v>7173.3342799999991</v>
      </c>
      <c r="AF11" s="9">
        <v>5725.6496000000006</v>
      </c>
      <c r="AG11" s="9"/>
      <c r="AH11" s="9"/>
      <c r="AI11" s="9">
        <v>30229.994880000002</v>
      </c>
      <c r="AJ11" s="9"/>
      <c r="AK11" s="9"/>
      <c r="AL11" s="9">
        <v>18500.693520000001</v>
      </c>
      <c r="AM11" s="9"/>
      <c r="AN11" s="9"/>
      <c r="AO11" s="9"/>
      <c r="AP11" s="9"/>
      <c r="AQ11" s="9"/>
      <c r="AR11" s="9">
        <v>25174.028880000002</v>
      </c>
      <c r="AS11" s="9"/>
      <c r="AT11" s="9"/>
      <c r="AU11" s="9">
        <v>10693.88488</v>
      </c>
      <c r="AV11" s="9"/>
      <c r="AW11" s="9"/>
      <c r="AX11" s="9">
        <v>1313062.2995500003</v>
      </c>
    </row>
    <row r="12" spans="1:50" x14ac:dyDescent="0.3">
      <c r="A12" s="26" t="s">
        <v>2140</v>
      </c>
      <c r="B12" s="9">
        <v>1654.8966000000003</v>
      </c>
      <c r="C12" s="9"/>
      <c r="D12" s="9">
        <v>83133.487639999992</v>
      </c>
      <c r="E12" s="9"/>
      <c r="F12" s="9">
        <v>24294.930059999999</v>
      </c>
      <c r="G12" s="9">
        <v>74334.757840000006</v>
      </c>
      <c r="H12" s="9">
        <v>118481.02463</v>
      </c>
      <c r="I12" s="9">
        <v>41321.999370000005</v>
      </c>
      <c r="J12" s="9"/>
      <c r="K12" s="9">
        <v>56342.747770000002</v>
      </c>
      <c r="L12" s="9">
        <v>42594.209419999992</v>
      </c>
      <c r="M12" s="9">
        <v>24374.594880000001</v>
      </c>
      <c r="N12" s="9"/>
      <c r="O12" s="9">
        <v>85852.199639999992</v>
      </c>
      <c r="P12" s="9">
        <v>20331.794160000001</v>
      </c>
      <c r="Q12" s="9">
        <v>26743.11808</v>
      </c>
      <c r="R12" s="9">
        <v>41908.130810000002</v>
      </c>
      <c r="S12" s="9">
        <v>14187.269099999998</v>
      </c>
      <c r="T12" s="9">
        <v>62136.820679999997</v>
      </c>
      <c r="U12" s="9">
        <v>31292.506000000001</v>
      </c>
      <c r="V12" s="9"/>
      <c r="W12" s="9">
        <v>101133.04526000001</v>
      </c>
      <c r="X12" s="9">
        <v>83861.520220000006</v>
      </c>
      <c r="Y12" s="9"/>
      <c r="Z12" s="9"/>
      <c r="AA12" s="9"/>
      <c r="AB12" s="9">
        <v>10859.64</v>
      </c>
      <c r="AC12" s="9">
        <v>55186.876579999996</v>
      </c>
      <c r="AD12" s="9"/>
      <c r="AE12" s="9">
        <v>3823.6151599999998</v>
      </c>
      <c r="AF12" s="9">
        <v>33551.927499999998</v>
      </c>
      <c r="AG12" s="9"/>
      <c r="AH12" s="9"/>
      <c r="AI12" s="9"/>
      <c r="AJ12" s="9">
        <v>33440.098400000003</v>
      </c>
      <c r="AK12" s="9">
        <v>5962.1422499999999</v>
      </c>
      <c r="AL12" s="9">
        <v>12805.460500000001</v>
      </c>
      <c r="AM12" s="9"/>
      <c r="AN12" s="9"/>
      <c r="AO12" s="9"/>
      <c r="AP12" s="9"/>
      <c r="AQ12" s="9"/>
      <c r="AR12" s="9"/>
      <c r="AS12" s="9"/>
      <c r="AT12" s="9"/>
      <c r="AU12" s="9"/>
      <c r="AV12" s="9"/>
      <c r="AW12" s="9"/>
      <c r="AX12" s="9">
        <v>1089608.8125500004</v>
      </c>
    </row>
    <row r="13" spans="1:50" x14ac:dyDescent="0.3">
      <c r="A13" s="26" t="s">
        <v>2141</v>
      </c>
      <c r="B13" s="9">
        <v>9050.5052999999989</v>
      </c>
      <c r="C13" s="9"/>
      <c r="D13" s="9">
        <v>116032.51129000001</v>
      </c>
      <c r="E13" s="9"/>
      <c r="F13" s="9">
        <v>6874.4828600000001</v>
      </c>
      <c r="G13" s="9">
        <v>2879.9836</v>
      </c>
      <c r="H13" s="9">
        <v>109591.06243999999</v>
      </c>
      <c r="I13" s="9"/>
      <c r="J13" s="9">
        <v>14877.464000000002</v>
      </c>
      <c r="K13" s="9">
        <v>8764.4065599999994</v>
      </c>
      <c r="L13" s="9">
        <v>35378.650520000003</v>
      </c>
      <c r="M13" s="9"/>
      <c r="N13" s="9"/>
      <c r="O13" s="9">
        <v>26157.54522</v>
      </c>
      <c r="P13" s="9">
        <v>42495.805439999996</v>
      </c>
      <c r="Q13" s="9">
        <v>85605.821830000001</v>
      </c>
      <c r="R13" s="9">
        <v>26878.991600000001</v>
      </c>
      <c r="S13" s="9">
        <v>52863.98113</v>
      </c>
      <c r="T13" s="9"/>
      <c r="U13" s="9">
        <v>49792.892160000003</v>
      </c>
      <c r="V13" s="9"/>
      <c r="W13" s="9"/>
      <c r="X13" s="9"/>
      <c r="Y13" s="9"/>
      <c r="Z13" s="9"/>
      <c r="AA13" s="9">
        <v>25249.613219999999</v>
      </c>
      <c r="AB13" s="9"/>
      <c r="AC13" s="9"/>
      <c r="AD13" s="9"/>
      <c r="AE13" s="9">
        <v>1030.7574</v>
      </c>
      <c r="AF13" s="9">
        <v>40563.321749999996</v>
      </c>
      <c r="AG13" s="9"/>
      <c r="AH13" s="9"/>
      <c r="AI13" s="9"/>
      <c r="AJ13" s="9"/>
      <c r="AK13" s="9">
        <v>7071.6331400000008</v>
      </c>
      <c r="AL13" s="9"/>
      <c r="AM13" s="9"/>
      <c r="AN13" s="9"/>
      <c r="AO13" s="9"/>
      <c r="AP13" s="9"/>
      <c r="AQ13" s="9"/>
      <c r="AR13" s="9"/>
      <c r="AS13" s="9"/>
      <c r="AT13" s="9"/>
      <c r="AU13" s="9"/>
      <c r="AV13" s="9"/>
      <c r="AW13" s="9"/>
      <c r="AX13" s="9">
        <v>661159.42946000013</v>
      </c>
    </row>
    <row r="14" spans="1:50" x14ac:dyDescent="0.3">
      <c r="A14" s="26" t="s">
        <v>2142</v>
      </c>
      <c r="B14" s="9">
        <v>41612.076400000005</v>
      </c>
      <c r="C14" s="9">
        <v>17960.432489999999</v>
      </c>
      <c r="D14" s="9">
        <v>44336.173360000001</v>
      </c>
      <c r="E14" s="9"/>
      <c r="F14" s="9">
        <v>599.53200000000004</v>
      </c>
      <c r="G14" s="9">
        <v>82109.284350000002</v>
      </c>
      <c r="H14" s="9">
        <v>16213.632800000001</v>
      </c>
      <c r="I14" s="9"/>
      <c r="J14" s="9"/>
      <c r="K14" s="9">
        <v>67138.240420000002</v>
      </c>
      <c r="L14" s="9">
        <v>131228.31789000001</v>
      </c>
      <c r="M14" s="9"/>
      <c r="N14" s="9"/>
      <c r="O14" s="9">
        <v>18495.656800000004</v>
      </c>
      <c r="P14" s="9"/>
      <c r="Q14" s="9">
        <v>34805.040549999998</v>
      </c>
      <c r="R14" s="9">
        <v>5533.6230000000005</v>
      </c>
      <c r="S14" s="9">
        <v>47302.44</v>
      </c>
      <c r="T14" s="9"/>
      <c r="U14" s="9">
        <v>27756.432000000001</v>
      </c>
      <c r="V14" s="9"/>
      <c r="W14" s="9">
        <v>5159.7893599999998</v>
      </c>
      <c r="X14" s="9">
        <v>6766.9829999999993</v>
      </c>
      <c r="Y14" s="9"/>
      <c r="Z14" s="9"/>
      <c r="AA14" s="9">
        <v>50296.415399999998</v>
      </c>
      <c r="AB14" s="9"/>
      <c r="AC14" s="9"/>
      <c r="AD14" s="9"/>
      <c r="AE14" s="9"/>
      <c r="AF14" s="9"/>
      <c r="AG14" s="9"/>
      <c r="AH14" s="9">
        <v>10786.32144</v>
      </c>
      <c r="AI14" s="9"/>
      <c r="AJ14" s="9"/>
      <c r="AK14" s="9"/>
      <c r="AL14" s="9"/>
      <c r="AM14" s="9"/>
      <c r="AN14" s="9"/>
      <c r="AO14" s="9"/>
      <c r="AP14" s="9">
        <v>9256.14</v>
      </c>
      <c r="AQ14" s="9"/>
      <c r="AR14" s="9"/>
      <c r="AS14" s="9">
        <v>41419.524249999995</v>
      </c>
      <c r="AT14" s="9"/>
      <c r="AU14" s="9"/>
      <c r="AV14" s="9"/>
      <c r="AW14" s="9"/>
      <c r="AX14" s="9">
        <v>658776.05551000009</v>
      </c>
    </row>
    <row r="15" spans="1:50" x14ac:dyDescent="0.3">
      <c r="A15" s="26" t="s">
        <v>2143</v>
      </c>
      <c r="B15" s="9"/>
      <c r="C15" s="9"/>
      <c r="D15" s="9">
        <v>1499.22</v>
      </c>
      <c r="E15" s="9"/>
      <c r="F15" s="9">
        <v>72665.817450000002</v>
      </c>
      <c r="G15" s="9"/>
      <c r="H15" s="9">
        <v>36100.694309999999</v>
      </c>
      <c r="I15" s="9"/>
      <c r="J15" s="9">
        <v>65184.921530000007</v>
      </c>
      <c r="K15" s="9">
        <v>45935.402399999999</v>
      </c>
      <c r="L15" s="9">
        <v>4071.8</v>
      </c>
      <c r="M15" s="9"/>
      <c r="N15" s="9"/>
      <c r="O15" s="9">
        <v>12954.358080000002</v>
      </c>
      <c r="P15" s="9">
        <v>14894.903999999999</v>
      </c>
      <c r="Q15" s="9">
        <v>17577.810700000002</v>
      </c>
      <c r="R15" s="9"/>
      <c r="S15" s="9">
        <v>3592.04</v>
      </c>
      <c r="T15" s="9">
        <v>20599.089749999999</v>
      </c>
      <c r="U15" s="9">
        <v>45802.56684</v>
      </c>
      <c r="V15" s="9"/>
      <c r="W15" s="9">
        <v>25079.480689999997</v>
      </c>
      <c r="X15" s="9"/>
      <c r="Y15" s="9">
        <v>84136.119600000005</v>
      </c>
      <c r="Z15" s="9"/>
      <c r="AA15" s="9">
        <v>4280.6786400000001</v>
      </c>
      <c r="AB15" s="9">
        <v>8297.4286000000011</v>
      </c>
      <c r="AC15" s="9"/>
      <c r="AD15" s="9"/>
      <c r="AE15" s="9">
        <v>35807.58468</v>
      </c>
      <c r="AF15" s="9"/>
      <c r="AG15" s="9"/>
      <c r="AH15" s="9"/>
      <c r="AI15" s="9">
        <v>45473.774080000003</v>
      </c>
      <c r="AJ15" s="9"/>
      <c r="AK15" s="9"/>
      <c r="AL15" s="9"/>
      <c r="AM15" s="9"/>
      <c r="AN15" s="9"/>
      <c r="AO15" s="9"/>
      <c r="AP15" s="9"/>
      <c r="AQ15" s="9"/>
      <c r="AR15" s="9"/>
      <c r="AS15" s="9"/>
      <c r="AT15" s="9"/>
      <c r="AU15" s="9"/>
      <c r="AV15" s="9"/>
      <c r="AW15" s="9"/>
      <c r="AX15" s="9">
        <v>543953.69134999998</v>
      </c>
    </row>
    <row r="16" spans="1:50" x14ac:dyDescent="0.3">
      <c r="A16" s="26" t="s">
        <v>2144</v>
      </c>
      <c r="B16" s="9">
        <v>16061.972879999999</v>
      </c>
      <c r="C16" s="9"/>
      <c r="D16" s="9">
        <v>57147.750979999997</v>
      </c>
      <c r="E16" s="9"/>
      <c r="F16" s="9">
        <v>12692.30702</v>
      </c>
      <c r="G16" s="9">
        <v>40126.852719999995</v>
      </c>
      <c r="H16" s="9">
        <v>61471.696859999996</v>
      </c>
      <c r="I16" s="9">
        <v>78121.070599999992</v>
      </c>
      <c r="J16" s="9">
        <v>25948.414799999995</v>
      </c>
      <c r="K16" s="9">
        <v>30799.273800000003</v>
      </c>
      <c r="L16" s="9">
        <v>100797.83405999999</v>
      </c>
      <c r="M16" s="9">
        <v>12031.491680000001</v>
      </c>
      <c r="N16" s="9"/>
      <c r="O16" s="9">
        <v>79406.784939999983</v>
      </c>
      <c r="P16" s="9">
        <v>5960.3340000000007</v>
      </c>
      <c r="Q16" s="9">
        <v>50004.492100000003</v>
      </c>
      <c r="R16" s="9"/>
      <c r="S16" s="9"/>
      <c r="T16" s="9">
        <v>17235.450850000001</v>
      </c>
      <c r="U16" s="9">
        <v>14752.706080000002</v>
      </c>
      <c r="V16" s="9"/>
      <c r="W16" s="9">
        <v>34475.352080000004</v>
      </c>
      <c r="X16" s="9"/>
      <c r="Y16" s="9"/>
      <c r="Z16" s="9"/>
      <c r="AA16" s="9">
        <v>29673.454499999993</v>
      </c>
      <c r="AB16" s="9"/>
      <c r="AC16" s="9"/>
      <c r="AD16" s="9">
        <v>40476.013200000001</v>
      </c>
      <c r="AE16" s="9"/>
      <c r="AF16" s="9"/>
      <c r="AG16" s="9"/>
      <c r="AH16" s="9"/>
      <c r="AI16" s="9"/>
      <c r="AJ16" s="9">
        <v>14466.95104</v>
      </c>
      <c r="AK16" s="9"/>
      <c r="AL16" s="9"/>
      <c r="AM16" s="9"/>
      <c r="AN16" s="9"/>
      <c r="AO16" s="9"/>
      <c r="AP16" s="9"/>
      <c r="AQ16" s="9">
        <v>846.34703999999988</v>
      </c>
      <c r="AR16" s="9"/>
      <c r="AS16" s="9"/>
      <c r="AT16" s="9"/>
      <c r="AU16" s="9"/>
      <c r="AV16" s="9">
        <v>13983.752729999998</v>
      </c>
      <c r="AW16" s="9"/>
      <c r="AX16" s="9">
        <v>736480.30395999993</v>
      </c>
    </row>
    <row r="17" spans="1:50" x14ac:dyDescent="0.3">
      <c r="A17" s="26" t="s">
        <v>2127</v>
      </c>
      <c r="B17" s="9">
        <v>230706.84</v>
      </c>
      <c r="C17" s="9">
        <v>23870.771290000001</v>
      </c>
      <c r="D17" s="9">
        <v>621288.19851000002</v>
      </c>
      <c r="E17" s="9">
        <v>4141.7599999999993</v>
      </c>
      <c r="F17" s="9">
        <v>303393.30652000004</v>
      </c>
      <c r="G17" s="9">
        <v>777876.80021999998</v>
      </c>
      <c r="H17" s="9">
        <v>999367.15590000013</v>
      </c>
      <c r="I17" s="9">
        <v>468591.37586000003</v>
      </c>
      <c r="J17" s="9">
        <v>340376.05706999998</v>
      </c>
      <c r="K17" s="9">
        <v>862860.13744000008</v>
      </c>
      <c r="L17" s="9">
        <v>808951.09807000007</v>
      </c>
      <c r="M17" s="9">
        <v>132624.96257</v>
      </c>
      <c r="N17" s="9">
        <v>26150.364320000001</v>
      </c>
      <c r="O17" s="9">
        <v>748385.04594999994</v>
      </c>
      <c r="P17" s="9">
        <v>296222.09642999998</v>
      </c>
      <c r="Q17" s="9">
        <v>493851.14648</v>
      </c>
      <c r="R17" s="9">
        <v>243092.35887</v>
      </c>
      <c r="S17" s="9">
        <v>297910.79962000001</v>
      </c>
      <c r="T17" s="9">
        <v>354257.99752999999</v>
      </c>
      <c r="U17" s="9">
        <v>447916.17535999994</v>
      </c>
      <c r="V17" s="9">
        <v>94263.447870000004</v>
      </c>
      <c r="W17" s="9">
        <v>288485.80611</v>
      </c>
      <c r="X17" s="9">
        <v>355457.21830000001</v>
      </c>
      <c r="Y17" s="9">
        <v>94564.176960000012</v>
      </c>
      <c r="Z17" s="9">
        <v>110886.91118999998</v>
      </c>
      <c r="AA17" s="9">
        <v>224401.61754000001</v>
      </c>
      <c r="AB17" s="9">
        <v>172341.13866000003</v>
      </c>
      <c r="AC17" s="9">
        <v>85839.280099999989</v>
      </c>
      <c r="AD17" s="9">
        <v>60639.422400000003</v>
      </c>
      <c r="AE17" s="9">
        <v>191397.00995999997</v>
      </c>
      <c r="AF17" s="9">
        <v>209960.98993000001</v>
      </c>
      <c r="AG17" s="9">
        <v>17828.628000000001</v>
      </c>
      <c r="AH17" s="9">
        <v>80091.1054</v>
      </c>
      <c r="AI17" s="9">
        <v>87008.912680000009</v>
      </c>
      <c r="AJ17" s="9">
        <v>108192.58242999999</v>
      </c>
      <c r="AK17" s="9">
        <v>35710.088000000003</v>
      </c>
      <c r="AL17" s="9">
        <v>39672.174020000006</v>
      </c>
      <c r="AM17" s="9">
        <v>31252.496029999998</v>
      </c>
      <c r="AN17" s="9">
        <v>10260.060159999999</v>
      </c>
      <c r="AO17" s="9">
        <v>18003.847679999999</v>
      </c>
      <c r="AP17" s="9">
        <v>9256.14</v>
      </c>
      <c r="AQ17" s="9">
        <v>846.34703999999988</v>
      </c>
      <c r="AR17" s="9">
        <v>25174.028880000002</v>
      </c>
      <c r="AS17" s="9">
        <v>41419.524249999995</v>
      </c>
      <c r="AT17" s="9">
        <v>2355.2113199999999</v>
      </c>
      <c r="AU17" s="9">
        <v>10693.88488</v>
      </c>
      <c r="AV17" s="9">
        <v>13983.752729999998</v>
      </c>
      <c r="AW17" s="9">
        <v>266.17821999999995</v>
      </c>
      <c r="AX17" s="9">
        <v>10902086.428749999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2DDB8-F371-4152-8A70-1741CB8A1FE4}">
  <dimension ref="A1:B11"/>
  <sheetViews>
    <sheetView workbookViewId="0">
      <selection activeCell="B6" sqref="B6"/>
    </sheetView>
  </sheetViews>
  <sheetFormatPr defaultRowHeight="14.4" x14ac:dyDescent="0.3"/>
  <cols>
    <col min="1" max="1" width="12.5546875" bestFit="1" customWidth="1"/>
    <col min="2" max="2" width="19.5546875" bestFit="1" customWidth="1"/>
    <col min="3" max="4" width="2.109375" bestFit="1" customWidth="1"/>
    <col min="5" max="5" width="10.77734375" bestFit="1" customWidth="1"/>
  </cols>
  <sheetData>
    <row r="1" spans="1:2" x14ac:dyDescent="0.3">
      <c r="A1" s="25" t="s">
        <v>2147</v>
      </c>
      <c r="B1" t="s">
        <v>2131</v>
      </c>
    </row>
    <row r="3" spans="1:2" x14ac:dyDescent="0.3">
      <c r="A3" s="25" t="s">
        <v>2126</v>
      </c>
      <c r="B3" t="s">
        <v>2130</v>
      </c>
    </row>
    <row r="4" spans="1:2" x14ac:dyDescent="0.3">
      <c r="A4" s="26" t="s">
        <v>733</v>
      </c>
      <c r="B4" s="9">
        <v>1304889.6283200001</v>
      </c>
    </row>
    <row r="5" spans="1:2" x14ac:dyDescent="0.3">
      <c r="A5" s="26" t="s">
        <v>727</v>
      </c>
      <c r="B5" s="9">
        <v>1545646.9975800004</v>
      </c>
    </row>
    <row r="6" spans="1:2" x14ac:dyDescent="0.3">
      <c r="A6" s="26" t="s">
        <v>731</v>
      </c>
      <c r="B6" s="9">
        <v>1711094.3775999991</v>
      </c>
    </row>
    <row r="7" spans="1:2" x14ac:dyDescent="0.3">
      <c r="A7" s="26" t="s">
        <v>732</v>
      </c>
      <c r="B7" s="9">
        <v>1551152.7018699998</v>
      </c>
    </row>
    <row r="8" spans="1:2" x14ac:dyDescent="0.3">
      <c r="A8" s="26" t="s">
        <v>729</v>
      </c>
      <c r="B8" s="9">
        <v>1774358.6154199999</v>
      </c>
    </row>
    <row r="9" spans="1:2" x14ac:dyDescent="0.3">
      <c r="A9" s="26" t="s">
        <v>730</v>
      </c>
      <c r="B9" s="9">
        <v>1398841.4533000011</v>
      </c>
    </row>
    <row r="10" spans="1:2" x14ac:dyDescent="0.3">
      <c r="A10" s="26" t="s">
        <v>728</v>
      </c>
      <c r="B10" s="9">
        <v>1616102.6546600002</v>
      </c>
    </row>
    <row r="11" spans="1:2" x14ac:dyDescent="0.3">
      <c r="A11" s="26" t="s">
        <v>2127</v>
      </c>
      <c r="B11" s="9">
        <v>10902086.428749999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1243-9455-46BC-B601-5B81B131AA58}">
  <dimension ref="A1:D20"/>
  <sheetViews>
    <sheetView topLeftCell="A11" workbookViewId="0">
      <selection activeCell="D8" sqref="D8"/>
    </sheetView>
  </sheetViews>
  <sheetFormatPr defaultRowHeight="14.4" x14ac:dyDescent="0.3"/>
  <cols>
    <col min="1" max="1" width="12.5546875" bestFit="1" customWidth="1"/>
    <col min="2" max="2" width="15.44140625" bestFit="1" customWidth="1"/>
    <col min="3" max="3" width="19.5546875" bestFit="1" customWidth="1"/>
    <col min="4" max="4" width="16.77734375" bestFit="1" customWidth="1"/>
  </cols>
  <sheetData>
    <row r="1" spans="1:4" x14ac:dyDescent="0.3">
      <c r="A1" s="25" t="s">
        <v>2072</v>
      </c>
      <c r="B1" t="s">
        <v>2131</v>
      </c>
    </row>
    <row r="3" spans="1:4" x14ac:dyDescent="0.3">
      <c r="A3" s="25" t="s">
        <v>2126</v>
      </c>
      <c r="B3" t="s">
        <v>2148</v>
      </c>
      <c r="C3" t="s">
        <v>2130</v>
      </c>
      <c r="D3" t="s">
        <v>2149</v>
      </c>
    </row>
    <row r="4" spans="1:4" x14ac:dyDescent="0.3">
      <c r="A4" s="26" t="s">
        <v>720</v>
      </c>
      <c r="B4" s="28">
        <v>46</v>
      </c>
      <c r="C4" s="9">
        <v>877159.52092999977</v>
      </c>
      <c r="D4" s="9">
        <v>281944.47093000001</v>
      </c>
    </row>
    <row r="5" spans="1:4" x14ac:dyDescent="0.3">
      <c r="A5" s="26" t="s">
        <v>717</v>
      </c>
      <c r="B5" s="28">
        <v>47</v>
      </c>
      <c r="C5" s="9">
        <v>866976.37309999997</v>
      </c>
      <c r="D5" s="9">
        <v>320763.18309999997</v>
      </c>
    </row>
    <row r="6" spans="1:4" x14ac:dyDescent="0.3">
      <c r="A6" s="26" t="s">
        <v>712</v>
      </c>
      <c r="B6" s="28">
        <v>37</v>
      </c>
      <c r="C6" s="9">
        <v>685111.85991999996</v>
      </c>
      <c r="D6" s="9">
        <v>225695.01991999999</v>
      </c>
    </row>
    <row r="7" spans="1:4" x14ac:dyDescent="0.3">
      <c r="A7" s="26" t="s">
        <v>726</v>
      </c>
      <c r="B7" s="28">
        <v>38</v>
      </c>
      <c r="C7" s="9">
        <v>576820.19091</v>
      </c>
      <c r="D7" s="9">
        <v>151076.93091000005</v>
      </c>
    </row>
    <row r="8" spans="1:4" x14ac:dyDescent="0.3">
      <c r="A8" s="26" t="s">
        <v>718</v>
      </c>
      <c r="B8" s="28">
        <v>34</v>
      </c>
      <c r="C8" s="9">
        <v>543846.44053000002</v>
      </c>
      <c r="D8" s="9">
        <v>204981.34053000004</v>
      </c>
    </row>
    <row r="9" spans="1:4" x14ac:dyDescent="0.3">
      <c r="A9" s="26" t="s">
        <v>721</v>
      </c>
      <c r="B9" s="28">
        <v>51</v>
      </c>
      <c r="C9" s="9">
        <v>812637.17231999978</v>
      </c>
      <c r="D9" s="9">
        <v>251733.01232000004</v>
      </c>
    </row>
    <row r="10" spans="1:4" x14ac:dyDescent="0.3">
      <c r="A10" s="26" t="s">
        <v>715</v>
      </c>
      <c r="B10" s="28">
        <v>30</v>
      </c>
      <c r="C10" s="9">
        <v>510653.71305000014</v>
      </c>
      <c r="D10" s="9">
        <v>172441.87305000005</v>
      </c>
    </row>
    <row r="11" spans="1:4" x14ac:dyDescent="0.3">
      <c r="A11" s="26" t="s">
        <v>722</v>
      </c>
      <c r="B11" s="28">
        <v>45</v>
      </c>
      <c r="C11" s="9">
        <v>697568.29853000003</v>
      </c>
      <c r="D11" s="9">
        <v>137020.80852999998</v>
      </c>
    </row>
    <row r="12" spans="1:4" x14ac:dyDescent="0.3">
      <c r="A12" s="26" t="s">
        <v>714</v>
      </c>
      <c r="B12" s="28">
        <v>38</v>
      </c>
      <c r="C12" s="9">
        <v>541165.67181999993</v>
      </c>
      <c r="D12" s="9">
        <v>140021.69181999998</v>
      </c>
    </row>
    <row r="13" spans="1:4" x14ac:dyDescent="0.3">
      <c r="A13" s="26" t="s">
        <v>713</v>
      </c>
      <c r="B13" s="28">
        <v>50</v>
      </c>
      <c r="C13" s="9">
        <v>802384.6622799997</v>
      </c>
      <c r="D13" s="9">
        <v>273113.11228</v>
      </c>
    </row>
    <row r="14" spans="1:4" x14ac:dyDescent="0.3">
      <c r="A14" s="26" t="s">
        <v>723</v>
      </c>
      <c r="B14" s="28">
        <v>44</v>
      </c>
      <c r="C14" s="9">
        <v>883348.1293599999</v>
      </c>
      <c r="D14" s="9">
        <v>278762.26935999998</v>
      </c>
    </row>
    <row r="15" spans="1:4" x14ac:dyDescent="0.3">
      <c r="A15" s="26" t="s">
        <v>716</v>
      </c>
      <c r="B15" s="28">
        <v>46</v>
      </c>
      <c r="C15" s="9">
        <v>853038.52344999986</v>
      </c>
      <c r="D15" s="9">
        <v>269716.55345000006</v>
      </c>
    </row>
    <row r="16" spans="1:4" x14ac:dyDescent="0.3">
      <c r="A16" s="26" t="s">
        <v>724</v>
      </c>
      <c r="B16" s="28">
        <v>48</v>
      </c>
      <c r="C16" s="9">
        <v>966298.9875499995</v>
      </c>
      <c r="D16" s="9">
        <v>302657.05754999985</v>
      </c>
    </row>
    <row r="17" spans="1:4" x14ac:dyDescent="0.3">
      <c r="A17" s="26" t="s">
        <v>725</v>
      </c>
      <c r="B17" s="28">
        <v>32</v>
      </c>
      <c r="C17" s="9">
        <v>388325.13659000001</v>
      </c>
      <c r="D17" s="9">
        <v>110646.45659</v>
      </c>
    </row>
    <row r="18" spans="1:4" x14ac:dyDescent="0.3">
      <c r="A18" s="26" t="s">
        <v>2057</v>
      </c>
      <c r="B18" s="28">
        <v>8</v>
      </c>
      <c r="C18" s="9">
        <v>249026.85146999999</v>
      </c>
      <c r="D18" s="9">
        <v>100098.00146999997</v>
      </c>
    </row>
    <row r="19" spans="1:4" x14ac:dyDescent="0.3">
      <c r="A19" s="26" t="s">
        <v>719</v>
      </c>
      <c r="B19" s="28">
        <v>37</v>
      </c>
      <c r="C19" s="9">
        <v>647724.89694000001</v>
      </c>
      <c r="D19" s="9">
        <v>185219.43694000004</v>
      </c>
    </row>
    <row r="20" spans="1:4" x14ac:dyDescent="0.3">
      <c r="A20" s="26" t="s">
        <v>2127</v>
      </c>
      <c r="B20" s="28">
        <v>631</v>
      </c>
      <c r="C20" s="9">
        <v>10902086.428749986</v>
      </c>
      <c r="D20" s="9">
        <v>3405891.2187499986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8FBF-6439-4223-8F57-2721EE532154}">
  <dimension ref="A3:B32"/>
  <sheetViews>
    <sheetView topLeftCell="A10" workbookViewId="0">
      <selection activeCell="B6" sqref="B6"/>
    </sheetView>
  </sheetViews>
  <sheetFormatPr defaultRowHeight="14.4" x14ac:dyDescent="0.3"/>
  <cols>
    <col min="1" max="1" width="15.77734375" bestFit="1" customWidth="1"/>
    <col min="2" max="2" width="19.5546875" bestFit="1" customWidth="1"/>
  </cols>
  <sheetData>
    <row r="3" spans="1:2" x14ac:dyDescent="0.3">
      <c r="A3" s="25" t="s">
        <v>2126</v>
      </c>
      <c r="B3" t="s">
        <v>2130</v>
      </c>
    </row>
    <row r="4" spans="1:2" x14ac:dyDescent="0.3">
      <c r="A4" s="26" t="s">
        <v>646</v>
      </c>
      <c r="B4" s="9">
        <v>2597635.8414999996</v>
      </c>
    </row>
    <row r="5" spans="1:2" x14ac:dyDescent="0.3">
      <c r="A5" s="27" t="s">
        <v>711</v>
      </c>
      <c r="B5" s="9">
        <v>461428.95969999989</v>
      </c>
    </row>
    <row r="6" spans="1:2" x14ac:dyDescent="0.3">
      <c r="A6" s="27" t="s">
        <v>710</v>
      </c>
      <c r="B6" s="9">
        <v>623894.11206999992</v>
      </c>
    </row>
    <row r="7" spans="1:2" x14ac:dyDescent="0.3">
      <c r="A7" s="27" t="s">
        <v>709</v>
      </c>
      <c r="B7" s="9">
        <v>527467.87456000003</v>
      </c>
    </row>
    <row r="8" spans="1:2" x14ac:dyDescent="0.3">
      <c r="A8" s="27" t="s">
        <v>2057</v>
      </c>
      <c r="B8" s="9">
        <v>32716.924230000001</v>
      </c>
    </row>
    <row r="9" spans="1:2" x14ac:dyDescent="0.3">
      <c r="A9" s="27" t="s">
        <v>708</v>
      </c>
      <c r="B9" s="9">
        <v>433406.33626999997</v>
      </c>
    </row>
    <row r="10" spans="1:2" x14ac:dyDescent="0.3">
      <c r="A10" s="27" t="s">
        <v>707</v>
      </c>
      <c r="B10" s="9">
        <v>518721.63467</v>
      </c>
    </row>
    <row r="11" spans="1:2" x14ac:dyDescent="0.3">
      <c r="A11" s="26" t="s">
        <v>648</v>
      </c>
      <c r="B11" s="9">
        <v>2688750.0213400004</v>
      </c>
    </row>
    <row r="12" spans="1:2" x14ac:dyDescent="0.3">
      <c r="A12" s="27" t="s">
        <v>711</v>
      </c>
      <c r="B12" s="9">
        <v>751887.68591000012</v>
      </c>
    </row>
    <row r="13" spans="1:2" x14ac:dyDescent="0.3">
      <c r="A13" s="27" t="s">
        <v>710</v>
      </c>
      <c r="B13" s="9">
        <v>568425.23432000005</v>
      </c>
    </row>
    <row r="14" spans="1:2" x14ac:dyDescent="0.3">
      <c r="A14" s="27" t="s">
        <v>709</v>
      </c>
      <c r="B14" s="9">
        <v>366375.92751999997</v>
      </c>
    </row>
    <row r="15" spans="1:2" x14ac:dyDescent="0.3">
      <c r="A15" s="27" t="s">
        <v>2057</v>
      </c>
      <c r="B15" s="9">
        <v>9256.14</v>
      </c>
    </row>
    <row r="16" spans="1:2" x14ac:dyDescent="0.3">
      <c r="A16" s="27" t="s">
        <v>708</v>
      </c>
      <c r="B16" s="9">
        <v>689951.45437000017</v>
      </c>
    </row>
    <row r="17" spans="1:2" x14ac:dyDescent="0.3">
      <c r="A17" s="27" t="s">
        <v>707</v>
      </c>
      <c r="B17" s="9">
        <v>302853.57922000001</v>
      </c>
    </row>
    <row r="18" spans="1:2" x14ac:dyDescent="0.3">
      <c r="A18" s="26" t="s">
        <v>647</v>
      </c>
      <c r="B18" s="9">
        <v>2814712.6299000001</v>
      </c>
    </row>
    <row r="19" spans="1:2" x14ac:dyDescent="0.3">
      <c r="A19" s="27" t="s">
        <v>711</v>
      </c>
      <c r="B19" s="9">
        <v>642428.78857999993</v>
      </c>
    </row>
    <row r="20" spans="1:2" x14ac:dyDescent="0.3">
      <c r="A20" s="27" t="s">
        <v>710</v>
      </c>
      <c r="B20" s="9">
        <v>509418.80598999996</v>
      </c>
    </row>
    <row r="21" spans="1:2" x14ac:dyDescent="0.3">
      <c r="A21" s="27" t="s">
        <v>709</v>
      </c>
      <c r="B21" s="9">
        <v>541441.73805999989</v>
      </c>
    </row>
    <row r="22" spans="1:2" x14ac:dyDescent="0.3">
      <c r="A22" s="27" t="s">
        <v>2057</v>
      </c>
      <c r="B22" s="9">
        <v>41379.395489999995</v>
      </c>
    </row>
    <row r="23" spans="1:2" x14ac:dyDescent="0.3">
      <c r="A23" s="27" t="s">
        <v>708</v>
      </c>
      <c r="B23" s="9">
        <v>413661.50969000004</v>
      </c>
    </row>
    <row r="24" spans="1:2" x14ac:dyDescent="0.3">
      <c r="A24" s="27" t="s">
        <v>707</v>
      </c>
      <c r="B24" s="9">
        <v>666382.39208999998</v>
      </c>
    </row>
    <row r="25" spans="1:2" x14ac:dyDescent="0.3">
      <c r="A25" s="26" t="s">
        <v>649</v>
      </c>
      <c r="B25" s="9">
        <v>2800987.9360099998</v>
      </c>
    </row>
    <row r="26" spans="1:2" x14ac:dyDescent="0.3">
      <c r="A26" s="27" t="s">
        <v>711</v>
      </c>
      <c r="B26" s="9">
        <v>842614.45203999989</v>
      </c>
    </row>
    <row r="27" spans="1:2" x14ac:dyDescent="0.3">
      <c r="A27" s="27" t="s">
        <v>710</v>
      </c>
      <c r="B27" s="9">
        <v>318736.67219999997</v>
      </c>
    </row>
    <row r="28" spans="1:2" x14ac:dyDescent="0.3">
      <c r="A28" s="27" t="s">
        <v>709</v>
      </c>
      <c r="B28" s="9">
        <v>569676.53024999984</v>
      </c>
    </row>
    <row r="29" spans="1:2" x14ac:dyDescent="0.3">
      <c r="A29" s="27" t="s">
        <v>2057</v>
      </c>
      <c r="B29" s="9">
        <v>18050.446459999999</v>
      </c>
    </row>
    <row r="30" spans="1:2" x14ac:dyDescent="0.3">
      <c r="A30" s="27" t="s">
        <v>708</v>
      </c>
      <c r="B30" s="9">
        <v>585406.72276999988</v>
      </c>
    </row>
    <row r="31" spans="1:2" x14ac:dyDescent="0.3">
      <c r="A31" s="27" t="s">
        <v>707</v>
      </c>
      <c r="B31" s="9">
        <v>466503.11229000008</v>
      </c>
    </row>
    <row r="32" spans="1:2" x14ac:dyDescent="0.3">
      <c r="A32" s="26" t="s">
        <v>2127</v>
      </c>
      <c r="B32" s="9">
        <v>10902086.428749999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CCA7-CF56-43E7-BB16-2FBF29BE00E7}">
  <dimension ref="A2:J18"/>
  <sheetViews>
    <sheetView workbookViewId="0">
      <selection activeCell="L10" sqref="L10"/>
    </sheetView>
  </sheetViews>
  <sheetFormatPr defaultRowHeight="14.4" x14ac:dyDescent="0.3"/>
  <cols>
    <col min="1" max="1" width="21.88671875" bestFit="1" customWidth="1"/>
    <col min="2" max="2" width="15.5546875" bestFit="1" customWidth="1"/>
    <col min="3" max="3" width="11.77734375" bestFit="1" customWidth="1"/>
    <col min="4" max="4" width="8" bestFit="1" customWidth="1"/>
    <col min="5" max="5" width="8.6640625" bestFit="1" customWidth="1"/>
    <col min="6" max="6" width="10.77734375" bestFit="1" customWidth="1"/>
    <col min="7" max="8" width="8" bestFit="1" customWidth="1"/>
    <col min="9" max="9" width="10.77734375" bestFit="1" customWidth="1"/>
    <col min="10" max="10" width="21.109375" bestFit="1" customWidth="1"/>
    <col min="11" max="11" width="21.88671875" bestFit="1" customWidth="1"/>
    <col min="12" max="12" width="21.109375" bestFit="1" customWidth="1"/>
    <col min="13" max="13" width="21.88671875" bestFit="1" customWidth="1"/>
    <col min="14" max="14" width="21.109375" bestFit="1" customWidth="1"/>
    <col min="15" max="15" width="21.88671875" bestFit="1" customWidth="1"/>
    <col min="16" max="16" width="26" bestFit="1" customWidth="1"/>
    <col min="17" max="17" width="26.6640625" bestFit="1" customWidth="1"/>
    <col min="18" max="18" width="2" bestFit="1" customWidth="1"/>
    <col min="19" max="19" width="11.88671875" bestFit="1" customWidth="1"/>
    <col min="20" max="20" width="9.44140625" bestFit="1" customWidth="1"/>
    <col min="21" max="21" width="2" bestFit="1" customWidth="1"/>
    <col min="22" max="22" width="12.109375" bestFit="1" customWidth="1"/>
    <col min="23" max="23" width="10.77734375" bestFit="1" customWidth="1"/>
  </cols>
  <sheetData>
    <row r="2" spans="1:9" x14ac:dyDescent="0.3">
      <c r="A2" s="25" t="s">
        <v>2150</v>
      </c>
      <c r="B2" t="s">
        <v>2151</v>
      </c>
    </row>
    <row r="4" spans="1:9" x14ac:dyDescent="0.3">
      <c r="A4" s="25" t="s">
        <v>2152</v>
      </c>
      <c r="B4" s="25" t="s">
        <v>2132</v>
      </c>
    </row>
    <row r="5" spans="1:9" x14ac:dyDescent="0.3">
      <c r="A5" s="25" t="s">
        <v>2126</v>
      </c>
      <c r="B5" t="s">
        <v>733</v>
      </c>
      <c r="C5" t="s">
        <v>727</v>
      </c>
      <c r="D5" t="s">
        <v>731</v>
      </c>
      <c r="E5" t="s">
        <v>732</v>
      </c>
      <c r="F5" t="s">
        <v>729</v>
      </c>
      <c r="G5" t="s">
        <v>730</v>
      </c>
      <c r="H5" t="s">
        <v>728</v>
      </c>
      <c r="I5" t="s">
        <v>2127</v>
      </c>
    </row>
    <row r="6" spans="1:9" x14ac:dyDescent="0.3">
      <c r="A6" s="26" t="s">
        <v>655</v>
      </c>
      <c r="B6" s="11">
        <v>0.13333333333333333</v>
      </c>
      <c r="C6" s="11">
        <v>3.8461538461538464E-2</v>
      </c>
      <c r="D6" s="11">
        <v>0.04</v>
      </c>
      <c r="E6" s="11">
        <v>0.17647058823529413</v>
      </c>
      <c r="F6" s="11">
        <v>8.6956521739130432E-2</v>
      </c>
      <c r="G6" s="11">
        <v>0.26666666666666666</v>
      </c>
      <c r="H6" s="11">
        <v>8.6956521739130432E-2</v>
      </c>
      <c r="I6" s="11">
        <v>0.1069182389937107</v>
      </c>
    </row>
    <row r="7" spans="1:9" x14ac:dyDescent="0.3">
      <c r="A7" s="26" t="s">
        <v>653</v>
      </c>
      <c r="B7" s="11">
        <v>6.6666666666666666E-2</v>
      </c>
      <c r="C7" s="11">
        <v>0.11538461538461539</v>
      </c>
      <c r="D7" s="11">
        <v>0.08</v>
      </c>
      <c r="E7" s="11">
        <v>0</v>
      </c>
      <c r="F7" s="11">
        <v>0</v>
      </c>
      <c r="G7" s="11">
        <v>0</v>
      </c>
      <c r="H7" s="11">
        <v>4.3478260869565216E-2</v>
      </c>
      <c r="I7" s="11">
        <v>5.0314465408805034E-2</v>
      </c>
    </row>
    <row r="8" spans="1:9" x14ac:dyDescent="0.3">
      <c r="A8" s="26" t="s">
        <v>659</v>
      </c>
      <c r="B8" s="11">
        <v>0.1</v>
      </c>
      <c r="C8" s="11">
        <v>0</v>
      </c>
      <c r="D8" s="11">
        <v>0.04</v>
      </c>
      <c r="E8" s="11">
        <v>5.8823529411764705E-2</v>
      </c>
      <c r="F8" s="11">
        <v>0.17391304347826086</v>
      </c>
      <c r="G8" s="11">
        <v>6.6666666666666666E-2</v>
      </c>
      <c r="H8" s="11">
        <v>0</v>
      </c>
      <c r="I8" s="11">
        <v>6.2893081761006289E-2</v>
      </c>
    </row>
    <row r="9" spans="1:9" x14ac:dyDescent="0.3">
      <c r="A9" s="26" t="s">
        <v>657</v>
      </c>
      <c r="B9" s="11">
        <v>3.3333333333333333E-2</v>
      </c>
      <c r="C9" s="11">
        <v>0.11538461538461539</v>
      </c>
      <c r="D9" s="11">
        <v>0.04</v>
      </c>
      <c r="E9" s="11">
        <v>0.17647058823529413</v>
      </c>
      <c r="F9" s="11">
        <v>8.6956521739130432E-2</v>
      </c>
      <c r="G9" s="11">
        <v>0</v>
      </c>
      <c r="H9" s="11">
        <v>8.6956521739130432E-2</v>
      </c>
      <c r="I9" s="11">
        <v>7.5471698113207544E-2</v>
      </c>
    </row>
    <row r="10" spans="1:9" x14ac:dyDescent="0.3">
      <c r="A10" s="26" t="s">
        <v>656</v>
      </c>
      <c r="B10" s="11">
        <v>0.13333333333333333</v>
      </c>
      <c r="C10" s="11">
        <v>7.6923076923076927E-2</v>
      </c>
      <c r="D10" s="11">
        <v>0.04</v>
      </c>
      <c r="E10" s="11">
        <v>5.8823529411764705E-2</v>
      </c>
      <c r="F10" s="11">
        <v>4.3478260869565216E-2</v>
      </c>
      <c r="G10" s="11">
        <v>0</v>
      </c>
      <c r="H10" s="11">
        <v>4.3478260869565216E-2</v>
      </c>
      <c r="I10" s="11">
        <v>6.2893081761006289E-2</v>
      </c>
    </row>
    <row r="11" spans="1:9" x14ac:dyDescent="0.3">
      <c r="A11" s="26" t="s">
        <v>654</v>
      </c>
      <c r="B11" s="11">
        <v>6.6666666666666666E-2</v>
      </c>
      <c r="C11" s="11">
        <v>7.6923076923076927E-2</v>
      </c>
      <c r="D11" s="11">
        <v>0</v>
      </c>
      <c r="E11" s="11">
        <v>0.11764705882352941</v>
      </c>
      <c r="F11" s="11">
        <v>4.3478260869565216E-2</v>
      </c>
      <c r="G11" s="11">
        <v>0.13333333333333333</v>
      </c>
      <c r="H11" s="11">
        <v>8.6956521739130432E-2</v>
      </c>
      <c r="I11" s="11">
        <v>6.9182389937106917E-2</v>
      </c>
    </row>
    <row r="12" spans="1:9" x14ac:dyDescent="0.3">
      <c r="A12" s="26" t="s">
        <v>652</v>
      </c>
      <c r="B12" s="11">
        <v>3.3333333333333333E-2</v>
      </c>
      <c r="C12" s="11">
        <v>0.11538461538461539</v>
      </c>
      <c r="D12" s="11">
        <v>0.12</v>
      </c>
      <c r="E12" s="11">
        <v>0.11764705882352941</v>
      </c>
      <c r="F12" s="11">
        <v>4.3478260869565216E-2</v>
      </c>
      <c r="G12" s="11">
        <v>6.6666666666666666E-2</v>
      </c>
      <c r="H12" s="11">
        <v>0.13043478260869565</v>
      </c>
      <c r="I12" s="11">
        <v>8.8050314465408799E-2</v>
      </c>
    </row>
    <row r="13" spans="1:9" x14ac:dyDescent="0.3">
      <c r="A13" s="26" t="s">
        <v>650</v>
      </c>
      <c r="B13" s="11">
        <v>0.13333333333333333</v>
      </c>
      <c r="C13" s="11">
        <v>3.8461538461538464E-2</v>
      </c>
      <c r="D13" s="11">
        <v>0.28000000000000003</v>
      </c>
      <c r="E13" s="11">
        <v>0</v>
      </c>
      <c r="F13" s="11">
        <v>8.6956521739130432E-2</v>
      </c>
      <c r="G13" s="11">
        <v>0.13333333333333333</v>
      </c>
      <c r="H13" s="11">
        <v>4.3478260869565216E-2</v>
      </c>
      <c r="I13" s="11">
        <v>0.1069182389937107</v>
      </c>
    </row>
    <row r="14" spans="1:9" x14ac:dyDescent="0.3">
      <c r="A14" s="26" t="s">
        <v>651</v>
      </c>
      <c r="B14" s="11">
        <v>0.2</v>
      </c>
      <c r="C14" s="11">
        <v>7.6923076923076927E-2</v>
      </c>
      <c r="D14" s="11">
        <v>0.08</v>
      </c>
      <c r="E14" s="11">
        <v>0.11764705882352941</v>
      </c>
      <c r="F14" s="11">
        <v>4.3478260869565216E-2</v>
      </c>
      <c r="G14" s="11">
        <v>6.6666666666666666E-2</v>
      </c>
      <c r="H14" s="11">
        <v>0.13043478260869565</v>
      </c>
      <c r="I14" s="11">
        <v>0.1069182389937107</v>
      </c>
    </row>
    <row r="15" spans="1:9" x14ac:dyDescent="0.3">
      <c r="A15" s="26" t="s">
        <v>661</v>
      </c>
      <c r="B15" s="11">
        <v>6.6666666666666666E-2</v>
      </c>
      <c r="C15" s="11">
        <v>0.19230769230769232</v>
      </c>
      <c r="D15" s="11">
        <v>0.08</v>
      </c>
      <c r="E15" s="11">
        <v>0</v>
      </c>
      <c r="F15" s="11">
        <v>8.6956521739130432E-2</v>
      </c>
      <c r="G15" s="11">
        <v>0.13333333333333333</v>
      </c>
      <c r="H15" s="11">
        <v>4.3478260869565216E-2</v>
      </c>
      <c r="I15" s="11">
        <v>8.8050314465408799E-2</v>
      </c>
    </row>
    <row r="16" spans="1:9" x14ac:dyDescent="0.3">
      <c r="A16" s="26" t="s">
        <v>658</v>
      </c>
      <c r="B16" s="11">
        <v>3.3333333333333333E-2</v>
      </c>
      <c r="C16" s="11">
        <v>7.6923076923076927E-2</v>
      </c>
      <c r="D16" s="11">
        <v>0.16</v>
      </c>
      <c r="E16" s="11">
        <v>0.11764705882352941</v>
      </c>
      <c r="F16" s="11">
        <v>8.6956521739130432E-2</v>
      </c>
      <c r="G16" s="11">
        <v>6.6666666666666666E-2</v>
      </c>
      <c r="H16" s="11">
        <v>0.13043478260869565</v>
      </c>
      <c r="I16" s="11">
        <v>9.4339622641509441E-2</v>
      </c>
    </row>
    <row r="17" spans="1:10" x14ac:dyDescent="0.3">
      <c r="A17" s="26" t="s">
        <v>1425</v>
      </c>
      <c r="B17" s="11">
        <v>0</v>
      </c>
      <c r="C17" s="11">
        <v>7.6923076923076927E-2</v>
      </c>
      <c r="D17" s="11">
        <v>0.04</v>
      </c>
      <c r="E17" s="11">
        <v>5.8823529411764705E-2</v>
      </c>
      <c r="F17" s="11">
        <v>0.21739130434782608</v>
      </c>
      <c r="G17" s="11">
        <v>6.6666666666666666E-2</v>
      </c>
      <c r="H17" s="11">
        <v>0.17391304347826086</v>
      </c>
      <c r="I17" s="11">
        <v>8.8050314465408799E-2</v>
      </c>
      <c r="J17" s="11">
        <f>SUM(I6:I17)</f>
        <v>0.99999999999999989</v>
      </c>
    </row>
    <row r="18" spans="1:10" x14ac:dyDescent="0.3">
      <c r="A18" s="26" t="s">
        <v>2127</v>
      </c>
      <c r="B18" s="11">
        <v>1</v>
      </c>
      <c r="C18" s="11">
        <v>1</v>
      </c>
      <c r="D18" s="11">
        <v>1</v>
      </c>
      <c r="E18" s="11">
        <v>1</v>
      </c>
      <c r="F18" s="11">
        <v>1</v>
      </c>
      <c r="G18" s="11">
        <v>1</v>
      </c>
      <c r="H18" s="11">
        <v>1</v>
      </c>
      <c r="I18" s="11">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27FA3-8335-4519-8F67-2F34333B2CDD}">
  <dimension ref="A3:H9"/>
  <sheetViews>
    <sheetView topLeftCell="A24" workbookViewId="0">
      <selection activeCell="B6" sqref="B6"/>
    </sheetView>
  </sheetViews>
  <sheetFormatPr defaultRowHeight="14.4" x14ac:dyDescent="0.3"/>
  <cols>
    <col min="1" max="1" width="16.77734375" bestFit="1" customWidth="1"/>
    <col min="2" max="2" width="15.5546875" bestFit="1" customWidth="1"/>
    <col min="3" max="3" width="11.109375" bestFit="1" customWidth="1"/>
    <col min="4" max="4" width="11.5546875" bestFit="1" customWidth="1"/>
    <col min="5" max="5" width="12.109375" bestFit="1" customWidth="1"/>
    <col min="6" max="7" width="11.109375" bestFit="1" customWidth="1"/>
    <col min="8" max="8" width="12.6640625" bestFit="1" customWidth="1"/>
  </cols>
  <sheetData>
    <row r="3" spans="1:8" x14ac:dyDescent="0.3">
      <c r="A3" s="25" t="s">
        <v>2149</v>
      </c>
      <c r="B3" s="25" t="s">
        <v>2132</v>
      </c>
    </row>
    <row r="4" spans="1:8" x14ac:dyDescent="0.3">
      <c r="A4" s="25" t="s">
        <v>2126</v>
      </c>
      <c r="B4" t="s">
        <v>711</v>
      </c>
      <c r="C4" t="s">
        <v>710</v>
      </c>
      <c r="D4" t="s">
        <v>709</v>
      </c>
      <c r="E4" t="s">
        <v>2057</v>
      </c>
      <c r="F4" t="s">
        <v>708</v>
      </c>
      <c r="G4" t="s">
        <v>707</v>
      </c>
      <c r="H4" t="s">
        <v>2127</v>
      </c>
    </row>
    <row r="5" spans="1:8" x14ac:dyDescent="0.3">
      <c r="A5" s="26" t="s">
        <v>646</v>
      </c>
      <c r="B5" s="9">
        <v>177919.81969999999</v>
      </c>
      <c r="C5" s="9">
        <v>192042.35206999999</v>
      </c>
      <c r="D5" s="9">
        <v>164839.30455999999</v>
      </c>
      <c r="E5" s="9">
        <v>16237.344229999999</v>
      </c>
      <c r="F5" s="9">
        <v>145453.94626999996</v>
      </c>
      <c r="G5" s="9">
        <v>141171.08466999998</v>
      </c>
      <c r="H5" s="9">
        <v>837663.85149999999</v>
      </c>
    </row>
    <row r="6" spans="1:8" x14ac:dyDescent="0.3">
      <c r="A6" s="26" t="s">
        <v>648</v>
      </c>
      <c r="B6" s="9">
        <v>258674.92591000002</v>
      </c>
      <c r="C6" s="9">
        <v>175298.68431999997</v>
      </c>
      <c r="D6" s="9">
        <v>96609.647519999999</v>
      </c>
      <c r="E6" s="9">
        <v>777.95999999999913</v>
      </c>
      <c r="F6" s="9">
        <v>261943.84436999995</v>
      </c>
      <c r="G6" s="9">
        <v>69035.709220000004</v>
      </c>
      <c r="H6" s="9">
        <v>862340.77133999986</v>
      </c>
    </row>
    <row r="7" spans="1:8" x14ac:dyDescent="0.3">
      <c r="A7" s="26" t="s">
        <v>647</v>
      </c>
      <c r="B7" s="9">
        <v>229217.47858</v>
      </c>
      <c r="C7" s="9">
        <v>151146.74599000002</v>
      </c>
      <c r="D7" s="9">
        <v>128045.00806000001</v>
      </c>
      <c r="E7" s="9">
        <v>20547.545489999997</v>
      </c>
      <c r="F7" s="9">
        <v>149042.38968999998</v>
      </c>
      <c r="G7" s="9">
        <v>158051.77209000001</v>
      </c>
      <c r="H7" s="9">
        <v>836050.9399</v>
      </c>
    </row>
    <row r="8" spans="1:8" x14ac:dyDescent="0.3">
      <c r="A8" s="26" t="s">
        <v>649</v>
      </c>
      <c r="B8" s="9">
        <v>292716.95204</v>
      </c>
      <c r="C8" s="9">
        <v>105550.85220000002</v>
      </c>
      <c r="D8" s="9">
        <v>111692.81024999999</v>
      </c>
      <c r="E8" s="9">
        <v>8028.7064599999994</v>
      </c>
      <c r="F8" s="9">
        <v>200067.16276999997</v>
      </c>
      <c r="G8" s="9">
        <v>151779.17228999996</v>
      </c>
      <c r="H8" s="9">
        <v>869835.65601000004</v>
      </c>
    </row>
    <row r="9" spans="1:8" x14ac:dyDescent="0.3">
      <c r="A9" s="26" t="s">
        <v>2127</v>
      </c>
      <c r="B9" s="9">
        <v>958529.17622999998</v>
      </c>
      <c r="C9" s="9">
        <v>624038.63458000007</v>
      </c>
      <c r="D9" s="9">
        <v>501186.77038999996</v>
      </c>
      <c r="E9" s="9">
        <v>45591.55618</v>
      </c>
      <c r="F9" s="9">
        <v>756507.34309999982</v>
      </c>
      <c r="G9" s="9">
        <v>520037.73826999991</v>
      </c>
      <c r="H9" s="9">
        <v>3405891.21875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DFFC-10E7-4B50-B4DE-99F6F7B49A58}">
  <dimension ref="A3:B14"/>
  <sheetViews>
    <sheetView topLeftCell="A5" workbookViewId="0">
      <selection activeCell="B6" sqref="B6"/>
    </sheetView>
  </sheetViews>
  <sheetFormatPr defaultRowHeight="14.4" x14ac:dyDescent="0.3"/>
  <cols>
    <col min="1" max="1" width="12.5546875" bestFit="1" customWidth="1"/>
    <col min="2" max="2" width="19.5546875" bestFit="1" customWidth="1"/>
  </cols>
  <sheetData>
    <row r="3" spans="1:2" x14ac:dyDescent="0.3">
      <c r="A3" s="25" t="s">
        <v>2126</v>
      </c>
      <c r="B3" t="s">
        <v>2130</v>
      </c>
    </row>
    <row r="4" spans="1:2" x14ac:dyDescent="0.3">
      <c r="A4" s="26" t="s">
        <v>1891</v>
      </c>
      <c r="B4" s="9">
        <v>84136.119600000005</v>
      </c>
    </row>
    <row r="5" spans="1:2" x14ac:dyDescent="0.3">
      <c r="A5" s="26" t="s">
        <v>1664</v>
      </c>
      <c r="B5" s="9">
        <v>139277.83032000001</v>
      </c>
    </row>
    <row r="6" spans="1:2" x14ac:dyDescent="0.3">
      <c r="A6" s="26" t="s">
        <v>1789</v>
      </c>
      <c r="B6" s="9">
        <v>82514.711519999997</v>
      </c>
    </row>
    <row r="7" spans="1:2" x14ac:dyDescent="0.3">
      <c r="A7" s="26" t="s">
        <v>1848</v>
      </c>
      <c r="B7" s="9">
        <v>102122.94203999999</v>
      </c>
    </row>
    <row r="8" spans="1:2" x14ac:dyDescent="0.3">
      <c r="A8" s="26" t="s">
        <v>1568</v>
      </c>
      <c r="B8" s="9">
        <v>87404.929919999995</v>
      </c>
    </row>
    <row r="9" spans="1:2" x14ac:dyDescent="0.3">
      <c r="A9" s="26" t="s">
        <v>1593</v>
      </c>
      <c r="B9" s="9">
        <v>85637.740319999997</v>
      </c>
    </row>
    <row r="10" spans="1:2" x14ac:dyDescent="0.3">
      <c r="A10" s="26" t="s">
        <v>1603</v>
      </c>
      <c r="B10" s="9">
        <v>92715.25</v>
      </c>
    </row>
    <row r="11" spans="1:2" x14ac:dyDescent="0.3">
      <c r="A11" s="26" t="s">
        <v>1475</v>
      </c>
      <c r="B11" s="9">
        <v>109244</v>
      </c>
    </row>
    <row r="12" spans="1:2" x14ac:dyDescent="0.3">
      <c r="A12" s="26" t="s">
        <v>1703</v>
      </c>
      <c r="B12" s="9">
        <v>79548.755999999994</v>
      </c>
    </row>
    <row r="13" spans="1:2" x14ac:dyDescent="0.3">
      <c r="A13" s="26" t="s">
        <v>2038</v>
      </c>
      <c r="B13" s="9">
        <v>82141.339799999987</v>
      </c>
    </row>
    <row r="14" spans="1:2" x14ac:dyDescent="0.3">
      <c r="A14" s="26" t="s">
        <v>2127</v>
      </c>
      <c r="B14" s="9">
        <v>944743.61951999995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F066-478F-4C45-9119-28C42AE85684}">
  <dimension ref="A1"/>
  <sheetViews>
    <sheetView tabSelected="1" topLeftCell="A43" zoomScale="67" workbookViewId="0">
      <selection activeCell="Q17" sqref="Q17"/>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872B-476E-4922-98A4-40403D30FB00}">
  <dimension ref="A1:AK633"/>
  <sheetViews>
    <sheetView topLeftCell="J615" workbookViewId="0">
      <selection activeCell="L633" sqref="L633"/>
    </sheetView>
  </sheetViews>
  <sheetFormatPr defaultRowHeight="14.4" x14ac:dyDescent="0.3"/>
  <cols>
    <col min="1" max="1" width="16.109375" bestFit="1" customWidth="1"/>
    <col min="2" max="2" width="11.5546875" customWidth="1"/>
    <col min="3" max="3" width="9.21875" bestFit="1" customWidth="1"/>
    <col min="4" max="4" width="10.109375" customWidth="1"/>
    <col min="5" max="5" width="14.33203125" customWidth="1"/>
    <col min="6" max="6" width="12.109375" customWidth="1"/>
    <col min="7" max="7" width="19.33203125" customWidth="1"/>
    <col min="8" max="9" width="19.6640625" style="4" customWidth="1"/>
    <col min="10" max="10" width="17.6640625" style="13" customWidth="1"/>
    <col min="11" max="11" width="15" customWidth="1"/>
    <col min="12" max="12" width="8.6640625" style="30" customWidth="1"/>
    <col min="13" max="13" width="14" bestFit="1" customWidth="1"/>
    <col min="14" max="14" width="12.6640625" bestFit="1" customWidth="1"/>
    <col min="15" max="15" width="18.44140625" customWidth="1"/>
    <col min="16" max="16" width="11.6640625" bestFit="1" customWidth="1"/>
    <col min="17" max="17" width="12.88671875" customWidth="1"/>
    <col min="18" max="18" width="17.109375" customWidth="1"/>
    <col min="19" max="19" width="9.44140625" bestFit="1" customWidth="1"/>
    <col min="20" max="20" width="10.109375" customWidth="1"/>
    <col min="21" max="21" width="10.5546875" customWidth="1"/>
    <col min="22" max="22" width="12.44140625" customWidth="1"/>
    <col min="23" max="23" width="16" customWidth="1"/>
    <col min="24" max="24" width="15.44140625" customWidth="1"/>
    <col min="25" max="25" width="11.33203125" customWidth="1"/>
    <col min="26" max="26" width="6.21875" customWidth="1"/>
    <col min="27" max="27" width="12.88671875" customWidth="1"/>
    <col min="28" max="28" width="9.44140625" customWidth="1"/>
    <col min="29" max="29" width="10.21875" customWidth="1"/>
    <col min="30" max="30" width="14.77734375" customWidth="1"/>
    <col min="31" max="31" width="13.88671875" customWidth="1"/>
    <col min="32" max="32" width="12.109375" customWidth="1"/>
    <col min="33" max="33" width="15.21875" customWidth="1"/>
    <col min="34" max="34" width="15.109375" customWidth="1"/>
    <col min="35" max="35" width="8.88671875" style="11"/>
  </cols>
  <sheetData>
    <row r="1" spans="1:37" x14ac:dyDescent="0.3">
      <c r="A1" s="2" t="s">
        <v>0</v>
      </c>
      <c r="B1" s="16" t="s">
        <v>1</v>
      </c>
      <c r="C1" s="16" t="s">
        <v>2072</v>
      </c>
      <c r="D1" s="16" t="s">
        <v>2073</v>
      </c>
      <c r="E1" s="16" t="s">
        <v>2</v>
      </c>
      <c r="F1" s="2" t="s">
        <v>2061</v>
      </c>
      <c r="G1" s="16" t="s">
        <v>2062</v>
      </c>
      <c r="H1" s="16" t="s">
        <v>2128</v>
      </c>
      <c r="I1" s="16" t="s">
        <v>2153</v>
      </c>
      <c r="J1" s="24" t="s">
        <v>2129</v>
      </c>
      <c r="K1" s="24" t="s">
        <v>2063</v>
      </c>
      <c r="L1" s="29" t="s">
        <v>2150</v>
      </c>
      <c r="M1" s="15" t="s">
        <v>3</v>
      </c>
      <c r="N1" s="15" t="s">
        <v>4</v>
      </c>
      <c r="O1" s="15" t="s">
        <v>5</v>
      </c>
      <c r="P1" s="15" t="s">
        <v>6</v>
      </c>
      <c r="Q1" s="15" t="s">
        <v>7</v>
      </c>
      <c r="R1" s="15" t="s">
        <v>1427</v>
      </c>
      <c r="S1" s="15" t="s">
        <v>9</v>
      </c>
      <c r="T1" s="15" t="s">
        <v>10</v>
      </c>
      <c r="U1" s="17" t="s">
        <v>11</v>
      </c>
      <c r="V1" s="17" t="s">
        <v>12</v>
      </c>
      <c r="W1" s="17" t="s">
        <v>2059</v>
      </c>
      <c r="X1" s="17" t="s">
        <v>2075</v>
      </c>
      <c r="Y1" s="17" t="s">
        <v>2076</v>
      </c>
      <c r="Z1" s="17" t="s">
        <v>2077</v>
      </c>
      <c r="AA1" s="2" t="s">
        <v>2058</v>
      </c>
      <c r="AB1" s="18" t="s">
        <v>13</v>
      </c>
      <c r="AC1" s="2" t="s">
        <v>2060</v>
      </c>
      <c r="AD1" s="24" t="s">
        <v>14</v>
      </c>
      <c r="AE1" s="17" t="s">
        <v>2068</v>
      </c>
      <c r="AF1" s="2" t="s">
        <v>2069</v>
      </c>
      <c r="AG1" s="2" t="s">
        <v>2070</v>
      </c>
      <c r="AH1" s="18" t="s">
        <v>2071</v>
      </c>
      <c r="AI1" t="s">
        <v>2145</v>
      </c>
      <c r="AJ1" s="11" t="s">
        <v>2146</v>
      </c>
      <c r="AK1" t="s">
        <v>2147</v>
      </c>
    </row>
    <row r="2" spans="1:37" x14ac:dyDescent="0.3">
      <c r="A2" t="s">
        <v>15</v>
      </c>
      <c r="B2" s="4">
        <v>45362</v>
      </c>
      <c r="C2" s="4" t="s">
        <v>2079</v>
      </c>
      <c r="D2" s="4" t="s">
        <v>2080</v>
      </c>
      <c r="E2" s="4">
        <v>45388</v>
      </c>
      <c r="F2" t="s">
        <v>2064</v>
      </c>
      <c r="G2" s="4">
        <v>45388</v>
      </c>
      <c r="H2" s="4">
        <f>_xlfn.MINIFS(B2:B632, N2:N632, N2)</f>
        <v>44946</v>
      </c>
      <c r="I2" s="4" t="str">
        <f>TEXT(H2,"mmm-yyyy")</f>
        <v>Jan-2023</v>
      </c>
      <c r="J2" s="13">
        <f>DATEDIF(H2, B2, "m") + 1</f>
        <v>14</v>
      </c>
      <c r="K2" s="13">
        <v>26</v>
      </c>
      <c r="L2" s="30" t="str">
        <f>IF(Table2[[#This Row],[LeadTimeDays]]&lt;7,"1","0")</f>
        <v>0</v>
      </c>
      <c r="M2" s="7" t="s">
        <v>646</v>
      </c>
      <c r="N2" s="7" t="s">
        <v>650</v>
      </c>
      <c r="O2" s="7" t="s">
        <v>662</v>
      </c>
      <c r="P2" s="7" t="s">
        <v>701</v>
      </c>
      <c r="Q2" s="7" t="s">
        <v>707</v>
      </c>
      <c r="R2" s="7" t="s">
        <v>712</v>
      </c>
      <c r="S2" s="7" t="s">
        <v>727</v>
      </c>
      <c r="T2" s="7" t="s">
        <v>1428</v>
      </c>
      <c r="U2" s="9">
        <v>279.24</v>
      </c>
      <c r="V2" s="9">
        <v>608.9</v>
      </c>
      <c r="W2" s="9">
        <v>608.9</v>
      </c>
      <c r="X2" s="9">
        <v>824.57899999999995</v>
      </c>
      <c r="Y2" s="9">
        <v>1620.05</v>
      </c>
      <c r="Z2" s="9" t="s">
        <v>2081</v>
      </c>
      <c r="AA2" t="s">
        <v>2065</v>
      </c>
      <c r="AB2" s="11">
        <v>0.112</v>
      </c>
      <c r="AC2" t="s">
        <v>2065</v>
      </c>
      <c r="AD2" s="13">
        <v>9</v>
      </c>
      <c r="AE2" s="9">
        <v>4866.3287999999993</v>
      </c>
      <c r="AF2" s="9">
        <v>2513.16</v>
      </c>
      <c r="AG2" s="9">
        <v>2353.1687999999995</v>
      </c>
      <c r="AH2" s="11">
        <v>0.48356140670149533</v>
      </c>
      <c r="AI2" s="9">
        <f>SUMIFS(AE2:AE632, S2:S632, S2)</f>
        <v>1545646.9975800004</v>
      </c>
      <c r="AJ2" s="11">
        <f>SUMIFS(AE2:AE632, S2:S632, S2, AE2:AE632, "&gt;" &amp; AE2) / AI2</f>
        <v>0.97226055995506788</v>
      </c>
      <c r="AK2" s="7" t="str">
        <f>IF(AJ2&lt;=0.8,"A",IF(Table2[[#This Row],[Cumulative rev]]&lt;=0.95,"B","C"))</f>
        <v>C</v>
      </c>
    </row>
    <row r="3" spans="1:37" x14ac:dyDescent="0.3">
      <c r="A3" t="s">
        <v>16</v>
      </c>
      <c r="B3" s="4">
        <v>45588</v>
      </c>
      <c r="C3" s="4" t="s">
        <v>2082</v>
      </c>
      <c r="D3" s="4" t="s">
        <v>2083</v>
      </c>
      <c r="E3" s="4">
        <v>45587</v>
      </c>
      <c r="F3" t="s">
        <v>2066</v>
      </c>
      <c r="G3" s="4">
        <v>45588</v>
      </c>
      <c r="H3" s="4">
        <f>_xlfn.MINIFS(B3:B634, N3:N634, N3)</f>
        <v>44941</v>
      </c>
      <c r="I3" s="4" t="str">
        <f t="shared" ref="I3:I66" si="0">TEXT(H3,"mmm-yyyy")</f>
        <v>Jan-2023</v>
      </c>
      <c r="J3" s="13">
        <f t="shared" ref="J3:J66" si="1">DATEDIF(H3, B3, "m") + 1</f>
        <v>22</v>
      </c>
      <c r="K3" s="13">
        <v>0</v>
      </c>
      <c r="L3" s="30" t="str">
        <f>IF(Table2[[#This Row],[LeadTimeDays]]&lt;7,"1","0")</f>
        <v>1</v>
      </c>
      <c r="M3" s="7" t="s">
        <v>646</v>
      </c>
      <c r="N3" s="7" t="s">
        <v>651</v>
      </c>
      <c r="O3" s="7" t="s">
        <v>663</v>
      </c>
      <c r="P3" s="7" t="s">
        <v>702</v>
      </c>
      <c r="Q3" s="7" t="s">
        <v>708</v>
      </c>
      <c r="R3" s="7" t="s">
        <v>713</v>
      </c>
      <c r="S3" s="7" t="s">
        <v>728</v>
      </c>
      <c r="T3" s="7" t="s">
        <v>1429</v>
      </c>
      <c r="U3" s="9">
        <v>1084.3900000000001</v>
      </c>
      <c r="V3" s="9">
        <v>759.33</v>
      </c>
      <c r="W3" s="9">
        <v>759.33</v>
      </c>
      <c r="X3" s="9">
        <v>817.3959000000001</v>
      </c>
      <c r="Y3" s="9">
        <v>1621.1698000000001</v>
      </c>
      <c r="Z3" s="9" t="s">
        <v>2081</v>
      </c>
      <c r="AA3" t="s">
        <v>2065</v>
      </c>
      <c r="AB3" s="11">
        <v>0.23699999999999999</v>
      </c>
      <c r="AC3" t="s">
        <v>2065</v>
      </c>
      <c r="AD3" s="13">
        <v>31</v>
      </c>
      <c r="AE3" s="9">
        <v>17960.432489999999</v>
      </c>
      <c r="AF3" s="9">
        <v>33616.090000000004</v>
      </c>
      <c r="AG3" s="9">
        <v>-15655.657510000005</v>
      </c>
      <c r="AH3" s="11">
        <v>-0.87167486187856302</v>
      </c>
      <c r="AI3" s="9">
        <f>SUMIFS(AD3:AD634, R3:R634, S3)</f>
        <v>0</v>
      </c>
      <c r="AJ3" s="11" t="e">
        <f>SUMIFS(AD3:AD634, R3:R634, S3, AD3:AD634, "&gt;" &amp; AE3) / AI3</f>
        <v>#DIV/0!</v>
      </c>
      <c r="AK3" s="7" t="e">
        <f>IF(AJ3&lt;=0.8,"A",IF(Table2[[#This Row],[Cumulative rev]]&lt;=0.95,"B","C"))</f>
        <v>#DIV/0!</v>
      </c>
    </row>
    <row r="4" spans="1:37" x14ac:dyDescent="0.3">
      <c r="A4" t="s">
        <v>17</v>
      </c>
      <c r="B4" s="4">
        <v>44985</v>
      </c>
      <c r="C4" s="4" t="s">
        <v>2084</v>
      </c>
      <c r="D4" s="4" t="s">
        <v>2085</v>
      </c>
      <c r="E4" s="4">
        <v>45010</v>
      </c>
      <c r="F4" t="s">
        <v>2064</v>
      </c>
      <c r="G4" s="4">
        <v>45010</v>
      </c>
      <c r="H4" s="4">
        <f>_xlfn.MINIFS(B4:B635, N4:N635, N4)</f>
        <v>44946</v>
      </c>
      <c r="I4" s="4" t="str">
        <f t="shared" si="0"/>
        <v>Jan-2023</v>
      </c>
      <c r="J4" s="13">
        <f t="shared" si="1"/>
        <v>2</v>
      </c>
      <c r="K4" s="13">
        <v>25</v>
      </c>
      <c r="L4" s="30" t="str">
        <f>IF(Table2[[#This Row],[LeadTimeDays]]&lt;7,"1","0")</f>
        <v>0</v>
      </c>
      <c r="M4" s="7" t="s">
        <v>646</v>
      </c>
      <c r="N4" s="7" t="s">
        <v>650</v>
      </c>
      <c r="O4" s="7" t="s">
        <v>664</v>
      </c>
      <c r="P4" s="7" t="s">
        <v>701</v>
      </c>
      <c r="Q4" s="7" t="s">
        <v>707</v>
      </c>
      <c r="R4" s="7" t="s">
        <v>714</v>
      </c>
      <c r="S4" s="7" t="s">
        <v>729</v>
      </c>
      <c r="T4" s="7" t="s">
        <v>1430</v>
      </c>
      <c r="U4" s="9">
        <v>1460.76</v>
      </c>
      <c r="V4" s="9">
        <v>-30.66</v>
      </c>
      <c r="W4" s="9">
        <v>30.66</v>
      </c>
      <c r="X4" s="9">
        <v>820.30799999999999</v>
      </c>
      <c r="Y4" s="9">
        <v>1622.5536</v>
      </c>
      <c r="Z4" s="9" t="s">
        <v>2081</v>
      </c>
      <c r="AA4" t="s">
        <v>2067</v>
      </c>
      <c r="AB4" s="11">
        <v>0.13100000000000001</v>
      </c>
      <c r="AC4" t="s">
        <v>2065</v>
      </c>
      <c r="AD4" s="13">
        <v>12</v>
      </c>
      <c r="AE4" s="9">
        <v>319.72248000000002</v>
      </c>
      <c r="AF4" s="9">
        <v>17529.12</v>
      </c>
      <c r="AG4" s="9">
        <v>-17209.397519999999</v>
      </c>
      <c r="AH4" s="11">
        <v>-53.826047890032626</v>
      </c>
      <c r="AI4" s="9">
        <f>SUMIFS(AD4:AD635, R4:R635, S4)</f>
        <v>0</v>
      </c>
      <c r="AJ4" s="11" t="e">
        <f>SUMIFS(AD4:AD635, R4:R635, S4, AD4:AD635, "&gt;" &amp; AE4) / AI4</f>
        <v>#DIV/0!</v>
      </c>
      <c r="AK4" s="7" t="e">
        <f>IF(AJ4&lt;=0.8,"A",IF(Table2[[#This Row],[Cumulative rev]]&lt;=0.95,"B","C"))</f>
        <v>#DIV/0!</v>
      </c>
    </row>
    <row r="5" spans="1:37" x14ac:dyDescent="0.3">
      <c r="A5" t="s">
        <v>18</v>
      </c>
      <c r="B5" s="4">
        <v>45745</v>
      </c>
      <c r="C5" s="4" t="s">
        <v>2086</v>
      </c>
      <c r="D5" s="4" t="s">
        <v>2087</v>
      </c>
      <c r="E5" s="4">
        <v>45749</v>
      </c>
      <c r="F5" t="s">
        <v>2064</v>
      </c>
      <c r="G5" s="4">
        <v>45749</v>
      </c>
      <c r="H5" s="4">
        <f>_xlfn.MINIFS(B5:B636, N5:N636, N5)</f>
        <v>44941</v>
      </c>
      <c r="I5" s="4" t="str">
        <f t="shared" si="0"/>
        <v>Jan-2023</v>
      </c>
      <c r="J5" s="13">
        <f t="shared" si="1"/>
        <v>27</v>
      </c>
      <c r="K5" s="13">
        <v>4</v>
      </c>
      <c r="L5" s="30" t="str">
        <f>IF(Table2[[#This Row],[LeadTimeDays]]&lt;7,"1","0")</f>
        <v>1</v>
      </c>
      <c r="M5" s="7" t="s">
        <v>646</v>
      </c>
      <c r="N5" s="7" t="s">
        <v>651</v>
      </c>
      <c r="O5" s="7" t="s">
        <v>665</v>
      </c>
      <c r="P5" s="7" t="s">
        <v>703</v>
      </c>
      <c r="Q5" s="7" t="s">
        <v>709</v>
      </c>
      <c r="R5" s="7" t="s">
        <v>715</v>
      </c>
      <c r="S5" s="7" t="s">
        <v>730</v>
      </c>
      <c r="T5" s="7" t="s">
        <v>1431</v>
      </c>
      <c r="U5" s="9">
        <v>259.93</v>
      </c>
      <c r="V5" s="9">
        <v>255.94</v>
      </c>
      <c r="W5" s="9">
        <v>255.94</v>
      </c>
      <c r="X5" s="9">
        <v>823.79199999999992</v>
      </c>
      <c r="Y5" s="9">
        <v>1623.9374</v>
      </c>
      <c r="Z5" s="9" t="s">
        <v>2081</v>
      </c>
      <c r="AA5" t="s">
        <v>2065</v>
      </c>
      <c r="AB5" s="11">
        <v>7.1999999999999995E-2</v>
      </c>
      <c r="AC5" t="s">
        <v>2065</v>
      </c>
      <c r="AD5" s="13">
        <v>22</v>
      </c>
      <c r="AE5" s="9">
        <v>5225.2710400000005</v>
      </c>
      <c r="AF5" s="9">
        <v>5718.46</v>
      </c>
      <c r="AG5" s="9">
        <v>-493.1889599999995</v>
      </c>
      <c r="AH5" s="11">
        <v>-9.4385335463861311E-2</v>
      </c>
      <c r="AI5" s="9">
        <f>SUMIFS(AD5:AD636, R5:R636, S5)</f>
        <v>0</v>
      </c>
      <c r="AJ5" s="11" t="e">
        <f>SUMIFS(AD5:AD636, R5:R636, S5, AD5:AD636, "&gt;" &amp; AE5) / AI5</f>
        <v>#DIV/0!</v>
      </c>
      <c r="AK5" s="7" t="e">
        <f>IF(AJ5&lt;=0.8,"A",IF(Table2[[#This Row],[Cumulative rev]]&lt;=0.95,"B","C"))</f>
        <v>#DIV/0!</v>
      </c>
    </row>
    <row r="6" spans="1:37" x14ac:dyDescent="0.3">
      <c r="A6" t="s">
        <v>19</v>
      </c>
      <c r="B6" s="4">
        <v>45266</v>
      </c>
      <c r="C6" s="4" t="s">
        <v>2088</v>
      </c>
      <c r="D6" s="4" t="s">
        <v>2089</v>
      </c>
      <c r="E6" s="4">
        <v>45291</v>
      </c>
      <c r="F6" t="s">
        <v>2064</v>
      </c>
      <c r="G6" s="4">
        <v>45291</v>
      </c>
      <c r="H6" s="4">
        <f>_xlfn.MINIFS(B6:B637, N6:N637, N6)</f>
        <v>44988</v>
      </c>
      <c r="I6" s="4" t="str">
        <f t="shared" si="0"/>
        <v>Mar-2023</v>
      </c>
      <c r="J6" s="13">
        <f t="shared" si="1"/>
        <v>10</v>
      </c>
      <c r="K6" s="13">
        <v>25</v>
      </c>
      <c r="L6" s="30" t="str">
        <f>IF(Table2[[#This Row],[LeadTimeDays]]&lt;7,"1","0")</f>
        <v>0</v>
      </c>
      <c r="M6" s="7" t="s">
        <v>647</v>
      </c>
      <c r="N6" s="7" t="s">
        <v>652</v>
      </c>
      <c r="O6" s="7" t="s">
        <v>666</v>
      </c>
      <c r="P6" s="7" t="s">
        <v>704</v>
      </c>
      <c r="Q6" s="7" t="s">
        <v>707</v>
      </c>
      <c r="R6" s="7" t="s">
        <v>716</v>
      </c>
      <c r="S6" s="7" t="s">
        <v>728</v>
      </c>
      <c r="T6" s="7" t="s">
        <v>1432</v>
      </c>
      <c r="U6" s="9">
        <v>663.03</v>
      </c>
      <c r="V6" s="9">
        <v>813.51</v>
      </c>
      <c r="W6" s="9">
        <v>813.51</v>
      </c>
      <c r="X6" s="9">
        <v>824.57899999999995</v>
      </c>
      <c r="Y6" s="9">
        <v>1624.7900000000002</v>
      </c>
      <c r="Z6" s="9" t="s">
        <v>2081</v>
      </c>
      <c r="AA6" t="s">
        <v>2065</v>
      </c>
      <c r="AB6" s="11">
        <v>0.10199999999999999</v>
      </c>
      <c r="AC6" t="s">
        <v>2065</v>
      </c>
      <c r="AD6" s="13">
        <v>15</v>
      </c>
      <c r="AE6" s="9">
        <v>10957.9797</v>
      </c>
      <c r="AF6" s="9">
        <v>9945.4499999999989</v>
      </c>
      <c r="AG6" s="9">
        <v>1012.529700000001</v>
      </c>
      <c r="AH6" s="11">
        <v>9.2401129379715952E-2</v>
      </c>
      <c r="AI6" s="9">
        <f>SUMIFS(AD6:AD637, R6:R637, S6)</f>
        <v>0</v>
      </c>
      <c r="AJ6" s="11" t="e">
        <f>SUMIFS(AD6:AD637, R6:R637, S6, AD6:AD637, "&gt;" &amp; AE6) / AI6</f>
        <v>#DIV/0!</v>
      </c>
      <c r="AK6" s="7" t="e">
        <f>IF(AJ6&lt;=0.8,"A",IF(Table2[[#This Row],[Cumulative rev]]&lt;=0.95,"B","C"))</f>
        <v>#DIV/0!</v>
      </c>
    </row>
    <row r="7" spans="1:37" x14ac:dyDescent="0.3">
      <c r="A7" t="s">
        <v>20</v>
      </c>
      <c r="B7" s="4">
        <v>44928</v>
      </c>
      <c r="C7" s="4" t="s">
        <v>2090</v>
      </c>
      <c r="D7" s="4" t="s">
        <v>2085</v>
      </c>
      <c r="E7" s="4">
        <v>44931</v>
      </c>
      <c r="F7" t="s">
        <v>2064</v>
      </c>
      <c r="G7" s="4">
        <v>44931</v>
      </c>
      <c r="H7" s="4">
        <f>_xlfn.MINIFS(B7:B638, N7:N638, N7)</f>
        <v>44928</v>
      </c>
      <c r="I7" s="4" t="str">
        <f t="shared" si="0"/>
        <v>Jan-2023</v>
      </c>
      <c r="J7" s="13">
        <f t="shared" si="1"/>
        <v>1</v>
      </c>
      <c r="K7" s="13">
        <v>3</v>
      </c>
      <c r="L7" s="30" t="str">
        <f>IF(Table2[[#This Row],[LeadTimeDays]]&lt;7,"1","0")</f>
        <v>1</v>
      </c>
      <c r="M7" s="7" t="s">
        <v>648</v>
      </c>
      <c r="N7" s="7" t="s">
        <v>653</v>
      </c>
      <c r="O7" s="7" t="s">
        <v>667</v>
      </c>
      <c r="P7" s="7" t="s">
        <v>701</v>
      </c>
      <c r="Q7" s="7" t="s">
        <v>710</v>
      </c>
      <c r="R7" s="7" t="s">
        <v>717</v>
      </c>
      <c r="S7" s="7" t="s">
        <v>731</v>
      </c>
      <c r="T7" s="7" t="s">
        <v>1433</v>
      </c>
      <c r="U7" s="9">
        <v>315.87</v>
      </c>
      <c r="V7" s="9">
        <v>591.67999999999995</v>
      </c>
      <c r="W7" s="9">
        <v>591.67999999999995</v>
      </c>
      <c r="X7" s="9">
        <v>825.22499999999991</v>
      </c>
      <c r="Y7" s="9">
        <v>1625.0450000000001</v>
      </c>
      <c r="Z7" s="9" t="s">
        <v>2081</v>
      </c>
      <c r="AA7" t="s">
        <v>2065</v>
      </c>
      <c r="AB7" s="11">
        <v>0</v>
      </c>
      <c r="AC7" t="s">
        <v>2065</v>
      </c>
      <c r="AD7" s="13">
        <v>7</v>
      </c>
      <c r="AE7" s="9">
        <v>4141.7599999999993</v>
      </c>
      <c r="AF7" s="9">
        <v>2211.09</v>
      </c>
      <c r="AG7" s="9">
        <v>1930.6699999999992</v>
      </c>
      <c r="AH7" s="11">
        <v>0.46614724175229844</v>
      </c>
      <c r="AI7" s="9">
        <f>SUMIFS(AD7:AD638, R7:R638, S7)</f>
        <v>0</v>
      </c>
      <c r="AJ7" s="11" t="e">
        <f>SUMIFS(AD7:AD638, R7:R638, S7, AD7:AD638, "&gt;" &amp; AE7) / AI7</f>
        <v>#DIV/0!</v>
      </c>
      <c r="AK7" s="7" t="e">
        <f>IF(AJ7&lt;=0.8,"A",IF(Table2[[#This Row],[Cumulative rev]]&lt;=0.95,"B","C"))</f>
        <v>#DIV/0!</v>
      </c>
    </row>
    <row r="8" spans="1:37" x14ac:dyDescent="0.3">
      <c r="A8" t="s">
        <v>21</v>
      </c>
      <c r="B8" s="4">
        <v>45653</v>
      </c>
      <c r="C8" s="4" t="s">
        <v>2091</v>
      </c>
      <c r="D8" s="4" t="s">
        <v>2083</v>
      </c>
      <c r="E8" s="4">
        <v>45671</v>
      </c>
      <c r="F8" t="s">
        <v>2064</v>
      </c>
      <c r="G8" s="4">
        <v>45671</v>
      </c>
      <c r="H8" s="4">
        <f>_xlfn.MINIFS(B8:B639, N8:N639, N8)</f>
        <v>44977</v>
      </c>
      <c r="I8" s="4" t="str">
        <f t="shared" si="0"/>
        <v>Feb-2023</v>
      </c>
      <c r="J8" s="13">
        <f t="shared" si="1"/>
        <v>23</v>
      </c>
      <c r="K8" s="13">
        <v>18</v>
      </c>
      <c r="L8" s="30" t="str">
        <f>IF(Table2[[#This Row],[LeadTimeDays]]&lt;7,"1","0")</f>
        <v>0</v>
      </c>
      <c r="M8" s="7" t="s">
        <v>647</v>
      </c>
      <c r="N8" s="7" t="s">
        <v>654</v>
      </c>
      <c r="O8" s="7" t="s">
        <v>668</v>
      </c>
      <c r="P8" s="7" t="s">
        <v>705</v>
      </c>
      <c r="Q8" s="7" t="s">
        <v>709</v>
      </c>
      <c r="R8" s="7" t="s">
        <v>718</v>
      </c>
      <c r="S8" s="7" t="s">
        <v>732</v>
      </c>
      <c r="T8" s="7" t="s">
        <v>1434</v>
      </c>
      <c r="U8" s="9">
        <v>586.07000000000005</v>
      </c>
      <c r="V8" s="9">
        <v>845.97</v>
      </c>
      <c r="W8" s="9">
        <v>845.97</v>
      </c>
      <c r="X8" s="9">
        <v>826.33720000000005</v>
      </c>
      <c r="Y8" s="9">
        <v>1625.3000000000002</v>
      </c>
      <c r="Z8" s="9" t="s">
        <v>2092</v>
      </c>
      <c r="AA8" t="s">
        <v>2065</v>
      </c>
      <c r="AB8" s="11">
        <v>0.14699999999999999</v>
      </c>
      <c r="AC8" t="s">
        <v>2065</v>
      </c>
      <c r="AD8" s="13">
        <v>4</v>
      </c>
      <c r="AE8" s="9">
        <v>2886.4496399999998</v>
      </c>
      <c r="AF8" s="9">
        <v>2344.2800000000002</v>
      </c>
      <c r="AG8" s="9">
        <v>542.16963999999962</v>
      </c>
      <c r="AH8" s="11">
        <v>0.18783270370862928</v>
      </c>
      <c r="AI8" s="9">
        <f>SUMIFS(AD8:AD639, R8:R639, S8)</f>
        <v>0</v>
      </c>
      <c r="AJ8" s="11" t="e">
        <f>SUMIFS(AD8:AD639, R8:R639, S8, AD8:AD639, "&gt;" &amp; AE8) / AI8</f>
        <v>#DIV/0!</v>
      </c>
      <c r="AK8" s="7" t="e">
        <f>IF(AJ8&lt;=0.8,"A",IF(Table2[[#This Row],[Cumulative rev]]&lt;=0.95,"B","C"))</f>
        <v>#DIV/0!</v>
      </c>
    </row>
    <row r="9" spans="1:37" x14ac:dyDescent="0.3">
      <c r="A9" t="s">
        <v>22</v>
      </c>
      <c r="B9" s="4">
        <v>44941</v>
      </c>
      <c r="C9" s="4" t="s">
        <v>2090</v>
      </c>
      <c r="D9" s="4" t="s">
        <v>2085</v>
      </c>
      <c r="E9" s="4">
        <v>44939</v>
      </c>
      <c r="F9" t="s">
        <v>2066</v>
      </c>
      <c r="G9" s="4">
        <v>44941</v>
      </c>
      <c r="H9" s="4">
        <f>_xlfn.MINIFS(B9:B640, N9:N640, N9)</f>
        <v>44941</v>
      </c>
      <c r="I9" s="4" t="str">
        <f t="shared" si="0"/>
        <v>Jan-2023</v>
      </c>
      <c r="J9" s="13">
        <f t="shared" si="1"/>
        <v>1</v>
      </c>
      <c r="K9" s="13">
        <v>0</v>
      </c>
      <c r="L9" s="30" t="str">
        <f>IF(Table2[[#This Row],[LeadTimeDays]]&lt;7,"1","0")</f>
        <v>1</v>
      </c>
      <c r="M9" s="7" t="s">
        <v>646</v>
      </c>
      <c r="N9" s="7" t="s">
        <v>651</v>
      </c>
      <c r="O9" s="7" t="s">
        <v>669</v>
      </c>
      <c r="P9" s="7" t="s">
        <v>702</v>
      </c>
      <c r="Q9" s="7" t="s">
        <v>708</v>
      </c>
      <c r="R9" s="7" t="s">
        <v>719</v>
      </c>
      <c r="S9" s="7" t="s">
        <v>728</v>
      </c>
      <c r="T9" s="7" t="s">
        <v>1435</v>
      </c>
      <c r="U9" s="9">
        <v>28.38</v>
      </c>
      <c r="V9" s="9">
        <v>47.22</v>
      </c>
      <c r="W9" s="9">
        <v>47.22</v>
      </c>
      <c r="X9" s="9">
        <v>825.7894</v>
      </c>
      <c r="Y9" s="9">
        <v>1626.3146000000002</v>
      </c>
      <c r="Z9" s="9" t="s">
        <v>2081</v>
      </c>
      <c r="AA9" t="s">
        <v>2065</v>
      </c>
      <c r="AB9" s="11">
        <v>0.19400000000000001</v>
      </c>
      <c r="AC9" t="s">
        <v>2065</v>
      </c>
      <c r="AD9" s="13">
        <v>18</v>
      </c>
      <c r="AE9" s="9">
        <v>685.06776000000002</v>
      </c>
      <c r="AF9" s="9">
        <v>510.84</v>
      </c>
      <c r="AG9" s="9">
        <v>174.22776000000005</v>
      </c>
      <c r="AH9" s="11">
        <v>0.25432193743871417</v>
      </c>
      <c r="AI9" s="9">
        <f>SUMIFS(AD9:AD640, R9:R640, S9)</f>
        <v>0</v>
      </c>
      <c r="AJ9" s="11" t="e">
        <f>SUMIFS(AD9:AD640, R9:R640, S9, AD9:AD640, "&gt;" &amp; AE9) / AI9</f>
        <v>#DIV/0!</v>
      </c>
      <c r="AK9" s="7" t="e">
        <f>IF(AJ9&lt;=0.8,"A",IF(Table2[[#This Row],[Cumulative rev]]&lt;=0.95,"B","C"))</f>
        <v>#DIV/0!</v>
      </c>
    </row>
    <row r="10" spans="1:37" x14ac:dyDescent="0.3">
      <c r="A10" t="s">
        <v>23</v>
      </c>
      <c r="B10" s="4">
        <v>45416</v>
      </c>
      <c r="C10" s="4" t="s">
        <v>2093</v>
      </c>
      <c r="D10" s="4" t="s">
        <v>2094</v>
      </c>
      <c r="E10" s="4">
        <v>45441</v>
      </c>
      <c r="F10" t="s">
        <v>2064</v>
      </c>
      <c r="G10" s="4">
        <v>45441</v>
      </c>
      <c r="H10" s="4">
        <f>_xlfn.MINIFS(B10:B641, N10:N641, N10)</f>
        <v>44968</v>
      </c>
      <c r="I10" s="4" t="str">
        <f t="shared" si="0"/>
        <v>Feb-2023</v>
      </c>
      <c r="J10" s="13">
        <f t="shared" si="1"/>
        <v>15</v>
      </c>
      <c r="K10" s="13">
        <v>25</v>
      </c>
      <c r="L10" s="30" t="str">
        <f>IF(Table2[[#This Row],[LeadTimeDays]]&lt;7,"1","0")</f>
        <v>0</v>
      </c>
      <c r="M10" s="7" t="s">
        <v>646</v>
      </c>
      <c r="N10" s="7" t="s">
        <v>651</v>
      </c>
      <c r="O10" s="7" t="s">
        <v>669</v>
      </c>
      <c r="P10" s="7" t="s">
        <v>703</v>
      </c>
      <c r="Q10" s="7" t="s">
        <v>709</v>
      </c>
      <c r="R10" s="7" t="s">
        <v>719</v>
      </c>
      <c r="S10" s="7" t="s">
        <v>732</v>
      </c>
      <c r="T10" s="7" t="s">
        <v>1436</v>
      </c>
      <c r="U10" s="9">
        <v>1295.3399999999999</v>
      </c>
      <c r="V10" s="9">
        <v>2530.81</v>
      </c>
      <c r="W10" s="9">
        <v>2530.81</v>
      </c>
      <c r="X10" s="9">
        <v>828.34720000000016</v>
      </c>
      <c r="Y10" s="9">
        <v>1628.0044000000003</v>
      </c>
      <c r="Z10" s="9" t="s">
        <v>2095</v>
      </c>
      <c r="AA10" t="s">
        <v>2065</v>
      </c>
      <c r="AB10" s="11">
        <v>3.1E-2</v>
      </c>
      <c r="AC10" t="s">
        <v>2065</v>
      </c>
      <c r="AD10" s="13">
        <v>6</v>
      </c>
      <c r="AE10" s="9">
        <v>14714.12934</v>
      </c>
      <c r="AF10" s="9">
        <v>7772.0399999999991</v>
      </c>
      <c r="AG10" s="9">
        <v>6942.0893400000004</v>
      </c>
      <c r="AH10" s="11">
        <v>0.4717974933880798</v>
      </c>
      <c r="AI10" s="9">
        <f>SUMIFS(AD10:AD641, R10:R641, S10)</f>
        <v>0</v>
      </c>
      <c r="AJ10" s="11" t="e">
        <f>SUMIFS(AD10:AD641, R10:R641, S10, AD10:AD641, "&gt;" &amp; AE10) / AI10</f>
        <v>#DIV/0!</v>
      </c>
      <c r="AK10" s="7" t="e">
        <f>IF(AJ10&lt;=0.8,"A",IF(Table2[[#This Row],[Cumulative rev]]&lt;=0.95,"B","C"))</f>
        <v>#DIV/0!</v>
      </c>
    </row>
    <row r="11" spans="1:37" x14ac:dyDescent="0.3">
      <c r="A11" t="s">
        <v>24</v>
      </c>
      <c r="B11" s="4">
        <v>45798</v>
      </c>
      <c r="C11" s="4" t="s">
        <v>2096</v>
      </c>
      <c r="D11" s="4" t="s">
        <v>2097</v>
      </c>
      <c r="E11" s="4">
        <v>45817</v>
      </c>
      <c r="F11" t="s">
        <v>2064</v>
      </c>
      <c r="G11" s="4">
        <v>45817</v>
      </c>
      <c r="H11" s="4">
        <f>_xlfn.MINIFS(B11:B642, N11:N642, N11)</f>
        <v>44955</v>
      </c>
      <c r="I11" s="4" t="str">
        <f t="shared" si="0"/>
        <v>Jan-2023</v>
      </c>
      <c r="J11" s="13">
        <f t="shared" si="1"/>
        <v>28</v>
      </c>
      <c r="K11" s="13">
        <v>19</v>
      </c>
      <c r="L11" s="30" t="str">
        <f>IF(Table2[[#This Row],[LeadTimeDays]]&lt;7,"1","0")</f>
        <v>0</v>
      </c>
      <c r="M11" s="7" t="s">
        <v>648</v>
      </c>
      <c r="N11" s="7" t="s">
        <v>655</v>
      </c>
      <c r="O11" s="7" t="s">
        <v>670</v>
      </c>
      <c r="P11" s="7" t="s">
        <v>703</v>
      </c>
      <c r="Q11" s="7" t="s">
        <v>708</v>
      </c>
      <c r="R11" s="7" t="s">
        <v>720</v>
      </c>
      <c r="S11" s="7" t="s">
        <v>727</v>
      </c>
      <c r="T11" s="7" t="s">
        <v>1437</v>
      </c>
      <c r="U11" s="9">
        <v>1331.38</v>
      </c>
      <c r="V11" s="9">
        <v>2309.56</v>
      </c>
      <c r="W11" s="9">
        <v>2309.56</v>
      </c>
      <c r="X11" s="9">
        <v>826.35379999999998</v>
      </c>
      <c r="Y11" s="9">
        <v>1625.3150000000001</v>
      </c>
      <c r="Z11" s="9" t="s">
        <v>2095</v>
      </c>
      <c r="AA11" t="s">
        <v>2065</v>
      </c>
      <c r="AB11" s="11">
        <v>0.14899999999999999</v>
      </c>
      <c r="AC11" t="s">
        <v>2065</v>
      </c>
      <c r="AD11" s="13">
        <v>31</v>
      </c>
      <c r="AE11" s="9">
        <v>60928.502359999999</v>
      </c>
      <c r="AF11" s="9">
        <v>41272.780000000006</v>
      </c>
      <c r="AG11" s="9">
        <v>19655.722359999992</v>
      </c>
      <c r="AH11" s="11">
        <v>0.32260307735553528</v>
      </c>
      <c r="AI11" s="9">
        <f>SUMIFS(AD11:AD642, R11:R642, S11)</f>
        <v>0</v>
      </c>
      <c r="AJ11" s="11" t="e">
        <f>SUMIFS(AD11:AD642, R11:R642, S11, AD11:AD642, "&gt;" &amp; AE11) / AI11</f>
        <v>#DIV/0!</v>
      </c>
      <c r="AK11" s="7" t="e">
        <f>IF(AJ11&lt;=0.8,"A",IF(Table2[[#This Row],[Cumulative rev]]&lt;=0.95,"B","C"))</f>
        <v>#DIV/0!</v>
      </c>
    </row>
    <row r="12" spans="1:37" x14ac:dyDescent="0.3">
      <c r="A12" t="s">
        <v>25</v>
      </c>
      <c r="B12" s="4">
        <v>45319</v>
      </c>
      <c r="C12" s="4" t="s">
        <v>2098</v>
      </c>
      <c r="D12" s="4" t="s">
        <v>2080</v>
      </c>
      <c r="E12" s="4">
        <v>45331</v>
      </c>
      <c r="F12" t="s">
        <v>2064</v>
      </c>
      <c r="G12" s="4">
        <v>45331</v>
      </c>
      <c r="H12" s="4">
        <f>_xlfn.MINIFS(B12:B643, N12:N643, N12)</f>
        <v>44948</v>
      </c>
      <c r="I12" s="4" t="str">
        <f t="shared" si="0"/>
        <v>Jan-2023</v>
      </c>
      <c r="J12" s="13">
        <f t="shared" si="1"/>
        <v>13</v>
      </c>
      <c r="K12" s="13">
        <v>12</v>
      </c>
      <c r="L12" s="30" t="str">
        <f>IF(Table2[[#This Row],[LeadTimeDays]]&lt;7,"1","0")</f>
        <v>0</v>
      </c>
      <c r="M12" s="7" t="s">
        <v>649</v>
      </c>
      <c r="N12" s="7" t="s">
        <v>656</v>
      </c>
      <c r="O12" s="7" t="s">
        <v>671</v>
      </c>
      <c r="P12" s="7" t="s">
        <v>701</v>
      </c>
      <c r="Q12" s="7" t="s">
        <v>708</v>
      </c>
      <c r="R12" s="7" t="s">
        <v>715</v>
      </c>
      <c r="S12" s="7" t="s">
        <v>733</v>
      </c>
      <c r="T12" s="7" t="s">
        <v>1438</v>
      </c>
      <c r="U12" s="9">
        <v>644.16999999999996</v>
      </c>
      <c r="V12" s="9">
        <v>700.12</v>
      </c>
      <c r="W12" s="9">
        <v>700.12</v>
      </c>
      <c r="X12" s="9">
        <v>825.80600000000004</v>
      </c>
      <c r="Y12" s="9">
        <v>1624.8200000000002</v>
      </c>
      <c r="Z12" s="9" t="s">
        <v>2081</v>
      </c>
      <c r="AA12" t="s">
        <v>2065</v>
      </c>
      <c r="AB12" s="11">
        <v>6.0000000000000001E-3</v>
      </c>
      <c r="AC12" t="s">
        <v>2065</v>
      </c>
      <c r="AD12" s="13">
        <v>23</v>
      </c>
      <c r="AE12" s="9">
        <v>16006.14344</v>
      </c>
      <c r="AF12" s="9">
        <v>14815.91</v>
      </c>
      <c r="AG12" s="9">
        <v>1190.23344</v>
      </c>
      <c r="AH12" s="11">
        <v>7.436103796405813E-2</v>
      </c>
      <c r="AI12" s="9">
        <f>SUMIFS(AD12:AD643, R12:R643, S12)</f>
        <v>0</v>
      </c>
      <c r="AJ12" s="11" t="e">
        <f>SUMIFS(AD12:AD643, R12:R643, S12, AD12:AD643, "&gt;" &amp; AE12) / AI12</f>
        <v>#DIV/0!</v>
      </c>
      <c r="AK12" s="7" t="e">
        <f>IF(AJ12&lt;=0.8,"A",IF(Table2[[#This Row],[Cumulative rev]]&lt;=0.95,"B","C"))</f>
        <v>#DIV/0!</v>
      </c>
    </row>
    <row r="13" spans="1:37" x14ac:dyDescent="0.3">
      <c r="A13" t="s">
        <v>26</v>
      </c>
      <c r="B13" s="4">
        <v>45660</v>
      </c>
      <c r="C13" s="4" t="s">
        <v>2099</v>
      </c>
      <c r="D13" s="4" t="s">
        <v>2087</v>
      </c>
      <c r="E13" s="4">
        <v>45680</v>
      </c>
      <c r="F13" t="s">
        <v>2064</v>
      </c>
      <c r="G13" s="4">
        <v>45680</v>
      </c>
      <c r="H13" s="4">
        <f>_xlfn.MINIFS(B13:B644, N13:N644, N13)</f>
        <v>44988</v>
      </c>
      <c r="I13" s="4" t="str">
        <f t="shared" si="0"/>
        <v>Mar-2023</v>
      </c>
      <c r="J13" s="13">
        <f t="shared" si="1"/>
        <v>23</v>
      </c>
      <c r="K13" s="13">
        <v>20</v>
      </c>
      <c r="L13" s="30" t="str">
        <f>IF(Table2[[#This Row],[LeadTimeDays]]&lt;7,"1","0")</f>
        <v>0</v>
      </c>
      <c r="M13" s="7" t="s">
        <v>647</v>
      </c>
      <c r="N13" s="7" t="s">
        <v>652</v>
      </c>
      <c r="O13" s="7" t="s">
        <v>666</v>
      </c>
      <c r="P13" s="7" t="s">
        <v>701</v>
      </c>
      <c r="Q13" s="7" t="s">
        <v>710</v>
      </c>
      <c r="R13" s="7" t="s">
        <v>721</v>
      </c>
      <c r="S13" s="7" t="s">
        <v>730</v>
      </c>
      <c r="T13" s="7" t="s">
        <v>1439</v>
      </c>
      <c r="U13" s="9">
        <v>908.6</v>
      </c>
      <c r="V13" s="9">
        <v>691.37</v>
      </c>
      <c r="W13" s="9">
        <v>691.37</v>
      </c>
      <c r="X13" s="9">
        <v>828.41940000000011</v>
      </c>
      <c r="Y13" s="9">
        <v>1625.075</v>
      </c>
      <c r="Z13" s="9" t="s">
        <v>2081</v>
      </c>
      <c r="AA13" t="s">
        <v>2065</v>
      </c>
      <c r="AB13" s="11">
        <v>0.25</v>
      </c>
      <c r="AC13" t="s">
        <v>2065</v>
      </c>
      <c r="AD13" s="13">
        <v>20</v>
      </c>
      <c r="AE13" s="9">
        <v>10370.549999999999</v>
      </c>
      <c r="AF13" s="9">
        <v>18172</v>
      </c>
      <c r="AG13" s="9">
        <v>-7801.4500000000007</v>
      </c>
      <c r="AH13" s="11">
        <v>-0.75226964818645115</v>
      </c>
      <c r="AI13" s="9">
        <f>SUMIFS(AD13:AD644, R13:R644, S13)</f>
        <v>0</v>
      </c>
      <c r="AJ13" s="11" t="e">
        <f>SUMIFS(AD13:AD644, R13:R644, S13, AD13:AD644, "&gt;" &amp; AE13) / AI13</f>
        <v>#DIV/0!</v>
      </c>
      <c r="AK13" s="7" t="e">
        <f>IF(AJ13&lt;=0.8,"A",IF(Table2[[#This Row],[Cumulative rev]]&lt;=0.95,"B","C"))</f>
        <v>#DIV/0!</v>
      </c>
    </row>
    <row r="14" spans="1:37" x14ac:dyDescent="0.3">
      <c r="A14" t="s">
        <v>27</v>
      </c>
      <c r="B14" s="4">
        <v>45722</v>
      </c>
      <c r="C14" s="4" t="s">
        <v>2086</v>
      </c>
      <c r="D14" s="4" t="s">
        <v>2087</v>
      </c>
      <c r="E14" s="4">
        <v>45747</v>
      </c>
      <c r="F14" t="s">
        <v>2064</v>
      </c>
      <c r="G14" s="4">
        <v>45747</v>
      </c>
      <c r="H14" s="4">
        <f>_xlfn.MINIFS(B14:B645, N14:N645, N14)</f>
        <v>44955</v>
      </c>
      <c r="I14" s="4" t="str">
        <f t="shared" si="0"/>
        <v>Jan-2023</v>
      </c>
      <c r="J14" s="13">
        <f t="shared" si="1"/>
        <v>26</v>
      </c>
      <c r="K14" s="13">
        <v>25</v>
      </c>
      <c r="L14" s="30" t="str">
        <f>IF(Table2[[#This Row],[LeadTimeDays]]&lt;7,"1","0")</f>
        <v>0</v>
      </c>
      <c r="M14" s="7" t="s">
        <v>648</v>
      </c>
      <c r="N14" s="7" t="s">
        <v>655</v>
      </c>
      <c r="O14" s="7" t="s">
        <v>672</v>
      </c>
      <c r="P14" s="7" t="s">
        <v>703</v>
      </c>
      <c r="Q14" s="7" t="s">
        <v>708</v>
      </c>
      <c r="R14" s="7" t="s">
        <v>713</v>
      </c>
      <c r="S14" s="7" t="s">
        <v>727</v>
      </c>
      <c r="T14" s="7" t="s">
        <v>1440</v>
      </c>
      <c r="U14" s="9">
        <v>331.57</v>
      </c>
      <c r="V14" s="9">
        <v>548.4</v>
      </c>
      <c r="W14" s="9">
        <v>548.4</v>
      </c>
      <c r="X14" s="9">
        <v>833.2568</v>
      </c>
      <c r="Y14" s="9">
        <v>1625.3300000000002</v>
      </c>
      <c r="Z14" s="9" t="s">
        <v>2081</v>
      </c>
      <c r="AA14" t="s">
        <v>2065</v>
      </c>
      <c r="AB14" s="11">
        <v>9.4E-2</v>
      </c>
      <c r="AC14" t="s">
        <v>2065</v>
      </c>
      <c r="AD14" s="13">
        <v>10</v>
      </c>
      <c r="AE14" s="9">
        <v>4968.5039999999999</v>
      </c>
      <c r="AF14" s="9">
        <v>3315.7</v>
      </c>
      <c r="AG14" s="9">
        <v>1652.8040000000001</v>
      </c>
      <c r="AH14" s="11">
        <v>0.33265626836568918</v>
      </c>
      <c r="AI14" s="9">
        <f>SUMIFS(AD14:AD645, R14:R645, S14)</f>
        <v>0</v>
      </c>
      <c r="AJ14" s="11" t="e">
        <f>SUMIFS(AD14:AD645, R14:R645, S14, AD14:AD645, "&gt;" &amp; AE14) / AI14</f>
        <v>#DIV/0!</v>
      </c>
      <c r="AK14" s="7" t="e">
        <f>IF(AJ14&lt;=0.8,"A",IF(Table2[[#This Row],[Cumulative rev]]&lt;=0.95,"B","C"))</f>
        <v>#DIV/0!</v>
      </c>
    </row>
    <row r="15" spans="1:37" x14ac:dyDescent="0.3">
      <c r="A15" t="s">
        <v>28</v>
      </c>
      <c r="B15" s="4">
        <v>45311</v>
      </c>
      <c r="C15" s="4" t="s">
        <v>2098</v>
      </c>
      <c r="D15" s="4" t="s">
        <v>2080</v>
      </c>
      <c r="E15" s="4">
        <v>45335</v>
      </c>
      <c r="F15" t="s">
        <v>2064</v>
      </c>
      <c r="G15" s="4">
        <v>45335</v>
      </c>
      <c r="H15" s="4">
        <f>_xlfn.MINIFS(B15:B646, N15:N646, N15)</f>
        <v>44936</v>
      </c>
      <c r="I15" s="4" t="str">
        <f t="shared" si="0"/>
        <v>Jan-2023</v>
      </c>
      <c r="J15" s="13">
        <f t="shared" si="1"/>
        <v>13</v>
      </c>
      <c r="K15" s="13">
        <v>24</v>
      </c>
      <c r="L15" s="30" t="str">
        <f>IF(Table2[[#This Row],[LeadTimeDays]]&lt;7,"1","0")</f>
        <v>0</v>
      </c>
      <c r="M15" s="7" t="s">
        <v>649</v>
      </c>
      <c r="N15" s="7" t="s">
        <v>657</v>
      </c>
      <c r="O15" s="7" t="s">
        <v>673</v>
      </c>
      <c r="P15" s="7" t="s">
        <v>701</v>
      </c>
      <c r="Q15" s="7" t="s">
        <v>707</v>
      </c>
      <c r="R15" s="7" t="s">
        <v>722</v>
      </c>
      <c r="S15" s="7" t="s">
        <v>728</v>
      </c>
      <c r="T15" s="7" t="s">
        <v>1441</v>
      </c>
      <c r="U15" s="9">
        <v>643.53</v>
      </c>
      <c r="V15" s="9">
        <v>1439.01</v>
      </c>
      <c r="W15" s="9">
        <v>1439.01</v>
      </c>
      <c r="X15" s="9">
        <v>836.95350000000008</v>
      </c>
      <c r="Y15" s="9">
        <v>1626.5134000000003</v>
      </c>
      <c r="Z15" s="9" t="s">
        <v>2092</v>
      </c>
      <c r="AA15" t="s">
        <v>2065</v>
      </c>
      <c r="AB15" s="11">
        <v>0</v>
      </c>
      <c r="AC15" t="s">
        <v>2065</v>
      </c>
      <c r="AD15" s="13">
        <v>15</v>
      </c>
      <c r="AE15" s="9">
        <v>21585.15</v>
      </c>
      <c r="AF15" s="9">
        <v>9652.9499999999989</v>
      </c>
      <c r="AG15" s="9">
        <v>11932.200000000003</v>
      </c>
      <c r="AH15" s="11">
        <v>0.55279671440782208</v>
      </c>
      <c r="AI15" s="9">
        <f>SUMIFS(AD15:AD646, R15:R646, S15)</f>
        <v>0</v>
      </c>
      <c r="AJ15" s="11" t="e">
        <f>SUMIFS(AD15:AD646, R15:R646, S15, AD15:AD646, "&gt;" &amp; AE15) / AI15</f>
        <v>#DIV/0!</v>
      </c>
      <c r="AK15" s="7" t="e">
        <f>IF(AJ15&lt;=0.8,"A",IF(Table2[[#This Row],[Cumulative rev]]&lt;=0.95,"B","C"))</f>
        <v>#DIV/0!</v>
      </c>
    </row>
    <row r="16" spans="1:37" x14ac:dyDescent="0.3">
      <c r="A16" t="s">
        <v>29</v>
      </c>
      <c r="B16" s="4">
        <v>45901</v>
      </c>
      <c r="C16" s="4" t="s">
        <v>2100</v>
      </c>
      <c r="D16" s="4" t="s">
        <v>2101</v>
      </c>
      <c r="E16" s="4">
        <v>45930</v>
      </c>
      <c r="F16" t="s">
        <v>2064</v>
      </c>
      <c r="G16" s="4">
        <v>45930</v>
      </c>
      <c r="H16" s="4">
        <f>_xlfn.MINIFS(B16:B647, N16:N647, N16)</f>
        <v>44955</v>
      </c>
      <c r="I16" s="4" t="str">
        <f t="shared" si="0"/>
        <v>Jan-2023</v>
      </c>
      <c r="J16" s="13">
        <f t="shared" si="1"/>
        <v>32</v>
      </c>
      <c r="K16" s="13">
        <v>29</v>
      </c>
      <c r="L16" s="30" t="str">
        <f>IF(Table2[[#This Row],[LeadTimeDays]]&lt;7,"1","0")</f>
        <v>0</v>
      </c>
      <c r="M16" s="7" t="s">
        <v>648</v>
      </c>
      <c r="N16" s="7" t="s">
        <v>655</v>
      </c>
      <c r="O16" s="7" t="s">
        <v>672</v>
      </c>
      <c r="P16" s="7" t="s">
        <v>702</v>
      </c>
      <c r="Q16" s="7" t="s">
        <v>707</v>
      </c>
      <c r="R16" s="7" t="s">
        <v>723</v>
      </c>
      <c r="S16" s="7" t="s">
        <v>733</v>
      </c>
      <c r="T16" s="7" t="s">
        <v>1442</v>
      </c>
      <c r="U16" s="9">
        <v>780.59</v>
      </c>
      <c r="V16" s="9">
        <v>631.57000000000005</v>
      </c>
      <c r="W16" s="9">
        <v>631.57000000000005</v>
      </c>
      <c r="X16" s="9">
        <v>835.18799999999999</v>
      </c>
      <c r="Y16" s="9">
        <v>1628.2032000000002</v>
      </c>
      <c r="Z16" s="9" t="s">
        <v>2081</v>
      </c>
      <c r="AA16" t="s">
        <v>2065</v>
      </c>
      <c r="AB16" s="11">
        <v>0</v>
      </c>
      <c r="AC16" t="s">
        <v>2065</v>
      </c>
      <c r="AD16" s="13">
        <v>12</v>
      </c>
      <c r="AE16" s="9">
        <v>7578.84</v>
      </c>
      <c r="AF16" s="9">
        <v>9367.08</v>
      </c>
      <c r="AG16" s="9">
        <v>-1788.2399999999998</v>
      </c>
      <c r="AH16" s="11">
        <v>-0.23595167598207639</v>
      </c>
      <c r="AI16" s="9">
        <f>SUMIFS(AD16:AD647, R16:R647, S16)</f>
        <v>0</v>
      </c>
      <c r="AJ16" s="11" t="e">
        <f>SUMIFS(AD16:AD647, R16:R647, S16, AD16:AD647, "&gt;" &amp; AE16) / AI16</f>
        <v>#DIV/0!</v>
      </c>
      <c r="AK16" s="7" t="e">
        <f>IF(AJ16&lt;=0.8,"A",IF(Table2[[#This Row],[Cumulative rev]]&lt;=0.95,"B","C"))</f>
        <v>#DIV/0!</v>
      </c>
    </row>
    <row r="17" spans="1:37" x14ac:dyDescent="0.3">
      <c r="A17" t="s">
        <v>30</v>
      </c>
      <c r="B17" s="4">
        <v>45039</v>
      </c>
      <c r="C17" s="4" t="s">
        <v>2102</v>
      </c>
      <c r="D17" s="4" t="s">
        <v>2103</v>
      </c>
      <c r="E17" s="4">
        <v>45038</v>
      </c>
      <c r="F17" t="s">
        <v>2066</v>
      </c>
      <c r="G17" s="4">
        <v>45039</v>
      </c>
      <c r="H17" s="4">
        <f>_xlfn.MINIFS(B17:B648, N17:N648, N17)</f>
        <v>44946</v>
      </c>
      <c r="I17" s="4" t="str">
        <f t="shared" si="0"/>
        <v>Jan-2023</v>
      </c>
      <c r="J17" s="13">
        <f t="shared" si="1"/>
        <v>4</v>
      </c>
      <c r="K17" s="13">
        <v>0</v>
      </c>
      <c r="L17" s="30" t="str">
        <f>IF(Table2[[#This Row],[LeadTimeDays]]&lt;7,"1","0")</f>
        <v>1</v>
      </c>
      <c r="M17" s="7" t="s">
        <v>646</v>
      </c>
      <c r="N17" s="7" t="s">
        <v>650</v>
      </c>
      <c r="O17" s="7" t="s">
        <v>664</v>
      </c>
      <c r="P17" s="7" t="s">
        <v>705</v>
      </c>
      <c r="Q17" s="7" t="s">
        <v>711</v>
      </c>
      <c r="R17" s="7" t="s">
        <v>718</v>
      </c>
      <c r="S17" s="7" t="s">
        <v>731</v>
      </c>
      <c r="T17" s="7" t="s">
        <v>1443</v>
      </c>
      <c r="U17" s="9">
        <v>756.51</v>
      </c>
      <c r="V17" s="9">
        <v>850.8</v>
      </c>
      <c r="W17" s="9">
        <v>850.8</v>
      </c>
      <c r="X17" s="9">
        <v>838.77250000000004</v>
      </c>
      <c r="Y17" s="9">
        <v>1629.8930000000003</v>
      </c>
      <c r="Z17" s="9" t="s">
        <v>2092</v>
      </c>
      <c r="AA17" t="s">
        <v>2065</v>
      </c>
      <c r="AB17" s="11">
        <v>7.3999999999999996E-2</v>
      </c>
      <c r="AC17" t="s">
        <v>2065</v>
      </c>
      <c r="AD17" s="13">
        <v>9</v>
      </c>
      <c r="AE17" s="9">
        <v>7090.5672000000004</v>
      </c>
      <c r="AF17" s="9">
        <v>6808.59</v>
      </c>
      <c r="AG17" s="9">
        <v>281.97720000000027</v>
      </c>
      <c r="AH17" s="11">
        <v>3.9767932810791252E-2</v>
      </c>
      <c r="AI17" s="9">
        <f>SUMIFS(AD17:AD648, R17:R648, S17)</f>
        <v>0</v>
      </c>
      <c r="AJ17" s="11" t="e">
        <f>SUMIFS(AD17:AD648, R17:R648, S17, AD17:AD648, "&gt;" &amp; AE17) / AI17</f>
        <v>#DIV/0!</v>
      </c>
      <c r="AK17" s="7" t="e">
        <f>IF(AJ17&lt;=0.8,"A",IF(Table2[[#This Row],[Cumulative rev]]&lt;=0.95,"B","C"))</f>
        <v>#DIV/0!</v>
      </c>
    </row>
    <row r="18" spans="1:37" x14ac:dyDescent="0.3">
      <c r="A18" t="s">
        <v>31</v>
      </c>
      <c r="B18" s="4">
        <v>45636</v>
      </c>
      <c r="C18" s="4" t="s">
        <v>2091</v>
      </c>
      <c r="D18" s="4" t="s">
        <v>2083</v>
      </c>
      <c r="E18" s="4">
        <v>45665</v>
      </c>
      <c r="F18" t="s">
        <v>2064</v>
      </c>
      <c r="G18" s="4">
        <v>45665</v>
      </c>
      <c r="H18" s="4">
        <f>_xlfn.MINIFS(B18:B649, N18:N649, N18)</f>
        <v>44936</v>
      </c>
      <c r="I18" s="4" t="str">
        <f t="shared" si="0"/>
        <v>Jan-2023</v>
      </c>
      <c r="J18" s="13">
        <f t="shared" si="1"/>
        <v>24</v>
      </c>
      <c r="K18" s="13">
        <v>29</v>
      </c>
      <c r="L18" s="30" t="str">
        <f>IF(Table2[[#This Row],[LeadTimeDays]]&lt;7,"1","0")</f>
        <v>0</v>
      </c>
      <c r="M18" s="7" t="s">
        <v>649</v>
      </c>
      <c r="N18" s="7" t="s">
        <v>657</v>
      </c>
      <c r="O18" s="7" t="s">
        <v>673</v>
      </c>
      <c r="P18" s="7" t="s">
        <v>705</v>
      </c>
      <c r="Q18" s="7" t="s">
        <v>707</v>
      </c>
      <c r="R18" s="7" t="s">
        <v>723</v>
      </c>
      <c r="S18" s="7" t="s">
        <v>728</v>
      </c>
      <c r="T18" s="7" t="s">
        <v>1444</v>
      </c>
      <c r="U18" s="9">
        <v>891.08</v>
      </c>
      <c r="V18" s="9">
        <v>1040.0999999999999</v>
      </c>
      <c r="W18" s="9">
        <v>1040.0999999999999</v>
      </c>
      <c r="X18" s="9">
        <v>837.00700000000006</v>
      </c>
      <c r="Y18" s="9">
        <v>1630.546</v>
      </c>
      <c r="Z18" s="9" t="s">
        <v>2092</v>
      </c>
      <c r="AA18" t="s">
        <v>2065</v>
      </c>
      <c r="AB18" s="11">
        <v>0.109</v>
      </c>
      <c r="AC18" t="s">
        <v>2065</v>
      </c>
      <c r="AD18" s="13">
        <v>28</v>
      </c>
      <c r="AE18" s="9">
        <v>25948.414799999995</v>
      </c>
      <c r="AF18" s="9">
        <v>24950.240000000002</v>
      </c>
      <c r="AG18" s="9">
        <v>998.17479999999341</v>
      </c>
      <c r="AH18" s="11">
        <v>3.8467660074556598E-2</v>
      </c>
      <c r="AI18" s="9">
        <f>SUMIFS(AD18:AD649, R18:R649, S18)</f>
        <v>0</v>
      </c>
      <c r="AJ18" s="11" t="e">
        <f>SUMIFS(AD18:AD649, R18:R649, S18, AD18:AD649, "&gt;" &amp; AE18) / AI18</f>
        <v>#DIV/0!</v>
      </c>
      <c r="AK18" s="7" t="e">
        <f>IF(AJ18&lt;=0.8,"A",IF(Table2[[#This Row],[Cumulative rev]]&lt;=0.95,"B","C"))</f>
        <v>#DIV/0!</v>
      </c>
    </row>
    <row r="19" spans="1:37" x14ac:dyDescent="0.3">
      <c r="A19" t="s">
        <v>32</v>
      </c>
      <c r="B19" s="4">
        <v>45908</v>
      </c>
      <c r="C19" s="4" t="s">
        <v>2100</v>
      </c>
      <c r="D19" s="4" t="s">
        <v>2101</v>
      </c>
      <c r="E19" s="4">
        <v>45916</v>
      </c>
      <c r="F19" t="s">
        <v>2064</v>
      </c>
      <c r="G19" s="4">
        <v>45916</v>
      </c>
      <c r="H19" s="4">
        <f>_xlfn.MINIFS(B19:B650, N19:N650, N19)</f>
        <v>44988</v>
      </c>
      <c r="I19" s="4" t="str">
        <f t="shared" si="0"/>
        <v>Mar-2023</v>
      </c>
      <c r="J19" s="13">
        <f t="shared" si="1"/>
        <v>31</v>
      </c>
      <c r="K19" s="13">
        <v>8</v>
      </c>
      <c r="L19" s="30" t="str">
        <f>IF(Table2[[#This Row],[LeadTimeDays]]&lt;7,"1","0")</f>
        <v>0</v>
      </c>
      <c r="M19" s="7" t="s">
        <v>647</v>
      </c>
      <c r="N19" s="7" t="s">
        <v>652</v>
      </c>
      <c r="O19" s="7" t="s">
        <v>666</v>
      </c>
      <c r="P19" s="7" t="s">
        <v>701</v>
      </c>
      <c r="Q19" s="7" t="s">
        <v>710</v>
      </c>
      <c r="R19" s="7" t="s">
        <v>712</v>
      </c>
      <c r="S19" s="7" t="s">
        <v>730</v>
      </c>
      <c r="T19" s="7" t="s">
        <v>1445</v>
      </c>
      <c r="U19" s="9">
        <v>1225.57</v>
      </c>
      <c r="V19" s="9">
        <v>2705.57</v>
      </c>
      <c r="W19" s="9">
        <v>2705.57</v>
      </c>
      <c r="X19" s="9">
        <v>835.24150000000009</v>
      </c>
      <c r="Y19" s="9">
        <v>1630.7670000000001</v>
      </c>
      <c r="Z19" s="9" t="s">
        <v>2095</v>
      </c>
      <c r="AA19" t="s">
        <v>2065</v>
      </c>
      <c r="AB19" s="11">
        <v>0.183</v>
      </c>
      <c r="AC19" t="s">
        <v>2065</v>
      </c>
      <c r="AD19" s="13">
        <v>16</v>
      </c>
      <c r="AE19" s="9">
        <v>35367.211040000002</v>
      </c>
      <c r="AF19" s="9">
        <v>19609.12</v>
      </c>
      <c r="AG19" s="9">
        <v>15758.091040000003</v>
      </c>
      <c r="AH19" s="11">
        <v>0.44555650775453404</v>
      </c>
      <c r="AI19" s="9">
        <f>SUMIFS(AD19:AD650, R19:R650, S19)</f>
        <v>0</v>
      </c>
      <c r="AJ19" s="11" t="e">
        <f>SUMIFS(AD19:AD650, R19:R650, S19, AD19:AD650, "&gt;" &amp; AE19) / AI19</f>
        <v>#DIV/0!</v>
      </c>
      <c r="AK19" s="7" t="e">
        <f>IF(AJ19&lt;=0.8,"A",IF(Table2[[#This Row],[Cumulative rev]]&lt;=0.95,"B","C"))</f>
        <v>#DIV/0!</v>
      </c>
    </row>
    <row r="20" spans="1:37" x14ac:dyDescent="0.3">
      <c r="A20" t="s">
        <v>33</v>
      </c>
      <c r="B20" s="4">
        <v>45858</v>
      </c>
      <c r="C20" s="4" t="s">
        <v>2104</v>
      </c>
      <c r="D20" s="4" t="s">
        <v>2101</v>
      </c>
      <c r="E20" s="4">
        <v>45874</v>
      </c>
      <c r="F20" t="s">
        <v>2064</v>
      </c>
      <c r="G20" s="4">
        <v>45874</v>
      </c>
      <c r="H20" s="4">
        <f>_xlfn.MINIFS(B20:B651, N20:N651, N20)</f>
        <v>44955</v>
      </c>
      <c r="I20" s="4" t="str">
        <f t="shared" si="0"/>
        <v>Jan-2023</v>
      </c>
      <c r="J20" s="13">
        <f t="shared" si="1"/>
        <v>30</v>
      </c>
      <c r="K20" s="13">
        <v>16</v>
      </c>
      <c r="L20" s="30" t="str">
        <f>IF(Table2[[#This Row],[LeadTimeDays]]&lt;7,"1","0")</f>
        <v>0</v>
      </c>
      <c r="M20" s="7" t="s">
        <v>648</v>
      </c>
      <c r="N20" s="7" t="s">
        <v>655</v>
      </c>
      <c r="O20" s="7" t="s">
        <v>672</v>
      </c>
      <c r="P20" s="7" t="s">
        <v>706</v>
      </c>
      <c r="Q20" s="7" t="s">
        <v>709</v>
      </c>
      <c r="R20" s="7" t="s">
        <v>715</v>
      </c>
      <c r="S20" s="7" t="s">
        <v>733</v>
      </c>
      <c r="T20" s="7" t="s">
        <v>1446</v>
      </c>
      <c r="U20" s="9">
        <v>1068.17</v>
      </c>
      <c r="V20" s="9">
        <v>2375.37</v>
      </c>
      <c r="W20" s="9">
        <v>2375.37</v>
      </c>
      <c r="X20" s="9">
        <v>833.40120000000013</v>
      </c>
      <c r="Y20" s="9">
        <v>1629.9924000000001</v>
      </c>
      <c r="Z20" s="9" t="s">
        <v>2095</v>
      </c>
      <c r="AA20" t="s">
        <v>2065</v>
      </c>
      <c r="AB20" s="11">
        <v>0.109</v>
      </c>
      <c r="AC20" t="s">
        <v>2065</v>
      </c>
      <c r="AD20" s="13">
        <v>18</v>
      </c>
      <c r="AE20" s="9">
        <v>38096.18406</v>
      </c>
      <c r="AF20" s="9">
        <v>19227.060000000001</v>
      </c>
      <c r="AG20" s="9">
        <v>18869.124059999998</v>
      </c>
      <c r="AH20" s="11">
        <v>0.49530220744108822</v>
      </c>
      <c r="AI20" s="9">
        <f>SUMIFS(AD20:AD651, R20:R651, S20)</f>
        <v>0</v>
      </c>
      <c r="AJ20" s="11" t="e">
        <f>SUMIFS(AD20:AD651, R20:R651, S20, AD20:AD651, "&gt;" &amp; AE20) / AI20</f>
        <v>#DIV/0!</v>
      </c>
      <c r="AK20" s="7" t="e">
        <f>IF(AJ20&lt;=0.8,"A",IF(Table2[[#This Row],[Cumulative rev]]&lt;=0.95,"B","C"))</f>
        <v>#DIV/0!</v>
      </c>
    </row>
    <row r="21" spans="1:37" x14ac:dyDescent="0.3">
      <c r="A21" t="s">
        <v>34</v>
      </c>
      <c r="B21" s="4">
        <v>45798</v>
      </c>
      <c r="C21" s="4" t="s">
        <v>2096</v>
      </c>
      <c r="D21" s="4" t="s">
        <v>2097</v>
      </c>
      <c r="E21" s="4">
        <v>45796</v>
      </c>
      <c r="F21" t="s">
        <v>2066</v>
      </c>
      <c r="G21" s="4">
        <v>45798</v>
      </c>
      <c r="H21" s="4">
        <f>_xlfn.MINIFS(B21:B652, N21:N652, N21)</f>
        <v>44945</v>
      </c>
      <c r="I21" s="4" t="str">
        <f t="shared" si="0"/>
        <v>Jan-2023</v>
      </c>
      <c r="J21" s="13">
        <f t="shared" si="1"/>
        <v>29</v>
      </c>
      <c r="K21" s="13">
        <v>0</v>
      </c>
      <c r="L21" s="30" t="str">
        <f>IF(Table2[[#This Row],[LeadTimeDays]]&lt;7,"1","0")</f>
        <v>1</v>
      </c>
      <c r="M21" s="7" t="s">
        <v>649</v>
      </c>
      <c r="N21" s="7" t="s">
        <v>658</v>
      </c>
      <c r="O21" s="7" t="s">
        <v>674</v>
      </c>
      <c r="P21" s="7" t="s">
        <v>706</v>
      </c>
      <c r="Q21" s="7" t="s">
        <v>708</v>
      </c>
      <c r="R21" s="7" t="s">
        <v>724</v>
      </c>
      <c r="S21" s="7" t="s">
        <v>731</v>
      </c>
      <c r="T21" s="7" t="s">
        <v>1447</v>
      </c>
      <c r="U21" s="9">
        <v>1015.16</v>
      </c>
      <c r="V21" s="9">
        <v>2148.14</v>
      </c>
      <c r="W21" s="9">
        <v>2148.14</v>
      </c>
      <c r="X21" s="9">
        <v>831.01859999999999</v>
      </c>
      <c r="Y21" s="9">
        <v>1626.7121999999999</v>
      </c>
      <c r="Z21" s="9" t="s">
        <v>2095</v>
      </c>
      <c r="AA21" t="s">
        <v>2065</v>
      </c>
      <c r="AB21" s="11">
        <v>3.7999999999999999E-2</v>
      </c>
      <c r="AC21" t="s">
        <v>2065</v>
      </c>
      <c r="AD21" s="13">
        <v>19</v>
      </c>
      <c r="AE21" s="9">
        <v>39263.702919999996</v>
      </c>
      <c r="AF21" s="9">
        <v>19288.04</v>
      </c>
      <c r="AG21" s="9">
        <v>19975.662919999995</v>
      </c>
      <c r="AH21" s="11">
        <v>0.50875647059322227</v>
      </c>
      <c r="AI21" s="9">
        <f>SUMIFS(AD21:AD652, R21:R652, S21)</f>
        <v>0</v>
      </c>
      <c r="AJ21" s="11" t="e">
        <f>SUMIFS(AD21:AD652, R21:R652, S21, AD21:AD652, "&gt;" &amp; AE21) / AI21</f>
        <v>#DIV/0!</v>
      </c>
      <c r="AK21" s="7" t="e">
        <f>IF(AJ21&lt;=0.8,"A",IF(Table2[[#This Row],[Cumulative rev]]&lt;=0.95,"B","C"))</f>
        <v>#DIV/0!</v>
      </c>
    </row>
    <row r="22" spans="1:37" x14ac:dyDescent="0.3">
      <c r="A22" t="s">
        <v>35</v>
      </c>
      <c r="B22" s="4">
        <v>45498</v>
      </c>
      <c r="C22" s="4" t="s">
        <v>2105</v>
      </c>
      <c r="D22" s="4" t="s">
        <v>2106</v>
      </c>
      <c r="E22" s="4">
        <v>45497</v>
      </c>
      <c r="F22" t="s">
        <v>2066</v>
      </c>
      <c r="G22" s="4">
        <v>45498</v>
      </c>
      <c r="H22" s="4">
        <f>_xlfn.MINIFS(B22:B653, N22:N653, N22)</f>
        <v>44946</v>
      </c>
      <c r="I22" s="4" t="str">
        <f t="shared" si="0"/>
        <v>Jan-2023</v>
      </c>
      <c r="J22" s="13">
        <f t="shared" si="1"/>
        <v>19</v>
      </c>
      <c r="K22" s="13">
        <v>0</v>
      </c>
      <c r="L22" s="30" t="str">
        <f>IF(Table2[[#This Row],[LeadTimeDays]]&lt;7,"1","0")</f>
        <v>1</v>
      </c>
      <c r="M22" s="7" t="s">
        <v>646</v>
      </c>
      <c r="N22" s="7" t="s">
        <v>650</v>
      </c>
      <c r="O22" s="7" t="s">
        <v>675</v>
      </c>
      <c r="P22" s="7" t="s">
        <v>703</v>
      </c>
      <c r="Q22" s="7" t="s">
        <v>711</v>
      </c>
      <c r="R22" s="7" t="s">
        <v>713</v>
      </c>
      <c r="S22" s="7" t="s">
        <v>731</v>
      </c>
      <c r="T22" s="7" t="s">
        <v>1448</v>
      </c>
      <c r="U22" s="9">
        <v>1494.4</v>
      </c>
      <c r="V22" s="9">
        <v>3661.07</v>
      </c>
      <c r="W22" s="9">
        <v>3661.07</v>
      </c>
      <c r="X22" s="9">
        <v>828.63600000000008</v>
      </c>
      <c r="Y22" s="9">
        <v>1625.1200000000001</v>
      </c>
      <c r="Z22" s="9" t="s">
        <v>2095</v>
      </c>
      <c r="AA22" t="s">
        <v>2065</v>
      </c>
      <c r="AB22" s="11">
        <v>7.1999999999999995E-2</v>
      </c>
      <c r="AC22" t="s">
        <v>2065</v>
      </c>
      <c r="AD22" s="13">
        <v>7</v>
      </c>
      <c r="AE22" s="9">
        <v>23782.310720000001</v>
      </c>
      <c r="AF22" s="9">
        <v>10460.800000000001</v>
      </c>
      <c r="AG22" s="9">
        <v>13321.51072</v>
      </c>
      <c r="AH22" s="11">
        <v>0.56014366630897339</v>
      </c>
      <c r="AI22" s="9">
        <f>SUMIFS(AD22:AD653, R22:R653, S22)</f>
        <v>0</v>
      </c>
      <c r="AJ22" s="11" t="e">
        <f>SUMIFS(AD22:AD653, R22:R653, S22, AD22:AD653, "&gt;" &amp; AE22) / AI22</f>
        <v>#DIV/0!</v>
      </c>
      <c r="AK22" s="7" t="e">
        <f>IF(AJ22&lt;=0.8,"A",IF(Table2[[#This Row],[Cumulative rev]]&lt;=0.95,"B","C"))</f>
        <v>#DIV/0!</v>
      </c>
    </row>
    <row r="23" spans="1:37" x14ac:dyDescent="0.3">
      <c r="A23" t="s">
        <v>36</v>
      </c>
      <c r="B23" s="4">
        <v>45057</v>
      </c>
      <c r="C23" s="4" t="s">
        <v>2107</v>
      </c>
      <c r="D23" s="4" t="s">
        <v>2103</v>
      </c>
      <c r="E23" s="4">
        <v>45074</v>
      </c>
      <c r="F23" t="s">
        <v>2064</v>
      </c>
      <c r="G23" s="4">
        <v>45074</v>
      </c>
      <c r="H23" s="4">
        <f>_xlfn.MINIFS(B23:B654, N23:N654, N23)</f>
        <v>44938</v>
      </c>
      <c r="I23" s="4" t="str">
        <f t="shared" si="0"/>
        <v>Jan-2023</v>
      </c>
      <c r="J23" s="13">
        <f t="shared" si="1"/>
        <v>4</v>
      </c>
      <c r="K23" s="13">
        <v>17</v>
      </c>
      <c r="L23" s="30" t="str">
        <f>IF(Table2[[#This Row],[LeadTimeDays]]&lt;7,"1","0")</f>
        <v>0</v>
      </c>
      <c r="M23" s="7" t="s">
        <v>647</v>
      </c>
      <c r="N23" s="7" t="s">
        <v>659</v>
      </c>
      <c r="O23" s="7" t="s">
        <v>676</v>
      </c>
      <c r="P23" s="7" t="s">
        <v>706</v>
      </c>
      <c r="Q23" s="7" t="s">
        <v>709</v>
      </c>
      <c r="R23" s="7" t="s">
        <v>718</v>
      </c>
      <c r="S23" s="7" t="s">
        <v>729</v>
      </c>
      <c r="T23" s="7" t="s">
        <v>1449</v>
      </c>
      <c r="U23" s="9">
        <v>1331.19</v>
      </c>
      <c r="V23" s="9">
        <v>2903.09</v>
      </c>
      <c r="W23" s="9">
        <v>2903.09</v>
      </c>
      <c r="X23" s="9">
        <v>826.42020000000002</v>
      </c>
      <c r="Y23" s="9">
        <v>1624.4258</v>
      </c>
      <c r="Z23" s="9" t="s">
        <v>2095</v>
      </c>
      <c r="AA23" t="s">
        <v>2065</v>
      </c>
      <c r="AB23" s="11">
        <v>0.14299999999999999</v>
      </c>
      <c r="AC23" t="s">
        <v>2065</v>
      </c>
      <c r="AD23" s="13">
        <v>8</v>
      </c>
      <c r="AE23" s="9">
        <v>19903.585040000002</v>
      </c>
      <c r="AF23" s="9">
        <v>10649.52</v>
      </c>
      <c r="AG23" s="9">
        <v>9254.0650400000013</v>
      </c>
      <c r="AH23" s="11">
        <v>0.46494463290920784</v>
      </c>
      <c r="AI23" s="9">
        <f>SUMIFS(AD23:AD654, R23:R654, S23)</f>
        <v>0</v>
      </c>
      <c r="AJ23" s="11" t="e">
        <f>SUMIFS(AD23:AD654, R23:R654, S23, AD23:AD654, "&gt;" &amp; AE23) / AI23</f>
        <v>#DIV/0!</v>
      </c>
      <c r="AK23" s="7" t="e">
        <f>IF(AJ23&lt;=0.8,"A",IF(Table2[[#This Row],[Cumulative rev]]&lt;=0.95,"B","C"))</f>
        <v>#DIV/0!</v>
      </c>
    </row>
    <row r="24" spans="1:37" x14ac:dyDescent="0.3">
      <c r="A24" t="s">
        <v>37</v>
      </c>
      <c r="B24" s="4">
        <v>45822</v>
      </c>
      <c r="C24" s="4" t="s">
        <v>2108</v>
      </c>
      <c r="D24" s="4" t="s">
        <v>2097</v>
      </c>
      <c r="E24" s="4">
        <v>45837</v>
      </c>
      <c r="F24" t="s">
        <v>2064</v>
      </c>
      <c r="G24" s="4">
        <v>45837</v>
      </c>
      <c r="H24" s="4">
        <f>_xlfn.MINIFS(B24:B655, N24:N655, N24)</f>
        <v>44968</v>
      </c>
      <c r="I24" s="4" t="str">
        <f t="shared" si="0"/>
        <v>Feb-2023</v>
      </c>
      <c r="J24" s="13">
        <f t="shared" si="1"/>
        <v>29</v>
      </c>
      <c r="K24" s="13">
        <v>15</v>
      </c>
      <c r="L24" s="30" t="str">
        <f>IF(Table2[[#This Row],[LeadTimeDays]]&lt;7,"1","0")</f>
        <v>0</v>
      </c>
      <c r="M24" s="7" t="s">
        <v>646</v>
      </c>
      <c r="N24" s="7" t="s">
        <v>651</v>
      </c>
      <c r="O24" s="7" t="s">
        <v>663</v>
      </c>
      <c r="P24" s="7" t="s">
        <v>704</v>
      </c>
      <c r="Q24" s="7" t="s">
        <v>709</v>
      </c>
      <c r="R24" s="7" t="s">
        <v>724</v>
      </c>
      <c r="S24" s="7" t="s">
        <v>733</v>
      </c>
      <c r="T24" s="7" t="s">
        <v>1450</v>
      </c>
      <c r="U24" s="9">
        <v>730.99</v>
      </c>
      <c r="V24" s="9">
        <v>1242.8399999999999</v>
      </c>
      <c r="W24" s="9">
        <v>1242.8399999999999</v>
      </c>
      <c r="X24" s="9">
        <v>825.87239999999997</v>
      </c>
      <c r="Y24" s="9">
        <v>1621.7396000000001</v>
      </c>
      <c r="Z24" s="9" t="s">
        <v>2092</v>
      </c>
      <c r="AA24" t="s">
        <v>2065</v>
      </c>
      <c r="AB24" s="11">
        <v>0.12</v>
      </c>
      <c r="AC24" t="s">
        <v>2065</v>
      </c>
      <c r="AD24" s="13">
        <v>10</v>
      </c>
      <c r="AE24" s="9">
        <v>10936.992</v>
      </c>
      <c r="AF24" s="9">
        <v>7309.9</v>
      </c>
      <c r="AG24" s="9">
        <v>3627.0920000000006</v>
      </c>
      <c r="AH24" s="11">
        <v>0.33163524303574515</v>
      </c>
      <c r="AI24" s="9">
        <f>SUMIFS(AD24:AD655, R24:R655, S24)</f>
        <v>0</v>
      </c>
      <c r="AJ24" s="11" t="e">
        <f>SUMIFS(AD24:AD655, R24:R655, S24, AD24:AD655, "&gt;" &amp; AE24) / AI24</f>
        <v>#DIV/0!</v>
      </c>
      <c r="AK24" s="7" t="e">
        <f>IF(AJ24&lt;=0.8,"A",IF(Table2[[#This Row],[Cumulative rev]]&lt;=0.95,"B","C"))</f>
        <v>#DIV/0!</v>
      </c>
    </row>
    <row r="25" spans="1:37" x14ac:dyDescent="0.3">
      <c r="A25" t="s">
        <v>38</v>
      </c>
      <c r="B25" s="4">
        <v>45430</v>
      </c>
      <c r="C25" s="4" t="s">
        <v>2093</v>
      </c>
      <c r="D25" s="4" t="s">
        <v>2094</v>
      </c>
      <c r="E25" s="4">
        <v>45435</v>
      </c>
      <c r="F25" t="s">
        <v>2064</v>
      </c>
      <c r="G25" s="4">
        <v>45435</v>
      </c>
      <c r="H25" s="4">
        <f>_xlfn.MINIFS(B25:B656, N25:N656, N25)</f>
        <v>44939</v>
      </c>
      <c r="I25" s="4" t="str">
        <f t="shared" si="0"/>
        <v>Jan-2023</v>
      </c>
      <c r="J25" s="13">
        <f t="shared" si="1"/>
        <v>17</v>
      </c>
      <c r="K25" s="13">
        <v>5</v>
      </c>
      <c r="L25" s="30" t="str">
        <f>IF(Table2[[#This Row],[LeadTimeDays]]&lt;7,"1","0")</f>
        <v>1</v>
      </c>
      <c r="M25" s="7" t="s">
        <v>648</v>
      </c>
      <c r="N25" s="7" t="s">
        <v>1425</v>
      </c>
      <c r="O25" s="7" t="s">
        <v>677</v>
      </c>
      <c r="P25" s="7" t="s">
        <v>706</v>
      </c>
      <c r="Q25" s="7" t="s">
        <v>707</v>
      </c>
      <c r="R25" s="7" t="s">
        <v>722</v>
      </c>
      <c r="S25" s="7" t="s">
        <v>731</v>
      </c>
      <c r="T25" s="7" t="s">
        <v>1451</v>
      </c>
      <c r="U25" s="9">
        <v>1274.5899999999999</v>
      </c>
      <c r="V25" s="9">
        <v>2553.69</v>
      </c>
      <c r="W25" s="9">
        <v>2553.69</v>
      </c>
      <c r="X25" s="9">
        <v>825.32459999999992</v>
      </c>
      <c r="Y25" s="9">
        <v>1623.1233999999999</v>
      </c>
      <c r="Z25" s="9" t="s">
        <v>2095</v>
      </c>
      <c r="AA25" t="s">
        <v>2065</v>
      </c>
      <c r="AB25" s="11">
        <v>0.01</v>
      </c>
      <c r="AC25" t="s">
        <v>2065</v>
      </c>
      <c r="AD25" s="13">
        <v>8</v>
      </c>
      <c r="AE25" s="9">
        <v>20225.2248</v>
      </c>
      <c r="AF25" s="9">
        <v>10196.719999999999</v>
      </c>
      <c r="AG25" s="9">
        <v>10028.504800000001</v>
      </c>
      <c r="AH25" s="11">
        <v>0.49584145042481803</v>
      </c>
      <c r="AI25" s="9">
        <f>SUMIFS(AD25:AD656, R25:R656, S25)</f>
        <v>0</v>
      </c>
      <c r="AJ25" s="11" t="e">
        <f>SUMIFS(AD25:AD656, R25:R656, S25, AD25:AD656, "&gt;" &amp; AE25) / AI25</f>
        <v>#DIV/0!</v>
      </c>
      <c r="AK25" s="7" t="e">
        <f>IF(AJ25&lt;=0.8,"A",IF(Table2[[#This Row],[Cumulative rev]]&lt;=0.95,"B","C"))</f>
        <v>#DIV/0!</v>
      </c>
    </row>
    <row r="26" spans="1:37" x14ac:dyDescent="0.3">
      <c r="A26" t="s">
        <v>39</v>
      </c>
      <c r="B26" s="4">
        <v>44964</v>
      </c>
      <c r="C26" s="4" t="s">
        <v>2084</v>
      </c>
      <c r="D26" s="4" t="s">
        <v>2085</v>
      </c>
      <c r="E26" s="4">
        <v>44969</v>
      </c>
      <c r="F26" t="s">
        <v>2064</v>
      </c>
      <c r="G26" s="4">
        <v>44969</v>
      </c>
      <c r="H26" s="4">
        <f>_xlfn.MINIFS(B26:B657, N26:N657, N26)</f>
        <v>44955</v>
      </c>
      <c r="I26" s="4" t="str">
        <f t="shared" si="0"/>
        <v>Jan-2023</v>
      </c>
      <c r="J26" s="13">
        <f t="shared" si="1"/>
        <v>1</v>
      </c>
      <c r="K26" s="13">
        <v>5</v>
      </c>
      <c r="L26" s="30" t="str">
        <f>IF(Table2[[#This Row],[LeadTimeDays]]&lt;7,"1","0")</f>
        <v>1</v>
      </c>
      <c r="M26" s="7" t="s">
        <v>648</v>
      </c>
      <c r="N26" s="7" t="s">
        <v>655</v>
      </c>
      <c r="O26" s="7" t="s">
        <v>670</v>
      </c>
      <c r="P26" s="7" t="s">
        <v>702</v>
      </c>
      <c r="Q26" s="7" t="s">
        <v>708</v>
      </c>
      <c r="R26" s="7" t="s">
        <v>725</v>
      </c>
      <c r="S26" s="7" t="s">
        <v>727</v>
      </c>
      <c r="T26" s="7" t="s">
        <v>1452</v>
      </c>
      <c r="U26" s="9">
        <v>948.55</v>
      </c>
      <c r="V26" s="9">
        <v>2089.16</v>
      </c>
      <c r="W26" s="9">
        <v>2089.16</v>
      </c>
      <c r="X26" s="9">
        <v>824.79899999999998</v>
      </c>
      <c r="Y26" s="9">
        <v>1620.49</v>
      </c>
      <c r="Z26" s="9" t="s">
        <v>2095</v>
      </c>
      <c r="AA26" t="s">
        <v>2065</v>
      </c>
      <c r="AB26" s="11">
        <v>7.0000000000000001E-3</v>
      </c>
      <c r="AC26" t="s">
        <v>2065</v>
      </c>
      <c r="AD26" s="13">
        <v>12</v>
      </c>
      <c r="AE26" s="9">
        <v>24894.430559999997</v>
      </c>
      <c r="AF26" s="9">
        <v>11382.599999999999</v>
      </c>
      <c r="AG26" s="9">
        <v>13511.830559999999</v>
      </c>
      <c r="AH26" s="11">
        <v>0.54276519912492427</v>
      </c>
      <c r="AI26" s="9">
        <f>SUMIFS(AD26:AD657, R26:R657, S26)</f>
        <v>0</v>
      </c>
      <c r="AJ26" s="11" t="e">
        <f>SUMIFS(AD26:AD657, R26:R657, S26, AD26:AD657, "&gt;" &amp; AE26) / AI26</f>
        <v>#DIV/0!</v>
      </c>
      <c r="AK26" s="7" t="e">
        <f>IF(AJ26&lt;=0.8,"A",IF(Table2[[#This Row],[Cumulative rev]]&lt;=0.95,"B","C"))</f>
        <v>#DIV/0!</v>
      </c>
    </row>
    <row r="27" spans="1:37" x14ac:dyDescent="0.3">
      <c r="A27" t="s">
        <v>40</v>
      </c>
      <c r="B27" s="4">
        <v>45473</v>
      </c>
      <c r="C27" s="4" t="s">
        <v>2109</v>
      </c>
      <c r="D27" s="4" t="s">
        <v>2094</v>
      </c>
      <c r="E27" s="4">
        <v>45487</v>
      </c>
      <c r="F27" t="s">
        <v>2064</v>
      </c>
      <c r="G27" s="4">
        <v>45487</v>
      </c>
      <c r="H27" s="4">
        <f>_xlfn.MINIFS(B27:B658, N27:N658, N27)</f>
        <v>44955</v>
      </c>
      <c r="I27" s="4" t="str">
        <f t="shared" si="0"/>
        <v>Jan-2023</v>
      </c>
      <c r="J27" s="13">
        <f t="shared" si="1"/>
        <v>18</v>
      </c>
      <c r="K27" s="13">
        <v>14</v>
      </c>
      <c r="L27" s="30" t="str">
        <f>IF(Table2[[#This Row],[LeadTimeDays]]&lt;7,"1","0")</f>
        <v>0</v>
      </c>
      <c r="M27" s="7" t="s">
        <v>648</v>
      </c>
      <c r="N27" s="7" t="s">
        <v>655</v>
      </c>
      <c r="O27" s="7" t="s">
        <v>672</v>
      </c>
      <c r="P27" s="7" t="s">
        <v>702</v>
      </c>
      <c r="Q27" s="7" t="s">
        <v>707</v>
      </c>
      <c r="R27" s="7" t="s">
        <v>712</v>
      </c>
      <c r="S27" s="7" t="s">
        <v>733</v>
      </c>
      <c r="T27" s="7" t="s">
        <v>1453</v>
      </c>
      <c r="U27" s="9">
        <v>1491.85</v>
      </c>
      <c r="V27" s="9">
        <v>2583.02</v>
      </c>
      <c r="W27" s="9">
        <v>2583.02</v>
      </c>
      <c r="X27" s="9">
        <v>824.61749999999995</v>
      </c>
      <c r="Y27" s="9">
        <v>1618.675</v>
      </c>
      <c r="Z27" s="9" t="s">
        <v>2095</v>
      </c>
      <c r="AA27" t="s">
        <v>2065</v>
      </c>
      <c r="AB27" s="11">
        <v>0.16800000000000001</v>
      </c>
      <c r="AC27" t="s">
        <v>2065</v>
      </c>
      <c r="AD27" s="13">
        <v>4</v>
      </c>
      <c r="AE27" s="9">
        <v>8596.2905599999995</v>
      </c>
      <c r="AF27" s="9">
        <v>5967.4</v>
      </c>
      <c r="AG27" s="9">
        <v>2628.8905599999998</v>
      </c>
      <c r="AH27" s="11">
        <v>0.30581685689321325</v>
      </c>
      <c r="AI27" s="9">
        <f>SUMIFS(AD27:AD658, R27:R658, S27)</f>
        <v>0</v>
      </c>
      <c r="AJ27" s="11" t="e">
        <f>SUMIFS(AD27:AD658, R27:R658, S27, AD27:AD658, "&gt;" &amp; AE27) / AI27</f>
        <v>#DIV/0!</v>
      </c>
      <c r="AK27" s="7" t="e">
        <f>IF(AJ27&lt;=0.8,"A",IF(Table2[[#This Row],[Cumulative rev]]&lt;=0.95,"B","C"))</f>
        <v>#DIV/0!</v>
      </c>
    </row>
    <row r="28" spans="1:37" x14ac:dyDescent="0.3">
      <c r="A28" t="s">
        <v>41</v>
      </c>
      <c r="B28" s="4">
        <v>45626</v>
      </c>
      <c r="C28" s="4" t="s">
        <v>2110</v>
      </c>
      <c r="D28" s="4" t="s">
        <v>2083</v>
      </c>
      <c r="E28" s="4">
        <v>45656</v>
      </c>
      <c r="F28" t="s">
        <v>2064</v>
      </c>
      <c r="G28" s="4">
        <v>45656</v>
      </c>
      <c r="H28" s="4">
        <f>_xlfn.MINIFS(B28:B659, N28:N659, N28)</f>
        <v>44936</v>
      </c>
      <c r="I28" s="4" t="str">
        <f t="shared" si="0"/>
        <v>Jan-2023</v>
      </c>
      <c r="J28" s="13">
        <f t="shared" si="1"/>
        <v>23</v>
      </c>
      <c r="K28" s="13">
        <v>30</v>
      </c>
      <c r="L28" s="30" t="str">
        <f>IF(Table2[[#This Row],[LeadTimeDays]]&lt;7,"1","0")</f>
        <v>0</v>
      </c>
      <c r="M28" s="7" t="s">
        <v>649</v>
      </c>
      <c r="N28" s="7" t="s">
        <v>657</v>
      </c>
      <c r="O28" s="7" t="s">
        <v>673</v>
      </c>
      <c r="P28" s="7" t="s">
        <v>704</v>
      </c>
      <c r="Q28" s="7" t="s">
        <v>709</v>
      </c>
      <c r="R28" s="7" t="s">
        <v>721</v>
      </c>
      <c r="S28" s="7" t="s">
        <v>728</v>
      </c>
      <c r="T28" s="7" t="s">
        <v>1454</v>
      </c>
      <c r="U28" s="9">
        <v>117.64</v>
      </c>
      <c r="V28" s="9">
        <v>175.67</v>
      </c>
      <c r="W28" s="9">
        <v>175.67</v>
      </c>
      <c r="X28" s="9">
        <v>824.43600000000004</v>
      </c>
      <c r="Y28" s="9">
        <v>1609.811200000001</v>
      </c>
      <c r="Z28" s="9" t="s">
        <v>2081</v>
      </c>
      <c r="AA28" t="s">
        <v>2065</v>
      </c>
      <c r="AB28" s="11">
        <v>0</v>
      </c>
      <c r="AC28" t="s">
        <v>2065</v>
      </c>
      <c r="AD28" s="13">
        <v>10</v>
      </c>
      <c r="AE28" s="9">
        <v>1756.6999999999998</v>
      </c>
      <c r="AF28" s="9">
        <v>1176.4000000000001</v>
      </c>
      <c r="AG28" s="9">
        <v>580.29999999999973</v>
      </c>
      <c r="AH28" s="11">
        <v>0.33033528775545046</v>
      </c>
      <c r="AI28" s="9">
        <f>SUMIFS(AD28:AD659, R28:R659, S28)</f>
        <v>0</v>
      </c>
      <c r="AJ28" s="11" t="e">
        <f>SUMIFS(AD28:AD659, R28:R659, S28, AD28:AD659, "&gt;" &amp; AE28) / AI28</f>
        <v>#DIV/0!</v>
      </c>
      <c r="AK28" s="7" t="e">
        <f>IF(AJ28&lt;=0.8,"A",IF(Table2[[#This Row],[Cumulative rev]]&lt;=0.95,"B","C"))</f>
        <v>#DIV/0!</v>
      </c>
    </row>
    <row r="29" spans="1:37" x14ac:dyDescent="0.3">
      <c r="A29" t="s">
        <v>42</v>
      </c>
      <c r="B29" s="4">
        <v>45492</v>
      </c>
      <c r="C29" s="4" t="s">
        <v>2105</v>
      </c>
      <c r="D29" s="4" t="s">
        <v>2106</v>
      </c>
      <c r="E29" s="4">
        <v>45492</v>
      </c>
      <c r="F29" t="s">
        <v>2064</v>
      </c>
      <c r="G29" s="4">
        <v>45492</v>
      </c>
      <c r="H29" s="4">
        <f>_xlfn.MINIFS(B29:B660, N29:N660, N29)</f>
        <v>44946</v>
      </c>
      <c r="I29" s="4" t="str">
        <f t="shared" si="0"/>
        <v>Jan-2023</v>
      </c>
      <c r="J29" s="13">
        <f t="shared" si="1"/>
        <v>18</v>
      </c>
      <c r="K29" s="13">
        <v>0</v>
      </c>
      <c r="L29" s="30" t="str">
        <f>IF(Table2[[#This Row],[LeadTimeDays]]&lt;7,"1","0")</f>
        <v>1</v>
      </c>
      <c r="M29" s="7" t="s">
        <v>646</v>
      </c>
      <c r="N29" s="7" t="s">
        <v>650</v>
      </c>
      <c r="O29" s="7" t="s">
        <v>662</v>
      </c>
      <c r="P29" s="7" t="s">
        <v>705</v>
      </c>
      <c r="Q29" s="7" t="s">
        <v>707</v>
      </c>
      <c r="R29" s="7" t="s">
        <v>720</v>
      </c>
      <c r="S29" s="7" t="s">
        <v>730</v>
      </c>
      <c r="T29" s="7" t="s">
        <v>1455</v>
      </c>
      <c r="U29" s="9">
        <v>857.24</v>
      </c>
      <c r="V29" s="9">
        <v>758.23</v>
      </c>
      <c r="W29" s="9">
        <v>758.23</v>
      </c>
      <c r="X29" s="9">
        <v>824.80449999999996</v>
      </c>
      <c r="Y29" s="9">
        <v>1617.4034000000004</v>
      </c>
      <c r="Z29" s="9" t="s">
        <v>2081</v>
      </c>
      <c r="AA29" t="s">
        <v>2065</v>
      </c>
      <c r="AB29" s="11">
        <v>0.125</v>
      </c>
      <c r="AC29" t="s">
        <v>2065</v>
      </c>
      <c r="AD29" s="13">
        <v>6</v>
      </c>
      <c r="AE29" s="9">
        <v>3980.7075</v>
      </c>
      <c r="AF29" s="9">
        <v>5143.4400000000005</v>
      </c>
      <c r="AG29" s="9">
        <v>-1162.7325000000005</v>
      </c>
      <c r="AH29" s="11">
        <v>-0.29209192084572921</v>
      </c>
      <c r="AI29" s="9">
        <f>SUMIFS(AD29:AD660, R29:R660, S29)</f>
        <v>0</v>
      </c>
      <c r="AJ29" s="11" t="e">
        <f>SUMIFS(AD29:AD660, R29:R660, S29, AD29:AD660, "&gt;" &amp; AE29) / AI29</f>
        <v>#DIV/0!</v>
      </c>
      <c r="AK29" s="7" t="e">
        <f>IF(AJ29&lt;=0.8,"A",IF(Table2[[#This Row],[Cumulative rev]]&lt;=0.95,"B","C"))</f>
        <v>#DIV/0!</v>
      </c>
    </row>
    <row r="30" spans="1:37" x14ac:dyDescent="0.3">
      <c r="A30" t="s">
        <v>43</v>
      </c>
      <c r="B30" s="4">
        <v>45030</v>
      </c>
      <c r="C30" s="4" t="s">
        <v>2102</v>
      </c>
      <c r="D30" s="4" t="s">
        <v>2103</v>
      </c>
      <c r="E30" s="4">
        <v>45060</v>
      </c>
      <c r="F30" t="s">
        <v>2064</v>
      </c>
      <c r="G30" s="4">
        <v>45060</v>
      </c>
      <c r="H30" s="4">
        <f>_xlfn.MINIFS(B30:B661, N30:N661, N30)</f>
        <v>44946</v>
      </c>
      <c r="I30" s="4" t="str">
        <f t="shared" si="0"/>
        <v>Jan-2023</v>
      </c>
      <c r="J30" s="13">
        <f t="shared" si="1"/>
        <v>3</v>
      </c>
      <c r="K30" s="13">
        <v>30</v>
      </c>
      <c r="L30" s="30" t="str">
        <f>IF(Table2[[#This Row],[LeadTimeDays]]&lt;7,"1","0")</f>
        <v>0</v>
      </c>
      <c r="M30" s="7" t="s">
        <v>646</v>
      </c>
      <c r="N30" s="7" t="s">
        <v>650</v>
      </c>
      <c r="O30" s="7" t="s">
        <v>678</v>
      </c>
      <c r="P30" s="7" t="s">
        <v>704</v>
      </c>
      <c r="Q30" s="7" t="s">
        <v>709</v>
      </c>
      <c r="R30" s="7" t="s">
        <v>724</v>
      </c>
      <c r="S30" s="7" t="s">
        <v>730</v>
      </c>
      <c r="T30" s="7" t="s">
        <v>1456</v>
      </c>
      <c r="U30" s="9">
        <v>209.25</v>
      </c>
      <c r="V30" s="9">
        <v>434.8</v>
      </c>
      <c r="W30" s="9">
        <v>434.8</v>
      </c>
      <c r="X30" s="9">
        <v>825.90560000000005</v>
      </c>
      <c r="Y30" s="9">
        <v>1618.7299999999998</v>
      </c>
      <c r="Z30" s="9" t="s">
        <v>2081</v>
      </c>
      <c r="AA30" t="s">
        <v>2065</v>
      </c>
      <c r="AB30" s="11">
        <v>0</v>
      </c>
      <c r="AC30" t="s">
        <v>2065</v>
      </c>
      <c r="AD30" s="13">
        <v>9</v>
      </c>
      <c r="AE30" s="9">
        <v>3913.2000000000003</v>
      </c>
      <c r="AF30" s="9">
        <v>1883.25</v>
      </c>
      <c r="AG30" s="9">
        <v>2029.9500000000003</v>
      </c>
      <c r="AH30" s="11">
        <v>0.51874425022999082</v>
      </c>
      <c r="AI30" s="9">
        <f>SUMIFS(AD30:AD661, R30:R661, S30)</f>
        <v>0</v>
      </c>
      <c r="AJ30" s="11" t="e">
        <f>SUMIFS(AD30:AD661, R30:R661, S30, AD30:AD661, "&gt;" &amp; AE30) / AI30</f>
        <v>#DIV/0!</v>
      </c>
      <c r="AK30" s="7" t="e">
        <f>IF(AJ30&lt;=0.8,"A",IF(Table2[[#This Row],[Cumulative rev]]&lt;=0.95,"B","C"))</f>
        <v>#DIV/0!</v>
      </c>
    </row>
    <row r="31" spans="1:37" x14ac:dyDescent="0.3">
      <c r="A31" t="s">
        <v>44</v>
      </c>
      <c r="B31" s="4">
        <v>45754</v>
      </c>
      <c r="C31" s="4" t="s">
        <v>2111</v>
      </c>
      <c r="D31" s="4" t="s">
        <v>2097</v>
      </c>
      <c r="E31" s="4">
        <v>45758</v>
      </c>
      <c r="F31" t="s">
        <v>2064</v>
      </c>
      <c r="G31" s="4">
        <v>45758</v>
      </c>
      <c r="H31" s="4">
        <f>_xlfn.MINIFS(B31:B662, N31:N662, N31)</f>
        <v>44936</v>
      </c>
      <c r="I31" s="4" t="str">
        <f t="shared" si="0"/>
        <v>Jan-2023</v>
      </c>
      <c r="J31" s="13">
        <f t="shared" si="1"/>
        <v>27</v>
      </c>
      <c r="K31" s="13">
        <v>4</v>
      </c>
      <c r="L31" s="30" t="str">
        <f>IF(Table2[[#This Row],[LeadTimeDays]]&lt;7,"1","0")</f>
        <v>1</v>
      </c>
      <c r="M31" s="7" t="s">
        <v>649</v>
      </c>
      <c r="N31" s="7" t="s">
        <v>657</v>
      </c>
      <c r="O31" s="7" t="s">
        <v>679</v>
      </c>
      <c r="P31" s="7" t="s">
        <v>702</v>
      </c>
      <c r="Q31" s="7" t="s">
        <v>707</v>
      </c>
      <c r="R31" s="7" t="s">
        <v>718</v>
      </c>
      <c r="S31" s="7" t="s">
        <v>729</v>
      </c>
      <c r="T31" s="7" t="s">
        <v>1457</v>
      </c>
      <c r="U31" s="9">
        <v>754.77</v>
      </c>
      <c r="V31" s="9">
        <v>1666.18</v>
      </c>
      <c r="W31" s="9">
        <v>1666.18</v>
      </c>
      <c r="X31" s="9">
        <v>828.85260000000017</v>
      </c>
      <c r="Y31" s="9">
        <v>1619.665</v>
      </c>
      <c r="Z31" s="9" t="s">
        <v>2095</v>
      </c>
      <c r="AA31" t="s">
        <v>2065</v>
      </c>
      <c r="AB31" s="11">
        <v>0.13900000000000001</v>
      </c>
      <c r="AC31" t="s">
        <v>2065</v>
      </c>
      <c r="AD31" s="13">
        <v>14</v>
      </c>
      <c r="AE31" s="9">
        <v>20084.133720000002</v>
      </c>
      <c r="AF31" s="9">
        <v>10566.779999999999</v>
      </c>
      <c r="AG31" s="9">
        <v>9517.3537200000028</v>
      </c>
      <c r="AH31" s="11">
        <v>0.47387424584424653</v>
      </c>
      <c r="AI31" s="9">
        <f>SUMIFS(AD31:AD662, R31:R662, S31)</f>
        <v>0</v>
      </c>
      <c r="AJ31" s="11" t="e">
        <f>SUMIFS(AD31:AD662, R31:R662, S31, AD31:AD662, "&gt;" &amp; AE31) / AI31</f>
        <v>#DIV/0!</v>
      </c>
      <c r="AK31" s="7" t="e">
        <f>IF(AJ31&lt;=0.8,"A",IF(Table2[[#This Row],[Cumulative rev]]&lt;=0.95,"B","C"))</f>
        <v>#DIV/0!</v>
      </c>
    </row>
    <row r="32" spans="1:37" x14ac:dyDescent="0.3">
      <c r="A32" t="s">
        <v>45</v>
      </c>
      <c r="B32" s="4">
        <v>45653</v>
      </c>
      <c r="C32" s="4" t="s">
        <v>2091</v>
      </c>
      <c r="D32" s="4" t="s">
        <v>2083</v>
      </c>
      <c r="E32" s="4">
        <v>45672</v>
      </c>
      <c r="F32" t="s">
        <v>2064</v>
      </c>
      <c r="G32" s="4">
        <v>45672</v>
      </c>
      <c r="H32" s="4">
        <f>_xlfn.MINIFS(B32:B663, N32:N663, N32)</f>
        <v>44977</v>
      </c>
      <c r="I32" s="4" t="str">
        <f t="shared" si="0"/>
        <v>Feb-2023</v>
      </c>
      <c r="J32" s="13">
        <f t="shared" si="1"/>
        <v>23</v>
      </c>
      <c r="K32" s="13">
        <v>19</v>
      </c>
      <c r="L32" s="30" t="str">
        <f>IF(Table2[[#This Row],[LeadTimeDays]]&lt;7,"1","0")</f>
        <v>0</v>
      </c>
      <c r="M32" s="7" t="s">
        <v>647</v>
      </c>
      <c r="N32" s="7" t="s">
        <v>654</v>
      </c>
      <c r="O32" s="7" t="s">
        <v>680</v>
      </c>
      <c r="P32" s="7" t="s">
        <v>703</v>
      </c>
      <c r="Q32" s="7" t="s">
        <v>710</v>
      </c>
      <c r="R32" s="7" t="s">
        <v>715</v>
      </c>
      <c r="S32" s="7" t="s">
        <v>727</v>
      </c>
      <c r="T32" s="7" t="s">
        <v>1458</v>
      </c>
      <c r="U32" s="9">
        <v>495.59</v>
      </c>
      <c r="V32" s="9">
        <v>631.78</v>
      </c>
      <c r="W32" s="9">
        <v>631.78</v>
      </c>
      <c r="X32" s="9">
        <v>826.47</v>
      </c>
      <c r="Y32" s="9">
        <v>1617.85</v>
      </c>
      <c r="Z32" s="9" t="s">
        <v>2081</v>
      </c>
      <c r="AA32" t="s">
        <v>2065</v>
      </c>
      <c r="AB32" s="11">
        <v>8.6999999999999994E-2</v>
      </c>
      <c r="AC32" t="s">
        <v>2065</v>
      </c>
      <c r="AD32" s="13">
        <v>17</v>
      </c>
      <c r="AE32" s="9">
        <v>9805.8573800000013</v>
      </c>
      <c r="AF32" s="9">
        <v>8425.0299999999988</v>
      </c>
      <c r="AG32" s="9">
        <v>1380.8273800000024</v>
      </c>
      <c r="AH32" s="11">
        <v>0.14081658813601899</v>
      </c>
      <c r="AI32" s="9">
        <f>SUMIFS(AD32:AD663, R32:R663, S32)</f>
        <v>0</v>
      </c>
      <c r="AJ32" s="11" t="e">
        <f>SUMIFS(AD32:AD663, R32:R663, S32, AD32:AD663, "&gt;" &amp; AE32) / AI32</f>
        <v>#DIV/0!</v>
      </c>
      <c r="AK32" s="7" t="e">
        <f>IF(AJ32&lt;=0.8,"A",IF(Table2[[#This Row],[Cumulative rev]]&lt;=0.95,"B","C"))</f>
        <v>#DIV/0!</v>
      </c>
    </row>
    <row r="33" spans="1:37" x14ac:dyDescent="0.3">
      <c r="A33" t="s">
        <v>46</v>
      </c>
      <c r="B33" s="4">
        <v>44980</v>
      </c>
      <c r="C33" s="4" t="s">
        <v>2084</v>
      </c>
      <c r="D33" s="4" t="s">
        <v>2085</v>
      </c>
      <c r="E33" s="4">
        <v>45010</v>
      </c>
      <c r="F33" t="s">
        <v>2064</v>
      </c>
      <c r="G33" s="4">
        <v>45010</v>
      </c>
      <c r="H33" s="4">
        <f>_xlfn.MINIFS(B33:B664, N33:N664, N33)</f>
        <v>44980</v>
      </c>
      <c r="I33" s="4" t="str">
        <f t="shared" si="0"/>
        <v>Feb-2023</v>
      </c>
      <c r="J33" s="13">
        <f t="shared" si="1"/>
        <v>1</v>
      </c>
      <c r="K33" s="13">
        <v>30</v>
      </c>
      <c r="L33" s="30" t="str">
        <f>IF(Table2[[#This Row],[LeadTimeDays]]&lt;7,"1","0")</f>
        <v>0</v>
      </c>
      <c r="M33" s="7" t="s">
        <v>648</v>
      </c>
      <c r="N33" s="7" t="s">
        <v>653</v>
      </c>
      <c r="O33" s="7" t="s">
        <v>681</v>
      </c>
      <c r="P33" s="7" t="s">
        <v>706</v>
      </c>
      <c r="Q33" s="7" t="s">
        <v>708</v>
      </c>
      <c r="R33" s="7" t="s">
        <v>726</v>
      </c>
      <c r="S33" s="7" t="s">
        <v>730</v>
      </c>
      <c r="T33" s="7" t="s">
        <v>1459</v>
      </c>
      <c r="U33" s="9">
        <v>1242.6600000000001</v>
      </c>
      <c r="V33" s="9">
        <v>1794.07</v>
      </c>
      <c r="W33" s="9">
        <v>1794.07</v>
      </c>
      <c r="X33" s="9">
        <v>831.30740000000014</v>
      </c>
      <c r="Y33" s="9">
        <v>1618.7850000000001</v>
      </c>
      <c r="Z33" s="9" t="s">
        <v>2095</v>
      </c>
      <c r="AA33" t="s">
        <v>2065</v>
      </c>
      <c r="AB33" s="11">
        <v>8.8999999999999996E-2</v>
      </c>
      <c r="AC33" t="s">
        <v>2065</v>
      </c>
      <c r="AD33" s="13">
        <v>16</v>
      </c>
      <c r="AE33" s="9">
        <v>26150.364320000001</v>
      </c>
      <c r="AF33" s="9">
        <v>19882.560000000001</v>
      </c>
      <c r="AG33" s="9">
        <v>6267.8043199999993</v>
      </c>
      <c r="AH33" s="11">
        <v>0.23968325042440553</v>
      </c>
      <c r="AI33" s="9">
        <f>SUMIFS(AD33:AD664, R33:R664, S33)</f>
        <v>0</v>
      </c>
      <c r="AJ33" s="11" t="e">
        <f>SUMIFS(AD33:AD664, R33:R664, S33, AD33:AD664, "&gt;" &amp; AE33) / AI33</f>
        <v>#DIV/0!</v>
      </c>
      <c r="AK33" s="7" t="e">
        <f>IF(AJ33&lt;=0.8,"A",IF(Table2[[#This Row],[Cumulative rev]]&lt;=0.95,"B","C"))</f>
        <v>#DIV/0!</v>
      </c>
    </row>
    <row r="34" spans="1:37" x14ac:dyDescent="0.3">
      <c r="A34" t="s">
        <v>47</v>
      </c>
      <c r="B34" s="4">
        <v>45862</v>
      </c>
      <c r="C34" s="4" t="s">
        <v>2104</v>
      </c>
      <c r="D34" s="4" t="s">
        <v>2101</v>
      </c>
      <c r="E34" s="4">
        <v>45875</v>
      </c>
      <c r="F34" t="s">
        <v>2064</v>
      </c>
      <c r="G34" s="4">
        <v>45875</v>
      </c>
      <c r="H34" s="4">
        <f>_xlfn.MINIFS(B34:B665, N34:N665, N34)</f>
        <v>44933</v>
      </c>
      <c r="I34" s="4" t="str">
        <f t="shared" si="0"/>
        <v>Jan-2023</v>
      </c>
      <c r="J34" s="13">
        <f t="shared" si="1"/>
        <v>31</v>
      </c>
      <c r="K34" s="13">
        <v>13</v>
      </c>
      <c r="L34" s="30" t="str">
        <f>IF(Table2[[#This Row],[LeadTimeDays]]&lt;7,"1","0")</f>
        <v>0</v>
      </c>
      <c r="M34" s="7" t="s">
        <v>646</v>
      </c>
      <c r="N34" s="7" t="s">
        <v>661</v>
      </c>
      <c r="O34" s="7" t="s">
        <v>682</v>
      </c>
      <c r="P34" s="7" t="s">
        <v>702</v>
      </c>
      <c r="Q34" s="7" t="s">
        <v>709</v>
      </c>
      <c r="R34" s="7" t="s">
        <v>726</v>
      </c>
      <c r="S34" s="7" t="s">
        <v>729</v>
      </c>
      <c r="T34" s="7" t="s">
        <v>1460</v>
      </c>
      <c r="U34" s="9">
        <v>1463.9</v>
      </c>
      <c r="V34" s="9">
        <v>2633.02</v>
      </c>
      <c r="W34" s="9">
        <v>2633.02</v>
      </c>
      <c r="X34" s="9">
        <v>828.9248</v>
      </c>
      <c r="Y34" s="9">
        <v>1610.7044000000001</v>
      </c>
      <c r="Z34" s="9" t="s">
        <v>2095</v>
      </c>
      <c r="AA34" t="s">
        <v>2065</v>
      </c>
      <c r="AB34" s="11">
        <v>8.4000000000000005E-2</v>
      </c>
      <c r="AC34" t="s">
        <v>2065</v>
      </c>
      <c r="AD34" s="13">
        <v>4</v>
      </c>
      <c r="AE34" s="9">
        <v>9647.3852800000004</v>
      </c>
      <c r="AF34" s="9">
        <v>5855.6</v>
      </c>
      <c r="AG34" s="9">
        <v>3791.7852800000001</v>
      </c>
      <c r="AH34" s="11">
        <v>0.39303761277791527</v>
      </c>
      <c r="AI34" s="9">
        <f>SUMIFS(AD34:AD665, R34:R665, S34)</f>
        <v>0</v>
      </c>
      <c r="AJ34" s="11" t="e">
        <f>SUMIFS(AD34:AD665, R34:R665, S34, AD34:AD665, "&gt;" &amp; AE34) / AI34</f>
        <v>#DIV/0!</v>
      </c>
      <c r="AK34" s="7" t="e">
        <f>IF(AJ34&lt;=0.8,"A",IF(Table2[[#This Row],[Cumulative rev]]&lt;=0.95,"B","C"))</f>
        <v>#DIV/0!</v>
      </c>
    </row>
    <row r="35" spans="1:37" x14ac:dyDescent="0.3">
      <c r="A35" t="s">
        <v>48</v>
      </c>
      <c r="B35" s="4">
        <v>45400</v>
      </c>
      <c r="C35" s="4" t="s">
        <v>2112</v>
      </c>
      <c r="D35" s="4" t="s">
        <v>2094</v>
      </c>
      <c r="E35" s="4">
        <v>45420</v>
      </c>
      <c r="F35" t="s">
        <v>2064</v>
      </c>
      <c r="G35" s="4">
        <v>45420</v>
      </c>
      <c r="H35" s="4">
        <f>_xlfn.MINIFS(B35:B666, N35:N666, N35)</f>
        <v>44945</v>
      </c>
      <c r="I35" s="4" t="str">
        <f t="shared" si="0"/>
        <v>Jan-2023</v>
      </c>
      <c r="J35" s="13">
        <f t="shared" si="1"/>
        <v>15</v>
      </c>
      <c r="K35" s="13">
        <v>20</v>
      </c>
      <c r="L35" s="30" t="str">
        <f>IF(Table2[[#This Row],[LeadTimeDays]]&lt;7,"1","0")</f>
        <v>0</v>
      </c>
      <c r="M35" s="7" t="s">
        <v>649</v>
      </c>
      <c r="N35" s="7" t="s">
        <v>658</v>
      </c>
      <c r="O35" s="7" t="s">
        <v>683</v>
      </c>
      <c r="P35" s="7" t="s">
        <v>703</v>
      </c>
      <c r="Q35" s="7" t="s">
        <v>2057</v>
      </c>
      <c r="R35" s="7" t="s">
        <v>726</v>
      </c>
      <c r="S35" s="7" t="s">
        <v>731</v>
      </c>
      <c r="T35" s="7" t="s">
        <v>1461</v>
      </c>
      <c r="U35" s="9">
        <v>645.33000000000004</v>
      </c>
      <c r="V35" s="9">
        <v>1321.85</v>
      </c>
      <c r="W35" s="9">
        <v>1321.85</v>
      </c>
      <c r="X35" s="9">
        <v>826.54220000000021</v>
      </c>
      <c r="Y35" s="9">
        <v>1595.9666000000009</v>
      </c>
      <c r="Z35" s="9" t="s">
        <v>2092</v>
      </c>
      <c r="AA35" t="s">
        <v>2065</v>
      </c>
      <c r="AB35" s="11">
        <v>0</v>
      </c>
      <c r="AC35" t="s">
        <v>2065</v>
      </c>
      <c r="AD35" s="13">
        <v>10</v>
      </c>
      <c r="AE35" s="9">
        <v>13218.5</v>
      </c>
      <c r="AF35" s="9">
        <v>6453.3</v>
      </c>
      <c r="AG35" s="9">
        <v>6765.2</v>
      </c>
      <c r="AH35" s="11">
        <v>0.51179785906116426</v>
      </c>
      <c r="AI35" s="9">
        <f>SUMIFS(AD35:AD666, R35:R666, S35)</f>
        <v>0</v>
      </c>
      <c r="AJ35" s="11" t="e">
        <f>SUMIFS(AD35:AD666, R35:R666, S35, AD35:AD666, "&gt;" &amp; AE35) / AI35</f>
        <v>#DIV/0!</v>
      </c>
      <c r="AK35" s="7" t="e">
        <f>IF(AJ35&lt;=0.8,"A",IF(Table2[[#This Row],[Cumulative rev]]&lt;=0.95,"B","C"))</f>
        <v>#DIV/0!</v>
      </c>
    </row>
    <row r="36" spans="1:37" x14ac:dyDescent="0.3">
      <c r="A36" t="s">
        <v>49</v>
      </c>
      <c r="B36" s="4">
        <v>45527</v>
      </c>
      <c r="C36" s="4" t="s">
        <v>2113</v>
      </c>
      <c r="D36" s="4" t="s">
        <v>2106</v>
      </c>
      <c r="E36" s="4">
        <v>45525</v>
      </c>
      <c r="F36" t="s">
        <v>2066</v>
      </c>
      <c r="G36" s="4">
        <v>45527</v>
      </c>
      <c r="H36" s="4">
        <f>_xlfn.MINIFS(B36:B667, N36:N667, N36)</f>
        <v>44933</v>
      </c>
      <c r="I36" s="4" t="str">
        <f t="shared" si="0"/>
        <v>Jan-2023</v>
      </c>
      <c r="J36" s="13">
        <f t="shared" si="1"/>
        <v>20</v>
      </c>
      <c r="K36" s="13">
        <v>0</v>
      </c>
      <c r="L36" s="30" t="str">
        <f>IF(Table2[[#This Row],[LeadTimeDays]]&lt;7,"1","0")</f>
        <v>1</v>
      </c>
      <c r="M36" s="7" t="s">
        <v>646</v>
      </c>
      <c r="N36" s="7" t="s">
        <v>661</v>
      </c>
      <c r="O36" s="7" t="s">
        <v>682</v>
      </c>
      <c r="P36" s="7" t="s">
        <v>702</v>
      </c>
      <c r="Q36" s="7" t="s">
        <v>707</v>
      </c>
      <c r="R36" s="7" t="s">
        <v>718</v>
      </c>
      <c r="S36" s="7" t="s">
        <v>727</v>
      </c>
      <c r="T36" s="7" t="s">
        <v>1462</v>
      </c>
      <c r="U36" s="9">
        <v>1432.52</v>
      </c>
      <c r="V36" s="9">
        <v>3036.87</v>
      </c>
      <c r="W36" s="9">
        <v>3036.87</v>
      </c>
      <c r="X36" s="9">
        <v>825.93880000000001</v>
      </c>
      <c r="Y36" s="9">
        <v>1603.5588000000002</v>
      </c>
      <c r="Z36" s="9" t="s">
        <v>2095</v>
      </c>
      <c r="AA36" t="s">
        <v>2065</v>
      </c>
      <c r="AB36" s="11">
        <v>0</v>
      </c>
      <c r="AC36" t="s">
        <v>2065</v>
      </c>
      <c r="AD36" s="13">
        <v>9</v>
      </c>
      <c r="AE36" s="9">
        <v>27331.829999999998</v>
      </c>
      <c r="AF36" s="9">
        <v>12892.68</v>
      </c>
      <c r="AG36" s="9">
        <v>14439.149999999998</v>
      </c>
      <c r="AH36" s="11">
        <v>0.52829064135112791</v>
      </c>
      <c r="AI36" s="9">
        <f>SUMIFS(AD36:AD667, R36:R667, S36)</f>
        <v>0</v>
      </c>
      <c r="AJ36" s="11" t="e">
        <f>SUMIFS(AD36:AD667, R36:R667, S36, AD36:AD667, "&gt;" &amp; AE36) / AI36</f>
        <v>#DIV/0!</v>
      </c>
      <c r="AK36" s="7" t="e">
        <f>IF(AJ36&lt;=0.8,"A",IF(Table2[[#This Row],[Cumulative rev]]&lt;=0.95,"B","C"))</f>
        <v>#DIV/0!</v>
      </c>
    </row>
    <row r="37" spans="1:37" x14ac:dyDescent="0.3">
      <c r="A37" t="s">
        <v>50</v>
      </c>
      <c r="B37" s="4">
        <v>45012</v>
      </c>
      <c r="C37" s="4" t="s">
        <v>2114</v>
      </c>
      <c r="D37" s="4" t="s">
        <v>2085</v>
      </c>
      <c r="E37" s="4">
        <v>45038</v>
      </c>
      <c r="F37" t="s">
        <v>2064</v>
      </c>
      <c r="G37" s="4">
        <v>45038</v>
      </c>
      <c r="H37" s="4">
        <f>_xlfn.MINIFS(B37:B668, N37:N668, N37)</f>
        <v>44977</v>
      </c>
      <c r="I37" s="4" t="str">
        <f t="shared" si="0"/>
        <v>Feb-2023</v>
      </c>
      <c r="J37" s="13">
        <f t="shared" si="1"/>
        <v>2</v>
      </c>
      <c r="K37" s="13">
        <v>26</v>
      </c>
      <c r="L37" s="30" t="str">
        <f>IF(Table2[[#This Row],[LeadTimeDays]]&lt;7,"1","0")</f>
        <v>0</v>
      </c>
      <c r="M37" s="7" t="s">
        <v>647</v>
      </c>
      <c r="N37" s="7" t="s">
        <v>654</v>
      </c>
      <c r="O37" s="7" t="s">
        <v>680</v>
      </c>
      <c r="P37" s="7" t="s">
        <v>703</v>
      </c>
      <c r="Q37" s="7" t="s">
        <v>709</v>
      </c>
      <c r="R37" s="7" t="s">
        <v>713</v>
      </c>
      <c r="S37" s="7" t="s">
        <v>728</v>
      </c>
      <c r="T37" s="7" t="s">
        <v>1463</v>
      </c>
      <c r="U37" s="9">
        <v>178.53</v>
      </c>
      <c r="V37" s="9">
        <v>199.37</v>
      </c>
      <c r="W37" s="9">
        <v>199.37</v>
      </c>
      <c r="X37" s="9">
        <v>825.39099999999996</v>
      </c>
      <c r="Y37" s="9">
        <v>1595.298</v>
      </c>
      <c r="Z37" s="9" t="s">
        <v>2081</v>
      </c>
      <c r="AA37" t="s">
        <v>2065</v>
      </c>
      <c r="AB37" s="11">
        <v>0.10100000000000001</v>
      </c>
      <c r="AC37" t="s">
        <v>2065</v>
      </c>
      <c r="AD37" s="13">
        <v>37</v>
      </c>
      <c r="AE37" s="9">
        <v>6631.6443100000006</v>
      </c>
      <c r="AF37" s="9">
        <v>6605.61</v>
      </c>
      <c r="AG37" s="9">
        <v>26.034310000000914</v>
      </c>
      <c r="AH37" s="11">
        <v>3.9257699573457538E-3</v>
      </c>
      <c r="AI37" s="9">
        <f>SUMIFS(AD37:AD668, R37:R668, S37)</f>
        <v>0</v>
      </c>
      <c r="AJ37" s="11" t="e">
        <f>SUMIFS(AD37:AD668, R37:R668, S37, AD37:AD668, "&gt;" &amp; AE37) / AI37</f>
        <v>#DIV/0!</v>
      </c>
      <c r="AK37" s="7" t="e">
        <f>IF(AJ37&lt;=0.8,"A",IF(Table2[[#This Row],[Cumulative rev]]&lt;=0.95,"B","C"))</f>
        <v>#DIV/0!</v>
      </c>
    </row>
    <row r="38" spans="1:37" x14ac:dyDescent="0.3">
      <c r="A38" t="s">
        <v>51</v>
      </c>
      <c r="B38" s="4">
        <v>45358</v>
      </c>
      <c r="C38" s="4" t="s">
        <v>2079</v>
      </c>
      <c r="D38" s="4" t="s">
        <v>2080</v>
      </c>
      <c r="E38" s="4">
        <v>45376</v>
      </c>
      <c r="F38" t="s">
        <v>2064</v>
      </c>
      <c r="G38" s="4">
        <v>45376</v>
      </c>
      <c r="H38" s="4">
        <f>_xlfn.MINIFS(B38:B669, N38:N669, N38)</f>
        <v>44948</v>
      </c>
      <c r="I38" s="4" t="str">
        <f t="shared" si="0"/>
        <v>Jan-2023</v>
      </c>
      <c r="J38" s="13">
        <f t="shared" si="1"/>
        <v>14</v>
      </c>
      <c r="K38" s="13">
        <v>18</v>
      </c>
      <c r="L38" s="30" t="str">
        <f>IF(Table2[[#This Row],[LeadTimeDays]]&lt;7,"1","0")</f>
        <v>0</v>
      </c>
      <c r="M38" s="7" t="s">
        <v>649</v>
      </c>
      <c r="N38" s="7" t="s">
        <v>656</v>
      </c>
      <c r="O38" s="7" t="s">
        <v>684</v>
      </c>
      <c r="P38" s="7" t="s">
        <v>701</v>
      </c>
      <c r="Q38" s="7" t="s">
        <v>708</v>
      </c>
      <c r="R38" s="7" t="s">
        <v>717</v>
      </c>
      <c r="S38" s="7" t="s">
        <v>727</v>
      </c>
      <c r="T38" s="7" t="s">
        <v>1464</v>
      </c>
      <c r="U38" s="9">
        <v>712.84</v>
      </c>
      <c r="V38" s="9">
        <v>927.51</v>
      </c>
      <c r="W38" s="9">
        <v>927.51</v>
      </c>
      <c r="X38" s="9">
        <v>826.61440000000005</v>
      </c>
      <c r="Y38" s="9">
        <v>1596.4132000000004</v>
      </c>
      <c r="Z38" s="9" t="s">
        <v>2092</v>
      </c>
      <c r="AA38" t="s">
        <v>2065</v>
      </c>
      <c r="AB38" s="11">
        <v>0.24299999999999999</v>
      </c>
      <c r="AC38" t="s">
        <v>2065</v>
      </c>
      <c r="AD38" s="13">
        <v>27</v>
      </c>
      <c r="AE38" s="9">
        <v>18957.37689</v>
      </c>
      <c r="AF38" s="9">
        <v>19246.68</v>
      </c>
      <c r="AG38" s="9">
        <v>-289.30311000000074</v>
      </c>
      <c r="AH38" s="11">
        <v>-1.5260714163076427E-2</v>
      </c>
      <c r="AI38" s="9">
        <f>SUMIFS(AD38:AD669, R38:R669, S38)</f>
        <v>0</v>
      </c>
      <c r="AJ38" s="11" t="e">
        <f>SUMIFS(AD38:AD669, R38:R669, S38, AD38:AD669, "&gt;" &amp; AE38) / AI38</f>
        <v>#DIV/0!</v>
      </c>
      <c r="AK38" s="7" t="e">
        <f>IF(AJ38&lt;=0.8,"A",IF(Table2[[#This Row],[Cumulative rev]]&lt;=0.95,"B","C"))</f>
        <v>#DIV/0!</v>
      </c>
    </row>
    <row r="39" spans="1:37" x14ac:dyDescent="0.3">
      <c r="A39" t="s">
        <v>52</v>
      </c>
      <c r="B39" s="4">
        <v>45832</v>
      </c>
      <c r="C39" s="4" t="s">
        <v>2108</v>
      </c>
      <c r="D39" s="4" t="s">
        <v>2097</v>
      </c>
      <c r="E39" s="4">
        <v>45848</v>
      </c>
      <c r="F39" t="s">
        <v>2064</v>
      </c>
      <c r="G39" s="4">
        <v>45848</v>
      </c>
      <c r="H39" s="4">
        <f>_xlfn.MINIFS(B39:B670, N39:N670, N39)</f>
        <v>44938</v>
      </c>
      <c r="I39" s="4" t="str">
        <f t="shared" si="0"/>
        <v>Jan-2023</v>
      </c>
      <c r="J39" s="13">
        <f t="shared" si="1"/>
        <v>30</v>
      </c>
      <c r="K39" s="13">
        <v>16</v>
      </c>
      <c r="L39" s="30" t="str">
        <f>IF(Table2[[#This Row],[LeadTimeDays]]&lt;7,"1","0")</f>
        <v>0</v>
      </c>
      <c r="M39" s="7" t="s">
        <v>647</v>
      </c>
      <c r="N39" s="7" t="s">
        <v>659</v>
      </c>
      <c r="O39" s="7" t="s">
        <v>685</v>
      </c>
      <c r="P39" s="7" t="s">
        <v>706</v>
      </c>
      <c r="Q39" s="7" t="s">
        <v>711</v>
      </c>
      <c r="R39" s="7" t="s">
        <v>725</v>
      </c>
      <c r="S39" s="7" t="s">
        <v>727</v>
      </c>
      <c r="T39" s="7" t="s">
        <v>1465</v>
      </c>
      <c r="U39" s="9">
        <v>757.19</v>
      </c>
      <c r="V39" s="9">
        <v>1735.41</v>
      </c>
      <c r="W39" s="9">
        <v>1735.41</v>
      </c>
      <c r="X39" s="9">
        <v>825.95540000000005</v>
      </c>
      <c r="Y39" s="9">
        <v>1604.0053999999998</v>
      </c>
      <c r="Z39" s="9" t="s">
        <v>2095</v>
      </c>
      <c r="AA39" t="s">
        <v>2065</v>
      </c>
      <c r="AB39" s="11">
        <v>0.13600000000000001</v>
      </c>
      <c r="AC39" t="s">
        <v>2065</v>
      </c>
      <c r="AD39" s="13">
        <v>8</v>
      </c>
      <c r="AE39" s="9">
        <v>11995.153920000001</v>
      </c>
      <c r="AF39" s="9">
        <v>6057.52</v>
      </c>
      <c r="AG39" s="9">
        <v>5937.6339200000002</v>
      </c>
      <c r="AH39" s="11">
        <v>0.4950027285685718</v>
      </c>
      <c r="AI39" s="9">
        <f>SUMIFS(AD39:AD670, R39:R670, S39)</f>
        <v>0</v>
      </c>
      <c r="AJ39" s="11" t="e">
        <f>SUMIFS(AD39:AD670, R39:R670, S39, AD39:AD670, "&gt;" &amp; AE39) / AI39</f>
        <v>#DIV/0!</v>
      </c>
      <c r="AK39" s="7" t="e">
        <f>IF(AJ39&lt;=0.8,"A",IF(Table2[[#This Row],[Cumulative rev]]&lt;=0.95,"B","C"))</f>
        <v>#DIV/0!</v>
      </c>
    </row>
    <row r="40" spans="1:37" x14ac:dyDescent="0.3">
      <c r="A40" t="s">
        <v>53</v>
      </c>
      <c r="B40" s="4">
        <v>45401</v>
      </c>
      <c r="C40" s="4" t="s">
        <v>2112</v>
      </c>
      <c r="D40" s="4" t="s">
        <v>2094</v>
      </c>
      <c r="E40" s="4">
        <v>45418</v>
      </c>
      <c r="F40" t="s">
        <v>2064</v>
      </c>
      <c r="G40" s="4">
        <v>45418</v>
      </c>
      <c r="H40" s="4">
        <f>_xlfn.MINIFS(B40:B671, N40:N671, N40)</f>
        <v>44968</v>
      </c>
      <c r="I40" s="4" t="str">
        <f t="shared" si="0"/>
        <v>Feb-2023</v>
      </c>
      <c r="J40" s="13">
        <f t="shared" si="1"/>
        <v>15</v>
      </c>
      <c r="K40" s="13">
        <v>17</v>
      </c>
      <c r="L40" s="30" t="str">
        <f>IF(Table2[[#This Row],[LeadTimeDays]]&lt;7,"1","0")</f>
        <v>0</v>
      </c>
      <c r="M40" s="7" t="s">
        <v>646</v>
      </c>
      <c r="N40" s="7" t="s">
        <v>651</v>
      </c>
      <c r="O40" s="7" t="s">
        <v>663</v>
      </c>
      <c r="P40" s="7" t="s">
        <v>703</v>
      </c>
      <c r="Q40" s="7" t="s">
        <v>708</v>
      </c>
      <c r="R40" s="7" t="s">
        <v>720</v>
      </c>
      <c r="S40" s="7" t="s">
        <v>728</v>
      </c>
      <c r="T40" s="7" t="s">
        <v>1466</v>
      </c>
      <c r="U40" s="9">
        <v>865.33</v>
      </c>
      <c r="V40" s="9">
        <v>1395.64</v>
      </c>
      <c r="W40" s="9">
        <v>1395.64</v>
      </c>
      <c r="X40" s="9">
        <v>825.4076</v>
      </c>
      <c r="Y40" s="9">
        <v>1595.3127999999999</v>
      </c>
      <c r="Z40" s="9" t="s">
        <v>2092</v>
      </c>
      <c r="AA40" t="s">
        <v>2065</v>
      </c>
      <c r="AB40" s="11">
        <v>0.17499999999999999</v>
      </c>
      <c r="AC40" t="s">
        <v>2065</v>
      </c>
      <c r="AD40" s="13">
        <v>13</v>
      </c>
      <c r="AE40" s="9">
        <v>14968.239</v>
      </c>
      <c r="AF40" s="9">
        <v>11249.29</v>
      </c>
      <c r="AG40" s="9">
        <v>3718.9489999999987</v>
      </c>
      <c r="AH40" s="11">
        <v>0.24845601409758347</v>
      </c>
      <c r="AI40" s="9">
        <f>SUMIFS(AD40:AD671, R40:R671, S40)</f>
        <v>0</v>
      </c>
      <c r="AJ40" s="11" t="e">
        <f>SUMIFS(AD40:AD671, R40:R671, S40, AD40:AD671, "&gt;" &amp; AE40) / AI40</f>
        <v>#DIV/0!</v>
      </c>
      <c r="AK40" s="7" t="e">
        <f>IF(AJ40&lt;=0.8,"A",IF(Table2[[#This Row],[Cumulative rev]]&lt;=0.95,"B","C"))</f>
        <v>#DIV/0!</v>
      </c>
    </row>
    <row r="41" spans="1:37" x14ac:dyDescent="0.3">
      <c r="A41" t="s">
        <v>54</v>
      </c>
      <c r="B41" s="4">
        <v>45094</v>
      </c>
      <c r="C41" s="4" t="s">
        <v>2115</v>
      </c>
      <c r="D41" s="4" t="s">
        <v>2103</v>
      </c>
      <c r="E41" s="4">
        <v>45101</v>
      </c>
      <c r="F41" t="s">
        <v>2064</v>
      </c>
      <c r="G41" s="4">
        <v>45101</v>
      </c>
      <c r="H41" s="4">
        <f>_xlfn.MINIFS(B41:B672, N41:N672, N41)</f>
        <v>44939</v>
      </c>
      <c r="I41" s="4" t="str">
        <f t="shared" si="0"/>
        <v>Jan-2023</v>
      </c>
      <c r="J41" s="13">
        <f t="shared" si="1"/>
        <v>6</v>
      </c>
      <c r="K41" s="13">
        <v>7</v>
      </c>
      <c r="L41" s="30" t="str">
        <f>IF(Table2[[#This Row],[LeadTimeDays]]&lt;7,"1","0")</f>
        <v>0</v>
      </c>
      <c r="M41" s="7" t="s">
        <v>648</v>
      </c>
      <c r="N41" s="7" t="s">
        <v>1425</v>
      </c>
      <c r="O41" s="7" t="s">
        <v>686</v>
      </c>
      <c r="P41" s="7" t="s">
        <v>701</v>
      </c>
      <c r="Q41" s="7" t="s">
        <v>707</v>
      </c>
      <c r="R41" s="7" t="s">
        <v>714</v>
      </c>
      <c r="S41" s="7" t="s">
        <v>728</v>
      </c>
      <c r="T41" s="7" t="s">
        <v>1467</v>
      </c>
      <c r="U41" s="9">
        <v>313.99</v>
      </c>
      <c r="V41" s="9">
        <v>454.42</v>
      </c>
      <c r="W41" s="9">
        <v>454.42</v>
      </c>
      <c r="X41" s="9">
        <v>824.85979999999995</v>
      </c>
      <c r="Y41" s="9">
        <v>1596.8598</v>
      </c>
      <c r="Z41" s="9" t="s">
        <v>2081</v>
      </c>
      <c r="AA41" t="s">
        <v>2065</v>
      </c>
      <c r="AB41" s="11">
        <v>0.129</v>
      </c>
      <c r="AC41" t="s">
        <v>2065</v>
      </c>
      <c r="AD41" s="13">
        <v>9</v>
      </c>
      <c r="AE41" s="9">
        <v>3562.1983800000003</v>
      </c>
      <c r="AF41" s="9">
        <v>2825.91</v>
      </c>
      <c r="AG41" s="9">
        <v>736.28838000000042</v>
      </c>
      <c r="AH41" s="11">
        <v>0.20669493988147858</v>
      </c>
      <c r="AI41" s="9">
        <f>SUMIFS(AD41:AD672, R41:R672, S41)</f>
        <v>0</v>
      </c>
      <c r="AJ41" s="11" t="e">
        <f>SUMIFS(AD41:AD672, R41:R672, S41, AD41:AD672, "&gt;" &amp; AE41) / AI41</f>
        <v>#DIV/0!</v>
      </c>
      <c r="AK41" s="7" t="e">
        <f>IF(AJ41&lt;=0.8,"A",IF(Table2[[#This Row],[Cumulative rev]]&lt;=0.95,"B","C"))</f>
        <v>#DIV/0!</v>
      </c>
    </row>
    <row r="42" spans="1:37" x14ac:dyDescent="0.3">
      <c r="A42" t="s">
        <v>55</v>
      </c>
      <c r="B42" s="4">
        <v>45531</v>
      </c>
      <c r="C42" s="4" t="s">
        <v>2113</v>
      </c>
      <c r="D42" s="4" t="s">
        <v>2106</v>
      </c>
      <c r="E42" s="4">
        <v>45554</v>
      </c>
      <c r="F42" t="s">
        <v>2064</v>
      </c>
      <c r="G42" s="4">
        <v>45554</v>
      </c>
      <c r="H42" s="4">
        <f>_xlfn.MINIFS(B42:B673, N42:N673, N42)</f>
        <v>44948</v>
      </c>
      <c r="I42" s="4" t="str">
        <f t="shared" si="0"/>
        <v>Jan-2023</v>
      </c>
      <c r="J42" s="13">
        <f t="shared" si="1"/>
        <v>20</v>
      </c>
      <c r="K42" s="13">
        <v>23</v>
      </c>
      <c r="L42" s="30" t="str">
        <f>IF(Table2[[#This Row],[LeadTimeDays]]&lt;7,"1","0")</f>
        <v>0</v>
      </c>
      <c r="M42" s="7" t="s">
        <v>649</v>
      </c>
      <c r="N42" s="7" t="s">
        <v>656</v>
      </c>
      <c r="O42" s="7" t="s">
        <v>671</v>
      </c>
      <c r="P42" s="7" t="s">
        <v>705</v>
      </c>
      <c r="Q42" s="7" t="s">
        <v>711</v>
      </c>
      <c r="R42" s="7" t="s">
        <v>726</v>
      </c>
      <c r="S42" s="7" t="s">
        <v>732</v>
      </c>
      <c r="T42" s="7" t="s">
        <v>1468</v>
      </c>
      <c r="U42" s="9">
        <v>1024.01</v>
      </c>
      <c r="V42" s="9">
        <v>1580.97</v>
      </c>
      <c r="W42" s="9">
        <v>1580.97</v>
      </c>
      <c r="X42" s="9">
        <v>825.97199999999998</v>
      </c>
      <c r="Y42" s="9">
        <v>1604.4520000000007</v>
      </c>
      <c r="Z42" s="9" t="s">
        <v>2092</v>
      </c>
      <c r="AA42" t="s">
        <v>2065</v>
      </c>
      <c r="AB42" s="11">
        <v>3.6999999999999998E-2</v>
      </c>
      <c r="AC42" t="s">
        <v>2065</v>
      </c>
      <c r="AD42" s="13">
        <v>27</v>
      </c>
      <c r="AE42" s="9">
        <v>41106.800970000004</v>
      </c>
      <c r="AF42" s="9">
        <v>27648.27</v>
      </c>
      <c r="AG42" s="9">
        <v>13458.530970000003</v>
      </c>
      <c r="AH42" s="11">
        <v>0.3274039976942531</v>
      </c>
      <c r="AI42" s="9">
        <f>SUMIFS(AD42:AD673, R42:R673, S42)</f>
        <v>0</v>
      </c>
      <c r="AJ42" s="11" t="e">
        <f>SUMIFS(AD42:AD673, R42:R673, S42, AD42:AD673, "&gt;" &amp; AE42) / AI42</f>
        <v>#DIV/0!</v>
      </c>
      <c r="AK42" s="7" t="e">
        <f>IF(AJ42&lt;=0.8,"A",IF(Table2[[#This Row],[Cumulative rev]]&lt;=0.95,"B","C"))</f>
        <v>#DIV/0!</v>
      </c>
    </row>
    <row r="43" spans="1:37" x14ac:dyDescent="0.3">
      <c r="A43" t="s">
        <v>56</v>
      </c>
      <c r="B43" s="4">
        <v>45302</v>
      </c>
      <c r="C43" s="4" t="s">
        <v>2098</v>
      </c>
      <c r="D43" s="4" t="s">
        <v>2080</v>
      </c>
      <c r="E43" s="4">
        <v>45324</v>
      </c>
      <c r="F43" t="s">
        <v>2064</v>
      </c>
      <c r="G43" s="4">
        <v>45324</v>
      </c>
      <c r="H43" s="4">
        <f>_xlfn.MINIFS(B43:B674, N43:N674, N43)</f>
        <v>44933</v>
      </c>
      <c r="I43" s="4" t="str">
        <f t="shared" si="0"/>
        <v>Jan-2023</v>
      </c>
      <c r="J43" s="13">
        <f t="shared" si="1"/>
        <v>13</v>
      </c>
      <c r="K43" s="13">
        <v>22</v>
      </c>
      <c r="L43" s="30" t="str">
        <f>IF(Table2[[#This Row],[LeadTimeDays]]&lt;7,"1","0")</f>
        <v>0</v>
      </c>
      <c r="M43" s="7" t="s">
        <v>646</v>
      </c>
      <c r="N43" s="7" t="s">
        <v>661</v>
      </c>
      <c r="O43" s="7" t="s">
        <v>687</v>
      </c>
      <c r="P43" s="7" t="s">
        <v>704</v>
      </c>
      <c r="Q43" s="7" t="s">
        <v>708</v>
      </c>
      <c r="R43" s="7" t="s">
        <v>723</v>
      </c>
      <c r="S43" s="7" t="s">
        <v>729</v>
      </c>
      <c r="T43" s="7" t="s">
        <v>1469</v>
      </c>
      <c r="U43" s="9">
        <v>1206.2</v>
      </c>
      <c r="V43" s="9">
        <v>1759.79</v>
      </c>
      <c r="W43" s="9">
        <v>1759.79</v>
      </c>
      <c r="X43" s="9">
        <v>825.42419999999993</v>
      </c>
      <c r="Y43" s="9">
        <v>1612.0442</v>
      </c>
      <c r="Z43" s="9" t="s">
        <v>2095</v>
      </c>
      <c r="AA43" t="s">
        <v>2065</v>
      </c>
      <c r="AB43" s="11">
        <v>0</v>
      </c>
      <c r="AC43" t="s">
        <v>2065</v>
      </c>
      <c r="AD43" s="13">
        <v>6</v>
      </c>
      <c r="AE43" s="9">
        <v>10558.74</v>
      </c>
      <c r="AF43" s="9">
        <v>7237.2000000000007</v>
      </c>
      <c r="AG43" s="9">
        <v>3321.5399999999991</v>
      </c>
      <c r="AH43" s="11">
        <v>0.31457730751964713</v>
      </c>
      <c r="AI43" s="9">
        <f>SUMIFS(AD43:AD674, R43:R674, S43)</f>
        <v>0</v>
      </c>
      <c r="AJ43" s="11" t="e">
        <f>SUMIFS(AD43:AD674, R43:R674, S43, AD43:AD674, "&gt;" &amp; AE43) / AI43</f>
        <v>#DIV/0!</v>
      </c>
      <c r="AK43" s="7" t="e">
        <f>IF(AJ43&lt;=0.8,"A",IF(Table2[[#This Row],[Cumulative rev]]&lt;=0.95,"B","C"))</f>
        <v>#DIV/0!</v>
      </c>
    </row>
    <row r="44" spans="1:37" x14ac:dyDescent="0.3">
      <c r="A44" t="s">
        <v>57</v>
      </c>
      <c r="B44" s="4">
        <v>45590</v>
      </c>
      <c r="C44" s="4" t="s">
        <v>2082</v>
      </c>
      <c r="D44" s="4" t="s">
        <v>2083</v>
      </c>
      <c r="E44" s="4">
        <v>45610</v>
      </c>
      <c r="F44" t="s">
        <v>2064</v>
      </c>
      <c r="G44" s="4">
        <v>45610</v>
      </c>
      <c r="H44" s="4">
        <f>_xlfn.MINIFS(B44:B675, N44:N675, N44)</f>
        <v>44946</v>
      </c>
      <c r="I44" s="4" t="str">
        <f t="shared" si="0"/>
        <v>Jan-2023</v>
      </c>
      <c r="J44" s="13">
        <f t="shared" si="1"/>
        <v>22</v>
      </c>
      <c r="K44" s="13">
        <v>20</v>
      </c>
      <c r="L44" s="30" t="str">
        <f>IF(Table2[[#This Row],[LeadTimeDays]]&lt;7,"1","0")</f>
        <v>0</v>
      </c>
      <c r="M44" s="7" t="s">
        <v>646</v>
      </c>
      <c r="N44" s="7" t="s">
        <v>650</v>
      </c>
      <c r="O44" s="7" t="s">
        <v>675</v>
      </c>
      <c r="P44" s="7" t="s">
        <v>701</v>
      </c>
      <c r="Q44" s="7" t="s">
        <v>711</v>
      </c>
      <c r="R44" s="7" t="s">
        <v>722</v>
      </c>
      <c r="S44" s="7" t="s">
        <v>728</v>
      </c>
      <c r="T44" s="7" t="s">
        <v>1470</v>
      </c>
      <c r="U44" s="9">
        <v>1396.48</v>
      </c>
      <c r="V44" s="9">
        <v>3204.5</v>
      </c>
      <c r="W44" s="9">
        <v>3204.5</v>
      </c>
      <c r="X44" s="9">
        <v>824.87639999999999</v>
      </c>
      <c r="Y44" s="9">
        <v>1597.3064000000008</v>
      </c>
      <c r="Z44" s="9" t="s">
        <v>2095</v>
      </c>
      <c r="AA44" t="s">
        <v>2065</v>
      </c>
      <c r="AB44" s="11">
        <v>0.318</v>
      </c>
      <c r="AC44" t="s">
        <v>2067</v>
      </c>
      <c r="AD44" s="13">
        <v>14</v>
      </c>
      <c r="AE44" s="9">
        <v>30596.565999999999</v>
      </c>
      <c r="AF44" s="9">
        <v>19550.72</v>
      </c>
      <c r="AG44" s="9">
        <v>11045.845999999998</v>
      </c>
      <c r="AH44" s="11">
        <v>0.36101587348070363</v>
      </c>
      <c r="AI44" s="9">
        <f>SUMIFS(AD44:AD675, R44:R675, S44)</f>
        <v>0</v>
      </c>
      <c r="AJ44" s="11" t="e">
        <f>SUMIFS(AD44:AD675, R44:R675, S44, AD44:AD675, "&gt;" &amp; AE44) / AI44</f>
        <v>#DIV/0!</v>
      </c>
      <c r="AK44" s="7" t="e">
        <f>IF(AJ44&lt;=0.8,"A",IF(Table2[[#This Row],[Cumulative rev]]&lt;=0.95,"B","C"))</f>
        <v>#DIV/0!</v>
      </c>
    </row>
    <row r="45" spans="1:37" x14ac:dyDescent="0.3">
      <c r="A45" t="s">
        <v>58</v>
      </c>
      <c r="B45" s="4">
        <v>45806</v>
      </c>
      <c r="C45" s="4" t="s">
        <v>2096</v>
      </c>
      <c r="D45" s="4" t="s">
        <v>2097</v>
      </c>
      <c r="E45" s="4">
        <v>45828</v>
      </c>
      <c r="F45" t="s">
        <v>2064</v>
      </c>
      <c r="G45" s="4">
        <v>45828</v>
      </c>
      <c r="H45" s="4">
        <f>_xlfn.MINIFS(B45:B676, N45:N676, N45)</f>
        <v>44948</v>
      </c>
      <c r="I45" s="4" t="str">
        <f t="shared" si="0"/>
        <v>Jan-2023</v>
      </c>
      <c r="J45" s="13">
        <f t="shared" si="1"/>
        <v>29</v>
      </c>
      <c r="K45" s="13">
        <v>22</v>
      </c>
      <c r="L45" s="30" t="str">
        <f>IF(Table2[[#This Row],[LeadTimeDays]]&lt;7,"1","0")</f>
        <v>0</v>
      </c>
      <c r="M45" s="7" t="s">
        <v>649</v>
      </c>
      <c r="N45" s="7" t="s">
        <v>656</v>
      </c>
      <c r="O45" s="7" t="s">
        <v>671</v>
      </c>
      <c r="P45" s="7" t="s">
        <v>701</v>
      </c>
      <c r="Q45" s="7" t="s">
        <v>711</v>
      </c>
      <c r="R45" s="7" t="s">
        <v>720</v>
      </c>
      <c r="S45" s="7" t="s">
        <v>728</v>
      </c>
      <c r="T45" s="7" t="s">
        <v>1471</v>
      </c>
      <c r="U45" s="9">
        <v>483.47</v>
      </c>
      <c r="V45" s="9">
        <v>1135.43</v>
      </c>
      <c r="W45" s="9">
        <v>1135.43</v>
      </c>
      <c r="X45" s="9">
        <v>824.65049999999997</v>
      </c>
      <c r="Y45" s="9">
        <v>1595.0907999999999</v>
      </c>
      <c r="Z45" s="9" t="s">
        <v>2092</v>
      </c>
      <c r="AA45" t="s">
        <v>2065</v>
      </c>
      <c r="AB45" s="11">
        <v>0.14599999999999999</v>
      </c>
      <c r="AC45" t="s">
        <v>2065</v>
      </c>
      <c r="AD45" s="13">
        <v>11</v>
      </c>
      <c r="AE45" s="9">
        <v>10666.229420000001</v>
      </c>
      <c r="AF45" s="9">
        <v>5318.17</v>
      </c>
      <c r="AG45" s="9">
        <v>5348.0594200000014</v>
      </c>
      <c r="AH45" s="11">
        <v>0.50140112399719983</v>
      </c>
      <c r="AI45" s="9">
        <f>SUMIFS(AD45:AD676, R45:R676, S45)</f>
        <v>0</v>
      </c>
      <c r="AJ45" s="11" t="e">
        <f>SUMIFS(AD45:AD676, R45:R676, S45, AD45:AD676, "&gt;" &amp; AE45) / AI45</f>
        <v>#DIV/0!</v>
      </c>
      <c r="AK45" s="7" t="e">
        <f>IF(AJ45&lt;=0.8,"A",IF(Table2[[#This Row],[Cumulative rev]]&lt;=0.95,"B","C"))</f>
        <v>#DIV/0!</v>
      </c>
    </row>
    <row r="46" spans="1:37" x14ac:dyDescent="0.3">
      <c r="A46" t="s">
        <v>59</v>
      </c>
      <c r="B46" s="4">
        <v>45432</v>
      </c>
      <c r="C46" s="4" t="s">
        <v>2093</v>
      </c>
      <c r="D46" s="4" t="s">
        <v>2094</v>
      </c>
      <c r="E46" s="4">
        <v>45445</v>
      </c>
      <c r="F46" t="s">
        <v>2064</v>
      </c>
      <c r="G46" s="4">
        <v>45445</v>
      </c>
      <c r="H46" s="4">
        <f>_xlfn.MINIFS(B46:B677, N46:N677, N46)</f>
        <v>44989</v>
      </c>
      <c r="I46" s="4" t="str">
        <f t="shared" si="0"/>
        <v>Mar-2023</v>
      </c>
      <c r="J46" s="13">
        <f t="shared" si="1"/>
        <v>15</v>
      </c>
      <c r="K46" s="13">
        <v>13</v>
      </c>
      <c r="L46" s="30" t="str">
        <f>IF(Table2[[#This Row],[LeadTimeDays]]&lt;7,"1","0")</f>
        <v>0</v>
      </c>
      <c r="M46" s="7" t="s">
        <v>648</v>
      </c>
      <c r="N46" s="7" t="s">
        <v>653</v>
      </c>
      <c r="O46" s="7" t="s">
        <v>688</v>
      </c>
      <c r="P46" s="7" t="s">
        <v>706</v>
      </c>
      <c r="Q46" s="7" t="s">
        <v>709</v>
      </c>
      <c r="R46" s="7" t="s">
        <v>723</v>
      </c>
      <c r="S46" s="7" t="s">
        <v>727</v>
      </c>
      <c r="T46" s="7" t="s">
        <v>1472</v>
      </c>
      <c r="U46" s="9">
        <v>675.43</v>
      </c>
      <c r="V46" s="9">
        <v>996.36</v>
      </c>
      <c r="W46" s="9">
        <v>996.36</v>
      </c>
      <c r="X46" s="9">
        <v>824.46899999999994</v>
      </c>
      <c r="Y46" s="9">
        <v>1595.3424</v>
      </c>
      <c r="Z46" s="9" t="s">
        <v>2092</v>
      </c>
      <c r="AA46" t="s">
        <v>2065</v>
      </c>
      <c r="AB46" s="11">
        <v>0.182</v>
      </c>
      <c r="AC46" t="s">
        <v>2065</v>
      </c>
      <c r="AD46" s="13">
        <v>22</v>
      </c>
      <c r="AE46" s="9">
        <v>17930.494560000003</v>
      </c>
      <c r="AF46" s="9">
        <v>14859.46</v>
      </c>
      <c r="AG46" s="9">
        <v>3071.0345600000037</v>
      </c>
      <c r="AH46" s="11">
        <v>0.17127439233332575</v>
      </c>
      <c r="AI46" s="9">
        <f>SUMIFS(AD46:AD677, R46:R677, S46)</f>
        <v>0</v>
      </c>
      <c r="AJ46" s="11" t="e">
        <f>SUMIFS(AD46:AD677, R46:R677, S46, AD46:AD677, "&gt;" &amp; AE46) / AI46</f>
        <v>#DIV/0!</v>
      </c>
      <c r="AK46" s="7" t="e">
        <f>IF(AJ46&lt;=0.8,"A",IF(Table2[[#This Row],[Cumulative rev]]&lt;=0.95,"B","C"))</f>
        <v>#DIV/0!</v>
      </c>
    </row>
    <row r="47" spans="1:37" x14ac:dyDescent="0.3">
      <c r="A47" t="s">
        <v>60</v>
      </c>
      <c r="B47" s="4">
        <v>45035</v>
      </c>
      <c r="C47" s="4" t="s">
        <v>2102</v>
      </c>
      <c r="D47" s="4" t="s">
        <v>2103</v>
      </c>
      <c r="E47" s="4">
        <v>45046</v>
      </c>
      <c r="F47" t="s">
        <v>2064</v>
      </c>
      <c r="G47" s="4">
        <v>45046</v>
      </c>
      <c r="H47" s="4">
        <f>_xlfn.MINIFS(B47:B678, N47:N678, N47)</f>
        <v>44977</v>
      </c>
      <c r="I47" s="4" t="str">
        <f t="shared" si="0"/>
        <v>Feb-2023</v>
      </c>
      <c r="J47" s="13">
        <f t="shared" si="1"/>
        <v>2</v>
      </c>
      <c r="K47" s="13">
        <v>11</v>
      </c>
      <c r="L47" s="30" t="str">
        <f>IF(Table2[[#This Row],[LeadTimeDays]]&lt;7,"1","0")</f>
        <v>0</v>
      </c>
      <c r="M47" s="7" t="s">
        <v>647</v>
      </c>
      <c r="N47" s="7" t="s">
        <v>654</v>
      </c>
      <c r="O47" s="7" t="s">
        <v>680</v>
      </c>
      <c r="P47" s="7" t="s">
        <v>705</v>
      </c>
      <c r="Q47" s="7" t="s">
        <v>707</v>
      </c>
      <c r="R47" s="7" t="s">
        <v>720</v>
      </c>
      <c r="S47" s="7" t="s">
        <v>729</v>
      </c>
      <c r="T47" s="7" t="s">
        <v>1473</v>
      </c>
      <c r="U47" s="9">
        <v>826.55</v>
      </c>
      <c r="V47" s="9">
        <v>1397.05</v>
      </c>
      <c r="W47" s="9">
        <v>1397.05</v>
      </c>
      <c r="X47" s="9">
        <v>824.28750000000002</v>
      </c>
      <c r="Y47" s="9">
        <v>1597.7530000000004</v>
      </c>
      <c r="Z47" s="9" t="s">
        <v>2092</v>
      </c>
      <c r="AA47" t="s">
        <v>2065</v>
      </c>
      <c r="AB47" s="11">
        <v>0.16900000000000001</v>
      </c>
      <c r="AC47" t="s">
        <v>2065</v>
      </c>
      <c r="AD47" s="13">
        <v>28</v>
      </c>
      <c r="AE47" s="9">
        <v>32506.559399999998</v>
      </c>
      <c r="AF47" s="9">
        <v>23143.399999999998</v>
      </c>
      <c r="AG47" s="9">
        <v>9363.1594000000005</v>
      </c>
      <c r="AH47" s="11">
        <v>0.28803907804527601</v>
      </c>
      <c r="AI47" s="9">
        <f>SUMIFS(AD47:AD678, R47:R678, S47)</f>
        <v>0</v>
      </c>
      <c r="AJ47" s="11" t="e">
        <f>SUMIFS(AD47:AD678, R47:R678, S47, AD47:AD678, "&gt;" &amp; AE47) / AI47</f>
        <v>#DIV/0!</v>
      </c>
      <c r="AK47" s="7" t="e">
        <f>IF(AJ47&lt;=0.8,"A",IF(Table2[[#This Row],[Cumulative rev]]&lt;=0.95,"B","C"))</f>
        <v>#DIV/0!</v>
      </c>
    </row>
    <row r="48" spans="1:37" x14ac:dyDescent="0.3">
      <c r="A48" t="s">
        <v>61</v>
      </c>
      <c r="B48" s="4">
        <v>45100</v>
      </c>
      <c r="C48" s="4" t="s">
        <v>2115</v>
      </c>
      <c r="D48" s="4" t="s">
        <v>2103</v>
      </c>
      <c r="E48" s="4">
        <v>45110</v>
      </c>
      <c r="F48" t="s">
        <v>2064</v>
      </c>
      <c r="G48" s="4">
        <v>45110</v>
      </c>
      <c r="H48" s="4">
        <f>_xlfn.MINIFS(B48:B679, N48:N679, N48)</f>
        <v>44968</v>
      </c>
      <c r="I48" s="4" t="str">
        <f t="shared" si="0"/>
        <v>Feb-2023</v>
      </c>
      <c r="J48" s="13">
        <f t="shared" si="1"/>
        <v>5</v>
      </c>
      <c r="K48" s="13">
        <v>10</v>
      </c>
      <c r="L48" s="30" t="str">
        <f>IF(Table2[[#This Row],[LeadTimeDays]]&lt;7,"1","0")</f>
        <v>0</v>
      </c>
      <c r="M48" s="7" t="s">
        <v>646</v>
      </c>
      <c r="N48" s="7" t="s">
        <v>651</v>
      </c>
      <c r="O48" s="7" t="s">
        <v>669</v>
      </c>
      <c r="P48" s="7" t="s">
        <v>704</v>
      </c>
      <c r="Q48" s="7" t="s">
        <v>708</v>
      </c>
      <c r="R48" s="7" t="s">
        <v>713</v>
      </c>
      <c r="S48" s="7" t="s">
        <v>728</v>
      </c>
      <c r="T48" s="7" t="s">
        <v>1474</v>
      </c>
      <c r="U48" s="9">
        <v>337.75</v>
      </c>
      <c r="V48" s="9">
        <v>548.89</v>
      </c>
      <c r="W48" s="9">
        <v>548.89</v>
      </c>
      <c r="X48" s="9">
        <v>822.80399999999997</v>
      </c>
      <c r="Y48" s="9">
        <v>1605.3452</v>
      </c>
      <c r="Z48" s="9" t="s">
        <v>2081</v>
      </c>
      <c r="AA48" t="s">
        <v>2065</v>
      </c>
      <c r="AB48" s="11">
        <v>0</v>
      </c>
      <c r="AC48" t="s">
        <v>2065</v>
      </c>
      <c r="AD48" s="13">
        <v>13</v>
      </c>
      <c r="AE48" s="9">
        <v>7135.57</v>
      </c>
      <c r="AF48" s="9">
        <v>4390.75</v>
      </c>
      <c r="AG48" s="9">
        <v>2744.8199999999997</v>
      </c>
      <c r="AH48" s="11">
        <v>0.38466723751571352</v>
      </c>
      <c r="AI48" s="9">
        <f>SUMIFS(AD48:AD679, R48:R679, S48)</f>
        <v>0</v>
      </c>
      <c r="AJ48" s="11" t="e">
        <f>SUMIFS(AD48:AD679, R48:R679, S48, AD48:AD679, "&gt;" &amp; AE48) / AI48</f>
        <v>#DIV/0!</v>
      </c>
      <c r="AK48" s="7" t="e">
        <f>IF(AJ48&lt;=0.8,"A",IF(Table2[[#This Row],[Cumulative rev]]&lt;=0.95,"B","C"))</f>
        <v>#DIV/0!</v>
      </c>
    </row>
    <row r="49" spans="1:37" x14ac:dyDescent="0.3">
      <c r="A49" t="s">
        <v>62</v>
      </c>
      <c r="B49" s="4">
        <v>45426</v>
      </c>
      <c r="C49" s="4" t="s">
        <v>2093</v>
      </c>
      <c r="D49" s="4" t="s">
        <v>2094</v>
      </c>
      <c r="E49" s="4">
        <v>45440</v>
      </c>
      <c r="F49" t="s">
        <v>2064</v>
      </c>
      <c r="G49" s="4">
        <v>45440</v>
      </c>
      <c r="H49" s="4">
        <f>_xlfn.MINIFS(B49:B680, N49:N680, N49)</f>
        <v>44945</v>
      </c>
      <c r="I49" s="4" t="str">
        <f t="shared" si="0"/>
        <v>Jan-2023</v>
      </c>
      <c r="J49" s="13">
        <f t="shared" si="1"/>
        <v>16</v>
      </c>
      <c r="K49" s="13">
        <v>14</v>
      </c>
      <c r="L49" s="30" t="str">
        <f>IF(Table2[[#This Row],[LeadTimeDays]]&lt;7,"1","0")</f>
        <v>0</v>
      </c>
      <c r="M49" s="7" t="s">
        <v>649</v>
      </c>
      <c r="N49" s="7" t="s">
        <v>658</v>
      </c>
      <c r="O49" s="7" t="s">
        <v>674</v>
      </c>
      <c r="P49" s="7" t="s">
        <v>704</v>
      </c>
      <c r="Q49" s="7" t="s">
        <v>707</v>
      </c>
      <c r="R49" s="7" t="s">
        <v>717</v>
      </c>
      <c r="S49" s="7" t="s">
        <v>729</v>
      </c>
      <c r="T49" s="7" t="s">
        <v>1475</v>
      </c>
      <c r="U49" s="9">
        <v>1421.14</v>
      </c>
      <c r="V49" s="9">
        <v>3524</v>
      </c>
      <c r="W49" s="9">
        <v>3524</v>
      </c>
      <c r="X49" s="9">
        <v>824.47450000000003</v>
      </c>
      <c r="Y49" s="9">
        <v>1612.9374000000005</v>
      </c>
      <c r="Z49" s="9" t="s">
        <v>2095</v>
      </c>
      <c r="AA49" t="s">
        <v>2065</v>
      </c>
      <c r="AB49" s="11">
        <v>0</v>
      </c>
      <c r="AC49" t="s">
        <v>2065</v>
      </c>
      <c r="AD49" s="13">
        <v>31</v>
      </c>
      <c r="AE49" s="9">
        <v>109244</v>
      </c>
      <c r="AF49" s="9">
        <v>44055.340000000004</v>
      </c>
      <c r="AG49" s="9">
        <v>65188.659999999996</v>
      </c>
      <c r="AH49" s="11">
        <v>0.59672531214528945</v>
      </c>
      <c r="AI49" s="9">
        <f>SUMIFS(AD49:AD680, R49:R680, S49)</f>
        <v>0</v>
      </c>
      <c r="AJ49" s="11" t="e">
        <f>SUMIFS(AD49:AD680, R49:R680, S49, AD49:AD680, "&gt;" &amp; AE49) / AI49</f>
        <v>#DIV/0!</v>
      </c>
      <c r="AK49" s="7" t="e">
        <f>IF(AJ49&lt;=0.8,"A",IF(Table2[[#This Row],[Cumulative rev]]&lt;=0.95,"B","C"))</f>
        <v>#DIV/0!</v>
      </c>
    </row>
    <row r="50" spans="1:37" x14ac:dyDescent="0.3">
      <c r="A50" t="s">
        <v>63</v>
      </c>
      <c r="B50" s="4">
        <v>45579</v>
      </c>
      <c r="C50" s="4" t="s">
        <v>2082</v>
      </c>
      <c r="D50" s="4" t="s">
        <v>2083</v>
      </c>
      <c r="E50" s="4">
        <v>45604</v>
      </c>
      <c r="F50" t="s">
        <v>2064</v>
      </c>
      <c r="G50" s="4">
        <v>45604</v>
      </c>
      <c r="H50" s="4">
        <f>_xlfn.MINIFS(B50:B681, N50:N681, N50)</f>
        <v>44968</v>
      </c>
      <c r="I50" s="4" t="str">
        <f t="shared" si="0"/>
        <v>Feb-2023</v>
      </c>
      <c r="J50" s="13">
        <f t="shared" si="1"/>
        <v>21</v>
      </c>
      <c r="K50" s="13">
        <v>25</v>
      </c>
      <c r="L50" s="30" t="str">
        <f>IF(Table2[[#This Row],[LeadTimeDays]]&lt;7,"1","0")</f>
        <v>0</v>
      </c>
      <c r="M50" s="7" t="s">
        <v>646</v>
      </c>
      <c r="N50" s="7" t="s">
        <v>651</v>
      </c>
      <c r="O50" s="7" t="s">
        <v>665</v>
      </c>
      <c r="P50" s="7" t="s">
        <v>706</v>
      </c>
      <c r="Q50" s="7" t="s">
        <v>708</v>
      </c>
      <c r="R50" s="7" t="s">
        <v>719</v>
      </c>
      <c r="S50" s="7" t="s">
        <v>729</v>
      </c>
      <c r="T50" s="7" t="s">
        <v>1476</v>
      </c>
      <c r="U50" s="9">
        <v>859.35</v>
      </c>
      <c r="V50" s="9">
        <v>1825.61</v>
      </c>
      <c r="W50" s="9">
        <v>1825.61</v>
      </c>
      <c r="X50" s="9">
        <v>824.29300000000001</v>
      </c>
      <c r="Y50" s="9">
        <v>1598.1996000000001</v>
      </c>
      <c r="Z50" s="9" t="s">
        <v>2095</v>
      </c>
      <c r="AA50" t="s">
        <v>2065</v>
      </c>
      <c r="AB50" s="11">
        <v>0.187</v>
      </c>
      <c r="AC50" t="s">
        <v>2065</v>
      </c>
      <c r="AD50" s="13">
        <v>24</v>
      </c>
      <c r="AE50" s="9">
        <v>35621.302319999995</v>
      </c>
      <c r="AF50" s="9">
        <v>20624.400000000001</v>
      </c>
      <c r="AG50" s="9">
        <v>14996.902319999994</v>
      </c>
      <c r="AH50" s="11">
        <v>0.42100937762681989</v>
      </c>
      <c r="AI50" s="9">
        <f>SUMIFS(AD50:AD681, R50:R681, S50)</f>
        <v>0</v>
      </c>
      <c r="AJ50" s="11" t="e">
        <f>SUMIFS(AD50:AD681, R50:R681, S50, AD50:AD681, "&gt;" &amp; AE50) / AI50</f>
        <v>#DIV/0!</v>
      </c>
      <c r="AK50" s="7" t="e">
        <f>IF(AJ50&lt;=0.8,"A",IF(Table2[[#This Row],[Cumulative rev]]&lt;=0.95,"B","C"))</f>
        <v>#DIV/0!</v>
      </c>
    </row>
    <row r="51" spans="1:37" x14ac:dyDescent="0.3">
      <c r="A51" t="s">
        <v>64</v>
      </c>
      <c r="B51" s="4">
        <v>45117</v>
      </c>
      <c r="C51" s="4" t="s">
        <v>2116</v>
      </c>
      <c r="D51" s="4" t="s">
        <v>2117</v>
      </c>
      <c r="E51" s="4">
        <v>45139</v>
      </c>
      <c r="F51" t="s">
        <v>2064</v>
      </c>
      <c r="G51" s="4">
        <v>45139</v>
      </c>
      <c r="H51" s="4">
        <f>_xlfn.MINIFS(B51:B682, N51:N682, N51)</f>
        <v>44936</v>
      </c>
      <c r="I51" s="4" t="str">
        <f t="shared" si="0"/>
        <v>Jan-2023</v>
      </c>
      <c r="J51" s="13">
        <f t="shared" si="1"/>
        <v>7</v>
      </c>
      <c r="K51" s="13">
        <v>22</v>
      </c>
      <c r="L51" s="30" t="str">
        <f>IF(Table2[[#This Row],[LeadTimeDays]]&lt;7,"1","0")</f>
        <v>0</v>
      </c>
      <c r="M51" s="7" t="s">
        <v>649</v>
      </c>
      <c r="N51" s="7" t="s">
        <v>657</v>
      </c>
      <c r="O51" s="7" t="s">
        <v>673</v>
      </c>
      <c r="P51" s="7" t="s">
        <v>704</v>
      </c>
      <c r="Q51" s="7" t="s">
        <v>709</v>
      </c>
      <c r="R51" s="7" t="s">
        <v>717</v>
      </c>
      <c r="S51" s="7" t="s">
        <v>728</v>
      </c>
      <c r="T51" s="7" t="s">
        <v>1477</v>
      </c>
      <c r="U51" s="9">
        <v>1303.56</v>
      </c>
      <c r="V51" s="9">
        <v>1791.37</v>
      </c>
      <c r="W51" s="9">
        <v>1791.37</v>
      </c>
      <c r="X51" s="9">
        <v>822.85600000000011</v>
      </c>
      <c r="Y51" s="9">
        <v>1595.1204</v>
      </c>
      <c r="Z51" s="9" t="s">
        <v>2095</v>
      </c>
      <c r="AA51" t="s">
        <v>2065</v>
      </c>
      <c r="AB51" s="11">
        <v>0.126</v>
      </c>
      <c r="AC51" t="s">
        <v>2065</v>
      </c>
      <c r="AD51" s="13">
        <v>22</v>
      </c>
      <c r="AE51" s="9">
        <v>34444.462359999998</v>
      </c>
      <c r="AF51" s="9">
        <v>28678.32</v>
      </c>
      <c r="AG51" s="9">
        <v>5766.142359999998</v>
      </c>
      <c r="AH51" s="11">
        <v>0.16740404596055358</v>
      </c>
      <c r="AI51" s="9">
        <f>SUMIFS(AD51:AD682, R51:R682, S51)</f>
        <v>0</v>
      </c>
      <c r="AJ51" s="11" t="e">
        <f>SUMIFS(AD51:AD682, R51:R682, S51, AD51:AD682, "&gt;" &amp; AE51) / AI51</f>
        <v>#DIV/0!</v>
      </c>
      <c r="AK51" s="7" t="e">
        <f>IF(AJ51&lt;=0.8,"A",IF(Table2[[#This Row],[Cumulative rev]]&lt;=0.95,"B","C"))</f>
        <v>#DIV/0!</v>
      </c>
    </row>
    <row r="52" spans="1:37" x14ac:dyDescent="0.3">
      <c r="A52" t="s">
        <v>65</v>
      </c>
      <c r="B52" s="4">
        <v>45602</v>
      </c>
      <c r="C52" s="4" t="s">
        <v>2110</v>
      </c>
      <c r="D52" s="4" t="s">
        <v>2083</v>
      </c>
      <c r="E52" s="4">
        <v>45618</v>
      </c>
      <c r="F52" t="s">
        <v>2064</v>
      </c>
      <c r="G52" s="4">
        <v>45618</v>
      </c>
      <c r="H52" s="4">
        <f>_xlfn.MINIFS(B52:B683, N52:N683, N52)</f>
        <v>44989</v>
      </c>
      <c r="I52" s="4" t="str">
        <f t="shared" si="0"/>
        <v>Mar-2023</v>
      </c>
      <c r="J52" s="13">
        <f t="shared" si="1"/>
        <v>21</v>
      </c>
      <c r="K52" s="13">
        <v>16</v>
      </c>
      <c r="L52" s="30" t="str">
        <f>IF(Table2[[#This Row],[LeadTimeDays]]&lt;7,"1","0")</f>
        <v>0</v>
      </c>
      <c r="M52" s="7" t="s">
        <v>648</v>
      </c>
      <c r="N52" s="7" t="s">
        <v>653</v>
      </c>
      <c r="O52" s="7" t="s">
        <v>667</v>
      </c>
      <c r="P52" s="7" t="s">
        <v>703</v>
      </c>
      <c r="Q52" s="7" t="s">
        <v>710</v>
      </c>
      <c r="R52" s="7" t="s">
        <v>726</v>
      </c>
      <c r="S52" s="7" t="s">
        <v>733</v>
      </c>
      <c r="T52" s="7" t="s">
        <v>1478</v>
      </c>
      <c r="U52" s="9">
        <v>1454.11</v>
      </c>
      <c r="V52" s="9">
        <v>2629.75</v>
      </c>
      <c r="W52" s="9">
        <v>2629.75</v>
      </c>
      <c r="X52" s="9">
        <v>821.14</v>
      </c>
      <c r="Y52" s="9">
        <v>1594.2280000000001</v>
      </c>
      <c r="Z52" s="9" t="s">
        <v>2095</v>
      </c>
      <c r="AA52" t="s">
        <v>2065</v>
      </c>
      <c r="AB52" s="11">
        <v>0.29199999999999998</v>
      </c>
      <c r="AC52" t="s">
        <v>2065</v>
      </c>
      <c r="AD52" s="13">
        <v>8</v>
      </c>
      <c r="AE52" s="9">
        <v>14894.903999999999</v>
      </c>
      <c r="AF52" s="9">
        <v>11632.88</v>
      </c>
      <c r="AG52" s="9">
        <v>3262.0239999999994</v>
      </c>
      <c r="AH52" s="11">
        <v>0.21900268709351867</v>
      </c>
      <c r="AI52" s="9">
        <f>SUMIFS(AD52:AD683, R52:R683, S52)</f>
        <v>0</v>
      </c>
      <c r="AJ52" s="11" t="e">
        <f>SUMIFS(AD52:AD683, R52:R683, S52, AD52:AD683, "&gt;" &amp; AE52) / AI52</f>
        <v>#DIV/0!</v>
      </c>
      <c r="AK52" s="7" t="e">
        <f>IF(AJ52&lt;=0.8,"A",IF(Table2[[#This Row],[Cumulative rev]]&lt;=0.95,"B","C"))</f>
        <v>#DIV/0!</v>
      </c>
    </row>
    <row r="53" spans="1:37" x14ac:dyDescent="0.3">
      <c r="A53" t="s">
        <v>66</v>
      </c>
      <c r="B53" s="4">
        <v>45582</v>
      </c>
      <c r="C53" s="4" t="s">
        <v>2082</v>
      </c>
      <c r="D53" s="4" t="s">
        <v>2083</v>
      </c>
      <c r="E53" s="4">
        <v>45602</v>
      </c>
      <c r="F53" t="s">
        <v>2064</v>
      </c>
      <c r="G53" s="4">
        <v>45602</v>
      </c>
      <c r="H53" s="4">
        <f>_xlfn.MINIFS(B53:B684, N53:N684, N53)</f>
        <v>44977</v>
      </c>
      <c r="I53" s="4" t="str">
        <f t="shared" si="0"/>
        <v>Feb-2023</v>
      </c>
      <c r="J53" s="13">
        <f t="shared" si="1"/>
        <v>20</v>
      </c>
      <c r="K53" s="13">
        <v>20</v>
      </c>
      <c r="L53" s="30" t="str">
        <f>IF(Table2[[#This Row],[LeadTimeDays]]&lt;7,"1","0")</f>
        <v>0</v>
      </c>
      <c r="M53" s="7" t="s">
        <v>647</v>
      </c>
      <c r="N53" s="7" t="s">
        <v>654</v>
      </c>
      <c r="O53" s="7" t="s">
        <v>668</v>
      </c>
      <c r="P53" s="7" t="s">
        <v>706</v>
      </c>
      <c r="Q53" s="7" t="s">
        <v>710</v>
      </c>
      <c r="R53" s="7" t="s">
        <v>719</v>
      </c>
      <c r="S53" s="7" t="s">
        <v>732</v>
      </c>
      <c r="T53" s="7" t="s">
        <v>1479</v>
      </c>
      <c r="U53" s="9">
        <v>72.94</v>
      </c>
      <c r="V53" s="9">
        <v>106.3</v>
      </c>
      <c r="W53" s="9">
        <v>106.3</v>
      </c>
      <c r="X53" s="9">
        <v>819.42400000000009</v>
      </c>
      <c r="Y53" s="9">
        <v>1592.4064000000001</v>
      </c>
      <c r="Z53" s="9" t="s">
        <v>2081</v>
      </c>
      <c r="AA53" t="s">
        <v>2065</v>
      </c>
      <c r="AB53" s="11">
        <v>0.29499999999999998</v>
      </c>
      <c r="AC53" t="s">
        <v>2065</v>
      </c>
      <c r="AD53" s="13">
        <v>8</v>
      </c>
      <c r="AE53" s="9">
        <v>599.53200000000004</v>
      </c>
      <c r="AF53" s="9">
        <v>583.52</v>
      </c>
      <c r="AG53" s="9">
        <v>16.012000000000057</v>
      </c>
      <c r="AH53" s="11">
        <v>2.6707498515508857E-2</v>
      </c>
      <c r="AI53" s="9">
        <f>SUMIFS(AD53:AD684, R53:R684, S53)</f>
        <v>0</v>
      </c>
      <c r="AJ53" s="11" t="e">
        <f>SUMIFS(AD53:AD684, R53:R684, S53, AD53:AD684, "&gt;" &amp; AE53) / AI53</f>
        <v>#DIV/0!</v>
      </c>
      <c r="AK53" s="7" t="e">
        <f>IF(AJ53&lt;=0.8,"A",IF(Table2[[#This Row],[Cumulative rev]]&lt;=0.95,"B","C"))</f>
        <v>#DIV/0!</v>
      </c>
    </row>
    <row r="54" spans="1:37" x14ac:dyDescent="0.3">
      <c r="A54" t="s">
        <v>67</v>
      </c>
      <c r="B54" s="4">
        <v>45016</v>
      </c>
      <c r="C54" s="4" t="s">
        <v>2114</v>
      </c>
      <c r="D54" s="4" t="s">
        <v>2085</v>
      </c>
      <c r="E54" s="4">
        <v>45021</v>
      </c>
      <c r="F54" t="s">
        <v>2064</v>
      </c>
      <c r="G54" s="4">
        <v>45021</v>
      </c>
      <c r="H54" s="4">
        <f>_xlfn.MINIFS(B54:B685, N54:N685, N54)</f>
        <v>44946</v>
      </c>
      <c r="I54" s="4" t="str">
        <f t="shared" si="0"/>
        <v>Jan-2023</v>
      </c>
      <c r="J54" s="13">
        <f t="shared" si="1"/>
        <v>3</v>
      </c>
      <c r="K54" s="13">
        <v>5</v>
      </c>
      <c r="L54" s="30" t="str">
        <f>IF(Table2[[#This Row],[LeadTimeDays]]&lt;7,"1","0")</f>
        <v>1</v>
      </c>
      <c r="M54" s="7" t="s">
        <v>646</v>
      </c>
      <c r="N54" s="7" t="s">
        <v>650</v>
      </c>
      <c r="O54" s="7" t="s">
        <v>678</v>
      </c>
      <c r="P54" s="7" t="s">
        <v>702</v>
      </c>
      <c r="Q54" s="7" t="s">
        <v>709</v>
      </c>
      <c r="R54" s="7" t="s">
        <v>717</v>
      </c>
      <c r="S54" s="7" t="s">
        <v>731</v>
      </c>
      <c r="T54" s="7" t="s">
        <v>1480</v>
      </c>
      <c r="U54" s="9">
        <v>533.26</v>
      </c>
      <c r="V54" s="9">
        <v>385.72</v>
      </c>
      <c r="W54" s="9">
        <v>385.72</v>
      </c>
      <c r="X54" s="9">
        <v>822.90800000000002</v>
      </c>
      <c r="Y54" s="9">
        <v>1593.3448000000001</v>
      </c>
      <c r="Z54" s="9" t="s">
        <v>2081</v>
      </c>
      <c r="AA54" t="s">
        <v>2065</v>
      </c>
      <c r="AB54" s="11">
        <v>0</v>
      </c>
      <c r="AC54" t="s">
        <v>2065</v>
      </c>
      <c r="AD54" s="13">
        <v>15</v>
      </c>
      <c r="AE54" s="9">
        <v>5785.8</v>
      </c>
      <c r="AF54" s="9">
        <v>7998.9</v>
      </c>
      <c r="AG54" s="9">
        <v>-2213.0999999999995</v>
      </c>
      <c r="AH54" s="11">
        <v>-0.38250544436378708</v>
      </c>
      <c r="AI54" s="9">
        <f>SUMIFS(AD54:AD685, R54:R685, S54)</f>
        <v>0</v>
      </c>
      <c r="AJ54" s="11" t="e">
        <f>SUMIFS(AD54:AD685, R54:R685, S54, AD54:AD685, "&gt;" &amp; AE54) / AI54</f>
        <v>#DIV/0!</v>
      </c>
      <c r="AK54" s="7" t="e">
        <f>IF(AJ54&lt;=0.8,"A",IF(Table2[[#This Row],[Cumulative rev]]&lt;=0.95,"B","C"))</f>
        <v>#DIV/0!</v>
      </c>
    </row>
    <row r="55" spans="1:37" x14ac:dyDescent="0.3">
      <c r="A55" t="s">
        <v>68</v>
      </c>
      <c r="B55" s="4">
        <v>45678</v>
      </c>
      <c r="C55" s="4" t="s">
        <v>2099</v>
      </c>
      <c r="D55" s="4" t="s">
        <v>2087</v>
      </c>
      <c r="E55" s="4">
        <v>45704</v>
      </c>
      <c r="F55" t="s">
        <v>2064</v>
      </c>
      <c r="G55" s="4">
        <v>45704</v>
      </c>
      <c r="H55" s="4">
        <f>_xlfn.MINIFS(B55:B686, N55:N686, N55)</f>
        <v>44936</v>
      </c>
      <c r="I55" s="4" t="str">
        <f t="shared" si="0"/>
        <v>Jan-2023</v>
      </c>
      <c r="J55" s="13">
        <f t="shared" si="1"/>
        <v>25</v>
      </c>
      <c r="K55" s="13">
        <v>26</v>
      </c>
      <c r="L55" s="30" t="str">
        <f>IF(Table2[[#This Row],[LeadTimeDays]]&lt;7,"1","0")</f>
        <v>0</v>
      </c>
      <c r="M55" s="7" t="s">
        <v>649</v>
      </c>
      <c r="N55" s="7" t="s">
        <v>657</v>
      </c>
      <c r="O55" s="7" t="s">
        <v>679</v>
      </c>
      <c r="P55" s="7" t="s">
        <v>701</v>
      </c>
      <c r="Q55" s="7" t="s">
        <v>710</v>
      </c>
      <c r="R55" s="7" t="s">
        <v>719</v>
      </c>
      <c r="S55" s="7" t="s">
        <v>731</v>
      </c>
      <c r="T55" s="7" t="s">
        <v>1481</v>
      </c>
      <c r="U55" s="9">
        <v>204.11</v>
      </c>
      <c r="V55" s="9">
        <v>236.87</v>
      </c>
      <c r="W55" s="9">
        <v>236.87</v>
      </c>
      <c r="X55" s="9">
        <v>824.4855</v>
      </c>
      <c r="Y55" s="9">
        <v>1594.2831999999999</v>
      </c>
      <c r="Z55" s="9" t="s">
        <v>2081</v>
      </c>
      <c r="AA55" t="s">
        <v>2065</v>
      </c>
      <c r="AB55" s="11">
        <v>0.182</v>
      </c>
      <c r="AC55" t="s">
        <v>2065</v>
      </c>
      <c r="AD55" s="13">
        <v>13</v>
      </c>
      <c r="AE55" s="9">
        <v>2518.8755800000004</v>
      </c>
      <c r="AF55" s="9">
        <v>2653.4300000000003</v>
      </c>
      <c r="AG55" s="9">
        <v>-134.55441999999994</v>
      </c>
      <c r="AH55" s="11">
        <v>-5.3418446337075494E-2</v>
      </c>
      <c r="AI55" s="9">
        <f>SUMIFS(AD55:AD686, R55:R686, S55)</f>
        <v>0</v>
      </c>
      <c r="AJ55" s="11" t="e">
        <f>SUMIFS(AD55:AD686, R55:R686, S55, AD55:AD686, "&gt;" &amp; AE55) / AI55</f>
        <v>#DIV/0!</v>
      </c>
      <c r="AK55" s="7" t="e">
        <f>IF(AJ55&lt;=0.8,"A",IF(Table2[[#This Row],[Cumulative rev]]&lt;=0.95,"B","C"))</f>
        <v>#DIV/0!</v>
      </c>
    </row>
    <row r="56" spans="1:37" x14ac:dyDescent="0.3">
      <c r="A56" t="s">
        <v>69</v>
      </c>
      <c r="B56" s="4">
        <v>45168</v>
      </c>
      <c r="C56" s="4" t="s">
        <v>2118</v>
      </c>
      <c r="D56" s="4" t="s">
        <v>2117</v>
      </c>
      <c r="E56" s="4">
        <v>45170</v>
      </c>
      <c r="F56" t="s">
        <v>2064</v>
      </c>
      <c r="G56" s="4">
        <v>45170</v>
      </c>
      <c r="H56" s="4">
        <f>_xlfn.MINIFS(B56:B687, N56:N687, N56)</f>
        <v>44948</v>
      </c>
      <c r="I56" s="4" t="str">
        <f t="shared" si="0"/>
        <v>Jan-2023</v>
      </c>
      <c r="J56" s="13">
        <f t="shared" si="1"/>
        <v>8</v>
      </c>
      <c r="K56" s="13">
        <v>2</v>
      </c>
      <c r="L56" s="30" t="str">
        <f>IF(Table2[[#This Row],[LeadTimeDays]]&lt;7,"1","0")</f>
        <v>1</v>
      </c>
      <c r="M56" s="7" t="s">
        <v>649</v>
      </c>
      <c r="N56" s="7" t="s">
        <v>656</v>
      </c>
      <c r="O56" s="7" t="s">
        <v>684</v>
      </c>
      <c r="P56" s="7" t="s">
        <v>701</v>
      </c>
      <c r="Q56" s="7" t="s">
        <v>711</v>
      </c>
      <c r="R56" s="7" t="s">
        <v>725</v>
      </c>
      <c r="S56" s="7" t="s">
        <v>729</v>
      </c>
      <c r="T56" s="7" t="s">
        <v>1482</v>
      </c>
      <c r="U56" s="9">
        <v>44.42</v>
      </c>
      <c r="V56" s="9">
        <v>41.9</v>
      </c>
      <c r="W56" s="9">
        <v>41.9</v>
      </c>
      <c r="X56" s="9">
        <v>824.94279999999992</v>
      </c>
      <c r="Y56" s="9">
        <v>1594.8984</v>
      </c>
      <c r="Z56" s="9" t="s">
        <v>2081</v>
      </c>
      <c r="AA56" t="s">
        <v>2065</v>
      </c>
      <c r="AB56" s="11">
        <v>0.14399999999999999</v>
      </c>
      <c r="AC56" t="s">
        <v>2065</v>
      </c>
      <c r="AD56" s="13">
        <v>6</v>
      </c>
      <c r="AE56" s="9">
        <v>215.19839999999996</v>
      </c>
      <c r="AF56" s="9">
        <v>266.52</v>
      </c>
      <c r="AG56" s="9">
        <v>-51.321600000000018</v>
      </c>
      <c r="AH56" s="11">
        <v>-0.23848504449847224</v>
      </c>
      <c r="AI56" s="9">
        <f>SUMIFS(AD56:AD687, R56:R687, S56)</f>
        <v>0</v>
      </c>
      <c r="AJ56" s="11" t="e">
        <f>SUMIFS(AD56:AD687, R56:R687, S56, AD56:AD687, "&gt;" &amp; AE56) / AI56</f>
        <v>#DIV/0!</v>
      </c>
      <c r="AK56" s="7" t="e">
        <f>IF(AJ56&lt;=0.8,"A",IF(Table2[[#This Row],[Cumulative rev]]&lt;=0.95,"B","C"))</f>
        <v>#DIV/0!</v>
      </c>
    </row>
    <row r="57" spans="1:37" x14ac:dyDescent="0.3">
      <c r="A57" t="s">
        <v>70</v>
      </c>
      <c r="B57" s="4">
        <v>45753</v>
      </c>
      <c r="C57" s="4" t="s">
        <v>2111</v>
      </c>
      <c r="D57" s="4" t="s">
        <v>2097</v>
      </c>
      <c r="E57" s="4">
        <v>45777</v>
      </c>
      <c r="F57" t="s">
        <v>2064</v>
      </c>
      <c r="G57" s="4">
        <v>45777</v>
      </c>
      <c r="H57" s="4">
        <f>_xlfn.MINIFS(B57:B688, N57:N688, N57)</f>
        <v>44955</v>
      </c>
      <c r="I57" s="4" t="str">
        <f t="shared" si="0"/>
        <v>Jan-2023</v>
      </c>
      <c r="J57" s="13">
        <f t="shared" si="1"/>
        <v>27</v>
      </c>
      <c r="K57" s="13">
        <v>24</v>
      </c>
      <c r="L57" s="30" t="str">
        <f>IF(Table2[[#This Row],[LeadTimeDays]]&lt;7,"1","0")</f>
        <v>0</v>
      </c>
      <c r="M57" s="7" t="s">
        <v>648</v>
      </c>
      <c r="N57" s="7" t="s">
        <v>655</v>
      </c>
      <c r="O57" s="7" t="s">
        <v>672</v>
      </c>
      <c r="P57" s="7" t="s">
        <v>702</v>
      </c>
      <c r="Q57" s="7" t="s">
        <v>708</v>
      </c>
      <c r="R57" s="7" t="s">
        <v>723</v>
      </c>
      <c r="S57" s="7" t="s">
        <v>732</v>
      </c>
      <c r="T57" s="7" t="s">
        <v>1483</v>
      </c>
      <c r="U57" s="9">
        <v>855.78</v>
      </c>
      <c r="V57" s="9">
        <v>977.38</v>
      </c>
      <c r="W57" s="9">
        <v>977.38</v>
      </c>
      <c r="X57" s="9">
        <v>826.05500000000006</v>
      </c>
      <c r="Y57" s="9">
        <v>1595.15</v>
      </c>
      <c r="Z57" s="9" t="s">
        <v>2092</v>
      </c>
      <c r="AA57" t="s">
        <v>2065</v>
      </c>
      <c r="AB57" s="11">
        <v>0.14699999999999999</v>
      </c>
      <c r="AC57" t="s">
        <v>2065</v>
      </c>
      <c r="AD57" s="13">
        <v>38</v>
      </c>
      <c r="AE57" s="9">
        <v>31680.795320000001</v>
      </c>
      <c r="AF57" s="9">
        <v>32519.64</v>
      </c>
      <c r="AG57" s="9">
        <v>-838.84467999999833</v>
      </c>
      <c r="AH57" s="11">
        <v>-2.6478018355506307E-2</v>
      </c>
      <c r="AI57" s="9">
        <f>SUMIFS(AD57:AD688, R57:R688, S57)</f>
        <v>0</v>
      </c>
      <c r="AJ57" s="11" t="e">
        <f>SUMIFS(AD57:AD688, R57:R688, S57, AD57:AD688, "&gt;" &amp; AE57) / AI57</f>
        <v>#DIV/0!</v>
      </c>
      <c r="AK57" s="7" t="e">
        <f>IF(AJ57&lt;=0.8,"A",IF(Table2[[#This Row],[Cumulative rev]]&lt;=0.95,"B","C"))</f>
        <v>#DIV/0!</v>
      </c>
    </row>
    <row r="58" spans="1:37" x14ac:dyDescent="0.3">
      <c r="A58" t="s">
        <v>71</v>
      </c>
      <c r="B58" s="4">
        <v>45697</v>
      </c>
      <c r="C58" s="4" t="s">
        <v>2119</v>
      </c>
      <c r="D58" s="4" t="s">
        <v>2087</v>
      </c>
      <c r="E58" s="4">
        <v>45717</v>
      </c>
      <c r="F58" t="s">
        <v>2064</v>
      </c>
      <c r="G58" s="4">
        <v>45717</v>
      </c>
      <c r="H58" s="4">
        <f>_xlfn.MINIFS(B58:B689, N58:N689, N58)</f>
        <v>44955</v>
      </c>
      <c r="I58" s="4" t="str">
        <f t="shared" si="0"/>
        <v>Jan-2023</v>
      </c>
      <c r="J58" s="13">
        <f t="shared" si="1"/>
        <v>25</v>
      </c>
      <c r="K58" s="13">
        <v>20</v>
      </c>
      <c r="L58" s="30" t="str">
        <f>IF(Table2[[#This Row],[LeadTimeDays]]&lt;7,"1","0")</f>
        <v>0</v>
      </c>
      <c r="M58" s="7" t="s">
        <v>648</v>
      </c>
      <c r="N58" s="7" t="s">
        <v>655</v>
      </c>
      <c r="O58" s="7" t="s">
        <v>670</v>
      </c>
      <c r="P58" s="7" t="s">
        <v>701</v>
      </c>
      <c r="Q58" s="7" t="s">
        <v>710</v>
      </c>
      <c r="R58" s="7" t="s">
        <v>717</v>
      </c>
      <c r="S58" s="7" t="s">
        <v>731</v>
      </c>
      <c r="T58" s="7" t="s">
        <v>1484</v>
      </c>
      <c r="U58" s="9">
        <v>1154.6400000000001</v>
      </c>
      <c r="V58" s="9">
        <v>2794.13</v>
      </c>
      <c r="W58" s="9">
        <v>2794.13</v>
      </c>
      <c r="X58" s="9">
        <v>825.50720000000001</v>
      </c>
      <c r="Y58" s="9">
        <v>1595.4015999999999</v>
      </c>
      <c r="Z58" s="9" t="s">
        <v>2095</v>
      </c>
      <c r="AA58" t="s">
        <v>2065</v>
      </c>
      <c r="AB58" s="11">
        <v>3.5000000000000003E-2</v>
      </c>
      <c r="AC58" t="s">
        <v>2065</v>
      </c>
      <c r="AD58" s="13">
        <v>11</v>
      </c>
      <c r="AE58" s="9">
        <v>29659.68995</v>
      </c>
      <c r="AF58" s="9">
        <v>12701.04</v>
      </c>
      <c r="AG58" s="9">
        <v>16958.649949999999</v>
      </c>
      <c r="AH58" s="11">
        <v>0.57177435025749479</v>
      </c>
      <c r="AI58" s="9">
        <f>SUMIFS(AD58:AD689, R58:R689, S58)</f>
        <v>0</v>
      </c>
      <c r="AJ58" s="11" t="e">
        <f>SUMIFS(AD58:AD689, R58:R689, S58, AD58:AD689, "&gt;" &amp; AE58) / AI58</f>
        <v>#DIV/0!</v>
      </c>
      <c r="AK58" s="7" t="e">
        <f>IF(AJ58&lt;=0.8,"A",IF(Table2[[#This Row],[Cumulative rev]]&lt;=0.95,"B","C"))</f>
        <v>#DIV/0!</v>
      </c>
    </row>
    <row r="59" spans="1:37" x14ac:dyDescent="0.3">
      <c r="A59" t="s">
        <v>72</v>
      </c>
      <c r="B59" s="4">
        <v>45643</v>
      </c>
      <c r="C59" s="4" t="s">
        <v>2091</v>
      </c>
      <c r="D59" s="4" t="s">
        <v>2083</v>
      </c>
      <c r="E59" s="4">
        <v>45644</v>
      </c>
      <c r="F59" t="s">
        <v>2064</v>
      </c>
      <c r="G59" s="4">
        <v>45644</v>
      </c>
      <c r="H59" s="4">
        <f>_xlfn.MINIFS(B59:B690, N59:N690, N59)</f>
        <v>44948</v>
      </c>
      <c r="I59" s="4" t="str">
        <f t="shared" si="0"/>
        <v>Jan-2023</v>
      </c>
      <c r="J59" s="13">
        <f t="shared" si="1"/>
        <v>23</v>
      </c>
      <c r="K59" s="13">
        <v>1</v>
      </c>
      <c r="L59" s="30" t="str">
        <f>IF(Table2[[#This Row],[LeadTimeDays]]&lt;7,"1","0")</f>
        <v>1</v>
      </c>
      <c r="M59" s="7" t="s">
        <v>649</v>
      </c>
      <c r="N59" s="7" t="s">
        <v>656</v>
      </c>
      <c r="O59" s="7" t="s">
        <v>684</v>
      </c>
      <c r="P59" s="7" t="s">
        <v>702</v>
      </c>
      <c r="Q59" s="7" t="s">
        <v>707</v>
      </c>
      <c r="R59" s="7" t="s">
        <v>716</v>
      </c>
      <c r="S59" s="7" t="s">
        <v>733</v>
      </c>
      <c r="T59" s="7" t="s">
        <v>1485</v>
      </c>
      <c r="U59" s="9">
        <v>346.82</v>
      </c>
      <c r="V59" s="9">
        <v>701.95</v>
      </c>
      <c r="W59" s="9">
        <v>701.95</v>
      </c>
      <c r="X59" s="9">
        <v>824.95939999999996</v>
      </c>
      <c r="Y59" s="9">
        <v>1594.9132</v>
      </c>
      <c r="Z59" s="9" t="s">
        <v>2081</v>
      </c>
      <c r="AA59" t="s">
        <v>2065</v>
      </c>
      <c r="AB59" s="11">
        <v>0.14699999999999999</v>
      </c>
      <c r="AC59" t="s">
        <v>2065</v>
      </c>
      <c r="AD59" s="13">
        <v>8</v>
      </c>
      <c r="AE59" s="9">
        <v>4790.1068000000005</v>
      </c>
      <c r="AF59" s="9">
        <v>2774.56</v>
      </c>
      <c r="AG59" s="9">
        <v>2015.5468000000005</v>
      </c>
      <c r="AH59" s="11">
        <v>0.42077283120284509</v>
      </c>
      <c r="AI59" s="9">
        <f>SUMIFS(AD59:AD690, R59:R690, S59)</f>
        <v>0</v>
      </c>
      <c r="AJ59" s="11" t="e">
        <f>SUMIFS(AD59:AD690, R59:R690, S59, AD59:AD690, "&gt;" &amp; AE59) / AI59</f>
        <v>#DIV/0!</v>
      </c>
      <c r="AK59" s="7" t="e">
        <f>IF(AJ59&lt;=0.8,"A",IF(Table2[[#This Row],[Cumulative rev]]&lt;=0.95,"B","C"))</f>
        <v>#DIV/0!</v>
      </c>
    </row>
    <row r="60" spans="1:37" x14ac:dyDescent="0.3">
      <c r="A60" t="s">
        <v>73</v>
      </c>
      <c r="B60" s="4">
        <v>45817</v>
      </c>
      <c r="C60" s="4" t="s">
        <v>2108</v>
      </c>
      <c r="D60" s="4" t="s">
        <v>2097</v>
      </c>
      <c r="E60" s="4">
        <v>45826</v>
      </c>
      <c r="F60" t="s">
        <v>2064</v>
      </c>
      <c r="G60" s="4">
        <v>45826</v>
      </c>
      <c r="H60" s="4">
        <f>_xlfn.MINIFS(B60:B691, N60:N691, N60)</f>
        <v>44936</v>
      </c>
      <c r="I60" s="4" t="str">
        <f t="shared" si="0"/>
        <v>Jan-2023</v>
      </c>
      <c r="J60" s="13">
        <f t="shared" si="1"/>
        <v>29</v>
      </c>
      <c r="K60" s="13">
        <v>9</v>
      </c>
      <c r="L60" s="30" t="str">
        <f>IF(Table2[[#This Row],[LeadTimeDays]]&lt;7,"1","0")</f>
        <v>0</v>
      </c>
      <c r="M60" s="7" t="s">
        <v>649</v>
      </c>
      <c r="N60" s="7" t="s">
        <v>657</v>
      </c>
      <c r="O60" s="7" t="s">
        <v>673</v>
      </c>
      <c r="P60" s="7" t="s">
        <v>705</v>
      </c>
      <c r="Q60" s="7" t="s">
        <v>709</v>
      </c>
      <c r="R60" s="7" t="s">
        <v>722</v>
      </c>
      <c r="S60" s="7" t="s">
        <v>733</v>
      </c>
      <c r="T60" s="7" t="s">
        <v>1486</v>
      </c>
      <c r="U60" s="9">
        <v>1225.5</v>
      </c>
      <c r="V60" s="9">
        <v>-5.27</v>
      </c>
      <c r="W60" s="9">
        <v>5.27</v>
      </c>
      <c r="X60" s="9">
        <v>826.07159999999999</v>
      </c>
      <c r="Y60" s="9">
        <v>1595.1648</v>
      </c>
      <c r="Z60" s="9" t="s">
        <v>2081</v>
      </c>
      <c r="AA60" t="s">
        <v>2067</v>
      </c>
      <c r="AB60" s="11">
        <v>7.4999999999999997E-2</v>
      </c>
      <c r="AC60" t="s">
        <v>2065</v>
      </c>
      <c r="AD60" s="13">
        <v>56</v>
      </c>
      <c r="AE60" s="9">
        <v>272.98599999999999</v>
      </c>
      <c r="AF60" s="9">
        <v>68628</v>
      </c>
      <c r="AG60" s="9">
        <v>-68355.013999999996</v>
      </c>
      <c r="AH60" s="11">
        <v>-250.39750756449047</v>
      </c>
      <c r="AI60" s="9">
        <f>SUMIFS(AD60:AD691, R60:R691, S60)</f>
        <v>0</v>
      </c>
      <c r="AJ60" s="11" t="e">
        <f>SUMIFS(AD60:AD691, R60:R691, S60, AD60:AD691, "&gt;" &amp; AE60) / AI60</f>
        <v>#DIV/0!</v>
      </c>
      <c r="AK60" s="7" t="e">
        <f>IF(AJ60&lt;=0.8,"A",IF(Table2[[#This Row],[Cumulative rev]]&lt;=0.95,"B","C"))</f>
        <v>#DIV/0!</v>
      </c>
    </row>
    <row r="61" spans="1:37" x14ac:dyDescent="0.3">
      <c r="A61" t="s">
        <v>74</v>
      </c>
      <c r="B61" s="4">
        <v>45779</v>
      </c>
      <c r="C61" s="4" t="s">
        <v>2096</v>
      </c>
      <c r="D61" s="4" t="s">
        <v>2097</v>
      </c>
      <c r="E61" s="4">
        <v>45790</v>
      </c>
      <c r="F61" t="s">
        <v>2064</v>
      </c>
      <c r="G61" s="4">
        <v>45790</v>
      </c>
      <c r="H61" s="4">
        <f>_xlfn.MINIFS(B61:B692, N61:N692, N61)</f>
        <v>44946</v>
      </c>
      <c r="I61" s="4" t="str">
        <f t="shared" si="0"/>
        <v>Jan-2023</v>
      </c>
      <c r="J61" s="13">
        <f t="shared" si="1"/>
        <v>28</v>
      </c>
      <c r="K61" s="13">
        <v>11</v>
      </c>
      <c r="L61" s="30" t="str">
        <f>IF(Table2[[#This Row],[LeadTimeDays]]&lt;7,"1","0")</f>
        <v>0</v>
      </c>
      <c r="M61" s="7" t="s">
        <v>646</v>
      </c>
      <c r="N61" s="7" t="s">
        <v>650</v>
      </c>
      <c r="O61" s="7" t="s">
        <v>678</v>
      </c>
      <c r="P61" s="7" t="s">
        <v>705</v>
      </c>
      <c r="Q61" s="7" t="s">
        <v>708</v>
      </c>
      <c r="R61" s="7" t="s">
        <v>720</v>
      </c>
      <c r="S61" s="7" t="s">
        <v>733</v>
      </c>
      <c r="T61" s="7" t="s">
        <v>1487</v>
      </c>
      <c r="U61" s="9">
        <v>1057.5999999999999</v>
      </c>
      <c r="V61" s="9">
        <v>1437.06</v>
      </c>
      <c r="W61" s="9">
        <v>1437.06</v>
      </c>
      <c r="X61" s="9">
        <v>829.57460000000003</v>
      </c>
      <c r="Y61" s="9">
        <v>1595.4164000000001</v>
      </c>
      <c r="Z61" s="9" t="s">
        <v>2092</v>
      </c>
      <c r="AA61" t="s">
        <v>2065</v>
      </c>
      <c r="AB61" s="11">
        <v>0.20499999999999999</v>
      </c>
      <c r="AC61" t="s">
        <v>2065</v>
      </c>
      <c r="AD61" s="13">
        <v>4</v>
      </c>
      <c r="AE61" s="9">
        <v>4569.8508000000002</v>
      </c>
      <c r="AF61" s="9">
        <v>4230.3999999999996</v>
      </c>
      <c r="AG61" s="9">
        <v>339.45080000000053</v>
      </c>
      <c r="AH61" s="11">
        <v>7.4280499485891424E-2</v>
      </c>
      <c r="AI61" s="9">
        <f>SUMIFS(AD61:AD692, R61:R692, S61)</f>
        <v>0</v>
      </c>
      <c r="AJ61" s="11" t="e">
        <f>SUMIFS(AD61:AD692, R61:R692, S61, AD61:AD692, "&gt;" &amp; AE61) / AI61</f>
        <v>#DIV/0!</v>
      </c>
      <c r="AK61" s="7" t="e">
        <f>IF(AJ61&lt;=0.8,"A",IF(Table2[[#This Row],[Cumulative rev]]&lt;=0.95,"B","C"))</f>
        <v>#DIV/0!</v>
      </c>
    </row>
    <row r="62" spans="1:37" x14ac:dyDescent="0.3">
      <c r="A62" t="s">
        <v>75</v>
      </c>
      <c r="B62" s="4">
        <v>45361</v>
      </c>
      <c r="C62" s="4" t="s">
        <v>2079</v>
      </c>
      <c r="D62" s="4" t="s">
        <v>2080</v>
      </c>
      <c r="E62" s="4">
        <v>45391</v>
      </c>
      <c r="F62" t="s">
        <v>2064</v>
      </c>
      <c r="G62" s="4">
        <v>45391</v>
      </c>
      <c r="H62" s="4">
        <f>_xlfn.MINIFS(B62:B693, N62:N693, N62)</f>
        <v>44936</v>
      </c>
      <c r="I62" s="4" t="str">
        <f t="shared" si="0"/>
        <v>Jan-2023</v>
      </c>
      <c r="J62" s="13">
        <f t="shared" si="1"/>
        <v>15</v>
      </c>
      <c r="K62" s="13">
        <v>30</v>
      </c>
      <c r="L62" s="30" t="str">
        <f>IF(Table2[[#This Row],[LeadTimeDays]]&lt;7,"1","0")</f>
        <v>0</v>
      </c>
      <c r="M62" s="7" t="s">
        <v>649</v>
      </c>
      <c r="N62" s="7" t="s">
        <v>657</v>
      </c>
      <c r="O62" s="7" t="s">
        <v>679</v>
      </c>
      <c r="P62" s="7" t="s">
        <v>701</v>
      </c>
      <c r="Q62" s="7" t="s">
        <v>711</v>
      </c>
      <c r="R62" s="7" t="s">
        <v>714</v>
      </c>
      <c r="S62" s="7" t="s">
        <v>727</v>
      </c>
      <c r="T62" s="7" t="s">
        <v>1488</v>
      </c>
      <c r="U62" s="9">
        <v>1176.56</v>
      </c>
      <c r="V62" s="9">
        <v>1911.89</v>
      </c>
      <c r="W62" s="9">
        <v>1911.89</v>
      </c>
      <c r="X62" s="9">
        <v>827.19200000000023</v>
      </c>
      <c r="Y62" s="9">
        <v>1599.986000000001</v>
      </c>
      <c r="Z62" s="9" t="s">
        <v>2095</v>
      </c>
      <c r="AA62" t="s">
        <v>2065</v>
      </c>
      <c r="AB62" s="11">
        <v>0.11899999999999999</v>
      </c>
      <c r="AC62" t="s">
        <v>2065</v>
      </c>
      <c r="AD62" s="13">
        <v>20</v>
      </c>
      <c r="AE62" s="9">
        <v>33687.501800000005</v>
      </c>
      <c r="AF62" s="9">
        <v>23531.199999999997</v>
      </c>
      <c r="AG62" s="9">
        <v>10156.301800000008</v>
      </c>
      <c r="AH62" s="11">
        <v>0.30148575160892477</v>
      </c>
      <c r="AI62" s="9">
        <f>SUMIFS(AD62:AD693, R62:R693, S62)</f>
        <v>0</v>
      </c>
      <c r="AJ62" s="11" t="e">
        <f>SUMIFS(AD62:AD693, R62:R693, S62, AD62:AD693, "&gt;" &amp; AE62) / AI62</f>
        <v>#DIV/0!</v>
      </c>
      <c r="AK62" s="7" t="e">
        <f>IF(AJ62&lt;=0.8,"A",IF(Table2[[#This Row],[Cumulative rev]]&lt;=0.95,"B","C"))</f>
        <v>#DIV/0!</v>
      </c>
    </row>
    <row r="63" spans="1:37" x14ac:dyDescent="0.3">
      <c r="A63" t="s">
        <v>76</v>
      </c>
      <c r="B63" s="4">
        <v>45910</v>
      </c>
      <c r="C63" s="4" t="s">
        <v>2100</v>
      </c>
      <c r="D63" s="4" t="s">
        <v>2101</v>
      </c>
      <c r="E63" s="4">
        <v>45912</v>
      </c>
      <c r="F63" t="s">
        <v>2064</v>
      </c>
      <c r="G63" s="4">
        <v>45912</v>
      </c>
      <c r="H63" s="4">
        <f>_xlfn.MINIFS(B63:B694, N63:N694, N63)</f>
        <v>44988</v>
      </c>
      <c r="I63" s="4" t="str">
        <f t="shared" si="0"/>
        <v>Mar-2023</v>
      </c>
      <c r="J63" s="13">
        <f t="shared" si="1"/>
        <v>31</v>
      </c>
      <c r="K63" s="13">
        <v>2</v>
      </c>
      <c r="L63" s="30" t="str">
        <f>IF(Table2[[#This Row],[LeadTimeDays]]&lt;7,"1","0")</f>
        <v>1</v>
      </c>
      <c r="M63" s="7" t="s">
        <v>647</v>
      </c>
      <c r="N63" s="7" t="s">
        <v>652</v>
      </c>
      <c r="O63" s="7" t="s">
        <v>689</v>
      </c>
      <c r="P63" s="7" t="s">
        <v>704</v>
      </c>
      <c r="Q63" s="7" t="s">
        <v>708</v>
      </c>
      <c r="R63" s="7" t="s">
        <v>719</v>
      </c>
      <c r="S63" s="7" t="s">
        <v>727</v>
      </c>
      <c r="T63" s="7" t="s">
        <v>1489</v>
      </c>
      <c r="U63" s="9">
        <v>1470.15</v>
      </c>
      <c r="V63" s="9">
        <v>2593.7800000000002</v>
      </c>
      <c r="W63" s="9">
        <v>2593.7800000000002</v>
      </c>
      <c r="X63" s="9">
        <v>826.08820000000003</v>
      </c>
      <c r="Y63" s="9">
        <v>1595.1795999999999</v>
      </c>
      <c r="Z63" s="9" t="s">
        <v>2095</v>
      </c>
      <c r="AA63" t="s">
        <v>2065</v>
      </c>
      <c r="AB63" s="11">
        <v>0.11</v>
      </c>
      <c r="AC63" t="s">
        <v>2065</v>
      </c>
      <c r="AD63" s="13">
        <v>12</v>
      </c>
      <c r="AE63" s="9">
        <v>27701.570400000001</v>
      </c>
      <c r="AF63" s="9">
        <v>17641.800000000003</v>
      </c>
      <c r="AG63" s="9">
        <v>10059.770399999998</v>
      </c>
      <c r="AH63" s="11">
        <v>0.36314801849645306</v>
      </c>
      <c r="AI63" s="9">
        <f>SUMIFS(AD63:AD694, R63:R694, S63)</f>
        <v>0</v>
      </c>
      <c r="AJ63" s="11" t="e">
        <f>SUMIFS(AD63:AD694, R63:R694, S63, AD63:AD694, "&gt;" &amp; AE63) / AI63</f>
        <v>#DIV/0!</v>
      </c>
      <c r="AK63" s="7" t="e">
        <f>IF(AJ63&lt;=0.8,"A",IF(Table2[[#This Row],[Cumulative rev]]&lt;=0.95,"B","C"))</f>
        <v>#DIV/0!</v>
      </c>
    </row>
    <row r="64" spans="1:37" x14ac:dyDescent="0.3">
      <c r="A64" t="s">
        <v>77</v>
      </c>
      <c r="B64" s="4">
        <v>45774</v>
      </c>
      <c r="C64" s="4" t="s">
        <v>2111</v>
      </c>
      <c r="D64" s="4" t="s">
        <v>2097</v>
      </c>
      <c r="E64" s="4">
        <v>45802</v>
      </c>
      <c r="F64" t="s">
        <v>2064</v>
      </c>
      <c r="G64" s="4">
        <v>45802</v>
      </c>
      <c r="H64" s="4">
        <f>_xlfn.MINIFS(B64:B695, N64:N695, N64)</f>
        <v>44936</v>
      </c>
      <c r="I64" s="4" t="str">
        <f t="shared" si="0"/>
        <v>Jan-2023</v>
      </c>
      <c r="J64" s="13">
        <f t="shared" si="1"/>
        <v>28</v>
      </c>
      <c r="K64" s="13">
        <v>28</v>
      </c>
      <c r="L64" s="30" t="str">
        <f>IF(Table2[[#This Row],[LeadTimeDays]]&lt;7,"1","0")</f>
        <v>0</v>
      </c>
      <c r="M64" s="7" t="s">
        <v>649</v>
      </c>
      <c r="N64" s="7" t="s">
        <v>657</v>
      </c>
      <c r="O64" s="7" t="s">
        <v>690</v>
      </c>
      <c r="P64" s="7" t="s">
        <v>705</v>
      </c>
      <c r="Q64" s="7" t="s">
        <v>709</v>
      </c>
      <c r="R64" s="7" t="s">
        <v>714</v>
      </c>
      <c r="S64" s="7" t="s">
        <v>730</v>
      </c>
      <c r="T64" s="7" t="s">
        <v>1490</v>
      </c>
      <c r="U64" s="9">
        <v>603.45000000000005</v>
      </c>
      <c r="V64" s="9">
        <v>1244.08</v>
      </c>
      <c r="W64" s="9">
        <v>1244.08</v>
      </c>
      <c r="X64" s="9">
        <v>825.54039999999998</v>
      </c>
      <c r="Y64" s="9">
        <v>1594.4487999999999</v>
      </c>
      <c r="Z64" s="9" t="s">
        <v>2092</v>
      </c>
      <c r="AA64" t="s">
        <v>2065</v>
      </c>
      <c r="AB64" s="11">
        <v>0.2</v>
      </c>
      <c r="AC64" t="s">
        <v>2065</v>
      </c>
      <c r="AD64" s="13">
        <v>11</v>
      </c>
      <c r="AE64" s="9">
        <v>10947.904</v>
      </c>
      <c r="AF64" s="9">
        <v>6637.9500000000007</v>
      </c>
      <c r="AG64" s="9">
        <v>4309.9539999999997</v>
      </c>
      <c r="AH64" s="11">
        <v>0.39367846119220623</v>
      </c>
      <c r="AI64" s="9">
        <f>SUMIFS(AD64:AD695, R64:R695, S64)</f>
        <v>0</v>
      </c>
      <c r="AJ64" s="11" t="e">
        <f>SUMIFS(AD64:AD695, R64:R695, S64, AD64:AD695, "&gt;" &amp; AE64) / AI64</f>
        <v>#DIV/0!</v>
      </c>
      <c r="AK64" s="7" t="e">
        <f>IF(AJ64&lt;=0.8,"A",IF(Table2[[#This Row],[Cumulative rev]]&lt;=0.95,"B","C"))</f>
        <v>#DIV/0!</v>
      </c>
    </row>
    <row r="65" spans="1:37" x14ac:dyDescent="0.3">
      <c r="A65" t="s">
        <v>78</v>
      </c>
      <c r="B65" s="4">
        <v>45598</v>
      </c>
      <c r="C65" s="4" t="s">
        <v>2110</v>
      </c>
      <c r="D65" s="4" t="s">
        <v>2083</v>
      </c>
      <c r="E65" s="4">
        <v>45614</v>
      </c>
      <c r="F65" t="s">
        <v>2064</v>
      </c>
      <c r="G65" s="4">
        <v>45614</v>
      </c>
      <c r="H65" s="4">
        <f>_xlfn.MINIFS(B65:B696, N65:N696, N65)</f>
        <v>44977</v>
      </c>
      <c r="I65" s="4" t="str">
        <f t="shared" si="0"/>
        <v>Feb-2023</v>
      </c>
      <c r="J65" s="13">
        <f t="shared" si="1"/>
        <v>21</v>
      </c>
      <c r="K65" s="13">
        <v>16</v>
      </c>
      <c r="L65" s="30" t="str">
        <f>IF(Table2[[#This Row],[LeadTimeDays]]&lt;7,"1","0")</f>
        <v>0</v>
      </c>
      <c r="M65" s="7" t="s">
        <v>647</v>
      </c>
      <c r="N65" s="7" t="s">
        <v>654</v>
      </c>
      <c r="O65" s="7" t="s">
        <v>691</v>
      </c>
      <c r="P65" s="7" t="s">
        <v>705</v>
      </c>
      <c r="Q65" s="7" t="s">
        <v>710</v>
      </c>
      <c r="R65" s="7" t="s">
        <v>719</v>
      </c>
      <c r="S65" s="7" t="s">
        <v>732</v>
      </c>
      <c r="T65" s="7" t="s">
        <v>1491</v>
      </c>
      <c r="U65" s="9">
        <v>1233.58</v>
      </c>
      <c r="V65" s="9">
        <v>1912.51</v>
      </c>
      <c r="W65" s="9">
        <v>1912.51</v>
      </c>
      <c r="X65" s="9">
        <v>824.99259999999992</v>
      </c>
      <c r="Y65" s="9">
        <v>1594.9428</v>
      </c>
      <c r="Z65" s="9" t="s">
        <v>2095</v>
      </c>
      <c r="AA65" t="s">
        <v>2065</v>
      </c>
      <c r="AB65" s="11">
        <v>0.255</v>
      </c>
      <c r="AC65" t="s">
        <v>2065</v>
      </c>
      <c r="AD65" s="13">
        <v>51</v>
      </c>
      <c r="AE65" s="9">
        <v>72665.817450000002</v>
      </c>
      <c r="AF65" s="9">
        <v>62912.579999999994</v>
      </c>
      <c r="AG65" s="9">
        <v>9753.2374500000078</v>
      </c>
      <c r="AH65" s="11">
        <v>0.134220432553601</v>
      </c>
      <c r="AI65" s="9">
        <f>SUMIFS(AD65:AD696, R65:R696, S65)</f>
        <v>0</v>
      </c>
      <c r="AJ65" s="11" t="e">
        <f>SUMIFS(AD65:AD696, R65:R696, S65, AD65:AD696, "&gt;" &amp; AE65) / AI65</f>
        <v>#DIV/0!</v>
      </c>
      <c r="AK65" s="7" t="e">
        <f>IF(AJ65&lt;=0.8,"A",IF(Table2[[#This Row],[Cumulative rev]]&lt;=0.95,"B","C"))</f>
        <v>#DIV/0!</v>
      </c>
    </row>
    <row r="66" spans="1:37" x14ac:dyDescent="0.3">
      <c r="A66" t="s">
        <v>79</v>
      </c>
      <c r="B66" s="4">
        <v>44972</v>
      </c>
      <c r="C66" s="4" t="s">
        <v>2084</v>
      </c>
      <c r="D66" s="4" t="s">
        <v>2085</v>
      </c>
      <c r="E66" s="4">
        <v>44983</v>
      </c>
      <c r="F66" t="s">
        <v>2064</v>
      </c>
      <c r="G66" s="4">
        <v>44983</v>
      </c>
      <c r="H66" s="4">
        <f>_xlfn.MINIFS(B66:B697, N66:N697, N66)</f>
        <v>44933</v>
      </c>
      <c r="I66" s="4" t="str">
        <f t="shared" si="0"/>
        <v>Jan-2023</v>
      </c>
      <c r="J66" s="13">
        <f t="shared" si="1"/>
        <v>2</v>
      </c>
      <c r="K66" s="13">
        <v>11</v>
      </c>
      <c r="L66" s="30" t="str">
        <f>IF(Table2[[#This Row],[LeadTimeDays]]&lt;7,"1","0")</f>
        <v>0</v>
      </c>
      <c r="M66" s="7" t="s">
        <v>646</v>
      </c>
      <c r="N66" s="7" t="s">
        <v>661</v>
      </c>
      <c r="O66" s="7" t="s">
        <v>682</v>
      </c>
      <c r="P66" s="7" t="s">
        <v>703</v>
      </c>
      <c r="Q66" s="7" t="s">
        <v>707</v>
      </c>
      <c r="R66" s="7" t="s">
        <v>723</v>
      </c>
      <c r="S66" s="7" t="s">
        <v>731</v>
      </c>
      <c r="T66" s="7" t="s">
        <v>1492</v>
      </c>
      <c r="U66" s="9">
        <v>498.5</v>
      </c>
      <c r="V66" s="9">
        <v>755.87</v>
      </c>
      <c r="W66" s="9">
        <v>755.87</v>
      </c>
      <c r="X66" s="9">
        <v>824.68899999999996</v>
      </c>
      <c r="Y66" s="9">
        <v>1593.5655999999999</v>
      </c>
      <c r="Z66" s="9" t="s">
        <v>2081</v>
      </c>
      <c r="AA66" t="s">
        <v>2065</v>
      </c>
      <c r="AB66" s="11">
        <v>0.13</v>
      </c>
      <c r="AC66" t="s">
        <v>2065</v>
      </c>
      <c r="AD66" s="13">
        <v>40</v>
      </c>
      <c r="AE66" s="9">
        <v>26304.275999999998</v>
      </c>
      <c r="AF66" s="9">
        <v>19940</v>
      </c>
      <c r="AG66" s="9">
        <v>6364.275999999998</v>
      </c>
      <c r="AH66" s="11">
        <v>0.24194834330357537</v>
      </c>
      <c r="AI66" s="9">
        <f>SUMIFS(AD66:AD697, R66:R697, S66)</f>
        <v>0</v>
      </c>
      <c r="AJ66" s="11" t="e">
        <f>SUMIFS(AD66:AD697, R66:R697, S66, AD66:AD697, "&gt;" &amp; AE66) / AI66</f>
        <v>#DIV/0!</v>
      </c>
      <c r="AK66" s="7" t="e">
        <f>IF(AJ66&lt;=0.8,"A",IF(Table2[[#This Row],[Cumulative rev]]&lt;=0.95,"B","C"))</f>
        <v>#DIV/0!</v>
      </c>
    </row>
    <row r="67" spans="1:37" x14ac:dyDescent="0.3">
      <c r="A67" t="s">
        <v>80</v>
      </c>
      <c r="B67" s="4">
        <v>45263</v>
      </c>
      <c r="C67" s="4" t="s">
        <v>2088</v>
      </c>
      <c r="D67" s="4" t="s">
        <v>2089</v>
      </c>
      <c r="E67" s="4">
        <v>45286</v>
      </c>
      <c r="F67" t="s">
        <v>2064</v>
      </c>
      <c r="G67" s="4">
        <v>45286</v>
      </c>
      <c r="H67" s="4">
        <f>_xlfn.MINIFS(B67:B698, N67:N698, N67)</f>
        <v>44955</v>
      </c>
      <c r="I67" s="4" t="str">
        <f t="shared" ref="I67:I130" si="2">TEXT(H67,"mmm-yyyy")</f>
        <v>Jan-2023</v>
      </c>
      <c r="J67" s="13">
        <f t="shared" ref="J67:J130" si="3">DATEDIF(H67, B67, "m") + 1</f>
        <v>11</v>
      </c>
      <c r="K67" s="13">
        <v>23</v>
      </c>
      <c r="L67" s="30" t="str">
        <f>IF(Table2[[#This Row],[LeadTimeDays]]&lt;7,"1","0")</f>
        <v>0</v>
      </c>
      <c r="M67" s="7" t="s">
        <v>648</v>
      </c>
      <c r="N67" s="7" t="s">
        <v>655</v>
      </c>
      <c r="O67" s="7" t="s">
        <v>1426</v>
      </c>
      <c r="P67" s="7" t="s">
        <v>702</v>
      </c>
      <c r="Q67" s="7" t="s">
        <v>707</v>
      </c>
      <c r="R67" s="7" t="s">
        <v>719</v>
      </c>
      <c r="S67" s="7" t="s">
        <v>730</v>
      </c>
      <c r="T67" s="7" t="s">
        <v>1493</v>
      </c>
      <c r="U67" s="9">
        <v>1303.1099999999999</v>
      </c>
      <c r="V67" s="9">
        <v>1145.67</v>
      </c>
      <c r="W67" s="9">
        <v>1145.67</v>
      </c>
      <c r="X67" s="9">
        <v>825.55700000000002</v>
      </c>
      <c r="Y67" s="9">
        <v>1594.5040000000001</v>
      </c>
      <c r="Z67" s="9" t="s">
        <v>2092</v>
      </c>
      <c r="AA67" t="s">
        <v>2065</v>
      </c>
      <c r="AB67" s="11">
        <v>0.184</v>
      </c>
      <c r="AC67" t="s">
        <v>2065</v>
      </c>
      <c r="AD67" s="13">
        <v>13</v>
      </c>
      <c r="AE67" s="9">
        <v>12153.267360000002</v>
      </c>
      <c r="AF67" s="9">
        <v>16940.43</v>
      </c>
      <c r="AG67" s="9">
        <v>-4787.1626399999986</v>
      </c>
      <c r="AH67" s="11">
        <v>-0.39389922875851208</v>
      </c>
      <c r="AI67" s="9">
        <f>SUMIFS(AD67:AD698, R67:R698, S67)</f>
        <v>0</v>
      </c>
      <c r="AJ67" s="11" t="e">
        <f>SUMIFS(AD67:AD698, R67:R698, S67, AD67:AD698, "&gt;" &amp; AE67) / AI67</f>
        <v>#DIV/0!</v>
      </c>
      <c r="AK67" s="7" t="e">
        <f>IF(AJ67&lt;=0.8,"A",IF(Table2[[#This Row],[Cumulative rev]]&lt;=0.95,"B","C"))</f>
        <v>#DIV/0!</v>
      </c>
    </row>
    <row r="68" spans="1:37" x14ac:dyDescent="0.3">
      <c r="A68" t="s">
        <v>81</v>
      </c>
      <c r="B68" s="4">
        <v>45004</v>
      </c>
      <c r="C68" s="4" t="s">
        <v>2114</v>
      </c>
      <c r="D68" s="4" t="s">
        <v>2085</v>
      </c>
      <c r="E68" s="4">
        <v>45025</v>
      </c>
      <c r="F68" t="s">
        <v>2064</v>
      </c>
      <c r="G68" s="4">
        <v>45025</v>
      </c>
      <c r="H68" s="4">
        <f>_xlfn.MINIFS(B68:B699, N68:N699, N68)</f>
        <v>44945</v>
      </c>
      <c r="I68" s="4" t="str">
        <f t="shared" si="2"/>
        <v>Jan-2023</v>
      </c>
      <c r="J68" s="13">
        <f t="shared" si="3"/>
        <v>3</v>
      </c>
      <c r="K68" s="13">
        <v>21</v>
      </c>
      <c r="L68" s="30" t="str">
        <f>IF(Table2[[#This Row],[LeadTimeDays]]&lt;7,"1","0")</f>
        <v>0</v>
      </c>
      <c r="M68" s="7" t="s">
        <v>649</v>
      </c>
      <c r="N68" s="7" t="s">
        <v>658</v>
      </c>
      <c r="O68" s="7" t="s">
        <v>693</v>
      </c>
      <c r="P68" s="7" t="s">
        <v>704</v>
      </c>
      <c r="Q68" s="7" t="s">
        <v>707</v>
      </c>
      <c r="R68" s="7" t="s">
        <v>716</v>
      </c>
      <c r="S68" s="7" t="s">
        <v>733</v>
      </c>
      <c r="T68" s="7" t="s">
        <v>1494</v>
      </c>
      <c r="U68" s="9">
        <v>1082.17</v>
      </c>
      <c r="V68" s="9">
        <v>1234.0999999999999</v>
      </c>
      <c r="W68" s="9">
        <v>1234.0999999999999</v>
      </c>
      <c r="X68" s="9">
        <v>825.00919999999996</v>
      </c>
      <c r="Y68" s="9">
        <v>1594.9576</v>
      </c>
      <c r="Z68" s="9" t="s">
        <v>2092</v>
      </c>
      <c r="AA68" t="s">
        <v>2065</v>
      </c>
      <c r="AB68" s="11">
        <v>0.189</v>
      </c>
      <c r="AC68" t="s">
        <v>2065</v>
      </c>
      <c r="AD68" s="13">
        <v>16</v>
      </c>
      <c r="AE68" s="9">
        <v>16013.681599999998</v>
      </c>
      <c r="AF68" s="9">
        <v>17314.72</v>
      </c>
      <c r="AG68" s="9">
        <v>-1301.0384000000031</v>
      </c>
      <c r="AH68" s="11">
        <v>-8.124542703534228E-2</v>
      </c>
      <c r="AI68" s="9">
        <f>SUMIFS(AD68:AD699, R68:R699, S68)</f>
        <v>0</v>
      </c>
      <c r="AJ68" s="11" t="e">
        <f>SUMIFS(AD68:AD699, R68:R699, S68, AD68:AD699, "&gt;" &amp; AE68) / AI68</f>
        <v>#DIV/0!</v>
      </c>
      <c r="AK68" s="7" t="e">
        <f>IF(AJ68&lt;=0.8,"A",IF(Table2[[#This Row],[Cumulative rev]]&lt;=0.95,"B","C"))</f>
        <v>#DIV/0!</v>
      </c>
    </row>
    <row r="69" spans="1:37" x14ac:dyDescent="0.3">
      <c r="A69" t="s">
        <v>82</v>
      </c>
      <c r="B69" s="4">
        <v>45434</v>
      </c>
      <c r="C69" s="4" t="s">
        <v>2093</v>
      </c>
      <c r="D69" s="4" t="s">
        <v>2094</v>
      </c>
      <c r="E69" s="4">
        <v>45449</v>
      </c>
      <c r="F69" t="s">
        <v>2064</v>
      </c>
      <c r="G69" s="4">
        <v>45449</v>
      </c>
      <c r="H69" s="4">
        <f>_xlfn.MINIFS(B69:B700, N69:N700, N69)</f>
        <v>44988</v>
      </c>
      <c r="I69" s="4" t="str">
        <f t="shared" si="2"/>
        <v>Mar-2023</v>
      </c>
      <c r="J69" s="13">
        <f t="shared" si="3"/>
        <v>15</v>
      </c>
      <c r="K69" s="13">
        <v>15</v>
      </c>
      <c r="L69" s="30" t="str">
        <f>IF(Table2[[#This Row],[LeadTimeDays]]&lt;7,"1","0")</f>
        <v>0</v>
      </c>
      <c r="M69" s="7" t="s">
        <v>647</v>
      </c>
      <c r="N69" s="7" t="s">
        <v>652</v>
      </c>
      <c r="O69" s="7" t="s">
        <v>694</v>
      </c>
      <c r="P69" s="7" t="s">
        <v>701</v>
      </c>
      <c r="Q69" s="7" t="s">
        <v>710</v>
      </c>
      <c r="R69" s="7" t="s">
        <v>712</v>
      </c>
      <c r="S69" s="7" t="s">
        <v>732</v>
      </c>
      <c r="T69" s="7" t="s">
        <v>1495</v>
      </c>
      <c r="U69" s="9">
        <v>673.88</v>
      </c>
      <c r="V69" s="9">
        <v>1228.01</v>
      </c>
      <c r="W69" s="9">
        <v>1228.01</v>
      </c>
      <c r="X69" s="9">
        <v>824.69449999999995</v>
      </c>
      <c r="Y69" s="9">
        <v>1595.2092</v>
      </c>
      <c r="Z69" s="9" t="s">
        <v>2092</v>
      </c>
      <c r="AA69" t="s">
        <v>2065</v>
      </c>
      <c r="AB69" s="11">
        <v>0.105</v>
      </c>
      <c r="AC69" t="s">
        <v>2065</v>
      </c>
      <c r="AD69" s="13">
        <v>13</v>
      </c>
      <c r="AE69" s="9">
        <v>14287.896349999999</v>
      </c>
      <c r="AF69" s="9">
        <v>8760.44</v>
      </c>
      <c r="AG69" s="9">
        <v>5527.4563499999986</v>
      </c>
      <c r="AH69" s="11">
        <v>0.38686285332689996</v>
      </c>
      <c r="AI69" s="9">
        <f>SUMIFS(AD69:AD700, R69:R700, S69)</f>
        <v>0</v>
      </c>
      <c r="AJ69" s="11" t="e">
        <f>SUMIFS(AD69:AD700, R69:R700, S69, AD69:AD700, "&gt;" &amp; AE69) / AI69</f>
        <v>#DIV/0!</v>
      </c>
      <c r="AK69" s="7" t="e">
        <f>IF(AJ69&lt;=0.8,"A",IF(Table2[[#This Row],[Cumulative rev]]&lt;=0.95,"B","C"))</f>
        <v>#DIV/0!</v>
      </c>
    </row>
    <row r="70" spans="1:37" x14ac:dyDescent="0.3">
      <c r="A70" t="s">
        <v>83</v>
      </c>
      <c r="B70" s="4">
        <v>45157</v>
      </c>
      <c r="C70" s="4" t="s">
        <v>2118</v>
      </c>
      <c r="D70" s="4" t="s">
        <v>2117</v>
      </c>
      <c r="E70" s="4">
        <v>45176</v>
      </c>
      <c r="F70" t="s">
        <v>2064</v>
      </c>
      <c r="G70" s="4">
        <v>45176</v>
      </c>
      <c r="H70" s="4">
        <f>_xlfn.MINIFS(B70:B701, N70:N701, N70)</f>
        <v>44933</v>
      </c>
      <c r="I70" s="4" t="str">
        <f t="shared" si="2"/>
        <v>Jan-2023</v>
      </c>
      <c r="J70" s="13">
        <f t="shared" si="3"/>
        <v>8</v>
      </c>
      <c r="K70" s="13">
        <v>19</v>
      </c>
      <c r="L70" s="30" t="str">
        <f>IF(Table2[[#This Row],[LeadTimeDays]]&lt;7,"1","0")</f>
        <v>0</v>
      </c>
      <c r="M70" s="7" t="s">
        <v>646</v>
      </c>
      <c r="N70" s="7" t="s">
        <v>661</v>
      </c>
      <c r="O70" s="7" t="s">
        <v>682</v>
      </c>
      <c r="P70" s="7" t="s">
        <v>706</v>
      </c>
      <c r="Q70" s="7" t="s">
        <v>707</v>
      </c>
      <c r="R70" s="7" t="s">
        <v>726</v>
      </c>
      <c r="S70" s="7" t="s">
        <v>732</v>
      </c>
      <c r="T70" s="7" t="s">
        <v>1496</v>
      </c>
      <c r="U70" s="9">
        <v>494.61</v>
      </c>
      <c r="V70" s="9">
        <v>605.23</v>
      </c>
      <c r="W70" s="9">
        <v>605.23</v>
      </c>
      <c r="X70" s="9">
        <v>824.51299999999992</v>
      </c>
      <c r="Y70" s="9">
        <v>1595.4608000000001</v>
      </c>
      <c r="Z70" s="9" t="s">
        <v>2081</v>
      </c>
      <c r="AA70" t="s">
        <v>2065</v>
      </c>
      <c r="AB70" s="11">
        <v>0.20399999999999999</v>
      </c>
      <c r="AC70" t="s">
        <v>2065</v>
      </c>
      <c r="AD70" s="13">
        <v>18</v>
      </c>
      <c r="AE70" s="9">
        <v>8671.7354400000004</v>
      </c>
      <c r="AF70" s="9">
        <v>8902.98</v>
      </c>
      <c r="AG70" s="9">
        <v>-231.24455999999918</v>
      </c>
      <c r="AH70" s="11">
        <v>-2.6666468505639647E-2</v>
      </c>
      <c r="AI70" s="9">
        <f>SUMIFS(AD70:AD701, R70:R701, S70)</f>
        <v>0</v>
      </c>
      <c r="AJ70" s="11" t="e">
        <f>SUMIFS(AD70:AD701, R70:R701, S70, AD70:AD701, "&gt;" &amp; AE70) / AI70</f>
        <v>#DIV/0!</v>
      </c>
      <c r="AK70" s="7" t="e">
        <f>IF(AJ70&lt;=0.8,"A",IF(Table2[[#This Row],[Cumulative rev]]&lt;=0.95,"B","C"))</f>
        <v>#DIV/0!</v>
      </c>
    </row>
    <row r="71" spans="1:37" x14ac:dyDescent="0.3">
      <c r="A71" t="s">
        <v>84</v>
      </c>
      <c r="B71" s="4">
        <v>45037</v>
      </c>
      <c r="C71" s="4" t="s">
        <v>2102</v>
      </c>
      <c r="D71" s="4" t="s">
        <v>2103</v>
      </c>
      <c r="E71" s="4">
        <v>45056</v>
      </c>
      <c r="F71" t="s">
        <v>2064</v>
      </c>
      <c r="G71" s="4">
        <v>45056</v>
      </c>
      <c r="H71" s="4">
        <f>_xlfn.MINIFS(B71:B702, N71:N702, N71)</f>
        <v>44938</v>
      </c>
      <c r="I71" s="4" t="str">
        <f t="shared" si="2"/>
        <v>Jan-2023</v>
      </c>
      <c r="J71" s="13">
        <f t="shared" si="3"/>
        <v>4</v>
      </c>
      <c r="K71" s="13">
        <v>19</v>
      </c>
      <c r="L71" s="30" t="str">
        <f>IF(Table2[[#This Row],[LeadTimeDays]]&lt;7,"1","0")</f>
        <v>0</v>
      </c>
      <c r="M71" s="7" t="s">
        <v>647</v>
      </c>
      <c r="N71" s="7" t="s">
        <v>659</v>
      </c>
      <c r="O71" s="7" t="s">
        <v>685</v>
      </c>
      <c r="P71" s="7" t="s">
        <v>701</v>
      </c>
      <c r="Q71" s="7" t="s">
        <v>707</v>
      </c>
      <c r="R71" s="7" t="s">
        <v>720</v>
      </c>
      <c r="S71" s="7" t="s">
        <v>727</v>
      </c>
      <c r="T71" s="7" t="s">
        <v>1497</v>
      </c>
      <c r="U71" s="9">
        <v>882.33</v>
      </c>
      <c r="V71" s="9">
        <v>1880.15</v>
      </c>
      <c r="W71" s="9">
        <v>1880.15</v>
      </c>
      <c r="X71" s="9">
        <v>825.0258</v>
      </c>
      <c r="Y71" s="9">
        <v>1601.3257999999998</v>
      </c>
      <c r="Z71" s="9" t="s">
        <v>2095</v>
      </c>
      <c r="AA71" t="s">
        <v>2065</v>
      </c>
      <c r="AB71" s="11">
        <v>0.05</v>
      </c>
      <c r="AC71" t="s">
        <v>2065</v>
      </c>
      <c r="AD71" s="13">
        <v>5</v>
      </c>
      <c r="AE71" s="9">
        <v>8930.7124999999996</v>
      </c>
      <c r="AF71" s="9">
        <v>4411.6500000000005</v>
      </c>
      <c r="AG71" s="9">
        <v>4519.0624999999991</v>
      </c>
      <c r="AH71" s="11">
        <v>0.50601365792482955</v>
      </c>
      <c r="AI71" s="9">
        <f>SUMIFS(AD71:AD702, R71:R702, S71)</f>
        <v>0</v>
      </c>
      <c r="AJ71" s="11" t="e">
        <f>SUMIFS(AD71:AD702, R71:R702, S71, AD71:AD702, "&gt;" &amp; AE71) / AI71</f>
        <v>#DIV/0!</v>
      </c>
      <c r="AK71" s="7" t="e">
        <f>IF(AJ71&lt;=0.8,"A",IF(Table2[[#This Row],[Cumulative rev]]&lt;=0.95,"B","C"))</f>
        <v>#DIV/0!</v>
      </c>
    </row>
    <row r="72" spans="1:37" x14ac:dyDescent="0.3">
      <c r="A72" t="s">
        <v>85</v>
      </c>
      <c r="B72" s="4">
        <v>45369</v>
      </c>
      <c r="C72" s="4" t="s">
        <v>2079</v>
      </c>
      <c r="D72" s="4" t="s">
        <v>2080</v>
      </c>
      <c r="E72" s="4">
        <v>45372</v>
      </c>
      <c r="F72" t="s">
        <v>2064</v>
      </c>
      <c r="G72" s="4">
        <v>45372</v>
      </c>
      <c r="H72" s="4">
        <f>_xlfn.MINIFS(B72:B703, N72:N703, N72)</f>
        <v>44948</v>
      </c>
      <c r="I72" s="4" t="str">
        <f t="shared" si="2"/>
        <v>Jan-2023</v>
      </c>
      <c r="J72" s="13">
        <f t="shared" si="3"/>
        <v>14</v>
      </c>
      <c r="K72" s="13">
        <v>3</v>
      </c>
      <c r="L72" s="30" t="str">
        <f>IF(Table2[[#This Row],[LeadTimeDays]]&lt;7,"1","0")</f>
        <v>1</v>
      </c>
      <c r="M72" s="7" t="s">
        <v>649</v>
      </c>
      <c r="N72" s="7" t="s">
        <v>656</v>
      </c>
      <c r="O72" s="7" t="s">
        <v>684</v>
      </c>
      <c r="P72" s="7" t="s">
        <v>705</v>
      </c>
      <c r="Q72" s="7" t="s">
        <v>708</v>
      </c>
      <c r="R72" s="7" t="s">
        <v>724</v>
      </c>
      <c r="S72" s="7" t="s">
        <v>733</v>
      </c>
      <c r="T72" s="7" t="s">
        <v>1498</v>
      </c>
      <c r="U72" s="9">
        <v>910.63</v>
      </c>
      <c r="V72" s="9">
        <v>1269.4000000000001</v>
      </c>
      <c r="W72" s="9">
        <v>1269.4000000000001</v>
      </c>
      <c r="X72" s="9">
        <v>824.69999999999993</v>
      </c>
      <c r="Y72" s="9">
        <v>1595.2239999999999</v>
      </c>
      <c r="Z72" s="9" t="s">
        <v>2092</v>
      </c>
      <c r="AA72" t="s">
        <v>2065</v>
      </c>
      <c r="AB72" s="11">
        <v>6.8000000000000005E-2</v>
      </c>
      <c r="AC72" t="s">
        <v>2065</v>
      </c>
      <c r="AD72" s="13">
        <v>9</v>
      </c>
      <c r="AE72" s="9">
        <v>10647.727199999999</v>
      </c>
      <c r="AF72" s="9">
        <v>8195.67</v>
      </c>
      <c r="AG72" s="9">
        <v>2452.0571999999993</v>
      </c>
      <c r="AH72" s="11">
        <v>0.23028925834989455</v>
      </c>
      <c r="AI72" s="9">
        <f>SUMIFS(AD72:AD703, R72:R703, S72)</f>
        <v>0</v>
      </c>
      <c r="AJ72" s="11" t="e">
        <f>SUMIFS(AD72:AD703, R72:R703, S72, AD72:AD703, "&gt;" &amp; AE72) / AI72</f>
        <v>#DIV/0!</v>
      </c>
      <c r="AK72" s="7" t="e">
        <f>IF(AJ72&lt;=0.8,"A",IF(Table2[[#This Row],[Cumulative rev]]&lt;=0.95,"B","C"))</f>
        <v>#DIV/0!</v>
      </c>
    </row>
    <row r="73" spans="1:37" x14ac:dyDescent="0.3">
      <c r="A73" t="s">
        <v>86</v>
      </c>
      <c r="B73" s="4">
        <v>45756</v>
      </c>
      <c r="C73" s="4" t="s">
        <v>2111</v>
      </c>
      <c r="D73" s="4" t="s">
        <v>2097</v>
      </c>
      <c r="E73" s="4">
        <v>45783</v>
      </c>
      <c r="F73" t="s">
        <v>2064</v>
      </c>
      <c r="G73" s="4">
        <v>45783</v>
      </c>
      <c r="H73" s="4">
        <f>_xlfn.MINIFS(B73:B704, N73:N704, N73)</f>
        <v>44955</v>
      </c>
      <c r="I73" s="4" t="str">
        <f t="shared" si="2"/>
        <v>Jan-2023</v>
      </c>
      <c r="J73" s="13">
        <f t="shared" si="3"/>
        <v>27</v>
      </c>
      <c r="K73" s="13">
        <v>27</v>
      </c>
      <c r="L73" s="30" t="str">
        <f>IF(Table2[[#This Row],[LeadTimeDays]]&lt;7,"1","0")</f>
        <v>0</v>
      </c>
      <c r="M73" s="7" t="s">
        <v>648</v>
      </c>
      <c r="N73" s="7" t="s">
        <v>655</v>
      </c>
      <c r="O73" s="7" t="s">
        <v>672</v>
      </c>
      <c r="P73" s="7" t="s">
        <v>706</v>
      </c>
      <c r="Q73" s="7" t="s">
        <v>709</v>
      </c>
      <c r="R73" s="7" t="s">
        <v>721</v>
      </c>
      <c r="S73" s="7" t="s">
        <v>731</v>
      </c>
      <c r="T73" s="7" t="s">
        <v>1499</v>
      </c>
      <c r="U73" s="9">
        <v>264.19</v>
      </c>
      <c r="V73" s="9">
        <v>620.92999999999995</v>
      </c>
      <c r="W73" s="9">
        <v>620.92999999999995</v>
      </c>
      <c r="X73" s="9">
        <v>824.51850000000002</v>
      </c>
      <c r="Y73" s="9">
        <v>1595.4756</v>
      </c>
      <c r="Z73" s="9" t="s">
        <v>2081</v>
      </c>
      <c r="AA73" t="s">
        <v>2065</v>
      </c>
      <c r="AB73" s="11">
        <v>0.14199999999999999</v>
      </c>
      <c r="AC73" t="s">
        <v>2065</v>
      </c>
      <c r="AD73" s="13">
        <v>12</v>
      </c>
      <c r="AE73" s="9">
        <v>6393.0952799999995</v>
      </c>
      <c r="AF73" s="9">
        <v>3170.2799999999997</v>
      </c>
      <c r="AG73" s="9">
        <v>3222.8152799999998</v>
      </c>
      <c r="AH73" s="11">
        <v>0.50410875152794532</v>
      </c>
      <c r="AI73" s="9">
        <f>SUMIFS(AD73:AD704, R73:R704, S73)</f>
        <v>0</v>
      </c>
      <c r="AJ73" s="11" t="e">
        <f>SUMIFS(AD73:AD704, R73:R704, S73, AD73:AD704, "&gt;" &amp; AE73) / AI73</f>
        <v>#DIV/0!</v>
      </c>
      <c r="AK73" s="7" t="e">
        <f>IF(AJ73&lt;=0.8,"A",IF(Table2[[#This Row],[Cumulative rev]]&lt;=0.95,"B","C"))</f>
        <v>#DIV/0!</v>
      </c>
    </row>
    <row r="74" spans="1:37" x14ac:dyDescent="0.3">
      <c r="A74" t="s">
        <v>87</v>
      </c>
      <c r="B74" s="4">
        <v>45394</v>
      </c>
      <c r="C74" s="4" t="s">
        <v>2112</v>
      </c>
      <c r="D74" s="4" t="s">
        <v>2094</v>
      </c>
      <c r="E74" s="4">
        <v>45419</v>
      </c>
      <c r="F74" t="s">
        <v>2064</v>
      </c>
      <c r="G74" s="4">
        <v>45419</v>
      </c>
      <c r="H74" s="4">
        <f>_xlfn.MINIFS(B74:B705, N74:N705, N74)</f>
        <v>44933</v>
      </c>
      <c r="I74" s="4" t="str">
        <f t="shared" si="2"/>
        <v>Jan-2023</v>
      </c>
      <c r="J74" s="13">
        <f t="shared" si="3"/>
        <v>16</v>
      </c>
      <c r="K74" s="13">
        <v>25</v>
      </c>
      <c r="L74" s="30" t="str">
        <f>IF(Table2[[#This Row],[LeadTimeDays]]&lt;7,"1","0")</f>
        <v>0</v>
      </c>
      <c r="M74" s="7" t="s">
        <v>646</v>
      </c>
      <c r="N74" s="7" t="s">
        <v>661</v>
      </c>
      <c r="O74" s="7" t="s">
        <v>682</v>
      </c>
      <c r="P74" s="7" t="s">
        <v>702</v>
      </c>
      <c r="Q74" s="7" t="s">
        <v>710</v>
      </c>
      <c r="R74" s="7" t="s">
        <v>720</v>
      </c>
      <c r="S74" s="7" t="s">
        <v>731</v>
      </c>
      <c r="T74" s="7" t="s">
        <v>1500</v>
      </c>
      <c r="U74" s="9">
        <v>1376.51</v>
      </c>
      <c r="V74" s="9">
        <v>1455.91</v>
      </c>
      <c r="W74" s="9">
        <v>1455.91</v>
      </c>
      <c r="X74" s="9">
        <v>825.04239999999993</v>
      </c>
      <c r="Y74" s="9">
        <v>1601.7724000000005</v>
      </c>
      <c r="Z74" s="9" t="s">
        <v>2092</v>
      </c>
      <c r="AA74" t="s">
        <v>2065</v>
      </c>
      <c r="AB74" s="11">
        <v>0.185</v>
      </c>
      <c r="AC74" t="s">
        <v>2065</v>
      </c>
      <c r="AD74" s="13">
        <v>17</v>
      </c>
      <c r="AE74" s="9">
        <v>20171.63305</v>
      </c>
      <c r="AF74" s="9">
        <v>23400.67</v>
      </c>
      <c r="AG74" s="9">
        <v>-3229.0369499999979</v>
      </c>
      <c r="AH74" s="11">
        <v>-0.1600781127634085</v>
      </c>
      <c r="AI74" s="9">
        <f>SUMIFS(AD74:AD705, R74:R705, S74)</f>
        <v>0</v>
      </c>
      <c r="AJ74" s="11" t="e">
        <f>SUMIFS(AD74:AD705, R74:R705, S74, AD74:AD705, "&gt;" &amp; AE74) / AI74</f>
        <v>#DIV/0!</v>
      </c>
      <c r="AK74" s="7" t="e">
        <f>IF(AJ74&lt;=0.8,"A",IF(Table2[[#This Row],[Cumulative rev]]&lt;=0.95,"B","C"))</f>
        <v>#DIV/0!</v>
      </c>
    </row>
    <row r="75" spans="1:37" x14ac:dyDescent="0.3">
      <c r="A75" t="s">
        <v>88</v>
      </c>
      <c r="B75" s="4">
        <v>45641</v>
      </c>
      <c r="C75" s="4" t="s">
        <v>2091</v>
      </c>
      <c r="D75" s="4" t="s">
        <v>2083</v>
      </c>
      <c r="E75" s="4">
        <v>45646</v>
      </c>
      <c r="F75" t="s">
        <v>2064</v>
      </c>
      <c r="G75" s="4">
        <v>45646</v>
      </c>
      <c r="H75" s="4">
        <f>_xlfn.MINIFS(B75:B706, N75:N706, N75)</f>
        <v>44938</v>
      </c>
      <c r="I75" s="4" t="str">
        <f t="shared" si="2"/>
        <v>Jan-2023</v>
      </c>
      <c r="J75" s="13">
        <f t="shared" si="3"/>
        <v>24</v>
      </c>
      <c r="K75" s="13">
        <v>5</v>
      </c>
      <c r="L75" s="30" t="str">
        <f>IF(Table2[[#This Row],[LeadTimeDays]]&lt;7,"1","0")</f>
        <v>1</v>
      </c>
      <c r="M75" s="7" t="s">
        <v>647</v>
      </c>
      <c r="N75" s="7" t="s">
        <v>659</v>
      </c>
      <c r="O75" s="7" t="s">
        <v>676</v>
      </c>
      <c r="P75" s="7" t="s">
        <v>705</v>
      </c>
      <c r="Q75" s="7" t="s">
        <v>711</v>
      </c>
      <c r="R75" s="7" t="s">
        <v>713</v>
      </c>
      <c r="S75" s="7" t="s">
        <v>729</v>
      </c>
      <c r="T75" s="7" t="s">
        <v>1501</v>
      </c>
      <c r="U75" s="9">
        <v>717.55</v>
      </c>
      <c r="V75" s="9">
        <v>546.42999999999995</v>
      </c>
      <c r="W75" s="9">
        <v>546.42999999999995</v>
      </c>
      <c r="X75" s="9">
        <v>824.70549999999992</v>
      </c>
      <c r="Y75" s="9">
        <v>1609.3646000000001</v>
      </c>
      <c r="Z75" s="9" t="s">
        <v>2081</v>
      </c>
      <c r="AA75" t="s">
        <v>2065</v>
      </c>
      <c r="AB75" s="11">
        <v>4.7E-2</v>
      </c>
      <c r="AC75" t="s">
        <v>2065</v>
      </c>
      <c r="AD75" s="13">
        <v>18</v>
      </c>
      <c r="AE75" s="9">
        <v>9373.460219999999</v>
      </c>
      <c r="AF75" s="9">
        <v>12915.9</v>
      </c>
      <c r="AG75" s="9">
        <v>-3542.4397800000006</v>
      </c>
      <c r="AH75" s="11">
        <v>-0.37792231437026369</v>
      </c>
      <c r="AI75" s="9">
        <f>SUMIFS(AD75:AD706, R75:R706, S75)</f>
        <v>0</v>
      </c>
      <c r="AJ75" s="11" t="e">
        <f>SUMIFS(AD75:AD706, R75:R706, S75, AD75:AD706, "&gt;" &amp; AE75) / AI75</f>
        <v>#DIV/0!</v>
      </c>
      <c r="AK75" s="7" t="e">
        <f>IF(AJ75&lt;=0.8,"A",IF(Table2[[#This Row],[Cumulative rev]]&lt;=0.95,"B","C"))</f>
        <v>#DIV/0!</v>
      </c>
    </row>
    <row r="76" spans="1:37" x14ac:dyDescent="0.3">
      <c r="A76" t="s">
        <v>89</v>
      </c>
      <c r="B76" s="4">
        <v>45066</v>
      </c>
      <c r="C76" s="4" t="s">
        <v>2107</v>
      </c>
      <c r="D76" s="4" t="s">
        <v>2103</v>
      </c>
      <c r="E76" s="4">
        <v>45064</v>
      </c>
      <c r="F76" t="s">
        <v>2066</v>
      </c>
      <c r="G76" s="4">
        <v>45066</v>
      </c>
      <c r="H76" s="4">
        <f>_xlfn.MINIFS(B76:B707, N76:N707, N76)</f>
        <v>44933</v>
      </c>
      <c r="I76" s="4" t="str">
        <f t="shared" si="2"/>
        <v>Jan-2023</v>
      </c>
      <c r="J76" s="13">
        <f t="shared" si="3"/>
        <v>5</v>
      </c>
      <c r="K76" s="13">
        <v>0</v>
      </c>
      <c r="L76" s="30" t="str">
        <f>IF(Table2[[#This Row],[LeadTimeDays]]&lt;7,"1","0")</f>
        <v>1</v>
      </c>
      <c r="M76" s="7" t="s">
        <v>646</v>
      </c>
      <c r="N76" s="7" t="s">
        <v>661</v>
      </c>
      <c r="O76" s="7" t="s">
        <v>687</v>
      </c>
      <c r="P76" s="7" t="s">
        <v>701</v>
      </c>
      <c r="Q76" s="7" t="s">
        <v>710</v>
      </c>
      <c r="R76" s="7" t="s">
        <v>720</v>
      </c>
      <c r="S76" s="7" t="s">
        <v>727</v>
      </c>
      <c r="T76" s="7" t="s">
        <v>1502</v>
      </c>
      <c r="U76" s="9">
        <v>917.88</v>
      </c>
      <c r="V76" s="9">
        <v>1347.92</v>
      </c>
      <c r="W76" s="9">
        <v>1347.92</v>
      </c>
      <c r="X76" s="9">
        <v>825.60680000000002</v>
      </c>
      <c r="Y76" s="9">
        <v>1616.9568000000008</v>
      </c>
      <c r="Z76" s="9" t="s">
        <v>2092</v>
      </c>
      <c r="AA76" t="s">
        <v>2065</v>
      </c>
      <c r="AB76" s="11">
        <v>0.34300000000000003</v>
      </c>
      <c r="AC76" t="s">
        <v>2067</v>
      </c>
      <c r="AD76" s="13">
        <v>5</v>
      </c>
      <c r="AE76" s="9">
        <v>4427.9172000000008</v>
      </c>
      <c r="AF76" s="9">
        <v>4589.3999999999996</v>
      </c>
      <c r="AG76" s="9">
        <v>-161.48279999999886</v>
      </c>
      <c r="AH76" s="11">
        <v>-3.6469245630880096E-2</v>
      </c>
      <c r="AI76" s="9">
        <f>SUMIFS(AD76:AD707, R76:R707, S76)</f>
        <v>0</v>
      </c>
      <c r="AJ76" s="11" t="e">
        <f>SUMIFS(AD76:AD707, R76:R707, S76, AD76:AD707, "&gt;" &amp; AE76) / AI76</f>
        <v>#DIV/0!</v>
      </c>
      <c r="AK76" s="7" t="e">
        <f>IF(AJ76&lt;=0.8,"A",IF(Table2[[#This Row],[Cumulative rev]]&lt;=0.95,"B","C"))</f>
        <v>#DIV/0!</v>
      </c>
    </row>
    <row r="77" spans="1:37" x14ac:dyDescent="0.3">
      <c r="A77" t="s">
        <v>90</v>
      </c>
      <c r="B77" s="4">
        <v>45187</v>
      </c>
      <c r="C77" s="4" t="s">
        <v>2120</v>
      </c>
      <c r="D77" s="4" t="s">
        <v>2117</v>
      </c>
      <c r="E77" s="4">
        <v>45207</v>
      </c>
      <c r="F77" t="s">
        <v>2064</v>
      </c>
      <c r="G77" s="4">
        <v>45207</v>
      </c>
      <c r="H77" s="4">
        <f>_xlfn.MINIFS(B77:B708, N77:N708, N77)</f>
        <v>44977</v>
      </c>
      <c r="I77" s="4" t="str">
        <f t="shared" si="2"/>
        <v>Feb-2023</v>
      </c>
      <c r="J77" s="13">
        <f t="shared" si="3"/>
        <v>7</v>
      </c>
      <c r="K77" s="13">
        <v>20</v>
      </c>
      <c r="L77" s="30" t="str">
        <f>IF(Table2[[#This Row],[LeadTimeDays]]&lt;7,"1","0")</f>
        <v>0</v>
      </c>
      <c r="M77" s="7" t="s">
        <v>647</v>
      </c>
      <c r="N77" s="7" t="s">
        <v>654</v>
      </c>
      <c r="O77" s="7" t="s">
        <v>680</v>
      </c>
      <c r="P77" s="7" t="s">
        <v>705</v>
      </c>
      <c r="Q77" s="7" t="s">
        <v>711</v>
      </c>
      <c r="R77" s="7" t="s">
        <v>717</v>
      </c>
      <c r="S77" s="7" t="s">
        <v>727</v>
      </c>
      <c r="T77" s="7" t="s">
        <v>1503</v>
      </c>
      <c r="U77" s="9">
        <v>825.64</v>
      </c>
      <c r="V77" s="9">
        <v>1108.43</v>
      </c>
      <c r="W77" s="9">
        <v>1108.43</v>
      </c>
      <c r="X77" s="9">
        <v>825.05899999999997</v>
      </c>
      <c r="Y77" s="9">
        <v>1618.675</v>
      </c>
      <c r="Z77" s="9" t="s">
        <v>2092</v>
      </c>
      <c r="AA77" t="s">
        <v>2065</v>
      </c>
      <c r="AB77" s="11">
        <v>0.114</v>
      </c>
      <c r="AC77" t="s">
        <v>2065</v>
      </c>
      <c r="AD77" s="13">
        <v>7</v>
      </c>
      <c r="AE77" s="9">
        <v>6874.4828600000001</v>
      </c>
      <c r="AF77" s="9">
        <v>5779.48</v>
      </c>
      <c r="AG77" s="9">
        <v>1095.0028600000005</v>
      </c>
      <c r="AH77" s="11">
        <v>0.15928512475773349</v>
      </c>
      <c r="AI77" s="9">
        <f>SUMIFS(AD77:AD708, R77:R708, S77)</f>
        <v>0</v>
      </c>
      <c r="AJ77" s="11" t="e">
        <f>SUMIFS(AD77:AD708, R77:R708, S77, AD77:AD708, "&gt;" &amp; AE77) / AI77</f>
        <v>#DIV/0!</v>
      </c>
      <c r="AK77" s="7" t="e">
        <f>IF(AJ77&lt;=0.8,"A",IF(Table2[[#This Row],[Cumulative rev]]&lt;=0.95,"B","C"))</f>
        <v>#DIV/0!</v>
      </c>
    </row>
    <row r="78" spans="1:37" x14ac:dyDescent="0.3">
      <c r="A78" t="s">
        <v>91</v>
      </c>
      <c r="B78" s="4">
        <v>45532</v>
      </c>
      <c r="C78" s="4" t="s">
        <v>2113</v>
      </c>
      <c r="D78" s="4" t="s">
        <v>2106</v>
      </c>
      <c r="E78" s="4">
        <v>45560</v>
      </c>
      <c r="F78" t="s">
        <v>2064</v>
      </c>
      <c r="G78" s="4">
        <v>45560</v>
      </c>
      <c r="H78" s="4">
        <f>_xlfn.MINIFS(B78:B709, N78:N709, N78)</f>
        <v>44955</v>
      </c>
      <c r="I78" s="4" t="str">
        <f t="shared" si="2"/>
        <v>Jan-2023</v>
      </c>
      <c r="J78" s="13">
        <f t="shared" si="3"/>
        <v>19</v>
      </c>
      <c r="K78" s="13">
        <v>28</v>
      </c>
      <c r="L78" s="30" t="str">
        <f>IF(Table2[[#This Row],[LeadTimeDays]]&lt;7,"1","0")</f>
        <v>0</v>
      </c>
      <c r="M78" s="7" t="s">
        <v>648</v>
      </c>
      <c r="N78" s="7" t="s">
        <v>655</v>
      </c>
      <c r="O78" s="7" t="s">
        <v>1426</v>
      </c>
      <c r="P78" s="7" t="s">
        <v>703</v>
      </c>
      <c r="Q78" s="7" t="s">
        <v>708</v>
      </c>
      <c r="R78" s="7" t="s">
        <v>2057</v>
      </c>
      <c r="S78" s="7" t="s">
        <v>733</v>
      </c>
      <c r="T78" s="7" t="s">
        <v>1504</v>
      </c>
      <c r="U78" s="9">
        <v>1394.65</v>
      </c>
      <c r="V78" s="9">
        <v>3144.1</v>
      </c>
      <c r="W78" s="9">
        <v>3144.1</v>
      </c>
      <c r="X78" s="9">
        <v>824.71100000000001</v>
      </c>
      <c r="Y78" s="9">
        <v>1619.6100000000001</v>
      </c>
      <c r="Z78" s="9" t="s">
        <v>2095</v>
      </c>
      <c r="AA78" t="s">
        <v>2065</v>
      </c>
      <c r="AB78" s="11">
        <v>0.13400000000000001</v>
      </c>
      <c r="AC78" t="s">
        <v>2065</v>
      </c>
      <c r="AD78" s="13">
        <v>13</v>
      </c>
      <c r="AE78" s="9">
        <v>35396.277799999996</v>
      </c>
      <c r="AF78" s="9">
        <v>18130.45</v>
      </c>
      <c r="AG78" s="9">
        <v>17265.827799999995</v>
      </c>
      <c r="AH78" s="11">
        <v>0.4877865378263021</v>
      </c>
      <c r="AI78" s="9">
        <f>SUMIFS(AD78:AD709, R78:R709, S78)</f>
        <v>0</v>
      </c>
      <c r="AJ78" s="11" t="e">
        <f>SUMIFS(AD78:AD709, R78:R709, S78, AD78:AD709, "&gt;" &amp; AE78) / AI78</f>
        <v>#DIV/0!</v>
      </c>
      <c r="AK78" s="7" t="e">
        <f>IF(AJ78&lt;=0.8,"A",IF(Table2[[#This Row],[Cumulative rev]]&lt;=0.95,"B","C"))</f>
        <v>#DIV/0!</v>
      </c>
    </row>
    <row r="79" spans="1:37" x14ac:dyDescent="0.3">
      <c r="A79" t="s">
        <v>92</v>
      </c>
      <c r="B79" s="4">
        <v>45473</v>
      </c>
      <c r="C79" s="4" t="s">
        <v>2109</v>
      </c>
      <c r="D79" s="4" t="s">
        <v>2094</v>
      </c>
      <c r="E79" s="4">
        <v>45471</v>
      </c>
      <c r="F79" t="s">
        <v>2066</v>
      </c>
      <c r="G79" s="4">
        <v>45473</v>
      </c>
      <c r="H79" s="4">
        <f>_xlfn.MINIFS(B79:B710, N79:N710, N79)</f>
        <v>44955</v>
      </c>
      <c r="I79" s="4" t="str">
        <f t="shared" si="2"/>
        <v>Jan-2023</v>
      </c>
      <c r="J79" s="13">
        <f t="shared" si="3"/>
        <v>18</v>
      </c>
      <c r="K79" s="13">
        <v>0</v>
      </c>
      <c r="L79" s="30" t="str">
        <f>IF(Table2[[#This Row],[LeadTimeDays]]&lt;7,"1","0")</f>
        <v>1</v>
      </c>
      <c r="M79" s="7" t="s">
        <v>648</v>
      </c>
      <c r="N79" s="7" t="s">
        <v>655</v>
      </c>
      <c r="O79" s="7" t="s">
        <v>1426</v>
      </c>
      <c r="P79" s="7" t="s">
        <v>705</v>
      </c>
      <c r="Q79" s="7" t="s">
        <v>711</v>
      </c>
      <c r="R79" s="7" t="s">
        <v>716</v>
      </c>
      <c r="S79" s="7" t="s">
        <v>733</v>
      </c>
      <c r="T79" s="7" t="s">
        <v>1505</v>
      </c>
      <c r="U79" s="9">
        <v>1112.98</v>
      </c>
      <c r="V79" s="9">
        <v>2095.73</v>
      </c>
      <c r="W79" s="9">
        <v>2095.73</v>
      </c>
      <c r="X79" s="9">
        <v>824.52949999999998</v>
      </c>
      <c r="Y79" s="9">
        <v>1617.4034000000004</v>
      </c>
      <c r="Z79" s="9" t="s">
        <v>2095</v>
      </c>
      <c r="AA79" t="s">
        <v>2065</v>
      </c>
      <c r="AB79" s="11">
        <v>7.1999999999999995E-2</v>
      </c>
      <c r="AC79" t="s">
        <v>2065</v>
      </c>
      <c r="AD79" s="13">
        <v>17</v>
      </c>
      <c r="AE79" s="9">
        <v>33062.236480000007</v>
      </c>
      <c r="AF79" s="9">
        <v>18920.66</v>
      </c>
      <c r="AG79" s="9">
        <v>14141.576480000007</v>
      </c>
      <c r="AH79" s="11">
        <v>0.42772594916724777</v>
      </c>
      <c r="AI79" s="9">
        <f>SUMIFS(AD79:AD710, R79:R710, S79)</f>
        <v>0</v>
      </c>
      <c r="AJ79" s="11" t="e">
        <f>SUMIFS(AD79:AD710, R79:R710, S79, AD79:AD710, "&gt;" &amp; AE79) / AI79</f>
        <v>#DIV/0!</v>
      </c>
      <c r="AK79" s="7" t="e">
        <f>IF(AJ79&lt;=0.8,"A",IF(Table2[[#This Row],[Cumulative rev]]&lt;=0.95,"B","C"))</f>
        <v>#DIV/0!</v>
      </c>
    </row>
    <row r="80" spans="1:37" x14ac:dyDescent="0.3">
      <c r="A80" t="s">
        <v>93</v>
      </c>
      <c r="B80" s="4">
        <v>45091</v>
      </c>
      <c r="C80" s="4" t="s">
        <v>2115</v>
      </c>
      <c r="D80" s="4" t="s">
        <v>2103</v>
      </c>
      <c r="E80" s="4">
        <v>45093</v>
      </c>
      <c r="F80" t="s">
        <v>2064</v>
      </c>
      <c r="G80" s="4">
        <v>45093</v>
      </c>
      <c r="H80" s="4">
        <f>_xlfn.MINIFS(B80:B711, N80:N711, N80)</f>
        <v>44945</v>
      </c>
      <c r="I80" s="4" t="str">
        <f t="shared" si="2"/>
        <v>Jan-2023</v>
      </c>
      <c r="J80" s="13">
        <f t="shared" si="3"/>
        <v>5</v>
      </c>
      <c r="K80" s="13">
        <v>2</v>
      </c>
      <c r="L80" s="30" t="str">
        <f>IF(Table2[[#This Row],[LeadTimeDays]]&lt;7,"1","0")</f>
        <v>1</v>
      </c>
      <c r="M80" s="7" t="s">
        <v>649</v>
      </c>
      <c r="N80" s="7" t="s">
        <v>658</v>
      </c>
      <c r="O80" s="7" t="s">
        <v>693</v>
      </c>
      <c r="P80" s="7" t="s">
        <v>703</v>
      </c>
      <c r="Q80" s="7" t="s">
        <v>711</v>
      </c>
      <c r="R80" s="7" t="s">
        <v>723</v>
      </c>
      <c r="S80" s="7" t="s">
        <v>727</v>
      </c>
      <c r="T80" s="7" t="s">
        <v>1506</v>
      </c>
      <c r="U80" s="9">
        <v>357.36</v>
      </c>
      <c r="V80" s="9">
        <v>703.62</v>
      </c>
      <c r="W80" s="9">
        <v>703.62</v>
      </c>
      <c r="X80" s="9">
        <v>824.34799999999996</v>
      </c>
      <c r="Y80" s="9">
        <v>1602.6655999999998</v>
      </c>
      <c r="Z80" s="9" t="s">
        <v>2081</v>
      </c>
      <c r="AA80" t="s">
        <v>2065</v>
      </c>
      <c r="AB80" s="11">
        <v>0.25700000000000001</v>
      </c>
      <c r="AC80" t="s">
        <v>2065</v>
      </c>
      <c r="AD80" s="13">
        <v>20</v>
      </c>
      <c r="AE80" s="9">
        <v>10455.7932</v>
      </c>
      <c r="AF80" s="9">
        <v>7147.2000000000007</v>
      </c>
      <c r="AG80" s="9">
        <v>3308.5931999999993</v>
      </c>
      <c r="AH80" s="11">
        <v>0.31643636563125593</v>
      </c>
      <c r="AI80" s="9">
        <f>SUMIFS(AD80:AD711, R80:R711, S80)</f>
        <v>0</v>
      </c>
      <c r="AJ80" s="11" t="e">
        <f>SUMIFS(AD80:AD711, R80:R711, S80, AD80:AD711, "&gt;" &amp; AE80) / AI80</f>
        <v>#DIV/0!</v>
      </c>
      <c r="AK80" s="7" t="e">
        <f>IF(AJ80&lt;=0.8,"A",IF(Table2[[#This Row],[Cumulative rev]]&lt;=0.95,"B","C"))</f>
        <v>#DIV/0!</v>
      </c>
    </row>
    <row r="81" spans="1:37" x14ac:dyDescent="0.3">
      <c r="A81" t="s">
        <v>94</v>
      </c>
      <c r="B81" s="4">
        <v>45617</v>
      </c>
      <c r="C81" s="4" t="s">
        <v>2110</v>
      </c>
      <c r="D81" s="4" t="s">
        <v>2083</v>
      </c>
      <c r="E81" s="4">
        <v>45647</v>
      </c>
      <c r="F81" t="s">
        <v>2064</v>
      </c>
      <c r="G81" s="4">
        <v>45647</v>
      </c>
      <c r="H81" s="4">
        <f>_xlfn.MINIFS(B81:B712, N81:N712, N81)</f>
        <v>44936</v>
      </c>
      <c r="I81" s="4" t="str">
        <f t="shared" si="2"/>
        <v>Jan-2023</v>
      </c>
      <c r="J81" s="13">
        <f t="shared" si="3"/>
        <v>23</v>
      </c>
      <c r="K81" s="13">
        <v>30</v>
      </c>
      <c r="L81" s="30" t="str">
        <f>IF(Table2[[#This Row],[LeadTimeDays]]&lt;7,"1","0")</f>
        <v>0</v>
      </c>
      <c r="M81" s="7" t="s">
        <v>649</v>
      </c>
      <c r="N81" s="7" t="s">
        <v>657</v>
      </c>
      <c r="O81" s="7" t="s">
        <v>673</v>
      </c>
      <c r="P81" s="7" t="s">
        <v>705</v>
      </c>
      <c r="Q81" s="7" t="s">
        <v>711</v>
      </c>
      <c r="R81" s="7" t="s">
        <v>714</v>
      </c>
      <c r="S81" s="7" t="s">
        <v>732</v>
      </c>
      <c r="T81" s="7" t="s">
        <v>1507</v>
      </c>
      <c r="U81" s="9">
        <v>1122.68</v>
      </c>
      <c r="V81" s="9">
        <v>1997.19</v>
      </c>
      <c r="W81" s="9">
        <v>1997.19</v>
      </c>
      <c r="X81" s="9">
        <v>824.7165</v>
      </c>
      <c r="Y81" s="9">
        <v>1610.2578000000005</v>
      </c>
      <c r="Z81" s="9" t="s">
        <v>2095</v>
      </c>
      <c r="AA81" t="s">
        <v>2065</v>
      </c>
      <c r="AB81" s="11">
        <v>0.186</v>
      </c>
      <c r="AC81" t="s">
        <v>2065</v>
      </c>
      <c r="AD81" s="13">
        <v>3</v>
      </c>
      <c r="AE81" s="9">
        <v>4877.1379800000004</v>
      </c>
      <c r="AF81" s="9">
        <v>3368.04</v>
      </c>
      <c r="AG81" s="9">
        <v>1509.0979800000005</v>
      </c>
      <c r="AH81" s="11">
        <v>0.30942285951073306</v>
      </c>
      <c r="AI81" s="9">
        <f>SUMIFS(AD81:AD712, R81:R712, S81)</f>
        <v>0</v>
      </c>
      <c r="AJ81" s="11" t="e">
        <f>SUMIFS(AD81:AD712, R81:R712, S81, AD81:AD712, "&gt;" &amp; AE81) / AI81</f>
        <v>#DIV/0!</v>
      </c>
      <c r="AK81" s="7" t="e">
        <f>IF(AJ81&lt;=0.8,"A",IF(Table2[[#This Row],[Cumulative rev]]&lt;=0.95,"B","C"))</f>
        <v>#DIV/0!</v>
      </c>
    </row>
    <row r="82" spans="1:37" x14ac:dyDescent="0.3">
      <c r="A82" t="s">
        <v>95</v>
      </c>
      <c r="B82" s="4">
        <v>44965</v>
      </c>
      <c r="C82" s="4" t="s">
        <v>2084</v>
      </c>
      <c r="D82" s="4" t="s">
        <v>2085</v>
      </c>
      <c r="E82" s="4">
        <v>44968</v>
      </c>
      <c r="F82" t="s">
        <v>2064</v>
      </c>
      <c r="G82" s="4">
        <v>44968</v>
      </c>
      <c r="H82" s="4">
        <f>_xlfn.MINIFS(B82:B713, N82:N713, N82)</f>
        <v>44933</v>
      </c>
      <c r="I82" s="4" t="str">
        <f t="shared" si="2"/>
        <v>Jan-2023</v>
      </c>
      <c r="J82" s="13">
        <f t="shared" si="3"/>
        <v>2</v>
      </c>
      <c r="K82" s="13">
        <v>3</v>
      </c>
      <c r="L82" s="30" t="str">
        <f>IF(Table2[[#This Row],[LeadTimeDays]]&lt;7,"1","0")</f>
        <v>1</v>
      </c>
      <c r="M82" s="7" t="s">
        <v>646</v>
      </c>
      <c r="N82" s="7" t="s">
        <v>661</v>
      </c>
      <c r="O82" s="7" t="s">
        <v>695</v>
      </c>
      <c r="P82" s="7" t="s">
        <v>701</v>
      </c>
      <c r="Q82" s="7" t="s">
        <v>711</v>
      </c>
      <c r="R82" s="7" t="s">
        <v>724</v>
      </c>
      <c r="S82" s="7" t="s">
        <v>729</v>
      </c>
      <c r="T82" s="7" t="s">
        <v>1508</v>
      </c>
      <c r="U82" s="9">
        <v>1410.05</v>
      </c>
      <c r="V82" s="9">
        <v>2763.95</v>
      </c>
      <c r="W82" s="9">
        <v>2763.95</v>
      </c>
      <c r="X82" s="9">
        <v>824.53499999999997</v>
      </c>
      <c r="Y82" s="9">
        <v>1595.52</v>
      </c>
      <c r="Z82" s="9" t="s">
        <v>2095</v>
      </c>
      <c r="AA82" t="s">
        <v>2065</v>
      </c>
      <c r="AB82" s="11">
        <v>0.161</v>
      </c>
      <c r="AC82" t="s">
        <v>2065</v>
      </c>
      <c r="AD82" s="13">
        <v>26</v>
      </c>
      <c r="AE82" s="9">
        <v>60292.805299999993</v>
      </c>
      <c r="AF82" s="9">
        <v>36661.299999999996</v>
      </c>
      <c r="AG82" s="9">
        <v>23631.505299999997</v>
      </c>
      <c r="AH82" s="11">
        <v>0.39194569206750779</v>
      </c>
      <c r="AI82" s="9">
        <f>SUMIFS(AD82:AD713, R82:R713, S82)</f>
        <v>0</v>
      </c>
      <c r="AJ82" s="11" t="e">
        <f>SUMIFS(AD82:AD713, R82:R713, S82, AD82:AD713, "&gt;" &amp; AE82) / AI82</f>
        <v>#DIV/0!</v>
      </c>
      <c r="AK82" s="7" t="e">
        <f>IF(AJ82&lt;=0.8,"A",IF(Table2[[#This Row],[Cumulative rev]]&lt;=0.95,"B","C"))</f>
        <v>#DIV/0!</v>
      </c>
    </row>
    <row r="83" spans="1:37" x14ac:dyDescent="0.3">
      <c r="A83" t="s">
        <v>96</v>
      </c>
      <c r="B83" s="4">
        <v>45157</v>
      </c>
      <c r="C83" s="4" t="s">
        <v>2118</v>
      </c>
      <c r="D83" s="4" t="s">
        <v>2117</v>
      </c>
      <c r="E83" s="4">
        <v>45181</v>
      </c>
      <c r="F83" t="s">
        <v>2064</v>
      </c>
      <c r="G83" s="4">
        <v>45181</v>
      </c>
      <c r="H83" s="4">
        <f>_xlfn.MINIFS(B83:B714, N83:N714, N83)</f>
        <v>44989</v>
      </c>
      <c r="I83" s="4" t="str">
        <f t="shared" si="2"/>
        <v>Mar-2023</v>
      </c>
      <c r="J83" s="13">
        <f t="shared" si="3"/>
        <v>6</v>
      </c>
      <c r="K83" s="13">
        <v>24</v>
      </c>
      <c r="L83" s="30" t="str">
        <f>IF(Table2[[#This Row],[LeadTimeDays]]&lt;7,"1","0")</f>
        <v>0</v>
      </c>
      <c r="M83" s="7" t="s">
        <v>648</v>
      </c>
      <c r="N83" s="7" t="s">
        <v>653</v>
      </c>
      <c r="O83" s="7" t="s">
        <v>688</v>
      </c>
      <c r="P83" s="7" t="s">
        <v>706</v>
      </c>
      <c r="Q83" s="7" t="s">
        <v>707</v>
      </c>
      <c r="R83" s="7" t="s">
        <v>714</v>
      </c>
      <c r="S83" s="7" t="s">
        <v>728</v>
      </c>
      <c r="T83" s="7" t="s">
        <v>1509</v>
      </c>
      <c r="U83" s="9">
        <v>1183.95</v>
      </c>
      <c r="V83" s="9">
        <v>1503.53</v>
      </c>
      <c r="W83" s="9">
        <v>1503.53</v>
      </c>
      <c r="X83" s="9">
        <v>824.35349999999994</v>
      </c>
      <c r="Y83" s="9">
        <v>1595.0316</v>
      </c>
      <c r="Z83" s="9" t="s">
        <v>2092</v>
      </c>
      <c r="AA83" t="s">
        <v>2065</v>
      </c>
      <c r="AB83" s="11">
        <v>0.24099999999999999</v>
      </c>
      <c r="AC83" t="s">
        <v>2065</v>
      </c>
      <c r="AD83" s="13">
        <v>16</v>
      </c>
      <c r="AE83" s="9">
        <v>18258.868320000001</v>
      </c>
      <c r="AF83" s="9">
        <v>18943.2</v>
      </c>
      <c r="AG83" s="9">
        <v>-684.33167999999932</v>
      </c>
      <c r="AH83" s="11">
        <v>-3.7479413729623705E-2</v>
      </c>
      <c r="AI83" s="9">
        <f>SUMIFS(AD83:AD714, R83:R714, S83)</f>
        <v>0</v>
      </c>
      <c r="AJ83" s="11" t="e">
        <f>SUMIFS(AD83:AD714, R83:R714, S83, AD83:AD714, "&gt;" &amp; AE83) / AI83</f>
        <v>#DIV/0!</v>
      </c>
      <c r="AK83" s="7" t="e">
        <f>IF(AJ83&lt;=0.8,"A",IF(Table2[[#This Row],[Cumulative rev]]&lt;=0.95,"B","C"))</f>
        <v>#DIV/0!</v>
      </c>
    </row>
    <row r="84" spans="1:37" x14ac:dyDescent="0.3">
      <c r="A84" t="s">
        <v>97</v>
      </c>
      <c r="B84" s="4">
        <v>45791</v>
      </c>
      <c r="C84" s="4" t="s">
        <v>2096</v>
      </c>
      <c r="D84" s="4" t="s">
        <v>2097</v>
      </c>
      <c r="E84" s="4">
        <v>45801</v>
      </c>
      <c r="F84" t="s">
        <v>2064</v>
      </c>
      <c r="G84" s="4">
        <v>45801</v>
      </c>
      <c r="H84" s="4">
        <f>_xlfn.MINIFS(B84:B715, N84:N715, N84)</f>
        <v>44936</v>
      </c>
      <c r="I84" s="4" t="str">
        <f t="shared" si="2"/>
        <v>Jan-2023</v>
      </c>
      <c r="J84" s="13">
        <f t="shared" si="3"/>
        <v>29</v>
      </c>
      <c r="K84" s="13">
        <v>10</v>
      </c>
      <c r="L84" s="30" t="str">
        <f>IF(Table2[[#This Row],[LeadTimeDays]]&lt;7,"1","0")</f>
        <v>0</v>
      </c>
      <c r="M84" s="7" t="s">
        <v>649</v>
      </c>
      <c r="N84" s="7" t="s">
        <v>657</v>
      </c>
      <c r="O84" s="7" t="s">
        <v>690</v>
      </c>
      <c r="P84" s="7" t="s">
        <v>705</v>
      </c>
      <c r="Q84" s="7" t="s">
        <v>709</v>
      </c>
      <c r="R84" s="7" t="s">
        <v>723</v>
      </c>
      <c r="S84" s="7" t="s">
        <v>727</v>
      </c>
      <c r="T84" s="7" t="s">
        <v>1510</v>
      </c>
      <c r="U84" s="9">
        <v>170.39</v>
      </c>
      <c r="V84" s="9">
        <v>388.04</v>
      </c>
      <c r="W84" s="9">
        <v>388.04</v>
      </c>
      <c r="X84" s="9">
        <v>823.428</v>
      </c>
      <c r="Y84" s="9">
        <v>1595.2832000000001</v>
      </c>
      <c r="Z84" s="9" t="s">
        <v>2081</v>
      </c>
      <c r="AA84" t="s">
        <v>2065</v>
      </c>
      <c r="AB84" s="11">
        <v>8.4000000000000005E-2</v>
      </c>
      <c r="AC84" t="s">
        <v>2065</v>
      </c>
      <c r="AD84" s="13">
        <v>15</v>
      </c>
      <c r="AE84" s="9">
        <v>5331.6696000000002</v>
      </c>
      <c r="AF84" s="9">
        <v>2555.85</v>
      </c>
      <c r="AG84" s="9">
        <v>2775.8196000000003</v>
      </c>
      <c r="AH84" s="11">
        <v>0.52062858508711796</v>
      </c>
      <c r="AI84" s="9">
        <f>SUMIFS(AD84:AD715, R84:R715, S84)</f>
        <v>0</v>
      </c>
      <c r="AJ84" s="11" t="e">
        <f>SUMIFS(AD84:AD715, R84:R715, S84, AD84:AD715, "&gt;" &amp; AE84) / AI84</f>
        <v>#DIV/0!</v>
      </c>
      <c r="AK84" s="7" t="e">
        <f>IF(AJ84&lt;=0.8,"A",IF(Table2[[#This Row],[Cumulative rev]]&lt;=0.95,"B","C"))</f>
        <v>#DIV/0!</v>
      </c>
    </row>
    <row r="85" spans="1:37" x14ac:dyDescent="0.3">
      <c r="A85" t="s">
        <v>98</v>
      </c>
      <c r="B85" s="4">
        <v>45770</v>
      </c>
      <c r="C85" s="4" t="s">
        <v>2111</v>
      </c>
      <c r="D85" s="4" t="s">
        <v>2097</v>
      </c>
      <c r="E85" s="4">
        <v>45769</v>
      </c>
      <c r="F85" t="s">
        <v>2066</v>
      </c>
      <c r="G85" s="4">
        <v>45770</v>
      </c>
      <c r="H85" s="4">
        <f>_xlfn.MINIFS(B85:B716, N85:N716, N85)</f>
        <v>44939</v>
      </c>
      <c r="I85" s="4" t="str">
        <f t="shared" si="2"/>
        <v>Jan-2023</v>
      </c>
      <c r="J85" s="13">
        <f t="shared" si="3"/>
        <v>28</v>
      </c>
      <c r="K85" s="13">
        <v>0</v>
      </c>
      <c r="L85" s="30" t="str">
        <f>IF(Table2[[#This Row],[LeadTimeDays]]&lt;7,"1","0")</f>
        <v>1</v>
      </c>
      <c r="M85" s="7" t="s">
        <v>648</v>
      </c>
      <c r="N85" s="7" t="s">
        <v>1425</v>
      </c>
      <c r="O85" s="7" t="s">
        <v>686</v>
      </c>
      <c r="P85" s="7" t="s">
        <v>703</v>
      </c>
      <c r="Q85" s="7" t="s">
        <v>710</v>
      </c>
      <c r="R85" s="7" t="s">
        <v>726</v>
      </c>
      <c r="S85" s="7" t="s">
        <v>732</v>
      </c>
      <c r="T85" s="7" t="s">
        <v>1511</v>
      </c>
      <c r="U85" s="9">
        <v>23.24</v>
      </c>
      <c r="V85" s="9">
        <v>44.57</v>
      </c>
      <c r="W85" s="9">
        <v>44.57</v>
      </c>
      <c r="X85" s="9">
        <v>824.54049999999995</v>
      </c>
      <c r="Y85" s="9">
        <v>1595.9666000000009</v>
      </c>
      <c r="Z85" s="9" t="s">
        <v>2081</v>
      </c>
      <c r="AA85" t="s">
        <v>2065</v>
      </c>
      <c r="AB85" s="11">
        <v>0.215</v>
      </c>
      <c r="AC85" t="s">
        <v>2065</v>
      </c>
      <c r="AD85" s="13">
        <v>15</v>
      </c>
      <c r="AE85" s="9">
        <v>524.81174999999996</v>
      </c>
      <c r="AF85" s="9">
        <v>348.59999999999997</v>
      </c>
      <c r="AG85" s="9">
        <v>176.21174999999999</v>
      </c>
      <c r="AH85" s="11">
        <v>0.33576182316802167</v>
      </c>
      <c r="AI85" s="9">
        <f>SUMIFS(AD85:AD716, R85:R716, S85)</f>
        <v>0</v>
      </c>
      <c r="AJ85" s="11" t="e">
        <f>SUMIFS(AD85:AD716, R85:R716, S85, AD85:AD716, "&gt;" &amp; AE85) / AI85</f>
        <v>#DIV/0!</v>
      </c>
      <c r="AK85" s="7" t="e">
        <f>IF(AJ85&lt;=0.8,"A",IF(Table2[[#This Row],[Cumulative rev]]&lt;=0.95,"B","C"))</f>
        <v>#DIV/0!</v>
      </c>
    </row>
    <row r="86" spans="1:37" x14ac:dyDescent="0.3">
      <c r="A86" t="s">
        <v>99</v>
      </c>
      <c r="B86" s="4">
        <v>45741</v>
      </c>
      <c r="C86" s="4" t="s">
        <v>2086</v>
      </c>
      <c r="D86" s="4" t="s">
        <v>2087</v>
      </c>
      <c r="E86" s="4">
        <v>45764</v>
      </c>
      <c r="F86" t="s">
        <v>2064</v>
      </c>
      <c r="G86" s="4">
        <v>45764</v>
      </c>
      <c r="H86" s="4">
        <f>_xlfn.MINIFS(B86:B717, N86:N717, N86)</f>
        <v>44945</v>
      </c>
      <c r="I86" s="4" t="str">
        <f t="shared" si="2"/>
        <v>Jan-2023</v>
      </c>
      <c r="J86" s="13">
        <f t="shared" si="3"/>
        <v>27</v>
      </c>
      <c r="K86" s="13">
        <v>23</v>
      </c>
      <c r="L86" s="30" t="str">
        <f>IF(Table2[[#This Row],[LeadTimeDays]]&lt;7,"1","0")</f>
        <v>0</v>
      </c>
      <c r="M86" s="7" t="s">
        <v>649</v>
      </c>
      <c r="N86" s="7" t="s">
        <v>658</v>
      </c>
      <c r="O86" s="7" t="s">
        <v>683</v>
      </c>
      <c r="P86" s="7" t="s">
        <v>704</v>
      </c>
      <c r="Q86" s="7" t="s">
        <v>707</v>
      </c>
      <c r="R86" s="7" t="s">
        <v>722</v>
      </c>
      <c r="S86" s="7" t="s">
        <v>729</v>
      </c>
      <c r="T86" s="7" t="s">
        <v>1512</v>
      </c>
      <c r="U86" s="9">
        <v>1421.19</v>
      </c>
      <c r="V86" s="9">
        <v>1808.26</v>
      </c>
      <c r="W86" s="9">
        <v>1808.26</v>
      </c>
      <c r="X86" s="9">
        <v>825.10879999999997</v>
      </c>
      <c r="Y86" s="9">
        <v>1603.5588000000002</v>
      </c>
      <c r="Z86" s="9" t="s">
        <v>2095</v>
      </c>
      <c r="AA86" t="s">
        <v>2065</v>
      </c>
      <c r="AB86" s="11">
        <v>0.104</v>
      </c>
      <c r="AC86" t="s">
        <v>2065</v>
      </c>
      <c r="AD86" s="13">
        <v>13</v>
      </c>
      <c r="AE86" s="9">
        <v>21062.61248</v>
      </c>
      <c r="AF86" s="9">
        <v>18475.47</v>
      </c>
      <c r="AG86" s="9">
        <v>2587.1424799999986</v>
      </c>
      <c r="AH86" s="11">
        <v>0.12283103449093123</v>
      </c>
      <c r="AI86" s="9">
        <f>SUMIFS(AD86:AD717, R86:R717, S86)</f>
        <v>0</v>
      </c>
      <c r="AJ86" s="11" t="e">
        <f>SUMIFS(AD86:AD717, R86:R717, S86, AD86:AD717, "&gt;" &amp; AE86) / AI86</f>
        <v>#DIV/0!</v>
      </c>
      <c r="AK86" s="7" t="e">
        <f>IF(AJ86&lt;=0.8,"A",IF(Table2[[#This Row],[Cumulative rev]]&lt;=0.95,"B","C"))</f>
        <v>#DIV/0!</v>
      </c>
    </row>
    <row r="87" spans="1:37" x14ac:dyDescent="0.3">
      <c r="A87" t="s">
        <v>100</v>
      </c>
      <c r="B87" s="4">
        <v>45282</v>
      </c>
      <c r="C87" s="4" t="s">
        <v>2088</v>
      </c>
      <c r="D87" s="4" t="s">
        <v>2089</v>
      </c>
      <c r="E87" s="4">
        <v>45283</v>
      </c>
      <c r="F87" t="s">
        <v>2064</v>
      </c>
      <c r="G87" s="4">
        <v>45283</v>
      </c>
      <c r="H87" s="4">
        <f>_xlfn.MINIFS(B87:B718, N87:N718, N87)</f>
        <v>44933</v>
      </c>
      <c r="I87" s="4" t="str">
        <f t="shared" si="2"/>
        <v>Jan-2023</v>
      </c>
      <c r="J87" s="13">
        <f t="shared" si="3"/>
        <v>12</v>
      </c>
      <c r="K87" s="13">
        <v>1</v>
      </c>
      <c r="L87" s="30" t="str">
        <f>IF(Table2[[#This Row],[LeadTimeDays]]&lt;7,"1","0")</f>
        <v>1</v>
      </c>
      <c r="M87" s="7" t="s">
        <v>646</v>
      </c>
      <c r="N87" s="7" t="s">
        <v>661</v>
      </c>
      <c r="O87" s="7" t="s">
        <v>695</v>
      </c>
      <c r="P87" s="7" t="s">
        <v>703</v>
      </c>
      <c r="Q87" s="7" t="s">
        <v>709</v>
      </c>
      <c r="R87" s="7" t="s">
        <v>726</v>
      </c>
      <c r="S87" s="7" t="s">
        <v>727</v>
      </c>
      <c r="T87" s="7" t="s">
        <v>1513</v>
      </c>
      <c r="U87" s="9">
        <v>1186.18</v>
      </c>
      <c r="V87" s="9">
        <v>1285.0899999999999</v>
      </c>
      <c r="W87" s="9">
        <v>1285.0899999999999</v>
      </c>
      <c r="X87" s="9">
        <v>824.72749999999996</v>
      </c>
      <c r="Y87" s="9">
        <v>1595.298</v>
      </c>
      <c r="Z87" s="9" t="s">
        <v>2092</v>
      </c>
      <c r="AA87" t="s">
        <v>2065</v>
      </c>
      <c r="AB87" s="11">
        <v>7.0000000000000007E-2</v>
      </c>
      <c r="AC87" t="s">
        <v>2065</v>
      </c>
      <c r="AD87" s="13">
        <v>11</v>
      </c>
      <c r="AE87" s="9">
        <v>13146.470699999998</v>
      </c>
      <c r="AF87" s="9">
        <v>13047.980000000001</v>
      </c>
      <c r="AG87" s="9">
        <v>98.49069999999665</v>
      </c>
      <c r="AH87" s="11">
        <v>7.4917977796121861E-3</v>
      </c>
      <c r="AI87" s="9">
        <f>SUMIFS(AD87:AD718, R87:R718, S87)</f>
        <v>0</v>
      </c>
      <c r="AJ87" s="11" t="e">
        <f>SUMIFS(AD87:AD718, R87:R718, S87, AD87:AD718, "&gt;" &amp; AE87) / AI87</f>
        <v>#DIV/0!</v>
      </c>
      <c r="AK87" s="7" t="e">
        <f>IF(AJ87&lt;=0.8,"A",IF(Table2[[#This Row],[Cumulative rev]]&lt;=0.95,"B","C"))</f>
        <v>#DIV/0!</v>
      </c>
    </row>
    <row r="88" spans="1:37" x14ac:dyDescent="0.3">
      <c r="A88" t="s">
        <v>101</v>
      </c>
      <c r="B88" s="4">
        <v>45388</v>
      </c>
      <c r="C88" s="4" t="s">
        <v>2112</v>
      </c>
      <c r="D88" s="4" t="s">
        <v>2094</v>
      </c>
      <c r="E88" s="4">
        <v>45407</v>
      </c>
      <c r="F88" t="s">
        <v>2064</v>
      </c>
      <c r="G88" s="4">
        <v>45407</v>
      </c>
      <c r="H88" s="4">
        <f>_xlfn.MINIFS(B88:B719, N88:N719, N88)</f>
        <v>44938</v>
      </c>
      <c r="I88" s="4" t="str">
        <f t="shared" si="2"/>
        <v>Jan-2023</v>
      </c>
      <c r="J88" s="13">
        <f t="shared" si="3"/>
        <v>15</v>
      </c>
      <c r="K88" s="13">
        <v>19</v>
      </c>
      <c r="L88" s="30" t="str">
        <f>IF(Table2[[#This Row],[LeadTimeDays]]&lt;7,"1","0")</f>
        <v>0</v>
      </c>
      <c r="M88" s="7" t="s">
        <v>647</v>
      </c>
      <c r="N88" s="7" t="s">
        <v>659</v>
      </c>
      <c r="O88" s="7" t="s">
        <v>685</v>
      </c>
      <c r="P88" s="7" t="s">
        <v>701</v>
      </c>
      <c r="Q88" s="7" t="s">
        <v>707</v>
      </c>
      <c r="R88" s="7" t="s">
        <v>723</v>
      </c>
      <c r="S88" s="7" t="s">
        <v>727</v>
      </c>
      <c r="T88" s="7" t="s">
        <v>1514</v>
      </c>
      <c r="U88" s="9">
        <v>1366.48</v>
      </c>
      <c r="V88" s="9">
        <v>1678.14</v>
      </c>
      <c r="W88" s="9">
        <v>1678.14</v>
      </c>
      <c r="X88" s="9">
        <v>824.54599999999994</v>
      </c>
      <c r="Y88" s="9">
        <v>1596.4132000000004</v>
      </c>
      <c r="Z88" s="9" t="s">
        <v>2095</v>
      </c>
      <c r="AA88" t="s">
        <v>2065</v>
      </c>
      <c r="AB88" s="11">
        <v>0.154</v>
      </c>
      <c r="AC88" t="s">
        <v>2065</v>
      </c>
      <c r="AD88" s="13">
        <v>10</v>
      </c>
      <c r="AE88" s="9">
        <v>14197.064400000001</v>
      </c>
      <c r="AF88" s="9">
        <v>13664.8</v>
      </c>
      <c r="AG88" s="9">
        <v>532.26440000000184</v>
      </c>
      <c r="AH88" s="11">
        <v>3.7491159087790132E-2</v>
      </c>
      <c r="AI88" s="9">
        <f>SUMIFS(AD88:AD719, R88:R719, S88)</f>
        <v>0</v>
      </c>
      <c r="AJ88" s="11" t="e">
        <f>SUMIFS(AD88:AD719, R88:R719, S88, AD88:AD719, "&gt;" &amp; AE88) / AI88</f>
        <v>#DIV/0!</v>
      </c>
      <c r="AK88" s="7" t="e">
        <f>IF(AJ88&lt;=0.8,"A",IF(Table2[[#This Row],[Cumulative rev]]&lt;=0.95,"B","C"))</f>
        <v>#DIV/0!</v>
      </c>
    </row>
    <row r="89" spans="1:37" x14ac:dyDescent="0.3">
      <c r="A89" t="s">
        <v>102</v>
      </c>
      <c r="B89" s="4">
        <v>45876</v>
      </c>
      <c r="C89" s="4" t="s">
        <v>2121</v>
      </c>
      <c r="D89" s="4" t="s">
        <v>2101</v>
      </c>
      <c r="E89" s="4">
        <v>45888</v>
      </c>
      <c r="F89" t="s">
        <v>2064</v>
      </c>
      <c r="G89" s="4">
        <v>45888</v>
      </c>
      <c r="H89" s="4">
        <f>_xlfn.MINIFS(B89:B720, N89:N720, N89)</f>
        <v>44946</v>
      </c>
      <c r="I89" s="4" t="str">
        <f t="shared" si="2"/>
        <v>Jan-2023</v>
      </c>
      <c r="J89" s="13">
        <f t="shared" si="3"/>
        <v>31</v>
      </c>
      <c r="K89" s="13">
        <v>12</v>
      </c>
      <c r="L89" s="30" t="str">
        <f>IF(Table2[[#This Row],[LeadTimeDays]]&lt;7,"1","0")</f>
        <v>0</v>
      </c>
      <c r="M89" s="7" t="s">
        <v>646</v>
      </c>
      <c r="N89" s="7" t="s">
        <v>650</v>
      </c>
      <c r="O89" s="7" t="s">
        <v>678</v>
      </c>
      <c r="P89" s="7" t="s">
        <v>701</v>
      </c>
      <c r="Q89" s="7" t="s">
        <v>2057</v>
      </c>
      <c r="R89" s="7" t="s">
        <v>724</v>
      </c>
      <c r="S89" s="7" t="s">
        <v>727</v>
      </c>
      <c r="T89" s="7" t="s">
        <v>1515</v>
      </c>
      <c r="U89" s="9">
        <v>601.51</v>
      </c>
      <c r="V89" s="9">
        <v>679.35</v>
      </c>
      <c r="W89" s="9">
        <v>679.35</v>
      </c>
      <c r="X89" s="9">
        <v>824.36450000000002</v>
      </c>
      <c r="Y89" s="9">
        <v>1595.0611999999999</v>
      </c>
      <c r="Z89" s="9" t="s">
        <v>2081</v>
      </c>
      <c r="AA89" t="s">
        <v>2065</v>
      </c>
      <c r="AB89" s="11">
        <v>0.188</v>
      </c>
      <c r="AC89" t="s">
        <v>2065</v>
      </c>
      <c r="AD89" s="13">
        <v>3</v>
      </c>
      <c r="AE89" s="9">
        <v>1654.8966000000003</v>
      </c>
      <c r="AF89" s="9">
        <v>1804.53</v>
      </c>
      <c r="AG89" s="9">
        <v>-149.63339999999971</v>
      </c>
      <c r="AH89" s="11">
        <v>-9.0418579626062243E-2</v>
      </c>
      <c r="AI89" s="9">
        <f>SUMIFS(AD89:AD720, R89:R720, S89)</f>
        <v>0</v>
      </c>
      <c r="AJ89" s="11" t="e">
        <f>SUMIFS(AD89:AD720, R89:R720, S89, AD89:AD720, "&gt;" &amp; AE89) / AI89</f>
        <v>#DIV/0!</v>
      </c>
      <c r="AK89" s="7" t="e">
        <f>IF(AJ89&lt;=0.8,"A",IF(Table2[[#This Row],[Cumulative rev]]&lt;=0.95,"B","C"))</f>
        <v>#DIV/0!</v>
      </c>
    </row>
    <row r="90" spans="1:37" x14ac:dyDescent="0.3">
      <c r="A90" t="s">
        <v>103</v>
      </c>
      <c r="B90" s="4">
        <v>45312</v>
      </c>
      <c r="C90" s="4" t="s">
        <v>2098</v>
      </c>
      <c r="D90" s="4" t="s">
        <v>2080</v>
      </c>
      <c r="E90" s="4">
        <v>45316</v>
      </c>
      <c r="F90" t="s">
        <v>2064</v>
      </c>
      <c r="G90" s="4">
        <v>45316</v>
      </c>
      <c r="H90" s="4">
        <f>_xlfn.MINIFS(B90:B721, N90:N721, N90)</f>
        <v>44977</v>
      </c>
      <c r="I90" s="4" t="str">
        <f t="shared" si="2"/>
        <v>Feb-2023</v>
      </c>
      <c r="J90" s="13">
        <f t="shared" si="3"/>
        <v>12</v>
      </c>
      <c r="K90" s="13">
        <v>4</v>
      </c>
      <c r="L90" s="30" t="str">
        <f>IF(Table2[[#This Row],[LeadTimeDays]]&lt;7,"1","0")</f>
        <v>1</v>
      </c>
      <c r="M90" s="7" t="s">
        <v>647</v>
      </c>
      <c r="N90" s="7" t="s">
        <v>654</v>
      </c>
      <c r="O90" s="7" t="s">
        <v>680</v>
      </c>
      <c r="P90" s="7" t="s">
        <v>704</v>
      </c>
      <c r="Q90" s="7" t="s">
        <v>711</v>
      </c>
      <c r="R90" s="7" t="s">
        <v>712</v>
      </c>
      <c r="S90" s="7" t="s">
        <v>732</v>
      </c>
      <c r="T90" s="7" t="s">
        <v>1516</v>
      </c>
      <c r="U90" s="9">
        <v>523.70000000000005</v>
      </c>
      <c r="V90" s="9">
        <v>1109.92</v>
      </c>
      <c r="W90" s="9">
        <v>1109.92</v>
      </c>
      <c r="X90" s="9">
        <v>824.73299999999995</v>
      </c>
      <c r="Y90" s="9">
        <v>1595.3127999999999</v>
      </c>
      <c r="Z90" s="9" t="s">
        <v>2092</v>
      </c>
      <c r="AA90" t="s">
        <v>2065</v>
      </c>
      <c r="AB90" s="11">
        <v>0.03</v>
      </c>
      <c r="AC90" t="s">
        <v>2065</v>
      </c>
      <c r="AD90" s="13">
        <v>11</v>
      </c>
      <c r="AE90" s="9">
        <v>11842.8464</v>
      </c>
      <c r="AF90" s="9">
        <v>5760.7000000000007</v>
      </c>
      <c r="AG90" s="9">
        <v>6082.1463999999996</v>
      </c>
      <c r="AH90" s="11">
        <v>0.51357133197302973</v>
      </c>
      <c r="AI90" s="9">
        <f>SUMIFS(AD90:AD721, R90:R721, S90)</f>
        <v>0</v>
      </c>
      <c r="AJ90" s="11" t="e">
        <f>SUMIFS(AD90:AD721, R90:R721, S90, AD90:AD721, "&gt;" &amp; AE90) / AI90</f>
        <v>#DIV/0!</v>
      </c>
      <c r="AK90" s="7" t="e">
        <f>IF(AJ90&lt;=0.8,"A",IF(Table2[[#This Row],[Cumulative rev]]&lt;=0.95,"B","C"))</f>
        <v>#DIV/0!</v>
      </c>
    </row>
    <row r="91" spans="1:37" x14ac:dyDescent="0.3">
      <c r="A91" t="s">
        <v>104</v>
      </c>
      <c r="B91" s="4">
        <v>45106</v>
      </c>
      <c r="C91" s="4" t="s">
        <v>2115</v>
      </c>
      <c r="D91" s="4" t="s">
        <v>2103</v>
      </c>
      <c r="E91" s="4">
        <v>45109</v>
      </c>
      <c r="F91" t="s">
        <v>2064</v>
      </c>
      <c r="G91" s="4">
        <v>45109</v>
      </c>
      <c r="H91" s="4">
        <f>_xlfn.MINIFS(B91:B722, N91:N722, N91)</f>
        <v>44988</v>
      </c>
      <c r="I91" s="4" t="str">
        <f t="shared" si="2"/>
        <v>Mar-2023</v>
      </c>
      <c r="J91" s="13">
        <f t="shared" si="3"/>
        <v>4</v>
      </c>
      <c r="K91" s="13">
        <v>3</v>
      </c>
      <c r="L91" s="30" t="str">
        <f>IF(Table2[[#This Row],[LeadTimeDays]]&lt;7,"1","0")</f>
        <v>1</v>
      </c>
      <c r="M91" s="7" t="s">
        <v>647</v>
      </c>
      <c r="N91" s="7" t="s">
        <v>652</v>
      </c>
      <c r="O91" s="7" t="s">
        <v>694</v>
      </c>
      <c r="P91" s="7" t="s">
        <v>702</v>
      </c>
      <c r="Q91" s="7" t="s">
        <v>709</v>
      </c>
      <c r="R91" s="7" t="s">
        <v>721</v>
      </c>
      <c r="S91" s="7" t="s">
        <v>732</v>
      </c>
      <c r="T91" s="7" t="s">
        <v>1517</v>
      </c>
      <c r="U91" s="9">
        <v>55.65</v>
      </c>
      <c r="V91" s="9">
        <v>83.57</v>
      </c>
      <c r="W91" s="9">
        <v>83.57</v>
      </c>
      <c r="X91" s="9">
        <v>824.55149999999992</v>
      </c>
      <c r="Y91" s="9">
        <v>1596.8598</v>
      </c>
      <c r="Z91" s="9" t="s">
        <v>2081</v>
      </c>
      <c r="AA91" t="s">
        <v>2065</v>
      </c>
      <c r="AB91" s="11">
        <v>6.6000000000000003E-2</v>
      </c>
      <c r="AC91" t="s">
        <v>2065</v>
      </c>
      <c r="AD91" s="13">
        <v>8</v>
      </c>
      <c r="AE91" s="9">
        <v>624.43503999999996</v>
      </c>
      <c r="AF91" s="9">
        <v>445.2</v>
      </c>
      <c r="AG91" s="9">
        <v>179.23503999999997</v>
      </c>
      <c r="AH91" s="11">
        <v>0.2870355257449998</v>
      </c>
      <c r="AI91" s="9">
        <f>SUMIFS(AD91:AD722, R91:R722, S91)</f>
        <v>0</v>
      </c>
      <c r="AJ91" s="11" t="e">
        <f>SUMIFS(AD91:AD722, R91:R722, S91, AD91:AD722, "&gt;" &amp; AE91) / AI91</f>
        <v>#DIV/0!</v>
      </c>
      <c r="AK91" s="7" t="e">
        <f>IF(AJ91&lt;=0.8,"A",IF(Table2[[#This Row],[Cumulative rev]]&lt;=0.95,"B","C"))</f>
        <v>#DIV/0!</v>
      </c>
    </row>
    <row r="92" spans="1:37" x14ac:dyDescent="0.3">
      <c r="A92" t="s">
        <v>105</v>
      </c>
      <c r="B92" s="4">
        <v>45775</v>
      </c>
      <c r="C92" s="4" t="s">
        <v>2111</v>
      </c>
      <c r="D92" s="4" t="s">
        <v>2097</v>
      </c>
      <c r="E92" s="4">
        <v>45792</v>
      </c>
      <c r="F92" t="s">
        <v>2064</v>
      </c>
      <c r="G92" s="4">
        <v>45792</v>
      </c>
      <c r="H92" s="4">
        <f>_xlfn.MINIFS(B92:B723, N92:N723, N92)</f>
        <v>44988</v>
      </c>
      <c r="I92" s="4" t="str">
        <f t="shared" si="2"/>
        <v>Mar-2023</v>
      </c>
      <c r="J92" s="13">
        <f t="shared" si="3"/>
        <v>26</v>
      </c>
      <c r="K92" s="13">
        <v>17</v>
      </c>
      <c r="L92" s="30" t="str">
        <f>IF(Table2[[#This Row],[LeadTimeDays]]&lt;7,"1","0")</f>
        <v>0</v>
      </c>
      <c r="M92" s="7" t="s">
        <v>647</v>
      </c>
      <c r="N92" s="7" t="s">
        <v>652</v>
      </c>
      <c r="O92" s="7" t="s">
        <v>694</v>
      </c>
      <c r="P92" s="7" t="s">
        <v>702</v>
      </c>
      <c r="Q92" s="7" t="s">
        <v>711</v>
      </c>
      <c r="R92" s="7" t="s">
        <v>725</v>
      </c>
      <c r="S92" s="7" t="s">
        <v>729</v>
      </c>
      <c r="T92" s="7" t="s">
        <v>1518</v>
      </c>
      <c r="U92" s="9">
        <v>691.19</v>
      </c>
      <c r="V92" s="9">
        <v>1284.3</v>
      </c>
      <c r="W92" s="9">
        <v>1284.3</v>
      </c>
      <c r="X92" s="9">
        <v>825.14199999999994</v>
      </c>
      <c r="Y92" s="9">
        <v>1604.4520000000007</v>
      </c>
      <c r="Z92" s="9" t="s">
        <v>2092</v>
      </c>
      <c r="AA92" t="s">
        <v>2065</v>
      </c>
      <c r="AB92" s="11">
        <v>7.3999999999999996E-2</v>
      </c>
      <c r="AC92" t="s">
        <v>2065</v>
      </c>
      <c r="AD92" s="13">
        <v>7</v>
      </c>
      <c r="AE92" s="9">
        <v>8324.8326000000015</v>
      </c>
      <c r="AF92" s="9">
        <v>4838.33</v>
      </c>
      <c r="AG92" s="9">
        <v>3486.5026000000016</v>
      </c>
      <c r="AH92" s="11">
        <v>0.41880753253825198</v>
      </c>
      <c r="AI92" s="9">
        <f>SUMIFS(AD92:AD723, R92:R723, S92)</f>
        <v>0</v>
      </c>
      <c r="AJ92" s="11" t="e">
        <f>SUMIFS(AD92:AD723, R92:R723, S92, AD92:AD723, "&gt;" &amp; AE92) / AI92</f>
        <v>#DIV/0!</v>
      </c>
      <c r="AK92" s="7" t="e">
        <f>IF(AJ92&lt;=0.8,"A",IF(Table2[[#This Row],[Cumulative rev]]&lt;=0.95,"B","C"))</f>
        <v>#DIV/0!</v>
      </c>
    </row>
    <row r="93" spans="1:37" x14ac:dyDescent="0.3">
      <c r="A93" t="s">
        <v>106</v>
      </c>
      <c r="B93" s="4">
        <v>45817</v>
      </c>
      <c r="C93" s="4" t="s">
        <v>2108</v>
      </c>
      <c r="D93" s="4" t="s">
        <v>2097</v>
      </c>
      <c r="E93" s="4">
        <v>45833</v>
      </c>
      <c r="F93" t="s">
        <v>2064</v>
      </c>
      <c r="G93" s="4">
        <v>45833</v>
      </c>
      <c r="H93" s="4">
        <f>_xlfn.MINIFS(B93:B724, N93:N724, N93)</f>
        <v>44977</v>
      </c>
      <c r="I93" s="4" t="str">
        <f t="shared" si="2"/>
        <v>Feb-2023</v>
      </c>
      <c r="J93" s="13">
        <f t="shared" si="3"/>
        <v>28</v>
      </c>
      <c r="K93" s="13">
        <v>16</v>
      </c>
      <c r="L93" s="30" t="str">
        <f>IF(Table2[[#This Row],[LeadTimeDays]]&lt;7,"1","0")</f>
        <v>0</v>
      </c>
      <c r="M93" s="7" t="s">
        <v>647</v>
      </c>
      <c r="N93" s="7" t="s">
        <v>654</v>
      </c>
      <c r="O93" s="7" t="s">
        <v>696</v>
      </c>
      <c r="P93" s="7" t="s">
        <v>706</v>
      </c>
      <c r="Q93" s="7" t="s">
        <v>710</v>
      </c>
      <c r="R93" s="7" t="s">
        <v>724</v>
      </c>
      <c r="S93" s="7" t="s">
        <v>730</v>
      </c>
      <c r="T93" s="7" t="s">
        <v>1519</v>
      </c>
      <c r="U93" s="9">
        <v>527.33000000000004</v>
      </c>
      <c r="V93" s="9">
        <v>911.72</v>
      </c>
      <c r="W93" s="9">
        <v>911.72</v>
      </c>
      <c r="X93" s="9">
        <v>824.73849999999993</v>
      </c>
      <c r="Y93" s="9">
        <v>1612.0442</v>
      </c>
      <c r="Z93" s="9" t="s">
        <v>2092</v>
      </c>
      <c r="AA93" t="s">
        <v>2065</v>
      </c>
      <c r="AB93" s="11">
        <v>0.14399999999999999</v>
      </c>
      <c r="AC93" t="s">
        <v>2065</v>
      </c>
      <c r="AD93" s="13">
        <v>25</v>
      </c>
      <c r="AE93" s="9">
        <v>19510.808000000001</v>
      </c>
      <c r="AF93" s="9">
        <v>13183.250000000002</v>
      </c>
      <c r="AG93" s="9">
        <v>6327.5579999999991</v>
      </c>
      <c r="AH93" s="11">
        <v>0.32431040272652978</v>
      </c>
      <c r="AI93" s="9">
        <f>SUMIFS(AD93:AD724, R93:R724, S93)</f>
        <v>0</v>
      </c>
      <c r="AJ93" s="11" t="e">
        <f>SUMIFS(AD93:AD724, R93:R724, S93, AD93:AD724, "&gt;" &amp; AE93) / AI93</f>
        <v>#DIV/0!</v>
      </c>
      <c r="AK93" s="7" t="e">
        <f>IF(AJ93&lt;=0.8,"A",IF(Table2[[#This Row],[Cumulative rev]]&lt;=0.95,"B","C"))</f>
        <v>#DIV/0!</v>
      </c>
    </row>
    <row r="94" spans="1:37" x14ac:dyDescent="0.3">
      <c r="A94" t="s">
        <v>107</v>
      </c>
      <c r="B94" s="4">
        <v>45101</v>
      </c>
      <c r="C94" s="4" t="s">
        <v>2115</v>
      </c>
      <c r="D94" s="4" t="s">
        <v>2103</v>
      </c>
      <c r="E94" s="4">
        <v>45100</v>
      </c>
      <c r="F94" t="s">
        <v>2066</v>
      </c>
      <c r="G94" s="4">
        <v>45101</v>
      </c>
      <c r="H94" s="4">
        <f>_xlfn.MINIFS(B94:B725, N94:N725, N94)</f>
        <v>44955</v>
      </c>
      <c r="I94" s="4" t="str">
        <f t="shared" si="2"/>
        <v>Jan-2023</v>
      </c>
      <c r="J94" s="13">
        <f t="shared" si="3"/>
        <v>5</v>
      </c>
      <c r="K94" s="13">
        <v>0</v>
      </c>
      <c r="L94" s="30" t="str">
        <f>IF(Table2[[#This Row],[LeadTimeDays]]&lt;7,"1","0")</f>
        <v>1</v>
      </c>
      <c r="M94" s="7" t="s">
        <v>648</v>
      </c>
      <c r="N94" s="7" t="s">
        <v>655</v>
      </c>
      <c r="O94" s="7" t="s">
        <v>1426</v>
      </c>
      <c r="P94" s="7" t="s">
        <v>703</v>
      </c>
      <c r="Q94" s="7" t="s">
        <v>707</v>
      </c>
      <c r="R94" s="7" t="s">
        <v>718</v>
      </c>
      <c r="S94" s="7" t="s">
        <v>728</v>
      </c>
      <c r="T94" s="7" t="s">
        <v>1520</v>
      </c>
      <c r="U94" s="9">
        <v>804.01</v>
      </c>
      <c r="V94" s="9">
        <v>1405.07</v>
      </c>
      <c r="W94" s="9">
        <v>1405.07</v>
      </c>
      <c r="X94" s="9">
        <v>824.55700000000002</v>
      </c>
      <c r="Y94" s="9">
        <v>1618.07</v>
      </c>
      <c r="Z94" s="9" t="s">
        <v>2092</v>
      </c>
      <c r="AA94" t="s">
        <v>2065</v>
      </c>
      <c r="AB94" s="11">
        <v>9.6000000000000002E-2</v>
      </c>
      <c r="AC94" t="s">
        <v>2065</v>
      </c>
      <c r="AD94" s="13">
        <v>8</v>
      </c>
      <c r="AE94" s="9">
        <v>10161.46624</v>
      </c>
      <c r="AF94" s="9">
        <v>6432.08</v>
      </c>
      <c r="AG94" s="9">
        <v>3729.3862399999998</v>
      </c>
      <c r="AH94" s="11">
        <v>0.36701260939287439</v>
      </c>
      <c r="AI94" s="9">
        <f>SUMIFS(AD94:AD725, R94:R725, S94)</f>
        <v>0</v>
      </c>
      <c r="AJ94" s="11" t="e">
        <f>SUMIFS(AD94:AD725, R94:R725, S94, AD94:AD725, "&gt;" &amp; AE94) / AI94</f>
        <v>#DIV/0!</v>
      </c>
      <c r="AK94" s="7" t="e">
        <f>IF(AJ94&lt;=0.8,"A",IF(Table2[[#This Row],[Cumulative rev]]&lt;=0.95,"B","C"))</f>
        <v>#DIV/0!</v>
      </c>
    </row>
    <row r="95" spans="1:37" x14ac:dyDescent="0.3">
      <c r="A95" t="s">
        <v>108</v>
      </c>
      <c r="B95" s="4">
        <v>45569</v>
      </c>
      <c r="C95" s="4" t="s">
        <v>2082</v>
      </c>
      <c r="D95" s="4" t="s">
        <v>2083</v>
      </c>
      <c r="E95" s="4">
        <v>45598</v>
      </c>
      <c r="F95" t="s">
        <v>2064</v>
      </c>
      <c r="G95" s="4">
        <v>45598</v>
      </c>
      <c r="H95" s="4">
        <f>_xlfn.MINIFS(B95:B726, N95:N726, N95)</f>
        <v>44968</v>
      </c>
      <c r="I95" s="4" t="str">
        <f t="shared" si="2"/>
        <v>Feb-2023</v>
      </c>
      <c r="J95" s="13">
        <f t="shared" si="3"/>
        <v>20</v>
      </c>
      <c r="K95" s="13">
        <v>29</v>
      </c>
      <c r="L95" s="30" t="str">
        <f>IF(Table2[[#This Row],[LeadTimeDays]]&lt;7,"1","0")</f>
        <v>0</v>
      </c>
      <c r="M95" s="7" t="s">
        <v>646</v>
      </c>
      <c r="N95" s="7" t="s">
        <v>651</v>
      </c>
      <c r="O95" s="7" t="s">
        <v>669</v>
      </c>
      <c r="P95" s="7" t="s">
        <v>701</v>
      </c>
      <c r="Q95" s="7" t="s">
        <v>710</v>
      </c>
      <c r="R95" s="7" t="s">
        <v>721</v>
      </c>
      <c r="S95" s="7" t="s">
        <v>733</v>
      </c>
      <c r="T95" s="7" t="s">
        <v>1521</v>
      </c>
      <c r="U95" s="9">
        <v>412.09</v>
      </c>
      <c r="V95" s="9">
        <v>968.94</v>
      </c>
      <c r="W95" s="9">
        <v>968.94</v>
      </c>
      <c r="X95" s="9">
        <v>824.37549999999999</v>
      </c>
      <c r="Y95" s="9">
        <v>1619.0049999999999</v>
      </c>
      <c r="Z95" s="9" t="s">
        <v>2092</v>
      </c>
      <c r="AA95" t="s">
        <v>2065</v>
      </c>
      <c r="AB95" s="11">
        <v>9.9000000000000005E-2</v>
      </c>
      <c r="AC95" t="s">
        <v>2065</v>
      </c>
      <c r="AD95" s="13">
        <v>23</v>
      </c>
      <c r="AE95" s="9">
        <v>20079.343620000003</v>
      </c>
      <c r="AF95" s="9">
        <v>9478.07</v>
      </c>
      <c r="AG95" s="9">
        <v>10601.273620000004</v>
      </c>
      <c r="AH95" s="11">
        <v>0.52796913189137418</v>
      </c>
      <c r="AI95" s="9">
        <f>SUMIFS(AD95:AD726, R95:R726, S95)</f>
        <v>0</v>
      </c>
      <c r="AJ95" s="11" t="e">
        <f>SUMIFS(AD95:AD726, R95:R726, S95, AD95:AD726, "&gt;" &amp; AE95) / AI95</f>
        <v>#DIV/0!</v>
      </c>
      <c r="AK95" s="7" t="e">
        <f>IF(AJ95&lt;=0.8,"A",IF(Table2[[#This Row],[Cumulative rev]]&lt;=0.95,"B","C"))</f>
        <v>#DIV/0!</v>
      </c>
    </row>
    <row r="96" spans="1:37" x14ac:dyDescent="0.3">
      <c r="A96" t="s">
        <v>109</v>
      </c>
      <c r="B96" s="4">
        <v>45910</v>
      </c>
      <c r="C96" s="4" t="s">
        <v>2100</v>
      </c>
      <c r="D96" s="4" t="s">
        <v>2101</v>
      </c>
      <c r="E96" s="4">
        <v>45930</v>
      </c>
      <c r="F96" t="s">
        <v>2064</v>
      </c>
      <c r="G96" s="4">
        <v>45930</v>
      </c>
      <c r="H96" s="4">
        <f>_xlfn.MINIFS(B96:B727, N96:N727, N96)</f>
        <v>44946</v>
      </c>
      <c r="I96" s="4" t="str">
        <f t="shared" si="2"/>
        <v>Jan-2023</v>
      </c>
      <c r="J96" s="13">
        <f t="shared" si="3"/>
        <v>32</v>
      </c>
      <c r="K96" s="13">
        <v>20</v>
      </c>
      <c r="L96" s="30" t="str">
        <f>IF(Table2[[#This Row],[LeadTimeDays]]&lt;7,"1","0")</f>
        <v>0</v>
      </c>
      <c r="M96" s="7" t="s">
        <v>646</v>
      </c>
      <c r="N96" s="7" t="s">
        <v>650</v>
      </c>
      <c r="O96" s="7" t="s">
        <v>675</v>
      </c>
      <c r="P96" s="7" t="s">
        <v>701</v>
      </c>
      <c r="Q96" s="7" t="s">
        <v>711</v>
      </c>
      <c r="R96" s="7" t="s">
        <v>716</v>
      </c>
      <c r="S96" s="7" t="s">
        <v>730</v>
      </c>
      <c r="T96" s="7" t="s">
        <v>1522</v>
      </c>
      <c r="U96" s="9">
        <v>1009.48</v>
      </c>
      <c r="V96" s="9">
        <v>1088.81</v>
      </c>
      <c r="W96" s="9">
        <v>1088.81</v>
      </c>
      <c r="X96" s="9">
        <v>823.63599999999997</v>
      </c>
      <c r="Y96" s="9">
        <v>1619.9399999999998</v>
      </c>
      <c r="Z96" s="9" t="s">
        <v>2092</v>
      </c>
      <c r="AA96" t="s">
        <v>2065</v>
      </c>
      <c r="AB96" s="11">
        <v>0.16</v>
      </c>
      <c r="AC96" t="s">
        <v>2065</v>
      </c>
      <c r="AD96" s="13">
        <v>6</v>
      </c>
      <c r="AE96" s="9">
        <v>5487.6023999999998</v>
      </c>
      <c r="AF96" s="9">
        <v>6056.88</v>
      </c>
      <c r="AG96" s="9">
        <v>-569.27760000000035</v>
      </c>
      <c r="AH96" s="11">
        <v>-0.10373885688219693</v>
      </c>
      <c r="AI96" s="9">
        <f>SUMIFS(AD96:AD727, R96:R727, S96)</f>
        <v>0</v>
      </c>
      <c r="AJ96" s="11" t="e">
        <f>SUMIFS(AD96:AD727, R96:R727, S96, AD96:AD727, "&gt;" &amp; AE96) / AI96</f>
        <v>#DIV/0!</v>
      </c>
      <c r="AK96" s="7" t="e">
        <f>IF(AJ96&lt;=0.8,"A",IF(Table2[[#This Row],[Cumulative rev]]&lt;=0.95,"B","C"))</f>
        <v>#DIV/0!</v>
      </c>
    </row>
    <row r="97" spans="1:37" x14ac:dyDescent="0.3">
      <c r="A97" t="s">
        <v>110</v>
      </c>
      <c r="B97" s="4">
        <v>45022</v>
      </c>
      <c r="C97" s="4" t="s">
        <v>2102</v>
      </c>
      <c r="D97" s="4" t="s">
        <v>2103</v>
      </c>
      <c r="E97" s="4">
        <v>45043</v>
      </c>
      <c r="F97" t="s">
        <v>2064</v>
      </c>
      <c r="G97" s="4">
        <v>45043</v>
      </c>
      <c r="H97" s="4">
        <f>_xlfn.MINIFS(B97:B728, N97:N728, N97)</f>
        <v>44945</v>
      </c>
      <c r="I97" s="4" t="str">
        <f t="shared" si="2"/>
        <v>Jan-2023</v>
      </c>
      <c r="J97" s="13">
        <f t="shared" si="3"/>
        <v>3</v>
      </c>
      <c r="K97" s="13">
        <v>21</v>
      </c>
      <c r="L97" s="30" t="str">
        <f>IF(Table2[[#This Row],[LeadTimeDays]]&lt;7,"1","0")</f>
        <v>0</v>
      </c>
      <c r="M97" s="7" t="s">
        <v>649</v>
      </c>
      <c r="N97" s="7" t="s">
        <v>658</v>
      </c>
      <c r="O97" s="7" t="s">
        <v>693</v>
      </c>
      <c r="P97" s="7" t="s">
        <v>706</v>
      </c>
      <c r="Q97" s="7" t="s">
        <v>710</v>
      </c>
      <c r="R97" s="7" t="s">
        <v>714</v>
      </c>
      <c r="S97" s="7" t="s">
        <v>728</v>
      </c>
      <c r="T97" s="7" t="s">
        <v>1523</v>
      </c>
      <c r="U97" s="9">
        <v>1084.79</v>
      </c>
      <c r="V97" s="9">
        <v>2484.9899999999998</v>
      </c>
      <c r="W97" s="9">
        <v>2484.9899999999998</v>
      </c>
      <c r="X97" s="9">
        <v>821.92000000000007</v>
      </c>
      <c r="Y97" s="9">
        <v>1621.0070000000001</v>
      </c>
      <c r="Z97" s="9" t="s">
        <v>2095</v>
      </c>
      <c r="AA97" t="s">
        <v>2065</v>
      </c>
      <c r="AB97" s="11">
        <v>3.4000000000000002E-2</v>
      </c>
      <c r="AC97" t="s">
        <v>2065</v>
      </c>
      <c r="AD97" s="13">
        <v>18</v>
      </c>
      <c r="AE97" s="9">
        <v>43209.006119999991</v>
      </c>
      <c r="AF97" s="9">
        <v>19526.22</v>
      </c>
      <c r="AG97" s="9">
        <v>23682.78611999999</v>
      </c>
      <c r="AH97" s="11">
        <v>0.54809837685755114</v>
      </c>
      <c r="AI97" s="9">
        <f>SUMIFS(AD97:AD728, R97:R728, S97)</f>
        <v>0</v>
      </c>
      <c r="AJ97" s="11" t="e">
        <f>SUMIFS(AD97:AD728, R97:R728, S97, AD97:AD728, "&gt;" &amp; AE97) / AI97</f>
        <v>#DIV/0!</v>
      </c>
      <c r="AK97" s="7" t="e">
        <f>IF(AJ97&lt;=0.8,"A",IF(Table2[[#This Row],[Cumulative rev]]&lt;=0.95,"B","C"))</f>
        <v>#DIV/0!</v>
      </c>
    </row>
    <row r="98" spans="1:37" x14ac:dyDescent="0.3">
      <c r="A98" t="s">
        <v>111</v>
      </c>
      <c r="B98" s="4">
        <v>45870</v>
      </c>
      <c r="C98" s="4" t="s">
        <v>2121</v>
      </c>
      <c r="D98" s="4" t="s">
        <v>2101</v>
      </c>
      <c r="E98" s="4">
        <v>45885</v>
      </c>
      <c r="F98" t="s">
        <v>2064</v>
      </c>
      <c r="G98" s="4">
        <v>45885</v>
      </c>
      <c r="H98" s="4">
        <f>_xlfn.MINIFS(B98:B729, N98:N729, N98)</f>
        <v>44977</v>
      </c>
      <c r="I98" s="4" t="str">
        <f t="shared" si="2"/>
        <v>Feb-2023</v>
      </c>
      <c r="J98" s="13">
        <f t="shared" si="3"/>
        <v>30</v>
      </c>
      <c r="K98" s="13">
        <v>15</v>
      </c>
      <c r="L98" s="30" t="str">
        <f>IF(Table2[[#This Row],[LeadTimeDays]]&lt;7,"1","0")</f>
        <v>0</v>
      </c>
      <c r="M98" s="7" t="s">
        <v>647</v>
      </c>
      <c r="N98" s="7" t="s">
        <v>654</v>
      </c>
      <c r="O98" s="7" t="s">
        <v>2057</v>
      </c>
      <c r="P98" s="7" t="s">
        <v>706</v>
      </c>
      <c r="Q98" s="7" t="s">
        <v>711</v>
      </c>
      <c r="R98" s="7" t="s">
        <v>719</v>
      </c>
      <c r="S98" s="7" t="s">
        <v>732</v>
      </c>
      <c r="T98" s="7" t="s">
        <v>1524</v>
      </c>
      <c r="U98" s="9">
        <v>24.44</v>
      </c>
      <c r="V98" s="9">
        <v>28.69</v>
      </c>
      <c r="W98" s="9">
        <v>28.69</v>
      </c>
      <c r="X98" s="9">
        <v>820.20399999999995</v>
      </c>
      <c r="Y98" s="9">
        <v>1619.06</v>
      </c>
      <c r="Z98" s="9" t="s">
        <v>2081</v>
      </c>
      <c r="AA98" t="s">
        <v>2065</v>
      </c>
      <c r="AB98" s="11">
        <v>0.14599999999999999</v>
      </c>
      <c r="AC98" t="s">
        <v>2065</v>
      </c>
      <c r="AD98" s="13">
        <v>6</v>
      </c>
      <c r="AE98" s="9">
        <v>147.00756000000001</v>
      </c>
      <c r="AF98" s="9">
        <v>146.64000000000001</v>
      </c>
      <c r="AG98" s="9">
        <v>0.36755999999999744</v>
      </c>
      <c r="AH98" s="11">
        <v>2.5002795774584476E-3</v>
      </c>
      <c r="AI98" s="9">
        <f>SUMIFS(AD98:AD729, R98:R729, S98)</f>
        <v>0</v>
      </c>
      <c r="AJ98" s="11" t="e">
        <f>SUMIFS(AD98:AD729, R98:R729, S98, AD98:AD729, "&gt;" &amp; AE98) / AI98</f>
        <v>#DIV/0!</v>
      </c>
      <c r="AK98" s="7" t="e">
        <f>IF(AJ98&lt;=0.8,"A",IF(Table2[[#This Row],[Cumulative rev]]&lt;=0.95,"B","C"))</f>
        <v>#DIV/0!</v>
      </c>
    </row>
    <row r="99" spans="1:37" x14ac:dyDescent="0.3">
      <c r="A99" t="s">
        <v>112</v>
      </c>
      <c r="B99" s="4">
        <v>45440</v>
      </c>
      <c r="C99" s="4" t="s">
        <v>2093</v>
      </c>
      <c r="D99" s="4" t="s">
        <v>2094</v>
      </c>
      <c r="E99" s="4">
        <v>45438</v>
      </c>
      <c r="F99" t="s">
        <v>2066</v>
      </c>
      <c r="G99" s="4">
        <v>45440</v>
      </c>
      <c r="H99" s="4">
        <f>_xlfn.MINIFS(B99:B730, N99:N730, N99)</f>
        <v>44968</v>
      </c>
      <c r="I99" s="4" t="str">
        <f t="shared" si="2"/>
        <v>Feb-2023</v>
      </c>
      <c r="J99" s="13">
        <f t="shared" si="3"/>
        <v>16</v>
      </c>
      <c r="K99" s="13">
        <v>0</v>
      </c>
      <c r="L99" s="30" t="str">
        <f>IF(Table2[[#This Row],[LeadTimeDays]]&lt;7,"1","0")</f>
        <v>1</v>
      </c>
      <c r="M99" s="7" t="s">
        <v>646</v>
      </c>
      <c r="N99" s="7" t="s">
        <v>651</v>
      </c>
      <c r="O99" s="7" t="s">
        <v>669</v>
      </c>
      <c r="P99" s="7" t="s">
        <v>706</v>
      </c>
      <c r="Q99" s="7" t="s">
        <v>708</v>
      </c>
      <c r="R99" s="7" t="s">
        <v>721</v>
      </c>
      <c r="S99" s="7" t="s">
        <v>733</v>
      </c>
      <c r="T99" s="7" t="s">
        <v>1525</v>
      </c>
      <c r="U99" s="9">
        <v>1227.08</v>
      </c>
      <c r="V99" s="9">
        <v>1896.62</v>
      </c>
      <c r="W99" s="9">
        <v>1896.62</v>
      </c>
      <c r="X99" s="9">
        <v>823.6880000000001</v>
      </c>
      <c r="Y99" s="9">
        <v>1619.9949999999999</v>
      </c>
      <c r="Z99" s="9" t="s">
        <v>2095</v>
      </c>
      <c r="AA99" t="s">
        <v>2065</v>
      </c>
      <c r="AB99" s="11">
        <v>0</v>
      </c>
      <c r="AC99" t="s">
        <v>2065</v>
      </c>
      <c r="AD99" s="13">
        <v>18</v>
      </c>
      <c r="AE99" s="9">
        <v>34139.159999999996</v>
      </c>
      <c r="AF99" s="9">
        <v>22087.439999999999</v>
      </c>
      <c r="AG99" s="9">
        <v>12051.719999999998</v>
      </c>
      <c r="AH99" s="11">
        <v>0.353017473189147</v>
      </c>
      <c r="AI99" s="9">
        <f>SUMIFS(AD99:AD730, R99:R730, S99)</f>
        <v>0</v>
      </c>
      <c r="AJ99" s="11" t="e">
        <f>SUMIFS(AD99:AD730, R99:R730, S99, AD99:AD730, "&gt;" &amp; AE99) / AI99</f>
        <v>#DIV/0!</v>
      </c>
      <c r="AK99" s="7" t="e">
        <f>IF(AJ99&lt;=0.8,"A",IF(Table2[[#This Row],[Cumulative rev]]&lt;=0.95,"B","C"))</f>
        <v>#DIV/0!</v>
      </c>
    </row>
    <row r="100" spans="1:37" x14ac:dyDescent="0.3">
      <c r="A100" t="s">
        <v>113</v>
      </c>
      <c r="B100" s="4">
        <v>45860</v>
      </c>
      <c r="C100" s="4" t="s">
        <v>2104</v>
      </c>
      <c r="D100" s="4" t="s">
        <v>2101</v>
      </c>
      <c r="E100" s="4">
        <v>45887</v>
      </c>
      <c r="F100" t="s">
        <v>2064</v>
      </c>
      <c r="G100" s="4">
        <v>45887</v>
      </c>
      <c r="H100" s="4">
        <f>_xlfn.MINIFS(B100:B731, N100:N731, N100)</f>
        <v>44938</v>
      </c>
      <c r="I100" s="4" t="str">
        <f t="shared" si="2"/>
        <v>Jan-2023</v>
      </c>
      <c r="J100" s="13">
        <f t="shared" si="3"/>
        <v>31</v>
      </c>
      <c r="K100" s="13">
        <v>27</v>
      </c>
      <c r="L100" s="30" t="str">
        <f>IF(Table2[[#This Row],[LeadTimeDays]]&lt;7,"1","0")</f>
        <v>0</v>
      </c>
      <c r="M100" s="7" t="s">
        <v>647</v>
      </c>
      <c r="N100" s="7" t="s">
        <v>659</v>
      </c>
      <c r="O100" s="7" t="s">
        <v>676</v>
      </c>
      <c r="P100" s="7" t="s">
        <v>703</v>
      </c>
      <c r="Q100" s="7" t="s">
        <v>709</v>
      </c>
      <c r="R100" s="7" t="s">
        <v>724</v>
      </c>
      <c r="S100" s="7" t="s">
        <v>729</v>
      </c>
      <c r="T100" s="7" t="s">
        <v>1526</v>
      </c>
      <c r="U100" s="9">
        <v>547.32000000000005</v>
      </c>
      <c r="V100" s="9">
        <v>419.17</v>
      </c>
      <c r="W100" s="9">
        <v>419.17</v>
      </c>
      <c r="X100" s="9">
        <v>821.97199999999998</v>
      </c>
      <c r="Y100" s="9">
        <v>1618.1799999999998</v>
      </c>
      <c r="Z100" s="9" t="s">
        <v>2081</v>
      </c>
      <c r="AA100" t="s">
        <v>2065</v>
      </c>
      <c r="AB100" s="11">
        <v>9.1999999999999998E-2</v>
      </c>
      <c r="AC100" t="s">
        <v>2065</v>
      </c>
      <c r="AD100" s="13">
        <v>14</v>
      </c>
      <c r="AE100" s="9">
        <v>5328.4890400000004</v>
      </c>
      <c r="AF100" s="9">
        <v>7662.4800000000005</v>
      </c>
      <c r="AG100" s="9">
        <v>-2333.9909600000001</v>
      </c>
      <c r="AH100" s="11">
        <v>-0.43802116181137907</v>
      </c>
      <c r="AI100" s="9">
        <f>SUMIFS(AD100:AD731, R100:R731, S100)</f>
        <v>0</v>
      </c>
      <c r="AJ100" s="11" t="e">
        <f>SUMIFS(AD100:AD731, R100:R731, S100, AD100:AD731, "&gt;" &amp; AE100) / AI100</f>
        <v>#DIV/0!</v>
      </c>
      <c r="AK100" s="7" t="e">
        <f>IF(AJ100&lt;=0.8,"A",IF(Table2[[#This Row],[Cumulative rev]]&lt;=0.95,"B","C"))</f>
        <v>#DIV/0!</v>
      </c>
    </row>
    <row r="101" spans="1:37" x14ac:dyDescent="0.3">
      <c r="A101" t="s">
        <v>114</v>
      </c>
      <c r="B101" s="4">
        <v>44985</v>
      </c>
      <c r="C101" s="4" t="s">
        <v>2084</v>
      </c>
      <c r="D101" s="4" t="s">
        <v>2085</v>
      </c>
      <c r="E101" s="4">
        <v>45005</v>
      </c>
      <c r="F101" t="s">
        <v>2064</v>
      </c>
      <c r="G101" s="4">
        <v>45005</v>
      </c>
      <c r="H101" s="4">
        <f>_xlfn.MINIFS(B101:B732, N101:N732, N101)</f>
        <v>44948</v>
      </c>
      <c r="I101" s="4" t="str">
        <f t="shared" si="2"/>
        <v>Jan-2023</v>
      </c>
      <c r="J101" s="13">
        <f t="shared" si="3"/>
        <v>2</v>
      </c>
      <c r="K101" s="13">
        <v>20</v>
      </c>
      <c r="L101" s="30" t="str">
        <f>IF(Table2[[#This Row],[LeadTimeDays]]&lt;7,"1","0")</f>
        <v>0</v>
      </c>
      <c r="M101" s="7" t="s">
        <v>649</v>
      </c>
      <c r="N101" s="7" t="s">
        <v>656</v>
      </c>
      <c r="O101" s="7" t="s">
        <v>671</v>
      </c>
      <c r="P101" s="7" t="s">
        <v>705</v>
      </c>
      <c r="Q101" s="7" t="s">
        <v>711</v>
      </c>
      <c r="R101" s="7" t="s">
        <v>722</v>
      </c>
      <c r="S101" s="7" t="s">
        <v>731</v>
      </c>
      <c r="T101" s="7" t="s">
        <v>1527</v>
      </c>
      <c r="U101" s="9">
        <v>1200.78</v>
      </c>
      <c r="V101" s="9">
        <v>2001.17</v>
      </c>
      <c r="W101" s="9">
        <v>2001.17</v>
      </c>
      <c r="X101" s="9">
        <v>824.38649999999996</v>
      </c>
      <c r="Y101" s="9">
        <v>1619.115</v>
      </c>
      <c r="Z101" s="9" t="s">
        <v>2095</v>
      </c>
      <c r="AA101" t="s">
        <v>2065</v>
      </c>
      <c r="AB101" s="11">
        <v>0.29199999999999998</v>
      </c>
      <c r="AC101" t="s">
        <v>2065</v>
      </c>
      <c r="AD101" s="13">
        <v>18</v>
      </c>
      <c r="AE101" s="9">
        <v>25502.910479999999</v>
      </c>
      <c r="AF101" s="9">
        <v>21614.04</v>
      </c>
      <c r="AG101" s="9">
        <v>3888.8704799999978</v>
      </c>
      <c r="AH101" s="11">
        <v>0.15248732034132906</v>
      </c>
      <c r="AI101" s="9">
        <f>SUMIFS(AD101:AD732, R101:R732, S101)</f>
        <v>0</v>
      </c>
      <c r="AJ101" s="11" t="e">
        <f>SUMIFS(AD101:AD732, R101:R732, S101, AD101:AD732, "&gt;" &amp; AE101) / AI101</f>
        <v>#DIV/0!</v>
      </c>
      <c r="AK101" s="7" t="e">
        <f>IF(AJ101&lt;=0.8,"A",IF(Table2[[#This Row],[Cumulative rev]]&lt;=0.95,"B","C"))</f>
        <v>#DIV/0!</v>
      </c>
    </row>
    <row r="102" spans="1:37" x14ac:dyDescent="0.3">
      <c r="A102" t="s">
        <v>115</v>
      </c>
      <c r="B102" s="4">
        <v>45684</v>
      </c>
      <c r="C102" s="4" t="s">
        <v>2099</v>
      </c>
      <c r="D102" s="4" t="s">
        <v>2087</v>
      </c>
      <c r="E102" s="4">
        <v>45703</v>
      </c>
      <c r="F102" t="s">
        <v>2064</v>
      </c>
      <c r="G102" s="4">
        <v>45703</v>
      </c>
      <c r="H102" s="4">
        <f>_xlfn.MINIFS(B102:B733, N102:N733, N102)</f>
        <v>44938</v>
      </c>
      <c r="I102" s="4" t="str">
        <f t="shared" si="2"/>
        <v>Jan-2023</v>
      </c>
      <c r="J102" s="13">
        <f t="shared" si="3"/>
        <v>25</v>
      </c>
      <c r="K102" s="13">
        <v>19</v>
      </c>
      <c r="L102" s="30" t="str">
        <f>IF(Table2[[#This Row],[LeadTimeDays]]&lt;7,"1","0")</f>
        <v>0</v>
      </c>
      <c r="M102" s="7" t="s">
        <v>647</v>
      </c>
      <c r="N102" s="7" t="s">
        <v>659</v>
      </c>
      <c r="O102" s="7" t="s">
        <v>676</v>
      </c>
      <c r="P102" s="7" t="s">
        <v>703</v>
      </c>
      <c r="Q102" s="7" t="s">
        <v>711</v>
      </c>
      <c r="R102" s="7" t="s">
        <v>716</v>
      </c>
      <c r="S102" s="7" t="s">
        <v>730</v>
      </c>
      <c r="T102" s="7" t="s">
        <v>1528</v>
      </c>
      <c r="U102" s="9">
        <v>1253.22</v>
      </c>
      <c r="V102" s="9">
        <v>3104.71</v>
      </c>
      <c r="W102" s="9">
        <v>3104.71</v>
      </c>
      <c r="X102" s="9">
        <v>823.74</v>
      </c>
      <c r="Y102" s="9">
        <v>1613.3840000000002</v>
      </c>
      <c r="Z102" s="9" t="s">
        <v>2095</v>
      </c>
      <c r="AA102" t="s">
        <v>2065</v>
      </c>
      <c r="AB102" s="11">
        <v>0</v>
      </c>
      <c r="AC102" t="s">
        <v>2065</v>
      </c>
      <c r="AD102" s="13">
        <v>17</v>
      </c>
      <c r="AE102" s="9">
        <v>52780.07</v>
      </c>
      <c r="AF102" s="9">
        <v>21304.74</v>
      </c>
      <c r="AG102" s="9">
        <v>31475.329999999998</v>
      </c>
      <c r="AH102" s="11">
        <v>0.59634877331538205</v>
      </c>
      <c r="AI102" s="9">
        <f>SUMIFS(AD102:AD733, R102:R733, S102)</f>
        <v>0</v>
      </c>
      <c r="AJ102" s="11" t="e">
        <f>SUMIFS(AD102:AD733, R102:R733, S102, AD102:AD733, "&gt;" &amp; AE102) / AI102</f>
        <v>#DIV/0!</v>
      </c>
      <c r="AK102" s="7" t="e">
        <f>IF(AJ102&lt;=0.8,"A",IF(Table2[[#This Row],[Cumulative rev]]&lt;=0.95,"B","C"))</f>
        <v>#DIV/0!</v>
      </c>
    </row>
    <row r="103" spans="1:37" x14ac:dyDescent="0.3">
      <c r="A103" t="s">
        <v>116</v>
      </c>
      <c r="B103" s="4">
        <v>45304</v>
      </c>
      <c r="C103" s="4" t="s">
        <v>2098</v>
      </c>
      <c r="D103" s="4" t="s">
        <v>2080</v>
      </c>
      <c r="E103" s="4">
        <v>45313</v>
      </c>
      <c r="F103" t="s">
        <v>2064</v>
      </c>
      <c r="G103" s="4">
        <v>45313</v>
      </c>
      <c r="H103" s="4">
        <f>_xlfn.MINIFS(B103:B734, N103:N734, N103)</f>
        <v>44977</v>
      </c>
      <c r="I103" s="4" t="str">
        <f t="shared" si="2"/>
        <v>Feb-2023</v>
      </c>
      <c r="J103" s="13">
        <f t="shared" si="3"/>
        <v>11</v>
      </c>
      <c r="K103" s="13">
        <v>9</v>
      </c>
      <c r="L103" s="30" t="str">
        <f>IF(Table2[[#This Row],[LeadTimeDays]]&lt;7,"1","0")</f>
        <v>0</v>
      </c>
      <c r="M103" s="7" t="s">
        <v>647</v>
      </c>
      <c r="N103" s="7" t="s">
        <v>654</v>
      </c>
      <c r="O103" s="7" t="s">
        <v>691</v>
      </c>
      <c r="P103" s="7" t="s">
        <v>706</v>
      </c>
      <c r="Q103" s="7" t="s">
        <v>709</v>
      </c>
      <c r="R103" s="7" t="s">
        <v>713</v>
      </c>
      <c r="S103" s="7" t="s">
        <v>727</v>
      </c>
      <c r="T103" s="7" t="s">
        <v>1529</v>
      </c>
      <c r="U103" s="9">
        <v>313.60000000000002</v>
      </c>
      <c r="V103" s="9">
        <v>334.28</v>
      </c>
      <c r="W103" s="9">
        <v>334.28</v>
      </c>
      <c r="X103" s="9">
        <v>822.02400000000011</v>
      </c>
      <c r="Y103" s="9">
        <v>1598.646200000001</v>
      </c>
      <c r="Z103" s="9" t="s">
        <v>2081</v>
      </c>
      <c r="AA103" t="s">
        <v>2065</v>
      </c>
      <c r="AB103" s="11">
        <v>0.14000000000000001</v>
      </c>
      <c r="AC103" t="s">
        <v>2065</v>
      </c>
      <c r="AD103" s="13">
        <v>22</v>
      </c>
      <c r="AE103" s="9">
        <v>6324.5775999999996</v>
      </c>
      <c r="AF103" s="9">
        <v>6899.2000000000007</v>
      </c>
      <c r="AG103" s="9">
        <v>-574.62240000000111</v>
      </c>
      <c r="AH103" s="11">
        <v>-9.0855458868905517E-2</v>
      </c>
      <c r="AI103" s="9">
        <f>SUMIFS(AD103:AD734, R103:R734, S103)</f>
        <v>0</v>
      </c>
      <c r="AJ103" s="11" t="e">
        <f>SUMIFS(AD103:AD734, R103:R734, S103, AD103:AD734, "&gt;" &amp; AE103) / AI103</f>
        <v>#DIV/0!</v>
      </c>
      <c r="AK103" s="7" t="e">
        <f>IF(AJ103&lt;=0.8,"A",IF(Table2[[#This Row],[Cumulative rev]]&lt;=0.95,"B","C"))</f>
        <v>#DIV/0!</v>
      </c>
    </row>
    <row r="104" spans="1:37" x14ac:dyDescent="0.3">
      <c r="A104" t="s">
        <v>117</v>
      </c>
      <c r="B104" s="4">
        <v>45747</v>
      </c>
      <c r="C104" s="4" t="s">
        <v>2086</v>
      </c>
      <c r="D104" s="4" t="s">
        <v>2087</v>
      </c>
      <c r="E104" s="4">
        <v>45751</v>
      </c>
      <c r="F104" t="s">
        <v>2064</v>
      </c>
      <c r="G104" s="4">
        <v>45751</v>
      </c>
      <c r="H104" s="4">
        <f>_xlfn.MINIFS(B104:B735, N104:N735, N104)</f>
        <v>44946</v>
      </c>
      <c r="I104" s="4" t="str">
        <f t="shared" si="2"/>
        <v>Jan-2023</v>
      </c>
      <c r="J104" s="13">
        <f t="shared" si="3"/>
        <v>27</v>
      </c>
      <c r="K104" s="13">
        <v>4</v>
      </c>
      <c r="L104" s="30" t="str">
        <f>IF(Table2[[#This Row],[LeadTimeDays]]&lt;7,"1","0")</f>
        <v>1</v>
      </c>
      <c r="M104" s="7" t="s">
        <v>646</v>
      </c>
      <c r="N104" s="7" t="s">
        <v>650</v>
      </c>
      <c r="O104" s="7" t="s">
        <v>678</v>
      </c>
      <c r="P104" s="7" t="s">
        <v>701</v>
      </c>
      <c r="Q104" s="7" t="s">
        <v>711</v>
      </c>
      <c r="R104" s="7" t="s">
        <v>712</v>
      </c>
      <c r="S104" s="7" t="s">
        <v>731</v>
      </c>
      <c r="T104" s="7" t="s">
        <v>1530</v>
      </c>
      <c r="U104" s="9">
        <v>862.08</v>
      </c>
      <c r="V104" s="9">
        <v>1952.83</v>
      </c>
      <c r="W104" s="9">
        <v>1952.83</v>
      </c>
      <c r="X104" s="9">
        <v>824.39199999999994</v>
      </c>
      <c r="Y104" s="9">
        <v>1606.2384000000004</v>
      </c>
      <c r="Z104" s="9" t="s">
        <v>2095</v>
      </c>
      <c r="AA104" t="s">
        <v>2065</v>
      </c>
      <c r="AB104" s="11">
        <v>0</v>
      </c>
      <c r="AC104" t="s">
        <v>2065</v>
      </c>
      <c r="AD104" s="13">
        <v>7</v>
      </c>
      <c r="AE104" s="9">
        <v>13669.81</v>
      </c>
      <c r="AF104" s="9">
        <v>6034.56</v>
      </c>
      <c r="AG104" s="9">
        <v>7635.2499999999991</v>
      </c>
      <c r="AH104" s="11">
        <v>0.5585483631447693</v>
      </c>
      <c r="AI104" s="9">
        <f>SUMIFS(AD104:AD735, R104:R735, S104)</f>
        <v>0</v>
      </c>
      <c r="AJ104" s="11" t="e">
        <f>SUMIFS(AD104:AD735, R104:R735, S104, AD104:AD735, "&gt;" &amp; AE104) / AI104</f>
        <v>#DIV/0!</v>
      </c>
      <c r="AK104" s="7" t="e">
        <f>IF(AJ104&lt;=0.8,"A",IF(Table2[[#This Row],[Cumulative rev]]&lt;=0.95,"B","C"))</f>
        <v>#DIV/0!</v>
      </c>
    </row>
    <row r="105" spans="1:37" x14ac:dyDescent="0.3">
      <c r="A105" t="s">
        <v>118</v>
      </c>
      <c r="B105" s="4">
        <v>45631</v>
      </c>
      <c r="C105" s="4" t="s">
        <v>2091</v>
      </c>
      <c r="D105" s="4" t="s">
        <v>2083</v>
      </c>
      <c r="E105" s="4">
        <v>45654</v>
      </c>
      <c r="F105" t="s">
        <v>2064</v>
      </c>
      <c r="G105" s="4">
        <v>45654</v>
      </c>
      <c r="H105" s="4">
        <f>_xlfn.MINIFS(B105:B736, N105:N736, N105)</f>
        <v>44989</v>
      </c>
      <c r="I105" s="4" t="str">
        <f t="shared" si="2"/>
        <v>Mar-2023</v>
      </c>
      <c r="J105" s="13">
        <f t="shared" si="3"/>
        <v>22</v>
      </c>
      <c r="K105" s="13">
        <v>23</v>
      </c>
      <c r="L105" s="30" t="str">
        <f>IF(Table2[[#This Row],[LeadTimeDays]]&lt;7,"1","0")</f>
        <v>0</v>
      </c>
      <c r="M105" s="7" t="s">
        <v>648</v>
      </c>
      <c r="N105" s="7" t="s">
        <v>653</v>
      </c>
      <c r="O105" s="7" t="s">
        <v>688</v>
      </c>
      <c r="P105" s="7" t="s">
        <v>701</v>
      </c>
      <c r="Q105" s="7" t="s">
        <v>711</v>
      </c>
      <c r="R105" s="7" t="s">
        <v>721</v>
      </c>
      <c r="S105" s="7" t="s">
        <v>733</v>
      </c>
      <c r="T105" s="7" t="s">
        <v>1531</v>
      </c>
      <c r="U105" s="9">
        <v>107.03</v>
      </c>
      <c r="V105" s="9">
        <v>242.29</v>
      </c>
      <c r="W105" s="9">
        <v>242.29</v>
      </c>
      <c r="X105" s="9">
        <v>823.79199999999992</v>
      </c>
      <c r="Y105" s="9">
        <v>1595.3868</v>
      </c>
      <c r="Z105" s="9" t="s">
        <v>2081</v>
      </c>
      <c r="AA105" t="s">
        <v>2065</v>
      </c>
      <c r="AB105" s="11">
        <v>0.18</v>
      </c>
      <c r="AC105" t="s">
        <v>2065</v>
      </c>
      <c r="AD105" s="13">
        <v>30</v>
      </c>
      <c r="AE105" s="9">
        <v>5960.3340000000007</v>
      </c>
      <c r="AF105" s="9">
        <v>3210.9</v>
      </c>
      <c r="AG105" s="9">
        <v>2749.4340000000007</v>
      </c>
      <c r="AH105" s="11">
        <v>0.46128857879440988</v>
      </c>
      <c r="AI105" s="9">
        <f>SUMIFS(AD105:AD736, R105:R736, S105)</f>
        <v>0</v>
      </c>
      <c r="AJ105" s="11" t="e">
        <f>SUMIFS(AD105:AD736, R105:R736, S105, AD105:AD736, "&gt;" &amp; AE105) / AI105</f>
        <v>#DIV/0!</v>
      </c>
      <c r="AK105" s="7" t="e">
        <f>IF(AJ105&lt;=0.8,"A",IF(Table2[[#This Row],[Cumulative rev]]&lt;=0.95,"B","C"))</f>
        <v>#DIV/0!</v>
      </c>
    </row>
    <row r="106" spans="1:37" x14ac:dyDescent="0.3">
      <c r="A106" t="s">
        <v>119</v>
      </c>
      <c r="B106" s="4">
        <v>45549</v>
      </c>
      <c r="C106" s="4" t="s">
        <v>2122</v>
      </c>
      <c r="D106" s="4" t="s">
        <v>2106</v>
      </c>
      <c r="E106" s="4">
        <v>45570</v>
      </c>
      <c r="F106" t="s">
        <v>2064</v>
      </c>
      <c r="G106" s="4">
        <v>45570</v>
      </c>
      <c r="H106" s="4">
        <f>_xlfn.MINIFS(B106:B737, N106:N737, N106)</f>
        <v>44938</v>
      </c>
      <c r="I106" s="4" t="str">
        <f t="shared" si="2"/>
        <v>Jan-2023</v>
      </c>
      <c r="J106" s="13">
        <f t="shared" si="3"/>
        <v>21</v>
      </c>
      <c r="K106" s="13">
        <v>21</v>
      </c>
      <c r="L106" s="30" t="str">
        <f>IF(Table2[[#This Row],[LeadTimeDays]]&lt;7,"1","0")</f>
        <v>0</v>
      </c>
      <c r="M106" s="7" t="s">
        <v>647</v>
      </c>
      <c r="N106" s="7" t="s">
        <v>659</v>
      </c>
      <c r="O106" s="7" t="s">
        <v>685</v>
      </c>
      <c r="P106" s="7" t="s">
        <v>705</v>
      </c>
      <c r="Q106" s="7" t="s">
        <v>708</v>
      </c>
      <c r="R106" s="7" t="s">
        <v>722</v>
      </c>
      <c r="S106" s="7" t="s">
        <v>731</v>
      </c>
      <c r="T106" s="7" t="s">
        <v>1532</v>
      </c>
      <c r="U106" s="9">
        <v>1405.56</v>
      </c>
      <c r="V106" s="9">
        <v>2968.87</v>
      </c>
      <c r="W106" s="9">
        <v>2968.87</v>
      </c>
      <c r="X106" s="9">
        <v>824.57899999999995</v>
      </c>
      <c r="Y106" s="9">
        <v>1599.0928000000006</v>
      </c>
      <c r="Z106" s="9" t="s">
        <v>2095</v>
      </c>
      <c r="AA106" t="s">
        <v>2065</v>
      </c>
      <c r="AB106" s="11">
        <v>0.16900000000000001</v>
      </c>
      <c r="AC106" t="s">
        <v>2065</v>
      </c>
      <c r="AD106" s="13">
        <v>5</v>
      </c>
      <c r="AE106" s="9">
        <v>12335.654849999999</v>
      </c>
      <c r="AF106" s="9">
        <v>7027.7999999999993</v>
      </c>
      <c r="AG106" s="9">
        <v>5307.8548499999997</v>
      </c>
      <c r="AH106" s="11">
        <v>0.4302856163327235</v>
      </c>
      <c r="AI106" s="9">
        <f>SUMIFS(AD106:AD737, R106:R737, S106)</f>
        <v>0</v>
      </c>
      <c r="AJ106" s="11" t="e">
        <f>SUMIFS(AD106:AD737, R106:R737, S106, AD106:AD737, "&gt;" &amp; AE106) / AI106</f>
        <v>#DIV/0!</v>
      </c>
      <c r="AK106" s="7" t="e">
        <f>IF(AJ106&lt;=0.8,"A",IF(Table2[[#This Row],[Cumulative rev]]&lt;=0.95,"B","C"))</f>
        <v>#DIV/0!</v>
      </c>
    </row>
    <row r="107" spans="1:37" x14ac:dyDescent="0.3">
      <c r="A107" t="s">
        <v>120</v>
      </c>
      <c r="B107" s="4">
        <v>45433</v>
      </c>
      <c r="C107" s="4" t="s">
        <v>2093</v>
      </c>
      <c r="D107" s="4" t="s">
        <v>2094</v>
      </c>
      <c r="E107" s="4">
        <v>45439</v>
      </c>
      <c r="F107" t="s">
        <v>2064</v>
      </c>
      <c r="G107" s="4">
        <v>45439</v>
      </c>
      <c r="H107" s="4">
        <f>_xlfn.MINIFS(B107:B738, N107:N738, N107)</f>
        <v>44933</v>
      </c>
      <c r="I107" s="4" t="str">
        <f t="shared" si="2"/>
        <v>Jan-2023</v>
      </c>
      <c r="J107" s="13">
        <f t="shared" si="3"/>
        <v>17</v>
      </c>
      <c r="K107" s="13">
        <v>6</v>
      </c>
      <c r="L107" s="30" t="str">
        <f>IF(Table2[[#This Row],[LeadTimeDays]]&lt;7,"1","0")</f>
        <v>1</v>
      </c>
      <c r="M107" s="7" t="s">
        <v>646</v>
      </c>
      <c r="N107" s="7" t="s">
        <v>661</v>
      </c>
      <c r="O107" s="7" t="s">
        <v>682</v>
      </c>
      <c r="P107" s="7" t="s">
        <v>703</v>
      </c>
      <c r="Q107" s="7" t="s">
        <v>708</v>
      </c>
      <c r="R107" s="7" t="s">
        <v>724</v>
      </c>
      <c r="S107" s="7" t="s">
        <v>727</v>
      </c>
      <c r="T107" s="7" t="s">
        <v>1533</v>
      </c>
      <c r="U107" s="9">
        <v>1157.51</v>
      </c>
      <c r="V107" s="9">
        <v>1394.3</v>
      </c>
      <c r="W107" s="9">
        <v>1394.3</v>
      </c>
      <c r="X107" s="9">
        <v>824.39750000000004</v>
      </c>
      <c r="Y107" s="9">
        <v>1595.15</v>
      </c>
      <c r="Z107" s="9" t="s">
        <v>2092</v>
      </c>
      <c r="AA107" t="s">
        <v>2065</v>
      </c>
      <c r="AB107" s="11">
        <v>0.27800000000000002</v>
      </c>
      <c r="AC107" t="s">
        <v>2065</v>
      </c>
      <c r="AD107" s="13">
        <v>12</v>
      </c>
      <c r="AE107" s="9">
        <v>12080.215199999999</v>
      </c>
      <c r="AF107" s="9">
        <v>13890.119999999999</v>
      </c>
      <c r="AG107" s="9">
        <v>-1809.9048000000003</v>
      </c>
      <c r="AH107" s="11">
        <v>-0.14982388724333326</v>
      </c>
      <c r="AI107" s="9">
        <f>SUMIFS(AD107:AD738, R107:R738, S107)</f>
        <v>0</v>
      </c>
      <c r="AJ107" s="11" t="e">
        <f>SUMIFS(AD107:AD738, R107:R738, S107, AD107:AD738, "&gt;" &amp; AE107) / AI107</f>
        <v>#DIV/0!</v>
      </c>
      <c r="AK107" s="7" t="e">
        <f>IF(AJ107&lt;=0.8,"A",IF(Table2[[#This Row],[Cumulative rev]]&lt;=0.95,"B","C"))</f>
        <v>#DIV/0!</v>
      </c>
    </row>
    <row r="108" spans="1:37" x14ac:dyDescent="0.3">
      <c r="A108" t="s">
        <v>121</v>
      </c>
      <c r="B108" s="4">
        <v>45057</v>
      </c>
      <c r="C108" s="4" t="s">
        <v>2107</v>
      </c>
      <c r="D108" s="4" t="s">
        <v>2103</v>
      </c>
      <c r="E108" s="4">
        <v>45084</v>
      </c>
      <c r="F108" t="s">
        <v>2064</v>
      </c>
      <c r="G108" s="4">
        <v>45084</v>
      </c>
      <c r="H108" s="4">
        <f>_xlfn.MINIFS(B108:B739, N108:N739, N108)</f>
        <v>44946</v>
      </c>
      <c r="I108" s="4" t="str">
        <f t="shared" si="2"/>
        <v>Jan-2023</v>
      </c>
      <c r="J108" s="13">
        <f t="shared" si="3"/>
        <v>4</v>
      </c>
      <c r="K108" s="13">
        <v>27</v>
      </c>
      <c r="L108" s="30" t="str">
        <f>IF(Table2[[#This Row],[LeadTimeDays]]&lt;7,"1","0")</f>
        <v>0</v>
      </c>
      <c r="M108" s="7" t="s">
        <v>646</v>
      </c>
      <c r="N108" s="7" t="s">
        <v>650</v>
      </c>
      <c r="O108" s="7" t="s">
        <v>675</v>
      </c>
      <c r="P108" s="7" t="s">
        <v>701</v>
      </c>
      <c r="Q108" s="7" t="s">
        <v>708</v>
      </c>
      <c r="R108" s="7" t="s">
        <v>713</v>
      </c>
      <c r="S108" s="7" t="s">
        <v>730</v>
      </c>
      <c r="T108" s="7" t="s">
        <v>1534</v>
      </c>
      <c r="U108" s="9">
        <v>12.85</v>
      </c>
      <c r="V108" s="9">
        <v>15.41</v>
      </c>
      <c r="W108" s="9">
        <v>15.41</v>
      </c>
      <c r="X108" s="9">
        <v>823.84400000000005</v>
      </c>
      <c r="Y108" s="9">
        <v>1595.4015999999999</v>
      </c>
      <c r="Z108" s="9" t="s">
        <v>2081</v>
      </c>
      <c r="AA108" t="s">
        <v>2065</v>
      </c>
      <c r="AB108" s="11">
        <v>0.13700000000000001</v>
      </c>
      <c r="AC108" t="s">
        <v>2065</v>
      </c>
      <c r="AD108" s="13">
        <v>39</v>
      </c>
      <c r="AE108" s="9">
        <v>518.65436999999997</v>
      </c>
      <c r="AF108" s="9">
        <v>501.15</v>
      </c>
      <c r="AG108" s="9">
        <v>17.504369999999994</v>
      </c>
      <c r="AH108" s="11">
        <v>3.3749585489851353E-2</v>
      </c>
      <c r="AI108" s="9">
        <f>SUMIFS(AD108:AD739, R108:R739, S108)</f>
        <v>0</v>
      </c>
      <c r="AJ108" s="11" t="e">
        <f>SUMIFS(AD108:AD739, R108:R739, S108, AD108:AD739, "&gt;" &amp; AE108) / AI108</f>
        <v>#DIV/0!</v>
      </c>
      <c r="AK108" s="7" t="e">
        <f>IF(AJ108&lt;=0.8,"A",IF(Table2[[#This Row],[Cumulative rev]]&lt;=0.95,"B","C"))</f>
        <v>#DIV/0!</v>
      </c>
    </row>
    <row r="109" spans="1:37" x14ac:dyDescent="0.3">
      <c r="A109" t="s">
        <v>122</v>
      </c>
      <c r="B109" s="4">
        <v>45518</v>
      </c>
      <c r="C109" s="4" t="s">
        <v>2113</v>
      </c>
      <c r="D109" s="4" t="s">
        <v>2106</v>
      </c>
      <c r="E109" s="4">
        <v>45539</v>
      </c>
      <c r="F109" t="s">
        <v>2064</v>
      </c>
      <c r="G109" s="4">
        <v>45539</v>
      </c>
      <c r="H109" s="4">
        <f>_xlfn.MINIFS(B109:B740, N109:N740, N109)</f>
        <v>44945</v>
      </c>
      <c r="I109" s="4" t="str">
        <f t="shared" si="2"/>
        <v>Jan-2023</v>
      </c>
      <c r="J109" s="13">
        <f t="shared" si="3"/>
        <v>19</v>
      </c>
      <c r="K109" s="13">
        <v>21</v>
      </c>
      <c r="L109" s="30" t="str">
        <f>IF(Table2[[#This Row],[LeadTimeDays]]&lt;7,"1","0")</f>
        <v>0</v>
      </c>
      <c r="M109" s="7" t="s">
        <v>649</v>
      </c>
      <c r="N109" s="7" t="s">
        <v>658</v>
      </c>
      <c r="O109" s="7" t="s">
        <v>693</v>
      </c>
      <c r="P109" s="7" t="s">
        <v>703</v>
      </c>
      <c r="Q109" s="7" t="s">
        <v>708</v>
      </c>
      <c r="R109" s="7" t="s">
        <v>713</v>
      </c>
      <c r="S109" s="7" t="s">
        <v>730</v>
      </c>
      <c r="T109" s="7" t="s">
        <v>1535</v>
      </c>
      <c r="U109" s="9">
        <v>1138.8</v>
      </c>
      <c r="V109" s="9">
        <v>2250.81</v>
      </c>
      <c r="W109" s="9">
        <v>2250.81</v>
      </c>
      <c r="X109" s="9">
        <v>824.58449999999993</v>
      </c>
      <c r="Y109" s="9">
        <v>1599.5394000000001</v>
      </c>
      <c r="Z109" s="9" t="s">
        <v>2095</v>
      </c>
      <c r="AA109" t="s">
        <v>2065</v>
      </c>
      <c r="AB109" s="11">
        <v>0.123</v>
      </c>
      <c r="AC109" t="s">
        <v>2065</v>
      </c>
      <c r="AD109" s="13">
        <v>12</v>
      </c>
      <c r="AE109" s="9">
        <v>23687.524440000001</v>
      </c>
      <c r="AF109" s="9">
        <v>13665.599999999999</v>
      </c>
      <c r="AG109" s="9">
        <v>10021.924440000003</v>
      </c>
      <c r="AH109" s="11">
        <v>0.42308872188756258</v>
      </c>
      <c r="AI109" s="9">
        <f>SUMIFS(AD109:AD740, R109:R740, S109)</f>
        <v>0</v>
      </c>
      <c r="AJ109" s="11" t="e">
        <f>SUMIFS(AD109:AD740, R109:R740, S109, AD109:AD740, "&gt;" &amp; AE109) / AI109</f>
        <v>#DIV/0!</v>
      </c>
      <c r="AK109" s="7" t="e">
        <f>IF(AJ109&lt;=0.8,"A",IF(Table2[[#This Row],[Cumulative rev]]&lt;=0.95,"B","C"))</f>
        <v>#DIV/0!</v>
      </c>
    </row>
    <row r="110" spans="1:37" x14ac:dyDescent="0.3">
      <c r="A110" t="s">
        <v>123</v>
      </c>
      <c r="B110" s="4">
        <v>45581</v>
      </c>
      <c r="C110" s="4" t="s">
        <v>2082</v>
      </c>
      <c r="D110" s="4" t="s">
        <v>2083</v>
      </c>
      <c r="E110" s="4">
        <v>45604</v>
      </c>
      <c r="F110" t="s">
        <v>2064</v>
      </c>
      <c r="G110" s="4">
        <v>45604</v>
      </c>
      <c r="H110" s="4">
        <f>_xlfn.MINIFS(B110:B741, N110:N741, N110)</f>
        <v>44988</v>
      </c>
      <c r="I110" s="4" t="str">
        <f t="shared" si="2"/>
        <v>Mar-2023</v>
      </c>
      <c r="J110" s="13">
        <f t="shared" si="3"/>
        <v>20</v>
      </c>
      <c r="K110" s="13">
        <v>23</v>
      </c>
      <c r="L110" s="30" t="str">
        <f>IF(Table2[[#This Row],[LeadTimeDays]]&lt;7,"1","0")</f>
        <v>0</v>
      </c>
      <c r="M110" s="7" t="s">
        <v>647</v>
      </c>
      <c r="N110" s="7" t="s">
        <v>652</v>
      </c>
      <c r="O110" s="7" t="s">
        <v>666</v>
      </c>
      <c r="P110" s="7" t="s">
        <v>705</v>
      </c>
      <c r="Q110" s="7" t="s">
        <v>707</v>
      </c>
      <c r="R110" s="7" t="s">
        <v>713</v>
      </c>
      <c r="S110" s="7" t="s">
        <v>729</v>
      </c>
      <c r="T110" s="7" t="s">
        <v>1536</v>
      </c>
      <c r="U110" s="9">
        <v>82.14</v>
      </c>
      <c r="V110" s="9">
        <v>166.04</v>
      </c>
      <c r="W110" s="9">
        <v>166.04</v>
      </c>
      <c r="X110" s="9">
        <v>824.40300000000002</v>
      </c>
      <c r="Y110" s="9">
        <v>1595.1648</v>
      </c>
      <c r="Z110" s="9" t="s">
        <v>2081</v>
      </c>
      <c r="AA110" t="s">
        <v>2065</v>
      </c>
      <c r="AB110" s="11">
        <v>0</v>
      </c>
      <c r="AC110" t="s">
        <v>2065</v>
      </c>
      <c r="AD110" s="13">
        <v>10</v>
      </c>
      <c r="AE110" s="9">
        <v>1660.3999999999999</v>
      </c>
      <c r="AF110" s="9">
        <v>821.4</v>
      </c>
      <c r="AG110" s="9">
        <v>838.99999999999989</v>
      </c>
      <c r="AH110" s="11">
        <v>0.50529992772825827</v>
      </c>
      <c r="AI110" s="9">
        <f>SUMIFS(AD110:AD741, R110:R741, S110)</f>
        <v>0</v>
      </c>
      <c r="AJ110" s="11" t="e">
        <f>SUMIFS(AD110:AD741, R110:R741, S110, AD110:AD741, "&gt;" &amp; AE110) / AI110</f>
        <v>#DIV/0!</v>
      </c>
      <c r="AK110" s="7" t="e">
        <f>IF(AJ110&lt;=0.8,"A",IF(Table2[[#This Row],[Cumulative rev]]&lt;=0.95,"B","C"))</f>
        <v>#DIV/0!</v>
      </c>
    </row>
    <row r="111" spans="1:37" x14ac:dyDescent="0.3">
      <c r="A111" t="s">
        <v>124</v>
      </c>
      <c r="B111" s="4">
        <v>45445</v>
      </c>
      <c r="C111" s="4" t="s">
        <v>2109</v>
      </c>
      <c r="D111" s="4" t="s">
        <v>2094</v>
      </c>
      <c r="E111" s="4">
        <v>45451</v>
      </c>
      <c r="F111" t="s">
        <v>2064</v>
      </c>
      <c r="G111" s="4">
        <v>45451</v>
      </c>
      <c r="H111" s="4">
        <f>_xlfn.MINIFS(B111:B742, N111:N742, N111)</f>
        <v>44946</v>
      </c>
      <c r="I111" s="4" t="str">
        <f t="shared" si="2"/>
        <v>Jan-2023</v>
      </c>
      <c r="J111" s="13">
        <f t="shared" si="3"/>
        <v>17</v>
      </c>
      <c r="K111" s="13">
        <v>6</v>
      </c>
      <c r="L111" s="30" t="str">
        <f>IF(Table2[[#This Row],[LeadTimeDays]]&lt;7,"1","0")</f>
        <v>1</v>
      </c>
      <c r="M111" s="7" t="s">
        <v>646</v>
      </c>
      <c r="N111" s="7" t="s">
        <v>650</v>
      </c>
      <c r="O111" s="7" t="s">
        <v>662</v>
      </c>
      <c r="P111" s="7" t="s">
        <v>704</v>
      </c>
      <c r="Q111" s="7" t="s">
        <v>709</v>
      </c>
      <c r="R111" s="7" t="s">
        <v>720</v>
      </c>
      <c r="S111" s="7" t="s">
        <v>733</v>
      </c>
      <c r="T111" s="7" t="s">
        <v>1537</v>
      </c>
      <c r="U111" s="9">
        <v>292.94</v>
      </c>
      <c r="V111" s="9">
        <v>356.55</v>
      </c>
      <c r="W111" s="9">
        <v>356.55</v>
      </c>
      <c r="X111" s="9">
        <v>824.77149999999995</v>
      </c>
      <c r="Y111" s="9">
        <v>1595.4164000000001</v>
      </c>
      <c r="Z111" s="9" t="s">
        <v>2081</v>
      </c>
      <c r="AA111" t="s">
        <v>2065</v>
      </c>
      <c r="AB111" s="11">
        <v>0.22900000000000001</v>
      </c>
      <c r="AC111" t="s">
        <v>2065</v>
      </c>
      <c r="AD111" s="13">
        <v>2</v>
      </c>
      <c r="AE111" s="9">
        <v>549.80010000000004</v>
      </c>
      <c r="AF111" s="9">
        <v>585.88</v>
      </c>
      <c r="AG111" s="9">
        <v>-36.079899999999952</v>
      </c>
      <c r="AH111" s="11">
        <v>-6.5623669402751925E-2</v>
      </c>
      <c r="AI111" s="9">
        <f>SUMIFS(AD111:AD742, R111:R742, S111)</f>
        <v>0</v>
      </c>
      <c r="AJ111" s="11" t="e">
        <f>SUMIFS(AD111:AD742, R111:R742, S111, AD111:AD742, "&gt;" &amp; AE111) / AI111</f>
        <v>#DIV/0!</v>
      </c>
      <c r="AK111" s="7" t="e">
        <f>IF(AJ111&lt;=0.8,"A",IF(Table2[[#This Row],[Cumulative rev]]&lt;=0.95,"B","C"))</f>
        <v>#DIV/0!</v>
      </c>
    </row>
    <row r="112" spans="1:37" x14ac:dyDescent="0.3">
      <c r="A112" t="s">
        <v>125</v>
      </c>
      <c r="B112" s="4">
        <v>45452</v>
      </c>
      <c r="C112" s="4" t="s">
        <v>2109</v>
      </c>
      <c r="D112" s="4" t="s">
        <v>2094</v>
      </c>
      <c r="E112" s="4">
        <v>45480</v>
      </c>
      <c r="F112" t="s">
        <v>2064</v>
      </c>
      <c r="G112" s="4">
        <v>45480</v>
      </c>
      <c r="H112" s="4">
        <f>_xlfn.MINIFS(B112:B743, N112:N743, N112)</f>
        <v>44938</v>
      </c>
      <c r="I112" s="4" t="str">
        <f t="shared" si="2"/>
        <v>Jan-2023</v>
      </c>
      <c r="J112" s="13">
        <f t="shared" si="3"/>
        <v>17</v>
      </c>
      <c r="K112" s="13">
        <v>28</v>
      </c>
      <c r="L112" s="30" t="str">
        <f>IF(Table2[[#This Row],[LeadTimeDays]]&lt;7,"1","0")</f>
        <v>0</v>
      </c>
      <c r="M112" s="7" t="s">
        <v>647</v>
      </c>
      <c r="N112" s="7" t="s">
        <v>659</v>
      </c>
      <c r="O112" s="7" t="s">
        <v>676</v>
      </c>
      <c r="P112" s="7" t="s">
        <v>701</v>
      </c>
      <c r="Q112" s="7" t="s">
        <v>708</v>
      </c>
      <c r="R112" s="7" t="s">
        <v>713</v>
      </c>
      <c r="S112" s="7" t="s">
        <v>727</v>
      </c>
      <c r="T112" s="7" t="s">
        <v>1538</v>
      </c>
      <c r="U112" s="9">
        <v>550.22</v>
      </c>
      <c r="V112" s="9">
        <v>1025.05</v>
      </c>
      <c r="W112" s="9">
        <v>1025.05</v>
      </c>
      <c r="X112" s="9">
        <v>825.80600000000004</v>
      </c>
      <c r="Y112" s="9">
        <v>1599.9859999999996</v>
      </c>
      <c r="Z112" s="9" t="s">
        <v>2092</v>
      </c>
      <c r="AA112" t="s">
        <v>2065</v>
      </c>
      <c r="AB112" s="11">
        <v>0</v>
      </c>
      <c r="AC112" t="s">
        <v>2065</v>
      </c>
      <c r="AD112" s="13">
        <v>27</v>
      </c>
      <c r="AE112" s="9">
        <v>27676.35</v>
      </c>
      <c r="AF112" s="9">
        <v>14855.94</v>
      </c>
      <c r="AG112" s="9">
        <v>12820.409999999998</v>
      </c>
      <c r="AH112" s="11">
        <v>0.46322618408858102</v>
      </c>
      <c r="AI112" s="9">
        <f>SUMIFS(AD112:AD743, R112:R743, S112)</f>
        <v>0</v>
      </c>
      <c r="AJ112" s="11" t="e">
        <f>SUMIFS(AD112:AD743, R112:R743, S112, AD112:AD743, "&gt;" &amp; AE112) / AI112</f>
        <v>#DIV/0!</v>
      </c>
      <c r="AK112" s="7" t="e">
        <f>IF(AJ112&lt;=0.8,"A",IF(Table2[[#This Row],[Cumulative rev]]&lt;=0.95,"B","C"))</f>
        <v>#DIV/0!</v>
      </c>
    </row>
    <row r="113" spans="1:37" x14ac:dyDescent="0.3">
      <c r="A113" t="s">
        <v>126</v>
      </c>
      <c r="B113" s="4">
        <v>45453</v>
      </c>
      <c r="C113" s="4" t="s">
        <v>2109</v>
      </c>
      <c r="D113" s="4" t="s">
        <v>2094</v>
      </c>
      <c r="E113" s="4">
        <v>45454</v>
      </c>
      <c r="F113" t="s">
        <v>2064</v>
      </c>
      <c r="G113" s="4">
        <v>45454</v>
      </c>
      <c r="H113" s="4">
        <f>_xlfn.MINIFS(B113:B744, N113:N744, N113)</f>
        <v>44945</v>
      </c>
      <c r="I113" s="4" t="str">
        <f t="shared" si="2"/>
        <v>Jan-2023</v>
      </c>
      <c r="J113" s="13">
        <f t="shared" si="3"/>
        <v>17</v>
      </c>
      <c r="K113" s="13">
        <v>1</v>
      </c>
      <c r="L113" s="30" t="str">
        <f>IF(Table2[[#This Row],[LeadTimeDays]]&lt;7,"1","0")</f>
        <v>1</v>
      </c>
      <c r="M113" s="7" t="s">
        <v>649</v>
      </c>
      <c r="N113" s="7" t="s">
        <v>658</v>
      </c>
      <c r="O113" s="7" t="s">
        <v>674</v>
      </c>
      <c r="P113" s="7" t="s">
        <v>705</v>
      </c>
      <c r="Q113" s="7" t="s">
        <v>709</v>
      </c>
      <c r="R113" s="7" t="s">
        <v>724</v>
      </c>
      <c r="S113" s="7" t="s">
        <v>731</v>
      </c>
      <c r="T113" s="7" t="s">
        <v>1539</v>
      </c>
      <c r="U113" s="9">
        <v>1187.1300000000001</v>
      </c>
      <c r="V113" s="9">
        <v>1795.17</v>
      </c>
      <c r="W113" s="9">
        <v>1795.17</v>
      </c>
      <c r="X113" s="9">
        <v>825.25819999999999</v>
      </c>
      <c r="Y113" s="9">
        <v>1607.5782000000004</v>
      </c>
      <c r="Z113" s="9" t="s">
        <v>2095</v>
      </c>
      <c r="AA113" t="s">
        <v>2065</v>
      </c>
      <c r="AB113" s="11">
        <v>1.2E-2</v>
      </c>
      <c r="AC113" t="s">
        <v>2065</v>
      </c>
      <c r="AD113" s="13">
        <v>17</v>
      </c>
      <c r="AE113" s="9">
        <v>30151.675319999998</v>
      </c>
      <c r="AF113" s="9">
        <v>20181.210000000003</v>
      </c>
      <c r="AG113" s="9">
        <v>9970.4653199999957</v>
      </c>
      <c r="AH113" s="11">
        <v>0.33067699271046663</v>
      </c>
      <c r="AI113" s="9">
        <f>SUMIFS(AD113:AD744, R113:R744, S113)</f>
        <v>0</v>
      </c>
      <c r="AJ113" s="11" t="e">
        <f>SUMIFS(AD113:AD744, R113:R744, S113, AD113:AD744, "&gt;" &amp; AE113) / AI113</f>
        <v>#DIV/0!</v>
      </c>
      <c r="AK113" s="7" t="e">
        <f>IF(AJ113&lt;=0.8,"A",IF(Table2[[#This Row],[Cumulative rev]]&lt;=0.95,"B","C"))</f>
        <v>#DIV/0!</v>
      </c>
    </row>
    <row r="114" spans="1:37" x14ac:dyDescent="0.3">
      <c r="A114" t="s">
        <v>127</v>
      </c>
      <c r="B114" s="4">
        <v>45472</v>
      </c>
      <c r="C114" s="4" t="s">
        <v>2109</v>
      </c>
      <c r="D114" s="4" t="s">
        <v>2094</v>
      </c>
      <c r="E114" s="4">
        <v>45499</v>
      </c>
      <c r="F114" t="s">
        <v>2064</v>
      </c>
      <c r="G114" s="4">
        <v>45499</v>
      </c>
      <c r="H114" s="4">
        <f>_xlfn.MINIFS(B114:B745, N114:N745, N114)</f>
        <v>44933</v>
      </c>
      <c r="I114" s="4" t="str">
        <f t="shared" si="2"/>
        <v>Jan-2023</v>
      </c>
      <c r="J114" s="13">
        <f t="shared" si="3"/>
        <v>18</v>
      </c>
      <c r="K114" s="13">
        <v>27</v>
      </c>
      <c r="L114" s="30" t="str">
        <f>IF(Table2[[#This Row],[LeadTimeDays]]&lt;7,"1","0")</f>
        <v>0</v>
      </c>
      <c r="M114" s="7" t="s">
        <v>646</v>
      </c>
      <c r="N114" s="7" t="s">
        <v>661</v>
      </c>
      <c r="O114" s="7" t="s">
        <v>687</v>
      </c>
      <c r="P114" s="7" t="s">
        <v>706</v>
      </c>
      <c r="Q114" s="7" t="s">
        <v>710</v>
      </c>
      <c r="R114" s="7" t="s">
        <v>717</v>
      </c>
      <c r="S114" s="7" t="s">
        <v>729</v>
      </c>
      <c r="T114" s="7" t="s">
        <v>1540</v>
      </c>
      <c r="U114" s="9">
        <v>5.36</v>
      </c>
      <c r="V114" s="9">
        <v>4.37</v>
      </c>
      <c r="W114" s="9">
        <v>4.37</v>
      </c>
      <c r="X114" s="9">
        <v>824.77699999999993</v>
      </c>
      <c r="Y114" s="9">
        <v>1595.4312</v>
      </c>
      <c r="Z114" s="9" t="s">
        <v>2081</v>
      </c>
      <c r="AA114" t="s">
        <v>2065</v>
      </c>
      <c r="AB114" s="11">
        <v>0.11799999999999999</v>
      </c>
      <c r="AC114" t="s">
        <v>2065</v>
      </c>
      <c r="AD114" s="13">
        <v>9</v>
      </c>
      <c r="AE114" s="9">
        <v>34.689059999999998</v>
      </c>
      <c r="AF114" s="9">
        <v>48.24</v>
      </c>
      <c r="AG114" s="9">
        <v>-13.550940000000004</v>
      </c>
      <c r="AH114" s="11">
        <v>-0.39064016148030545</v>
      </c>
      <c r="AI114" s="9">
        <f>SUMIFS(AD114:AD745, R114:R745, S114)</f>
        <v>0</v>
      </c>
      <c r="AJ114" s="11" t="e">
        <f>SUMIFS(AD114:AD745, R114:R745, S114, AD114:AD745, "&gt;" &amp; AE114) / AI114</f>
        <v>#DIV/0!</v>
      </c>
      <c r="AK114" s="7" t="e">
        <f>IF(AJ114&lt;=0.8,"A",IF(Table2[[#This Row],[Cumulative rev]]&lt;=0.95,"B","C"))</f>
        <v>#DIV/0!</v>
      </c>
    </row>
    <row r="115" spans="1:37" x14ac:dyDescent="0.3">
      <c r="A115" t="s">
        <v>128</v>
      </c>
      <c r="B115" s="4">
        <v>45674</v>
      </c>
      <c r="C115" s="4" t="s">
        <v>2099</v>
      </c>
      <c r="D115" s="4" t="s">
        <v>2087</v>
      </c>
      <c r="E115" s="4">
        <v>45681</v>
      </c>
      <c r="F115" t="s">
        <v>2064</v>
      </c>
      <c r="G115" s="4">
        <v>45681</v>
      </c>
      <c r="H115" s="4">
        <f>_xlfn.MINIFS(B115:B746, N115:N746, N115)</f>
        <v>44939</v>
      </c>
      <c r="I115" s="4" t="str">
        <f t="shared" si="2"/>
        <v>Jan-2023</v>
      </c>
      <c r="J115" s="13">
        <f t="shared" si="3"/>
        <v>25</v>
      </c>
      <c r="K115" s="13">
        <v>7</v>
      </c>
      <c r="L115" s="30" t="str">
        <f>IF(Table2[[#This Row],[LeadTimeDays]]&lt;7,"1","0")</f>
        <v>0</v>
      </c>
      <c r="M115" s="7" t="s">
        <v>648</v>
      </c>
      <c r="N115" s="7" t="s">
        <v>1425</v>
      </c>
      <c r="O115" s="7" t="s">
        <v>697</v>
      </c>
      <c r="P115" s="7" t="s">
        <v>706</v>
      </c>
      <c r="Q115" s="7" t="s">
        <v>708</v>
      </c>
      <c r="R115" s="7" t="s">
        <v>715</v>
      </c>
      <c r="S115" s="7" t="s">
        <v>733</v>
      </c>
      <c r="T115" s="7" t="s">
        <v>1541</v>
      </c>
      <c r="U115" s="9">
        <v>142.09</v>
      </c>
      <c r="V115" s="9">
        <v>218.5</v>
      </c>
      <c r="W115" s="9">
        <v>218.5</v>
      </c>
      <c r="X115" s="9">
        <v>825.82259999999997</v>
      </c>
      <c r="Y115" s="9">
        <v>1600.4326000000005</v>
      </c>
      <c r="Z115" s="9" t="s">
        <v>2081</v>
      </c>
      <c r="AA115" t="s">
        <v>2065</v>
      </c>
      <c r="AB115" s="11">
        <v>0.11899999999999999</v>
      </c>
      <c r="AC115" t="s">
        <v>2065</v>
      </c>
      <c r="AD115" s="13">
        <v>11</v>
      </c>
      <c r="AE115" s="9">
        <v>2117.4834999999998</v>
      </c>
      <c r="AF115" s="9">
        <v>1562.99</v>
      </c>
      <c r="AG115" s="9">
        <v>554.49349999999981</v>
      </c>
      <c r="AH115" s="11">
        <v>0.26186437816398561</v>
      </c>
      <c r="AI115" s="9">
        <f>SUMIFS(AD115:AD746, R115:R746, S115)</f>
        <v>0</v>
      </c>
      <c r="AJ115" s="11" t="e">
        <f>SUMIFS(AD115:AD746, R115:R746, S115, AD115:AD746, "&gt;" &amp; AE115) / AI115</f>
        <v>#DIV/0!</v>
      </c>
      <c r="AK115" s="7" t="e">
        <f>IF(AJ115&lt;=0.8,"A",IF(Table2[[#This Row],[Cumulative rev]]&lt;=0.95,"B","C"))</f>
        <v>#DIV/0!</v>
      </c>
    </row>
    <row r="116" spans="1:37" x14ac:dyDescent="0.3">
      <c r="A116" t="s">
        <v>129</v>
      </c>
      <c r="B116" s="4">
        <v>45250</v>
      </c>
      <c r="C116" s="4" t="s">
        <v>2123</v>
      </c>
      <c r="D116" s="4" t="s">
        <v>2089</v>
      </c>
      <c r="E116" s="4">
        <v>45265</v>
      </c>
      <c r="F116" t="s">
        <v>2064</v>
      </c>
      <c r="G116" s="4">
        <v>45265</v>
      </c>
      <c r="H116" s="4">
        <f>_xlfn.MINIFS(B116:B747, N116:N747, N116)</f>
        <v>44988</v>
      </c>
      <c r="I116" s="4" t="str">
        <f t="shared" si="2"/>
        <v>Mar-2023</v>
      </c>
      <c r="J116" s="13">
        <f t="shared" si="3"/>
        <v>9</v>
      </c>
      <c r="K116" s="13">
        <v>15</v>
      </c>
      <c r="L116" s="30" t="str">
        <f>IF(Table2[[#This Row],[LeadTimeDays]]&lt;7,"1","0")</f>
        <v>0</v>
      </c>
      <c r="M116" s="7" t="s">
        <v>647</v>
      </c>
      <c r="N116" s="7" t="s">
        <v>652</v>
      </c>
      <c r="O116" s="7" t="s">
        <v>689</v>
      </c>
      <c r="P116" s="7" t="s">
        <v>706</v>
      </c>
      <c r="Q116" s="7" t="s">
        <v>707</v>
      </c>
      <c r="R116" s="7" t="s">
        <v>716</v>
      </c>
      <c r="S116" s="7" t="s">
        <v>729</v>
      </c>
      <c r="T116" s="7" t="s">
        <v>1542</v>
      </c>
      <c r="U116" s="9">
        <v>354.24</v>
      </c>
      <c r="V116" s="9">
        <v>249.87</v>
      </c>
      <c r="W116" s="9">
        <v>249.87</v>
      </c>
      <c r="X116" s="9">
        <v>828.49160000000006</v>
      </c>
      <c r="Y116" s="9">
        <v>1608.0247999999999</v>
      </c>
      <c r="Z116" s="9" t="s">
        <v>2081</v>
      </c>
      <c r="AA116" t="s">
        <v>2065</v>
      </c>
      <c r="AB116" s="11">
        <v>0</v>
      </c>
      <c r="AC116" t="s">
        <v>2065</v>
      </c>
      <c r="AD116" s="13">
        <v>6</v>
      </c>
      <c r="AE116" s="9">
        <v>1499.22</v>
      </c>
      <c r="AF116" s="9">
        <v>2125.44</v>
      </c>
      <c r="AG116" s="9">
        <v>-626.22</v>
      </c>
      <c r="AH116" s="11">
        <v>-0.41769720254532355</v>
      </c>
      <c r="AI116" s="9">
        <f>SUMIFS(AD116:AD747, R116:R747, S116)</f>
        <v>0</v>
      </c>
      <c r="AJ116" s="11" t="e">
        <f>SUMIFS(AD116:AD747, R116:R747, S116, AD116:AD747, "&gt;" &amp; AE116) / AI116</f>
        <v>#DIV/0!</v>
      </c>
      <c r="AK116" s="7" t="e">
        <f>IF(AJ116&lt;=0.8,"A",IF(Table2[[#This Row],[Cumulative rev]]&lt;=0.95,"B","C"))</f>
        <v>#DIV/0!</v>
      </c>
    </row>
    <row r="117" spans="1:37" x14ac:dyDescent="0.3">
      <c r="A117" t="s">
        <v>130</v>
      </c>
      <c r="B117" s="4">
        <v>44987</v>
      </c>
      <c r="C117" s="4" t="s">
        <v>2114</v>
      </c>
      <c r="D117" s="4" t="s">
        <v>2085</v>
      </c>
      <c r="E117" s="4">
        <v>44990</v>
      </c>
      <c r="F117" t="s">
        <v>2064</v>
      </c>
      <c r="G117" s="4">
        <v>44990</v>
      </c>
      <c r="H117" s="4">
        <f>_xlfn.MINIFS(B117:B748, N117:N748, N117)</f>
        <v>44955</v>
      </c>
      <c r="I117" s="4" t="str">
        <f t="shared" si="2"/>
        <v>Jan-2023</v>
      </c>
      <c r="J117" s="13">
        <f t="shared" si="3"/>
        <v>2</v>
      </c>
      <c r="K117" s="13">
        <v>3</v>
      </c>
      <c r="L117" s="30" t="str">
        <f>IF(Table2[[#This Row],[LeadTimeDays]]&lt;7,"1","0")</f>
        <v>1</v>
      </c>
      <c r="M117" s="7" t="s">
        <v>648</v>
      </c>
      <c r="N117" s="7" t="s">
        <v>655</v>
      </c>
      <c r="O117" s="7" t="s">
        <v>672</v>
      </c>
      <c r="P117" s="7" t="s">
        <v>706</v>
      </c>
      <c r="Q117" s="7" t="s">
        <v>711</v>
      </c>
      <c r="R117" s="7" t="s">
        <v>715</v>
      </c>
      <c r="S117" s="7" t="s">
        <v>732</v>
      </c>
      <c r="T117" s="7" t="s">
        <v>1543</v>
      </c>
      <c r="U117" s="9">
        <v>1473.58</v>
      </c>
      <c r="V117" s="9">
        <v>3436.52</v>
      </c>
      <c r="W117" s="9">
        <v>3436.52</v>
      </c>
      <c r="X117" s="9">
        <v>833.32900000000018</v>
      </c>
      <c r="Y117" s="9">
        <v>1615.6170000000006</v>
      </c>
      <c r="Z117" s="9" t="s">
        <v>2095</v>
      </c>
      <c r="AA117" t="s">
        <v>2065</v>
      </c>
      <c r="AB117" s="11">
        <v>0.108</v>
      </c>
      <c r="AC117" t="s">
        <v>2065</v>
      </c>
      <c r="AD117" s="13">
        <v>8</v>
      </c>
      <c r="AE117" s="9">
        <v>24523.006720000001</v>
      </c>
      <c r="AF117" s="9">
        <v>11788.64</v>
      </c>
      <c r="AG117" s="9">
        <v>12734.366720000002</v>
      </c>
      <c r="AH117" s="11">
        <v>0.51928243813652564</v>
      </c>
      <c r="AI117" s="9">
        <f>SUMIFS(AD117:AD748, R117:R748, S117)</f>
        <v>0</v>
      </c>
      <c r="AJ117" s="11" t="e">
        <f>SUMIFS(AD117:AD748, R117:R748, S117, AD117:AD748, "&gt;" &amp; AE117) / AI117</f>
        <v>#DIV/0!</v>
      </c>
      <c r="AK117" s="7" t="e">
        <f>IF(AJ117&lt;=0.8,"A",IF(Table2[[#This Row],[Cumulative rev]]&lt;=0.95,"B","C"))</f>
        <v>#DIV/0!</v>
      </c>
    </row>
    <row r="118" spans="1:37" x14ac:dyDescent="0.3">
      <c r="A118" t="s">
        <v>131</v>
      </c>
      <c r="B118" s="4">
        <v>45811</v>
      </c>
      <c r="C118" s="4" t="s">
        <v>2108</v>
      </c>
      <c r="D118" s="4" t="s">
        <v>2097</v>
      </c>
      <c r="E118" s="4">
        <v>45818</v>
      </c>
      <c r="F118" t="s">
        <v>2064</v>
      </c>
      <c r="G118" s="4">
        <v>45818</v>
      </c>
      <c r="H118" s="4">
        <f>_xlfn.MINIFS(B118:B749, N118:N749, N118)</f>
        <v>44989</v>
      </c>
      <c r="I118" s="4" t="str">
        <f t="shared" si="2"/>
        <v>Mar-2023</v>
      </c>
      <c r="J118" s="13">
        <f t="shared" si="3"/>
        <v>27</v>
      </c>
      <c r="K118" s="13">
        <v>7</v>
      </c>
      <c r="L118" s="30" t="str">
        <f>IF(Table2[[#This Row],[LeadTimeDays]]&lt;7,"1","0")</f>
        <v>0</v>
      </c>
      <c r="M118" s="7" t="s">
        <v>648</v>
      </c>
      <c r="N118" s="7" t="s">
        <v>653</v>
      </c>
      <c r="O118" s="7" t="s">
        <v>667</v>
      </c>
      <c r="P118" s="7" t="s">
        <v>704</v>
      </c>
      <c r="Q118" s="7" t="s">
        <v>710</v>
      </c>
      <c r="R118" s="7" t="s">
        <v>719</v>
      </c>
      <c r="S118" s="7" t="s">
        <v>728</v>
      </c>
      <c r="T118" s="7" t="s">
        <v>1544</v>
      </c>
      <c r="U118" s="9">
        <v>75.180000000000007</v>
      </c>
      <c r="V118" s="9">
        <v>53.45</v>
      </c>
      <c r="W118" s="9">
        <v>53.45</v>
      </c>
      <c r="X118" s="9">
        <v>830.94640000000004</v>
      </c>
      <c r="Y118" s="9">
        <v>1600.8792000000001</v>
      </c>
      <c r="Z118" s="9" t="s">
        <v>2081</v>
      </c>
      <c r="AA118" t="s">
        <v>2065</v>
      </c>
      <c r="AB118" s="11">
        <v>0.157</v>
      </c>
      <c r="AC118" t="s">
        <v>2065</v>
      </c>
      <c r="AD118" s="13">
        <v>17</v>
      </c>
      <c r="AE118" s="9">
        <v>765.99195000000009</v>
      </c>
      <c r="AF118" s="9">
        <v>1278.0600000000002</v>
      </c>
      <c r="AG118" s="9">
        <v>-512.06805000000008</v>
      </c>
      <c r="AH118" s="11">
        <v>-0.66850317421743144</v>
      </c>
      <c r="AI118" s="9">
        <f>SUMIFS(AD118:AD749, R118:R749, S118)</f>
        <v>0</v>
      </c>
      <c r="AJ118" s="11" t="e">
        <f>SUMIFS(AD118:AD749, R118:R749, S118, AD118:AD749, "&gt;" &amp; AE118) / AI118</f>
        <v>#DIV/0!</v>
      </c>
      <c r="AK118" s="7" t="e">
        <f>IF(AJ118&lt;=0.8,"A",IF(Table2[[#This Row],[Cumulative rev]]&lt;=0.95,"B","C"))</f>
        <v>#DIV/0!</v>
      </c>
    </row>
    <row r="119" spans="1:37" x14ac:dyDescent="0.3">
      <c r="A119" t="s">
        <v>132</v>
      </c>
      <c r="B119" s="4">
        <v>45653</v>
      </c>
      <c r="C119" s="4" t="s">
        <v>2091</v>
      </c>
      <c r="D119" s="4" t="s">
        <v>2083</v>
      </c>
      <c r="E119" s="4">
        <v>45659</v>
      </c>
      <c r="F119" t="s">
        <v>2064</v>
      </c>
      <c r="G119" s="4">
        <v>45659</v>
      </c>
      <c r="H119" s="4">
        <f>_xlfn.MINIFS(B119:B750, N119:N750, N119)</f>
        <v>44948</v>
      </c>
      <c r="I119" s="4" t="str">
        <f t="shared" si="2"/>
        <v>Jan-2023</v>
      </c>
      <c r="J119" s="13">
        <f t="shared" si="3"/>
        <v>24</v>
      </c>
      <c r="K119" s="13">
        <v>6</v>
      </c>
      <c r="L119" s="30" t="str">
        <f>IF(Table2[[#This Row],[LeadTimeDays]]&lt;7,"1","0")</f>
        <v>1</v>
      </c>
      <c r="M119" s="7" t="s">
        <v>649</v>
      </c>
      <c r="N119" s="7" t="s">
        <v>656</v>
      </c>
      <c r="O119" s="7" t="s">
        <v>698</v>
      </c>
      <c r="P119" s="7" t="s">
        <v>702</v>
      </c>
      <c r="Q119" s="7" t="s">
        <v>711</v>
      </c>
      <c r="R119" s="7" t="s">
        <v>721</v>
      </c>
      <c r="S119" s="7" t="s">
        <v>731</v>
      </c>
      <c r="T119" s="7" t="s">
        <v>1545</v>
      </c>
      <c r="U119" s="9">
        <v>1391.99</v>
      </c>
      <c r="V119" s="9">
        <v>3469.7</v>
      </c>
      <c r="W119" s="9">
        <v>3469.7</v>
      </c>
      <c r="X119" s="9">
        <v>835.24150000000009</v>
      </c>
      <c r="Y119" s="9">
        <v>1608.4714000000008</v>
      </c>
      <c r="Z119" s="9" t="s">
        <v>2095</v>
      </c>
      <c r="AA119" t="s">
        <v>2065</v>
      </c>
      <c r="AB119" s="11">
        <v>0.184</v>
      </c>
      <c r="AC119" t="s">
        <v>2065</v>
      </c>
      <c r="AD119" s="13">
        <v>23</v>
      </c>
      <c r="AE119" s="9">
        <v>65119.329599999997</v>
      </c>
      <c r="AF119" s="9">
        <v>32015.77</v>
      </c>
      <c r="AG119" s="9">
        <v>33103.559599999993</v>
      </c>
      <c r="AH119" s="11">
        <v>0.50835227886006973</v>
      </c>
      <c r="AI119" s="9">
        <f>SUMIFS(AD119:AD750, R119:R750, S119)</f>
        <v>0</v>
      </c>
      <c r="AJ119" s="11" t="e">
        <f>SUMIFS(AD119:AD750, R119:R750, S119, AD119:AD750, "&gt;" &amp; AE119) / AI119</f>
        <v>#DIV/0!</v>
      </c>
      <c r="AK119" s="7" t="e">
        <f>IF(AJ119&lt;=0.8,"A",IF(Table2[[#This Row],[Cumulative rev]]&lt;=0.95,"B","C"))</f>
        <v>#DIV/0!</v>
      </c>
    </row>
    <row r="120" spans="1:37" x14ac:dyDescent="0.3">
      <c r="A120" t="s">
        <v>133</v>
      </c>
      <c r="B120" s="4">
        <v>45086</v>
      </c>
      <c r="C120" s="4" t="s">
        <v>2115</v>
      </c>
      <c r="D120" s="4" t="s">
        <v>2103</v>
      </c>
      <c r="E120" s="4">
        <v>45096</v>
      </c>
      <c r="F120" t="s">
        <v>2064</v>
      </c>
      <c r="G120" s="4">
        <v>45096</v>
      </c>
      <c r="H120" s="4">
        <f>_xlfn.MINIFS(B120:B751, N120:N751, N120)</f>
        <v>44938</v>
      </c>
      <c r="I120" s="4" t="str">
        <f t="shared" si="2"/>
        <v>Jan-2023</v>
      </c>
      <c r="J120" s="13">
        <f t="shared" si="3"/>
        <v>5</v>
      </c>
      <c r="K120" s="13">
        <v>10</v>
      </c>
      <c r="L120" s="30" t="str">
        <f>IF(Table2[[#This Row],[LeadTimeDays]]&lt;7,"1","0")</f>
        <v>0</v>
      </c>
      <c r="M120" s="7" t="s">
        <v>647</v>
      </c>
      <c r="N120" s="7" t="s">
        <v>659</v>
      </c>
      <c r="O120" s="7" t="s">
        <v>699</v>
      </c>
      <c r="P120" s="7" t="s">
        <v>706</v>
      </c>
      <c r="Q120" s="7" t="s">
        <v>707</v>
      </c>
      <c r="R120" s="7" t="s">
        <v>721</v>
      </c>
      <c r="S120" s="7" t="s">
        <v>732</v>
      </c>
      <c r="T120" s="7" t="s">
        <v>1546</v>
      </c>
      <c r="U120" s="9">
        <v>339.61</v>
      </c>
      <c r="V120" s="9">
        <v>621.02</v>
      </c>
      <c r="W120" s="9">
        <v>621.02</v>
      </c>
      <c r="X120" s="9">
        <v>833.40120000000013</v>
      </c>
      <c r="Y120" s="9">
        <v>1595.4608000000001</v>
      </c>
      <c r="Z120" s="9" t="s">
        <v>2081</v>
      </c>
      <c r="AA120" t="s">
        <v>2065</v>
      </c>
      <c r="AB120" s="11">
        <v>7.0999999999999994E-2</v>
      </c>
      <c r="AC120" t="s">
        <v>2065</v>
      </c>
      <c r="AD120" s="13">
        <v>10</v>
      </c>
      <c r="AE120" s="9">
        <v>5769.2758000000003</v>
      </c>
      <c r="AF120" s="9">
        <v>3396.1000000000004</v>
      </c>
      <c r="AG120" s="9">
        <v>2373.1758</v>
      </c>
      <c r="AH120" s="11">
        <v>0.41134726129750981</v>
      </c>
      <c r="AI120" s="9">
        <f>SUMIFS(AD120:AD751, R120:R751, S120)</f>
        <v>0</v>
      </c>
      <c r="AJ120" s="11" t="e">
        <f>SUMIFS(AD120:AD751, R120:R751, S120, AD120:AD751, "&gt;" &amp; AE120) / AI120</f>
        <v>#DIV/0!</v>
      </c>
      <c r="AK120" s="7" t="e">
        <f>IF(AJ120&lt;=0.8,"A",IF(Table2[[#This Row],[Cumulative rev]]&lt;=0.95,"B","C"))</f>
        <v>#DIV/0!</v>
      </c>
    </row>
    <row r="121" spans="1:37" x14ac:dyDescent="0.3">
      <c r="A121" t="s">
        <v>134</v>
      </c>
      <c r="B121" s="4">
        <v>45847</v>
      </c>
      <c r="C121" s="4" t="s">
        <v>2104</v>
      </c>
      <c r="D121" s="4" t="s">
        <v>2101</v>
      </c>
      <c r="E121" s="4">
        <v>45856</v>
      </c>
      <c r="F121" t="s">
        <v>2064</v>
      </c>
      <c r="G121" s="4">
        <v>45856</v>
      </c>
      <c r="H121" s="4">
        <f>_xlfn.MINIFS(B121:B752, N121:N752, N121)</f>
        <v>44989</v>
      </c>
      <c r="I121" s="4" t="str">
        <f t="shared" si="2"/>
        <v>Mar-2023</v>
      </c>
      <c r="J121" s="13">
        <f t="shared" si="3"/>
        <v>29</v>
      </c>
      <c r="K121" s="13">
        <v>9</v>
      </c>
      <c r="L121" s="30" t="str">
        <f>IF(Table2[[#This Row],[LeadTimeDays]]&lt;7,"1","0")</f>
        <v>0</v>
      </c>
      <c r="M121" s="7" t="s">
        <v>648</v>
      </c>
      <c r="N121" s="7" t="s">
        <v>653</v>
      </c>
      <c r="O121" s="7" t="s">
        <v>688</v>
      </c>
      <c r="P121" s="7" t="s">
        <v>702</v>
      </c>
      <c r="Q121" s="7" t="s">
        <v>710</v>
      </c>
      <c r="R121" s="7" t="s">
        <v>714</v>
      </c>
      <c r="S121" s="7" t="s">
        <v>731</v>
      </c>
      <c r="T121" s="7" t="s">
        <v>1547</v>
      </c>
      <c r="U121" s="9">
        <v>57.96</v>
      </c>
      <c r="V121" s="9">
        <v>88.51</v>
      </c>
      <c r="W121" s="9">
        <v>88.51</v>
      </c>
      <c r="X121" s="9">
        <v>837.06049999999993</v>
      </c>
      <c r="Y121" s="9">
        <v>1601.3257999999998</v>
      </c>
      <c r="Z121" s="9" t="s">
        <v>2081</v>
      </c>
      <c r="AA121" t="s">
        <v>2065</v>
      </c>
      <c r="AB121" s="11">
        <v>4.2999999999999997E-2</v>
      </c>
      <c r="AC121" t="s">
        <v>2065</v>
      </c>
      <c r="AD121" s="13">
        <v>7</v>
      </c>
      <c r="AE121" s="9">
        <v>592.92849000000001</v>
      </c>
      <c r="AF121" s="9">
        <v>405.72</v>
      </c>
      <c r="AG121" s="9">
        <v>187.20848999999998</v>
      </c>
      <c r="AH121" s="11">
        <v>0.3157353595877978</v>
      </c>
      <c r="AI121" s="9">
        <f>SUMIFS(AD121:AD752, R121:R752, S121)</f>
        <v>0</v>
      </c>
      <c r="AJ121" s="11" t="e">
        <f>SUMIFS(AD121:AD752, R121:R752, S121, AD121:AD752, "&gt;" &amp; AE121) / AI121</f>
        <v>#DIV/0!</v>
      </c>
      <c r="AK121" s="7" t="e">
        <f>IF(AJ121&lt;=0.8,"A",IF(Table2[[#This Row],[Cumulative rev]]&lt;=0.95,"B","C"))</f>
        <v>#DIV/0!</v>
      </c>
    </row>
    <row r="122" spans="1:37" x14ac:dyDescent="0.3">
      <c r="A122" t="s">
        <v>135</v>
      </c>
      <c r="B122" s="4">
        <v>45827</v>
      </c>
      <c r="C122" s="4" t="s">
        <v>2108</v>
      </c>
      <c r="D122" s="4" t="s">
        <v>2097</v>
      </c>
      <c r="E122" s="4">
        <v>45850</v>
      </c>
      <c r="F122" t="s">
        <v>2064</v>
      </c>
      <c r="G122" s="4">
        <v>45850</v>
      </c>
      <c r="H122" s="4">
        <f>_xlfn.MINIFS(B122:B753, N122:N753, N122)</f>
        <v>44945</v>
      </c>
      <c r="I122" s="4" t="str">
        <f t="shared" si="2"/>
        <v>Jan-2023</v>
      </c>
      <c r="J122" s="13">
        <f t="shared" si="3"/>
        <v>30</v>
      </c>
      <c r="K122" s="13">
        <v>23</v>
      </c>
      <c r="L122" s="30" t="str">
        <f>IF(Table2[[#This Row],[LeadTimeDays]]&lt;7,"1","0")</f>
        <v>0</v>
      </c>
      <c r="M122" s="7" t="s">
        <v>649</v>
      </c>
      <c r="N122" s="7" t="s">
        <v>658</v>
      </c>
      <c r="O122" s="7" t="s">
        <v>2057</v>
      </c>
      <c r="P122" s="7" t="s">
        <v>703</v>
      </c>
      <c r="Q122" s="7" t="s">
        <v>711</v>
      </c>
      <c r="R122" s="7" t="s">
        <v>2057</v>
      </c>
      <c r="S122" s="7" t="s">
        <v>729</v>
      </c>
      <c r="T122" s="7" t="s">
        <v>1548</v>
      </c>
      <c r="U122" s="9">
        <v>801.24</v>
      </c>
      <c r="V122" s="9">
        <v>1959.09</v>
      </c>
      <c r="W122" s="9">
        <v>1959.09</v>
      </c>
      <c r="X122" s="9">
        <v>839.95500000000004</v>
      </c>
      <c r="Y122" s="9">
        <v>1608.9180000000003</v>
      </c>
      <c r="Z122" s="9" t="s">
        <v>2095</v>
      </c>
      <c r="AA122" t="s">
        <v>2065</v>
      </c>
      <c r="AB122" s="11">
        <v>0.123</v>
      </c>
      <c r="AC122" t="s">
        <v>2065</v>
      </c>
      <c r="AD122" s="13">
        <v>23</v>
      </c>
      <c r="AE122" s="9">
        <v>39516.804389999998</v>
      </c>
      <c r="AF122" s="9">
        <v>18428.52</v>
      </c>
      <c r="AG122" s="9">
        <v>21088.284389999997</v>
      </c>
      <c r="AH122" s="11">
        <v>0.53365358650651762</v>
      </c>
      <c r="AI122" s="9">
        <f>SUMIFS(AD122:AD753, R122:R753, S122)</f>
        <v>0</v>
      </c>
      <c r="AJ122" s="11" t="e">
        <f>SUMIFS(AD122:AD753, R122:R753, S122, AD122:AD753, "&gt;" &amp; AE122) / AI122</f>
        <v>#DIV/0!</v>
      </c>
      <c r="AK122" s="7" t="e">
        <f>IF(AJ122&lt;=0.8,"A",IF(Table2[[#This Row],[Cumulative rev]]&lt;=0.95,"B","C"))</f>
        <v>#DIV/0!</v>
      </c>
    </row>
    <row r="123" spans="1:37" x14ac:dyDescent="0.3">
      <c r="A123" t="s">
        <v>136</v>
      </c>
      <c r="B123" s="4">
        <v>45249</v>
      </c>
      <c r="C123" s="4" t="s">
        <v>2123</v>
      </c>
      <c r="D123" s="4" t="s">
        <v>2089</v>
      </c>
      <c r="E123" s="4">
        <v>45273</v>
      </c>
      <c r="F123" t="s">
        <v>2064</v>
      </c>
      <c r="G123" s="4">
        <v>45273</v>
      </c>
      <c r="H123" s="4">
        <f>_xlfn.MINIFS(B123:B754, N123:N754, N123)</f>
        <v>44936</v>
      </c>
      <c r="I123" s="4" t="str">
        <f t="shared" si="2"/>
        <v>Jan-2023</v>
      </c>
      <c r="J123" s="13">
        <f t="shared" si="3"/>
        <v>11</v>
      </c>
      <c r="K123" s="13">
        <v>24</v>
      </c>
      <c r="L123" s="30" t="str">
        <f>IF(Table2[[#This Row],[LeadTimeDays]]&lt;7,"1","0")</f>
        <v>0</v>
      </c>
      <c r="M123" s="7" t="s">
        <v>649</v>
      </c>
      <c r="N123" s="7" t="s">
        <v>657</v>
      </c>
      <c r="O123" s="7" t="s">
        <v>679</v>
      </c>
      <c r="P123" s="7" t="s">
        <v>703</v>
      </c>
      <c r="Q123" s="7" t="s">
        <v>711</v>
      </c>
      <c r="R123" s="7" t="s">
        <v>722</v>
      </c>
      <c r="S123" s="7" t="s">
        <v>732</v>
      </c>
      <c r="T123" s="7" t="s">
        <v>1549</v>
      </c>
      <c r="U123" s="9">
        <v>1297.42</v>
      </c>
      <c r="V123" s="9">
        <v>2742.97</v>
      </c>
      <c r="W123" s="9">
        <v>2742.97</v>
      </c>
      <c r="X123" s="9">
        <v>838.87950000000001</v>
      </c>
      <c r="Y123" s="9">
        <v>1595.4756</v>
      </c>
      <c r="Z123" s="9" t="s">
        <v>2095</v>
      </c>
      <c r="AA123" t="s">
        <v>2065</v>
      </c>
      <c r="AB123" s="11">
        <v>6.9000000000000006E-2</v>
      </c>
      <c r="AC123" t="s">
        <v>2065</v>
      </c>
      <c r="AD123" s="13">
        <v>9</v>
      </c>
      <c r="AE123" s="9">
        <v>22983.34563</v>
      </c>
      <c r="AF123" s="9">
        <v>11676.78</v>
      </c>
      <c r="AG123" s="9">
        <v>11306.565629999999</v>
      </c>
      <c r="AH123" s="11">
        <v>0.49194602961727291</v>
      </c>
      <c r="AI123" s="9">
        <f>SUMIFS(AD123:AD754, R123:R754, S123)</f>
        <v>0</v>
      </c>
      <c r="AJ123" s="11" t="e">
        <f>SUMIFS(AD123:AD754, R123:R754, S123, AD123:AD754, "&gt;" &amp; AE123) / AI123</f>
        <v>#DIV/0!</v>
      </c>
      <c r="AK123" s="7" t="e">
        <f>IF(AJ123&lt;=0.8,"A",IF(Table2[[#This Row],[Cumulative rev]]&lt;=0.95,"B","C"))</f>
        <v>#DIV/0!</v>
      </c>
    </row>
    <row r="124" spans="1:37" x14ac:dyDescent="0.3">
      <c r="A124" t="s">
        <v>137</v>
      </c>
      <c r="B124" s="4">
        <v>45289</v>
      </c>
      <c r="C124" s="4" t="s">
        <v>2088</v>
      </c>
      <c r="D124" s="4" t="s">
        <v>2089</v>
      </c>
      <c r="E124" s="4">
        <v>45311</v>
      </c>
      <c r="F124" t="s">
        <v>2064</v>
      </c>
      <c r="G124" s="4">
        <v>45311</v>
      </c>
      <c r="H124" s="4">
        <f>_xlfn.MINIFS(B124:B755, N124:N755, N124)</f>
        <v>44946</v>
      </c>
      <c r="I124" s="4" t="str">
        <f t="shared" si="2"/>
        <v>Jan-2023</v>
      </c>
      <c r="J124" s="13">
        <f t="shared" si="3"/>
        <v>12</v>
      </c>
      <c r="K124" s="13">
        <v>22</v>
      </c>
      <c r="L124" s="30" t="str">
        <f>IF(Table2[[#This Row],[LeadTimeDays]]&lt;7,"1","0")</f>
        <v>0</v>
      </c>
      <c r="M124" s="7" t="s">
        <v>646</v>
      </c>
      <c r="N124" s="7" t="s">
        <v>650</v>
      </c>
      <c r="O124" s="7" t="s">
        <v>662</v>
      </c>
      <c r="P124" s="7" t="s">
        <v>701</v>
      </c>
      <c r="Q124" s="7" t="s">
        <v>711</v>
      </c>
      <c r="R124" s="7" t="s">
        <v>716</v>
      </c>
      <c r="S124" s="7" t="s">
        <v>730</v>
      </c>
      <c r="T124" s="7" t="s">
        <v>1550</v>
      </c>
      <c r="U124" s="9">
        <v>1395.49</v>
      </c>
      <c r="V124" s="9">
        <v>1679.42</v>
      </c>
      <c r="W124" s="9">
        <v>1679.42</v>
      </c>
      <c r="X124" s="9">
        <v>837.11400000000003</v>
      </c>
      <c r="Y124" s="9">
        <v>1594.9872</v>
      </c>
      <c r="Z124" s="9" t="s">
        <v>2095</v>
      </c>
      <c r="AA124" t="s">
        <v>2065</v>
      </c>
      <c r="AB124" s="11">
        <v>0.20300000000000001</v>
      </c>
      <c r="AC124" t="s">
        <v>2065</v>
      </c>
      <c r="AD124" s="13">
        <v>12</v>
      </c>
      <c r="AE124" s="9">
        <v>16061.972879999999</v>
      </c>
      <c r="AF124" s="9">
        <v>16745.88</v>
      </c>
      <c r="AG124" s="9">
        <v>-683.90712000000167</v>
      </c>
      <c r="AH124" s="11">
        <v>-4.2579272490964493E-2</v>
      </c>
      <c r="AI124" s="9">
        <f>SUMIFS(AD124:AD755, R124:R755, S124)</f>
        <v>0</v>
      </c>
      <c r="AJ124" s="11" t="e">
        <f>SUMIFS(AD124:AD755, R124:R755, S124, AD124:AD755, "&gt;" &amp; AE124) / AI124</f>
        <v>#DIV/0!</v>
      </c>
      <c r="AK124" s="7" t="e">
        <f>IF(AJ124&lt;=0.8,"A",IF(Table2[[#This Row],[Cumulative rev]]&lt;=0.95,"B","C"))</f>
        <v>#DIV/0!</v>
      </c>
    </row>
    <row r="125" spans="1:37" x14ac:dyDescent="0.3">
      <c r="A125" t="s">
        <v>138</v>
      </c>
      <c r="B125" s="4">
        <v>45598</v>
      </c>
      <c r="C125" s="4" t="s">
        <v>2110</v>
      </c>
      <c r="D125" s="4" t="s">
        <v>2083</v>
      </c>
      <c r="E125" s="4">
        <v>45625</v>
      </c>
      <c r="F125" t="s">
        <v>2064</v>
      </c>
      <c r="G125" s="4">
        <v>45625</v>
      </c>
      <c r="H125" s="4">
        <f>_xlfn.MINIFS(B125:B756, N125:N756, N125)</f>
        <v>44955</v>
      </c>
      <c r="I125" s="4" t="str">
        <f t="shared" si="2"/>
        <v>Jan-2023</v>
      </c>
      <c r="J125" s="13">
        <f t="shared" si="3"/>
        <v>22</v>
      </c>
      <c r="K125" s="13">
        <v>27</v>
      </c>
      <c r="L125" s="30" t="str">
        <f>IF(Table2[[#This Row],[LeadTimeDays]]&lt;7,"1","0")</f>
        <v>0</v>
      </c>
      <c r="M125" s="7" t="s">
        <v>648</v>
      </c>
      <c r="N125" s="7" t="s">
        <v>655</v>
      </c>
      <c r="O125" s="7" t="s">
        <v>672</v>
      </c>
      <c r="P125" s="7" t="s">
        <v>705</v>
      </c>
      <c r="Q125" s="7" t="s">
        <v>711</v>
      </c>
      <c r="R125" s="7" t="s">
        <v>714</v>
      </c>
      <c r="S125" s="7" t="s">
        <v>729</v>
      </c>
      <c r="T125" s="7" t="s">
        <v>1551</v>
      </c>
      <c r="U125" s="9">
        <v>1363.51</v>
      </c>
      <c r="V125" s="9">
        <v>1433.9</v>
      </c>
      <c r="W125" s="9">
        <v>1433.9</v>
      </c>
      <c r="X125" s="9">
        <v>835.34850000000006</v>
      </c>
      <c r="Y125" s="9">
        <v>1593.7311999999999</v>
      </c>
      <c r="Z125" s="9" t="s">
        <v>2092</v>
      </c>
      <c r="AA125" t="s">
        <v>2065</v>
      </c>
      <c r="AB125" s="11">
        <v>5.7000000000000002E-2</v>
      </c>
      <c r="AC125" t="s">
        <v>2065</v>
      </c>
      <c r="AD125" s="13">
        <v>8</v>
      </c>
      <c r="AE125" s="9">
        <v>10817.3416</v>
      </c>
      <c r="AF125" s="9">
        <v>10908.08</v>
      </c>
      <c r="AG125" s="9">
        <v>-90.738400000000183</v>
      </c>
      <c r="AH125" s="11">
        <v>-8.3882346842037592E-3</v>
      </c>
      <c r="AI125" s="9">
        <f>SUMIFS(AD125:AD756, R125:R756, S125)</f>
        <v>0</v>
      </c>
      <c r="AJ125" s="11" t="e">
        <f>SUMIFS(AD125:AD756, R125:R756, S125, AD125:AD756, "&gt;" &amp; AE125) / AI125</f>
        <v>#DIV/0!</v>
      </c>
      <c r="AK125" s="7" t="e">
        <f>IF(AJ125&lt;=0.8,"A",IF(Table2[[#This Row],[Cumulative rev]]&lt;=0.95,"B","C"))</f>
        <v>#DIV/0!</v>
      </c>
    </row>
    <row r="126" spans="1:37" x14ac:dyDescent="0.3">
      <c r="A126" t="s">
        <v>139</v>
      </c>
      <c r="B126" s="4">
        <v>45159</v>
      </c>
      <c r="C126" s="4" t="s">
        <v>2118</v>
      </c>
      <c r="D126" s="4" t="s">
        <v>2117</v>
      </c>
      <c r="E126" s="4">
        <v>45173</v>
      </c>
      <c r="F126" t="s">
        <v>2064</v>
      </c>
      <c r="G126" s="4">
        <v>45173</v>
      </c>
      <c r="H126" s="4">
        <f>_xlfn.MINIFS(B126:B757, N126:N757, N126)</f>
        <v>44989</v>
      </c>
      <c r="I126" s="4" t="str">
        <f t="shared" si="2"/>
        <v>Mar-2023</v>
      </c>
      <c r="J126" s="13">
        <f t="shared" si="3"/>
        <v>6</v>
      </c>
      <c r="K126" s="13">
        <v>14</v>
      </c>
      <c r="L126" s="30" t="str">
        <f>IF(Table2[[#This Row],[LeadTimeDays]]&lt;7,"1","0")</f>
        <v>0</v>
      </c>
      <c r="M126" s="7" t="s">
        <v>648</v>
      </c>
      <c r="N126" s="7" t="s">
        <v>653</v>
      </c>
      <c r="O126" s="7" t="s">
        <v>681</v>
      </c>
      <c r="P126" s="7" t="s">
        <v>702</v>
      </c>
      <c r="Q126" s="7" t="s">
        <v>710</v>
      </c>
      <c r="R126" s="7" t="s">
        <v>721</v>
      </c>
      <c r="S126" s="7" t="s">
        <v>727</v>
      </c>
      <c r="T126" s="7" t="s">
        <v>1552</v>
      </c>
      <c r="U126" s="9">
        <v>178.19</v>
      </c>
      <c r="V126" s="9">
        <v>284.43</v>
      </c>
      <c r="W126" s="9">
        <v>284.43</v>
      </c>
      <c r="X126" s="9">
        <v>833.54560000000015</v>
      </c>
      <c r="Y126" s="9">
        <v>1594.6696000000002</v>
      </c>
      <c r="Z126" s="9" t="s">
        <v>2081</v>
      </c>
      <c r="AA126" t="s">
        <v>2065</v>
      </c>
      <c r="AB126" s="11">
        <v>8.8999999999999996E-2</v>
      </c>
      <c r="AC126" t="s">
        <v>2065</v>
      </c>
      <c r="AD126" s="13">
        <v>8</v>
      </c>
      <c r="AE126" s="9">
        <v>2072.9258400000003</v>
      </c>
      <c r="AF126" s="9">
        <v>1425.52</v>
      </c>
      <c r="AG126" s="9">
        <v>647.40584000000035</v>
      </c>
      <c r="AH126" s="11">
        <v>0.31231500302972742</v>
      </c>
      <c r="AI126" s="9">
        <f>SUMIFS(AD126:AD757, R126:R757, S126)</f>
        <v>0</v>
      </c>
      <c r="AJ126" s="11" t="e">
        <f>SUMIFS(AD126:AD757, R126:R757, S126, AD126:AD757, "&gt;" &amp; AE126) / AI126</f>
        <v>#DIV/0!</v>
      </c>
      <c r="AK126" s="7" t="e">
        <f>IF(AJ126&lt;=0.8,"A",IF(Table2[[#This Row],[Cumulative rev]]&lt;=0.95,"B","C"))</f>
        <v>#DIV/0!</v>
      </c>
    </row>
    <row r="127" spans="1:37" x14ac:dyDescent="0.3">
      <c r="A127" t="s">
        <v>140</v>
      </c>
      <c r="B127" s="4">
        <v>45150</v>
      </c>
      <c r="C127" s="4" t="s">
        <v>2118</v>
      </c>
      <c r="D127" s="4" t="s">
        <v>2117</v>
      </c>
      <c r="E127" s="4">
        <v>45175</v>
      </c>
      <c r="F127" t="s">
        <v>2064</v>
      </c>
      <c r="G127" s="4">
        <v>45175</v>
      </c>
      <c r="H127" s="4">
        <f>_xlfn.MINIFS(B127:B758, N127:N758, N127)</f>
        <v>44938</v>
      </c>
      <c r="I127" s="4" t="str">
        <f t="shared" si="2"/>
        <v>Jan-2023</v>
      </c>
      <c r="J127" s="13">
        <f t="shared" si="3"/>
        <v>8</v>
      </c>
      <c r="K127" s="13">
        <v>25</v>
      </c>
      <c r="L127" s="30" t="str">
        <f>IF(Table2[[#This Row],[LeadTimeDays]]&lt;7,"1","0")</f>
        <v>0</v>
      </c>
      <c r="M127" s="7" t="s">
        <v>647</v>
      </c>
      <c r="N127" s="7" t="s">
        <v>659</v>
      </c>
      <c r="O127" s="7" t="s">
        <v>685</v>
      </c>
      <c r="P127" s="7" t="s">
        <v>705</v>
      </c>
      <c r="Q127" s="7" t="s">
        <v>707</v>
      </c>
      <c r="R127" s="7" t="s">
        <v>717</v>
      </c>
      <c r="S127" s="7" t="s">
        <v>727</v>
      </c>
      <c r="T127" s="7" t="s">
        <v>1553</v>
      </c>
      <c r="U127" s="9">
        <v>950.77</v>
      </c>
      <c r="V127" s="9">
        <v>694.78</v>
      </c>
      <c r="W127" s="9">
        <v>694.78</v>
      </c>
      <c r="X127" s="9">
        <v>837.16750000000002</v>
      </c>
      <c r="Y127" s="9">
        <v>1595.002</v>
      </c>
      <c r="Z127" s="9" t="s">
        <v>2081</v>
      </c>
      <c r="AA127" t="s">
        <v>2065</v>
      </c>
      <c r="AB127" s="11">
        <v>8.4000000000000005E-2</v>
      </c>
      <c r="AC127" t="s">
        <v>2065</v>
      </c>
      <c r="AD127" s="13">
        <v>14</v>
      </c>
      <c r="AE127" s="9">
        <v>8909.8587200000002</v>
      </c>
      <c r="AF127" s="9">
        <v>13310.779999999999</v>
      </c>
      <c r="AG127" s="9">
        <v>-4400.9212799999987</v>
      </c>
      <c r="AH127" s="11">
        <v>-0.49393839097821279</v>
      </c>
      <c r="AI127" s="9">
        <f>SUMIFS(AD127:AD758, R127:R758, S127)</f>
        <v>0</v>
      </c>
      <c r="AJ127" s="11" t="e">
        <f>SUMIFS(AD127:AD758, R127:R758, S127, AD127:AD758, "&gt;" &amp; AE127) / AI127</f>
        <v>#DIV/0!</v>
      </c>
      <c r="AK127" s="7" t="e">
        <f>IF(AJ127&lt;=0.8,"A",IF(Table2[[#This Row],[Cumulative rev]]&lt;=0.95,"B","C"))</f>
        <v>#DIV/0!</v>
      </c>
    </row>
    <row r="128" spans="1:37" x14ac:dyDescent="0.3">
      <c r="A128" t="s">
        <v>141</v>
      </c>
      <c r="B128" s="4">
        <v>45450</v>
      </c>
      <c r="C128" s="4" t="s">
        <v>2109</v>
      </c>
      <c r="D128" s="4" t="s">
        <v>2094</v>
      </c>
      <c r="E128" s="4">
        <v>45469</v>
      </c>
      <c r="F128" t="s">
        <v>2064</v>
      </c>
      <c r="G128" s="4">
        <v>45469</v>
      </c>
      <c r="H128" s="4">
        <f>_xlfn.MINIFS(B128:B759, N128:N759, N128)</f>
        <v>44948</v>
      </c>
      <c r="I128" s="4" t="str">
        <f t="shared" si="2"/>
        <v>Jan-2023</v>
      </c>
      <c r="J128" s="13">
        <f t="shared" si="3"/>
        <v>17</v>
      </c>
      <c r="K128" s="13">
        <v>19</v>
      </c>
      <c r="L128" s="30" t="str">
        <f>IF(Table2[[#This Row],[LeadTimeDays]]&lt;7,"1","0")</f>
        <v>0</v>
      </c>
      <c r="M128" s="7" t="s">
        <v>649</v>
      </c>
      <c r="N128" s="7" t="s">
        <v>656</v>
      </c>
      <c r="O128" s="7" t="s">
        <v>671</v>
      </c>
      <c r="P128" s="7" t="s">
        <v>703</v>
      </c>
      <c r="Q128" s="7" t="s">
        <v>709</v>
      </c>
      <c r="R128" s="7" t="s">
        <v>724</v>
      </c>
      <c r="S128" s="7" t="s">
        <v>727</v>
      </c>
      <c r="T128" s="7" t="s">
        <v>1554</v>
      </c>
      <c r="U128" s="9">
        <v>1064.32</v>
      </c>
      <c r="V128" s="9">
        <v>1848.39</v>
      </c>
      <c r="W128" s="9">
        <v>1848.39</v>
      </c>
      <c r="X128" s="9">
        <v>840.01600000000008</v>
      </c>
      <c r="Y128" s="9">
        <v>1595.2536</v>
      </c>
      <c r="Z128" s="9" t="s">
        <v>2095</v>
      </c>
      <c r="AA128" t="s">
        <v>2065</v>
      </c>
      <c r="AB128" s="11">
        <v>7.2999999999999995E-2</v>
      </c>
      <c r="AC128" t="s">
        <v>2065</v>
      </c>
      <c r="AD128" s="13">
        <v>38</v>
      </c>
      <c r="AE128" s="9">
        <v>65111.38614000001</v>
      </c>
      <c r="AF128" s="9">
        <v>40444.159999999996</v>
      </c>
      <c r="AG128" s="9">
        <v>24667.226140000013</v>
      </c>
      <c r="AH128" s="11">
        <v>0.3788465827921631</v>
      </c>
      <c r="AI128" s="9">
        <f>SUMIFS(AD128:AD759, R128:R759, S128)</f>
        <v>0</v>
      </c>
      <c r="AJ128" s="11" t="e">
        <f>SUMIFS(AD128:AD759, R128:R759, S128, AD128:AD759, "&gt;" &amp; AE128) / AI128</f>
        <v>#DIV/0!</v>
      </c>
      <c r="AK128" s="7" t="e">
        <f>IF(AJ128&lt;=0.8,"A",IF(Table2[[#This Row],[Cumulative rev]]&lt;=0.95,"B","C"))</f>
        <v>#DIV/0!</v>
      </c>
    </row>
    <row r="129" spans="1:37" x14ac:dyDescent="0.3">
      <c r="A129" t="s">
        <v>142</v>
      </c>
      <c r="B129" s="4">
        <v>45874</v>
      </c>
      <c r="C129" s="4" t="s">
        <v>2121</v>
      </c>
      <c r="D129" s="4" t="s">
        <v>2101</v>
      </c>
      <c r="E129" s="4">
        <v>45883</v>
      </c>
      <c r="F129" t="s">
        <v>2064</v>
      </c>
      <c r="G129" s="4">
        <v>45883</v>
      </c>
      <c r="H129" s="4">
        <f>_xlfn.MINIFS(B129:B760, N129:N760, N129)</f>
        <v>44945</v>
      </c>
      <c r="I129" s="4" t="str">
        <f t="shared" si="2"/>
        <v>Jan-2023</v>
      </c>
      <c r="J129" s="13">
        <f t="shared" si="3"/>
        <v>31</v>
      </c>
      <c r="K129" s="13">
        <v>9</v>
      </c>
      <c r="L129" s="30" t="str">
        <f>IF(Table2[[#This Row],[LeadTimeDays]]&lt;7,"1","0")</f>
        <v>0</v>
      </c>
      <c r="M129" s="7" t="s">
        <v>649</v>
      </c>
      <c r="N129" s="7" t="s">
        <v>658</v>
      </c>
      <c r="O129" s="7" t="s">
        <v>683</v>
      </c>
      <c r="P129" s="7" t="s">
        <v>703</v>
      </c>
      <c r="Q129" s="7" t="s">
        <v>711</v>
      </c>
      <c r="R129" s="7" t="s">
        <v>718</v>
      </c>
      <c r="S129" s="7" t="s">
        <v>727</v>
      </c>
      <c r="T129" s="7" t="s">
        <v>1555</v>
      </c>
      <c r="U129" s="9">
        <v>41.76</v>
      </c>
      <c r="V129" s="9">
        <v>45.19</v>
      </c>
      <c r="W129" s="9">
        <v>45.19</v>
      </c>
      <c r="X129" s="9">
        <v>838.98649999999998</v>
      </c>
      <c r="Y129" s="9">
        <v>1594.7248</v>
      </c>
      <c r="Z129" s="9" t="s">
        <v>2081</v>
      </c>
      <c r="AA129" t="s">
        <v>2065</v>
      </c>
      <c r="AB129" s="11">
        <v>0.17899999999999999</v>
      </c>
      <c r="AC129" t="s">
        <v>2065</v>
      </c>
      <c r="AD129" s="13">
        <v>23</v>
      </c>
      <c r="AE129" s="9">
        <v>853.32276999999988</v>
      </c>
      <c r="AF129" s="9">
        <v>960.4799999999999</v>
      </c>
      <c r="AG129" s="9">
        <v>-107.15723000000003</v>
      </c>
      <c r="AH129" s="11">
        <v>-0.12557643340514638</v>
      </c>
      <c r="AI129" s="9">
        <f>SUMIFS(AD129:AD760, R129:R760, S129)</f>
        <v>0</v>
      </c>
      <c r="AJ129" s="11" t="e">
        <f>SUMIFS(AD129:AD760, R129:R760, S129, AD129:AD760, "&gt;" &amp; AE129) / AI129</f>
        <v>#DIV/0!</v>
      </c>
      <c r="AK129" s="7" t="e">
        <f>IF(AJ129&lt;=0.8,"A",IF(Table2[[#This Row],[Cumulative rev]]&lt;=0.95,"B","C"))</f>
        <v>#DIV/0!</v>
      </c>
    </row>
    <row r="130" spans="1:37" x14ac:dyDescent="0.3">
      <c r="A130" t="s">
        <v>143</v>
      </c>
      <c r="B130" s="4">
        <v>45442</v>
      </c>
      <c r="C130" s="4" t="s">
        <v>2093</v>
      </c>
      <c r="D130" s="4" t="s">
        <v>2094</v>
      </c>
      <c r="E130" s="4">
        <v>45456</v>
      </c>
      <c r="F130" t="s">
        <v>2064</v>
      </c>
      <c r="G130" s="4">
        <v>45456</v>
      </c>
      <c r="H130" s="4">
        <f>_xlfn.MINIFS(B130:B761, N130:N761, N130)</f>
        <v>44939</v>
      </c>
      <c r="I130" s="4" t="str">
        <f t="shared" si="2"/>
        <v>Jan-2023</v>
      </c>
      <c r="J130" s="13">
        <f t="shared" si="3"/>
        <v>17</v>
      </c>
      <c r="K130" s="13">
        <v>14</v>
      </c>
      <c r="L130" s="30" t="str">
        <f>IF(Table2[[#This Row],[LeadTimeDays]]&lt;7,"1","0")</f>
        <v>0</v>
      </c>
      <c r="M130" s="7" t="s">
        <v>648</v>
      </c>
      <c r="N130" s="7" t="s">
        <v>1425</v>
      </c>
      <c r="O130" s="7" t="s">
        <v>686</v>
      </c>
      <c r="P130" s="7" t="s">
        <v>705</v>
      </c>
      <c r="Q130" s="7" t="s">
        <v>707</v>
      </c>
      <c r="R130" s="7" t="s">
        <v>721</v>
      </c>
      <c r="S130" s="7" t="s">
        <v>730</v>
      </c>
      <c r="T130" s="7" t="s">
        <v>1556</v>
      </c>
      <c r="U130" s="9">
        <v>157.78</v>
      </c>
      <c r="V130" s="9">
        <v>361.1</v>
      </c>
      <c r="W130" s="9">
        <v>361.1</v>
      </c>
      <c r="X130" s="9">
        <v>841.053</v>
      </c>
      <c r="Y130" s="9">
        <v>1595.0167999999999</v>
      </c>
      <c r="Z130" s="9" t="s">
        <v>2081</v>
      </c>
      <c r="AA130" t="s">
        <v>2065</v>
      </c>
      <c r="AB130" s="11">
        <v>0.187</v>
      </c>
      <c r="AC130" t="s">
        <v>2065</v>
      </c>
      <c r="AD130" s="13">
        <v>9</v>
      </c>
      <c r="AE130" s="9">
        <v>2642.1686999999997</v>
      </c>
      <c r="AF130" s="9">
        <v>1420.02</v>
      </c>
      <c r="AG130" s="9">
        <v>1222.1486999999997</v>
      </c>
      <c r="AH130" s="11">
        <v>0.46255513510549112</v>
      </c>
      <c r="AI130" s="9">
        <f>SUMIFS(AD130:AD761, R130:R761, S130)</f>
        <v>0</v>
      </c>
      <c r="AJ130" s="11" t="e">
        <f>SUMIFS(AD130:AD761, R130:R761, S130, AD130:AD761, "&gt;" &amp; AE130) / AI130</f>
        <v>#DIV/0!</v>
      </c>
      <c r="AK130" s="7" t="e">
        <f>IF(AJ130&lt;=0.8,"A",IF(Table2[[#This Row],[Cumulative rev]]&lt;=0.95,"B","C"))</f>
        <v>#DIV/0!</v>
      </c>
    </row>
    <row r="131" spans="1:37" x14ac:dyDescent="0.3">
      <c r="A131" t="s">
        <v>144</v>
      </c>
      <c r="B131" s="4">
        <v>44948</v>
      </c>
      <c r="C131" s="4" t="s">
        <v>2090</v>
      </c>
      <c r="D131" s="4" t="s">
        <v>2085</v>
      </c>
      <c r="E131" s="4">
        <v>44956</v>
      </c>
      <c r="F131" t="s">
        <v>2064</v>
      </c>
      <c r="G131" s="4">
        <v>44956</v>
      </c>
      <c r="H131" s="4">
        <f>_xlfn.MINIFS(B131:B762, N131:N762, N131)</f>
        <v>44939</v>
      </c>
      <c r="I131" s="4" t="str">
        <f t="shared" ref="I131:I194" si="4">TEXT(H131,"mmm-yyyy")</f>
        <v>Jan-2023</v>
      </c>
      <c r="J131" s="13">
        <f t="shared" ref="J131:J194" si="5">DATEDIF(H131, B131, "m") + 1</f>
        <v>1</v>
      </c>
      <c r="K131" s="13">
        <v>8</v>
      </c>
      <c r="L131" s="30" t="str">
        <f>IF(Table2[[#This Row],[LeadTimeDays]]&lt;7,"1","0")</f>
        <v>0</v>
      </c>
      <c r="M131" s="7" t="s">
        <v>648</v>
      </c>
      <c r="N131" s="7" t="s">
        <v>1425</v>
      </c>
      <c r="O131" s="7" t="s">
        <v>686</v>
      </c>
      <c r="P131" s="7" t="s">
        <v>705</v>
      </c>
      <c r="Q131" s="7" t="s">
        <v>708</v>
      </c>
      <c r="R131" s="7" t="s">
        <v>720</v>
      </c>
      <c r="S131" s="7" t="s">
        <v>729</v>
      </c>
      <c r="T131" s="7" t="s">
        <v>1557</v>
      </c>
      <c r="U131" s="9">
        <v>413.52</v>
      </c>
      <c r="V131" s="9">
        <v>1004.34</v>
      </c>
      <c r="W131" s="9">
        <v>1004.34</v>
      </c>
      <c r="X131" s="9">
        <v>843.23180000000002</v>
      </c>
      <c r="Y131" s="9">
        <v>1595.2683999999999</v>
      </c>
      <c r="Z131" s="9" t="s">
        <v>2092</v>
      </c>
      <c r="AA131" t="s">
        <v>2065</v>
      </c>
      <c r="AB131" s="11">
        <v>0.111</v>
      </c>
      <c r="AC131" t="s">
        <v>2065</v>
      </c>
      <c r="AD131" s="13">
        <v>18</v>
      </c>
      <c r="AE131" s="9">
        <v>16071.44868</v>
      </c>
      <c r="AF131" s="9">
        <v>7443.36</v>
      </c>
      <c r="AG131" s="9">
        <v>8628.0886800000007</v>
      </c>
      <c r="AH131" s="11">
        <v>0.53685817948304593</v>
      </c>
      <c r="AI131" s="9">
        <f>SUMIFS(AD131:AD762, R131:R762, S131)</f>
        <v>0</v>
      </c>
      <c r="AJ131" s="11" t="e">
        <f>SUMIFS(AD131:AD762, R131:R762, S131, AD131:AD762, "&gt;" &amp; AE131) / AI131</f>
        <v>#DIV/0!</v>
      </c>
      <c r="AK131" s="7" t="e">
        <f>IF(AJ131&lt;=0.8,"A",IF(Table2[[#This Row],[Cumulative rev]]&lt;=0.95,"B","C"))</f>
        <v>#DIV/0!</v>
      </c>
    </row>
    <row r="132" spans="1:37" x14ac:dyDescent="0.3">
      <c r="A132" t="s">
        <v>145</v>
      </c>
      <c r="B132" s="4">
        <v>45700</v>
      </c>
      <c r="C132" s="4" t="s">
        <v>2119</v>
      </c>
      <c r="D132" s="4" t="s">
        <v>2087</v>
      </c>
      <c r="E132" s="4">
        <v>45716</v>
      </c>
      <c r="F132" t="s">
        <v>2064</v>
      </c>
      <c r="G132" s="4">
        <v>45716</v>
      </c>
      <c r="H132" s="4">
        <f>_xlfn.MINIFS(B132:B763, N132:N763, N132)</f>
        <v>44955</v>
      </c>
      <c r="I132" s="4" t="str">
        <f t="shared" si="4"/>
        <v>Jan-2023</v>
      </c>
      <c r="J132" s="13">
        <f t="shared" si="5"/>
        <v>25</v>
      </c>
      <c r="K132" s="13">
        <v>16</v>
      </c>
      <c r="L132" s="30" t="str">
        <f>IF(Table2[[#This Row],[LeadTimeDays]]&lt;7,"1","0")</f>
        <v>0</v>
      </c>
      <c r="M132" s="7" t="s">
        <v>648</v>
      </c>
      <c r="N132" s="7" t="s">
        <v>655</v>
      </c>
      <c r="O132" s="7" t="s">
        <v>670</v>
      </c>
      <c r="P132" s="7" t="s">
        <v>703</v>
      </c>
      <c r="Q132" s="7" t="s">
        <v>711</v>
      </c>
      <c r="R132" s="7" t="s">
        <v>717</v>
      </c>
      <c r="S132" s="7" t="s">
        <v>732</v>
      </c>
      <c r="T132" s="7" t="s">
        <v>1558</v>
      </c>
      <c r="U132" s="9">
        <v>414.95</v>
      </c>
      <c r="V132" s="9">
        <v>1027.73</v>
      </c>
      <c r="W132" s="9">
        <v>1027.73</v>
      </c>
      <c r="X132" s="9">
        <v>842.09</v>
      </c>
      <c r="Y132" s="9">
        <v>1595.52</v>
      </c>
      <c r="Z132" s="9" t="s">
        <v>2092</v>
      </c>
      <c r="AA132" t="s">
        <v>2065</v>
      </c>
      <c r="AB132" s="11">
        <v>6.3E-2</v>
      </c>
      <c r="AC132" t="s">
        <v>2065</v>
      </c>
      <c r="AD132" s="13">
        <v>8</v>
      </c>
      <c r="AE132" s="9">
        <v>7703.8640800000003</v>
      </c>
      <c r="AF132" s="9">
        <v>3319.6</v>
      </c>
      <c r="AG132" s="9">
        <v>4384.2640800000008</v>
      </c>
      <c r="AH132" s="11">
        <v>0.56909935513815568</v>
      </c>
      <c r="AI132" s="9">
        <f>SUMIFS(AD132:AD763, R132:R763, S132)</f>
        <v>0</v>
      </c>
      <c r="AJ132" s="11" t="e">
        <f>SUMIFS(AD132:AD763, R132:R763, S132, AD132:AD763, "&gt;" &amp; AE132) / AI132</f>
        <v>#DIV/0!</v>
      </c>
      <c r="AK132" s="7" t="e">
        <f>IF(AJ132&lt;=0.8,"A",IF(Table2[[#This Row],[Cumulative rev]]&lt;=0.95,"B","C"))</f>
        <v>#DIV/0!</v>
      </c>
    </row>
    <row r="133" spans="1:37" x14ac:dyDescent="0.3">
      <c r="A133" t="s">
        <v>146</v>
      </c>
      <c r="B133" s="4">
        <v>45719</v>
      </c>
      <c r="C133" s="4" t="s">
        <v>2086</v>
      </c>
      <c r="D133" s="4" t="s">
        <v>2087</v>
      </c>
      <c r="E133" s="4">
        <v>45740</v>
      </c>
      <c r="F133" t="s">
        <v>2064</v>
      </c>
      <c r="G133" s="4">
        <v>45740</v>
      </c>
      <c r="H133" s="4">
        <f>_xlfn.MINIFS(B133:B764, N133:N764, N133)</f>
        <v>44968</v>
      </c>
      <c r="I133" s="4" t="str">
        <f t="shared" si="4"/>
        <v>Feb-2023</v>
      </c>
      <c r="J133" s="13">
        <f t="shared" si="5"/>
        <v>25</v>
      </c>
      <c r="K133" s="13">
        <v>21</v>
      </c>
      <c r="L133" s="30" t="str">
        <f>IF(Table2[[#This Row],[LeadTimeDays]]&lt;7,"1","0")</f>
        <v>0</v>
      </c>
      <c r="M133" s="7" t="s">
        <v>646</v>
      </c>
      <c r="N133" s="7" t="s">
        <v>651</v>
      </c>
      <c r="O133" s="7" t="s">
        <v>669</v>
      </c>
      <c r="P133" s="7" t="s">
        <v>706</v>
      </c>
      <c r="Q133" s="7" t="s">
        <v>711</v>
      </c>
      <c r="R133" s="7" t="s">
        <v>722</v>
      </c>
      <c r="S133" s="7" t="s">
        <v>733</v>
      </c>
      <c r="T133" s="7" t="s">
        <v>1559</v>
      </c>
      <c r="U133" s="9">
        <v>555.95000000000005</v>
      </c>
      <c r="V133" s="9">
        <v>468.09</v>
      </c>
      <c r="W133" s="9">
        <v>468.09</v>
      </c>
      <c r="X133" s="9">
        <v>841.08350000000007</v>
      </c>
      <c r="Y133" s="9">
        <v>1603.1122000000007</v>
      </c>
      <c r="Z133" s="9" t="s">
        <v>2081</v>
      </c>
      <c r="AA133" t="s">
        <v>2065</v>
      </c>
      <c r="AB133" s="11">
        <v>0.14199999999999999</v>
      </c>
      <c r="AC133" t="s">
        <v>2065</v>
      </c>
      <c r="AD133" s="13">
        <v>11</v>
      </c>
      <c r="AE133" s="9">
        <v>4417.8334199999999</v>
      </c>
      <c r="AF133" s="9">
        <v>6115.4500000000007</v>
      </c>
      <c r="AG133" s="9">
        <v>-1697.6165800000008</v>
      </c>
      <c r="AH133" s="11">
        <v>-0.38426450674095375</v>
      </c>
      <c r="AI133" s="9">
        <f>SUMIFS(AD133:AD764, R133:R764, S133)</f>
        <v>0</v>
      </c>
      <c r="AJ133" s="11" t="e">
        <f>SUMIFS(AD133:AD764, R133:R764, S133, AD133:AD764, "&gt;" &amp; AE133) / AI133</f>
        <v>#DIV/0!</v>
      </c>
      <c r="AK133" s="7" t="e">
        <f>IF(AJ133&lt;=0.8,"A",IF(Table2[[#This Row],[Cumulative rev]]&lt;=0.95,"B","C"))</f>
        <v>#DIV/0!</v>
      </c>
    </row>
    <row r="134" spans="1:37" x14ac:dyDescent="0.3">
      <c r="A134" t="s">
        <v>147</v>
      </c>
      <c r="B134" s="4">
        <v>44953</v>
      </c>
      <c r="C134" s="4" t="s">
        <v>2090</v>
      </c>
      <c r="D134" s="4" t="s">
        <v>2085</v>
      </c>
      <c r="E134" s="4">
        <v>44957</v>
      </c>
      <c r="F134" t="s">
        <v>2064</v>
      </c>
      <c r="G134" s="4">
        <v>44957</v>
      </c>
      <c r="H134" s="4">
        <f>_xlfn.MINIFS(B134:B765, N134:N765, N134)</f>
        <v>44945</v>
      </c>
      <c r="I134" s="4" t="str">
        <f t="shared" si="4"/>
        <v>Jan-2023</v>
      </c>
      <c r="J134" s="13">
        <f t="shared" si="5"/>
        <v>1</v>
      </c>
      <c r="K134" s="13">
        <v>4</v>
      </c>
      <c r="L134" s="30" t="str">
        <f>IF(Table2[[#This Row],[LeadTimeDays]]&lt;7,"1","0")</f>
        <v>1</v>
      </c>
      <c r="M134" s="7" t="s">
        <v>649</v>
      </c>
      <c r="N134" s="7" t="s">
        <v>658</v>
      </c>
      <c r="O134" s="7" t="s">
        <v>693</v>
      </c>
      <c r="P134" s="7" t="s">
        <v>706</v>
      </c>
      <c r="Q134" s="7" t="s">
        <v>708</v>
      </c>
      <c r="R134" s="7" t="s">
        <v>725</v>
      </c>
      <c r="S134" s="7" t="s">
        <v>731</v>
      </c>
      <c r="T134" s="7" t="s">
        <v>1560</v>
      </c>
      <c r="U134" s="9">
        <v>941.2</v>
      </c>
      <c r="V134" s="9">
        <v>668.02</v>
      </c>
      <c r="W134" s="9">
        <v>668.02</v>
      </c>
      <c r="X134" s="9">
        <v>843.26639999999998</v>
      </c>
      <c r="Y134" s="9">
        <v>1610.7044000000001</v>
      </c>
      <c r="Z134" s="9" t="s">
        <v>2081</v>
      </c>
      <c r="AA134" t="s">
        <v>2065</v>
      </c>
      <c r="AB134" s="11">
        <v>0.22</v>
      </c>
      <c r="AC134" t="s">
        <v>2065</v>
      </c>
      <c r="AD134" s="13">
        <v>16</v>
      </c>
      <c r="AE134" s="9">
        <v>8336.8896000000004</v>
      </c>
      <c r="AF134" s="9">
        <v>15059.2</v>
      </c>
      <c r="AG134" s="9">
        <v>-6722.3104000000003</v>
      </c>
      <c r="AH134" s="11">
        <v>-0.80633314371825193</v>
      </c>
      <c r="AI134" s="9">
        <f>SUMIFS(AD134:AD765, R134:R765, S134)</f>
        <v>0</v>
      </c>
      <c r="AJ134" s="11" t="e">
        <f>SUMIFS(AD134:AD765, R134:R765, S134, AD134:AD765, "&gt;" &amp; AE134) / AI134</f>
        <v>#DIV/0!</v>
      </c>
      <c r="AK134" s="7" t="e">
        <f>IF(AJ134&lt;=0.8,"A",IF(Table2[[#This Row],[Cumulative rev]]&lt;=0.95,"B","C"))</f>
        <v>#DIV/0!</v>
      </c>
    </row>
    <row r="135" spans="1:37" x14ac:dyDescent="0.3">
      <c r="A135" t="s">
        <v>148</v>
      </c>
      <c r="B135" s="4">
        <v>45666</v>
      </c>
      <c r="C135" s="4" t="s">
        <v>2099</v>
      </c>
      <c r="D135" s="4" t="s">
        <v>2087</v>
      </c>
      <c r="E135" s="4">
        <v>45672</v>
      </c>
      <c r="F135" t="s">
        <v>2064</v>
      </c>
      <c r="G135" s="4">
        <v>45672</v>
      </c>
      <c r="H135" s="4">
        <f>_xlfn.MINIFS(B135:B766, N135:N766, N135)</f>
        <v>44938</v>
      </c>
      <c r="I135" s="4" t="str">
        <f t="shared" si="4"/>
        <v>Jan-2023</v>
      </c>
      <c r="J135" s="13">
        <f t="shared" si="5"/>
        <v>24</v>
      </c>
      <c r="K135" s="13">
        <v>6</v>
      </c>
      <c r="L135" s="30" t="str">
        <f>IF(Table2[[#This Row],[LeadTimeDays]]&lt;7,"1","0")</f>
        <v>1</v>
      </c>
      <c r="M135" s="7" t="s">
        <v>647</v>
      </c>
      <c r="N135" s="7" t="s">
        <v>659</v>
      </c>
      <c r="O135" s="7" t="s">
        <v>699</v>
      </c>
      <c r="P135" s="7" t="s">
        <v>702</v>
      </c>
      <c r="Q135" s="7" t="s">
        <v>708</v>
      </c>
      <c r="R135" s="7" t="s">
        <v>712</v>
      </c>
      <c r="S135" s="7" t="s">
        <v>730</v>
      </c>
      <c r="T135" s="7" t="s">
        <v>1561</v>
      </c>
      <c r="U135" s="9">
        <v>304.77999999999997</v>
      </c>
      <c r="V135" s="9">
        <v>537.27</v>
      </c>
      <c r="W135" s="9">
        <v>537.27</v>
      </c>
      <c r="X135" s="9">
        <v>845.61990000000014</v>
      </c>
      <c r="Y135" s="9">
        <v>1617.905</v>
      </c>
      <c r="Z135" s="9" t="s">
        <v>2081</v>
      </c>
      <c r="AA135" t="s">
        <v>2065</v>
      </c>
      <c r="AB135" s="11">
        <v>0.187</v>
      </c>
      <c r="AC135" t="s">
        <v>2065</v>
      </c>
      <c r="AD135" s="13">
        <v>8</v>
      </c>
      <c r="AE135" s="9">
        <v>3494.4040799999998</v>
      </c>
      <c r="AF135" s="9">
        <v>2438.2399999999998</v>
      </c>
      <c r="AG135" s="9">
        <v>1056.16408</v>
      </c>
      <c r="AH135" s="11">
        <v>0.3022444044307549</v>
      </c>
      <c r="AI135" s="9">
        <f>SUMIFS(AD135:AD766, R135:R766, S135)</f>
        <v>0</v>
      </c>
      <c r="AJ135" s="11" t="e">
        <f>SUMIFS(AD135:AD766, R135:R766, S135, AD135:AD766, "&gt;" &amp; AE135) / AI135</f>
        <v>#DIV/0!</v>
      </c>
      <c r="AK135" s="7" t="e">
        <f>IF(AJ135&lt;=0.8,"A",IF(Table2[[#This Row],[Cumulative rev]]&lt;=0.95,"B","C"))</f>
        <v>#DIV/0!</v>
      </c>
    </row>
    <row r="136" spans="1:37" x14ac:dyDescent="0.3">
      <c r="A136" t="s">
        <v>149</v>
      </c>
      <c r="B136" s="4">
        <v>45647</v>
      </c>
      <c r="C136" s="4" t="s">
        <v>2091</v>
      </c>
      <c r="D136" s="4" t="s">
        <v>2083</v>
      </c>
      <c r="E136" s="4">
        <v>45652</v>
      </c>
      <c r="F136" t="s">
        <v>2064</v>
      </c>
      <c r="G136" s="4">
        <v>45652</v>
      </c>
      <c r="H136" s="4">
        <f>_xlfn.MINIFS(B136:B767, N136:N767, N136)</f>
        <v>44939</v>
      </c>
      <c r="I136" s="4" t="str">
        <f t="shared" si="4"/>
        <v>Jan-2023</v>
      </c>
      <c r="J136" s="13">
        <f t="shared" si="5"/>
        <v>24</v>
      </c>
      <c r="K136" s="13">
        <v>5</v>
      </c>
      <c r="L136" s="30" t="str">
        <f>IF(Table2[[#This Row],[LeadTimeDays]]&lt;7,"1","0")</f>
        <v>1</v>
      </c>
      <c r="M136" s="7" t="s">
        <v>648</v>
      </c>
      <c r="N136" s="7" t="s">
        <v>1425</v>
      </c>
      <c r="O136" s="7" t="s">
        <v>686</v>
      </c>
      <c r="P136" s="7" t="s">
        <v>704</v>
      </c>
      <c r="Q136" s="7" t="s">
        <v>709</v>
      </c>
      <c r="R136" s="7" t="s">
        <v>724</v>
      </c>
      <c r="S136" s="7" t="s">
        <v>728</v>
      </c>
      <c r="T136" s="7" t="s">
        <v>1562</v>
      </c>
      <c r="U136" s="9">
        <v>699.57</v>
      </c>
      <c r="V136" s="9">
        <v>572.71</v>
      </c>
      <c r="W136" s="9">
        <v>572.71</v>
      </c>
      <c r="X136" s="9">
        <v>850.30320000000006</v>
      </c>
      <c r="Y136" s="9">
        <v>1618.84</v>
      </c>
      <c r="Z136" s="9" t="s">
        <v>2081</v>
      </c>
      <c r="AA136" t="s">
        <v>2065</v>
      </c>
      <c r="AB136" s="11">
        <v>0.192</v>
      </c>
      <c r="AC136" t="s">
        <v>2065</v>
      </c>
      <c r="AD136" s="13">
        <v>26</v>
      </c>
      <c r="AE136" s="9">
        <v>12031.491680000001</v>
      </c>
      <c r="AF136" s="9">
        <v>18188.82</v>
      </c>
      <c r="AG136" s="9">
        <v>-6157.3283199999987</v>
      </c>
      <c r="AH136" s="11">
        <v>-0.51176765805651114</v>
      </c>
      <c r="AI136" s="9">
        <f>SUMIFS(AD136:AD767, R136:R767, S136)</f>
        <v>0</v>
      </c>
      <c r="AJ136" s="11" t="e">
        <f>SUMIFS(AD136:AD767, R136:R767, S136, AD136:AD767, "&gt;" &amp; AE136) / AI136</f>
        <v>#DIV/0!</v>
      </c>
      <c r="AK136" s="7" t="e">
        <f>IF(AJ136&lt;=0.8,"A",IF(Table2[[#This Row],[Cumulative rev]]&lt;=0.95,"B","C"))</f>
        <v>#DIV/0!</v>
      </c>
    </row>
    <row r="137" spans="1:37" x14ac:dyDescent="0.3">
      <c r="A137" t="s">
        <v>150</v>
      </c>
      <c r="B137" s="4">
        <v>45028</v>
      </c>
      <c r="C137" s="4" t="s">
        <v>2102</v>
      </c>
      <c r="D137" s="4" t="s">
        <v>2103</v>
      </c>
      <c r="E137" s="4">
        <v>45033</v>
      </c>
      <c r="F137" t="s">
        <v>2064</v>
      </c>
      <c r="G137" s="4">
        <v>45033</v>
      </c>
      <c r="H137" s="4">
        <f>_xlfn.MINIFS(B137:B768, N137:N768, N137)</f>
        <v>44936</v>
      </c>
      <c r="I137" s="4" t="str">
        <f t="shared" si="4"/>
        <v>Jan-2023</v>
      </c>
      <c r="J137" s="13">
        <f t="shared" si="5"/>
        <v>4</v>
      </c>
      <c r="K137" s="13">
        <v>5</v>
      </c>
      <c r="L137" s="30" t="str">
        <f>IF(Table2[[#This Row],[LeadTimeDays]]&lt;7,"1","0")</f>
        <v>1</v>
      </c>
      <c r="M137" s="7" t="s">
        <v>649</v>
      </c>
      <c r="N137" s="7" t="s">
        <v>657</v>
      </c>
      <c r="O137" s="7" t="s">
        <v>679</v>
      </c>
      <c r="P137" s="7" t="s">
        <v>706</v>
      </c>
      <c r="Q137" s="7" t="s">
        <v>711</v>
      </c>
      <c r="R137" s="7" t="s">
        <v>718</v>
      </c>
      <c r="S137" s="7" t="s">
        <v>732</v>
      </c>
      <c r="T137" s="7" t="s">
        <v>1563</v>
      </c>
      <c r="U137" s="9">
        <v>1087.81</v>
      </c>
      <c r="V137" s="9">
        <v>2323.87</v>
      </c>
      <c r="W137" s="9">
        <v>2323.87</v>
      </c>
      <c r="X137" s="9">
        <v>855.5569999999999</v>
      </c>
      <c r="Y137" s="9">
        <v>1619.7749999999999</v>
      </c>
      <c r="Z137" s="9" t="s">
        <v>2095</v>
      </c>
      <c r="AA137" t="s">
        <v>2065</v>
      </c>
      <c r="AB137" s="11">
        <v>9.4E-2</v>
      </c>
      <c r="AC137" t="s">
        <v>2065</v>
      </c>
      <c r="AD137" s="13">
        <v>13</v>
      </c>
      <c r="AE137" s="9">
        <v>27370.540859999997</v>
      </c>
      <c r="AF137" s="9">
        <v>14141.529999999999</v>
      </c>
      <c r="AG137" s="9">
        <v>13229.010859999999</v>
      </c>
      <c r="AH137" s="11">
        <v>0.48333026839572651</v>
      </c>
      <c r="AI137" s="9">
        <f>SUMIFS(AD137:AD768, R137:R768, S137)</f>
        <v>0</v>
      </c>
      <c r="AJ137" s="11" t="e">
        <f>SUMIFS(AD137:AD768, R137:R768, S137, AD137:AD768, "&gt;" &amp; AE137) / AI137</f>
        <v>#DIV/0!</v>
      </c>
      <c r="AK137" s="7" t="e">
        <f>IF(AJ137&lt;=0.8,"A",IF(Table2[[#This Row],[Cumulative rev]]&lt;=0.95,"B","C"))</f>
        <v>#DIV/0!</v>
      </c>
    </row>
    <row r="138" spans="1:37" x14ac:dyDescent="0.3">
      <c r="A138" t="s">
        <v>151</v>
      </c>
      <c r="B138" s="4">
        <v>45640</v>
      </c>
      <c r="C138" s="4" t="s">
        <v>2091</v>
      </c>
      <c r="D138" s="4" t="s">
        <v>2083</v>
      </c>
      <c r="E138" s="4">
        <v>45669</v>
      </c>
      <c r="F138" t="s">
        <v>2064</v>
      </c>
      <c r="G138" s="4">
        <v>45669</v>
      </c>
      <c r="H138" s="4">
        <f>_xlfn.MINIFS(B138:B769, N138:N769, N138)</f>
        <v>44938</v>
      </c>
      <c r="I138" s="4" t="str">
        <f t="shared" si="4"/>
        <v>Jan-2023</v>
      </c>
      <c r="J138" s="13">
        <f t="shared" si="5"/>
        <v>24</v>
      </c>
      <c r="K138" s="13">
        <v>29</v>
      </c>
      <c r="L138" s="30" t="str">
        <f>IF(Table2[[#This Row],[LeadTimeDays]]&lt;7,"1","0")</f>
        <v>0</v>
      </c>
      <c r="M138" s="7" t="s">
        <v>647</v>
      </c>
      <c r="N138" s="7" t="s">
        <v>659</v>
      </c>
      <c r="O138" s="7" t="s">
        <v>676</v>
      </c>
      <c r="P138" s="7" t="s">
        <v>702</v>
      </c>
      <c r="Q138" s="7" t="s">
        <v>708</v>
      </c>
      <c r="R138" s="7" t="s">
        <v>713</v>
      </c>
      <c r="S138" s="7" t="s">
        <v>727</v>
      </c>
      <c r="T138" s="7" t="s">
        <v>1564</v>
      </c>
      <c r="U138" s="9">
        <v>1412.15</v>
      </c>
      <c r="V138" s="9">
        <v>1631.04</v>
      </c>
      <c r="W138" s="9">
        <v>1631.04</v>
      </c>
      <c r="X138" s="9">
        <v>852.7124</v>
      </c>
      <c r="Y138" s="9">
        <v>1617.96</v>
      </c>
      <c r="Z138" s="9" t="s">
        <v>2095</v>
      </c>
      <c r="AA138" t="s">
        <v>2065</v>
      </c>
      <c r="AB138" s="11">
        <v>8.9999999999999993E-3</v>
      </c>
      <c r="AC138" t="s">
        <v>2065</v>
      </c>
      <c r="AD138" s="13">
        <v>6</v>
      </c>
      <c r="AE138" s="9">
        <v>9698.1638399999993</v>
      </c>
      <c r="AF138" s="9">
        <v>8472.9000000000015</v>
      </c>
      <c r="AG138" s="9">
        <v>1225.2638399999978</v>
      </c>
      <c r="AH138" s="11">
        <v>0.12633977526203535</v>
      </c>
      <c r="AI138" s="9">
        <f>SUMIFS(AD138:AD769, R138:R769, S138)</f>
        <v>0</v>
      </c>
      <c r="AJ138" s="11" t="e">
        <f>SUMIFS(AD138:AD769, R138:R769, S138, AD138:AD769, "&gt;" &amp; AE138) / AI138</f>
        <v>#DIV/0!</v>
      </c>
      <c r="AK138" s="7" t="e">
        <f>IF(AJ138&lt;=0.8,"A",IF(Table2[[#This Row],[Cumulative rev]]&lt;=0.95,"B","C"))</f>
        <v>#DIV/0!</v>
      </c>
    </row>
    <row r="139" spans="1:37" x14ac:dyDescent="0.3">
      <c r="A139" t="s">
        <v>152</v>
      </c>
      <c r="B139" s="4">
        <v>45016</v>
      </c>
      <c r="C139" s="4" t="s">
        <v>2114</v>
      </c>
      <c r="D139" s="4" t="s">
        <v>2085</v>
      </c>
      <c r="E139" s="4">
        <v>45028</v>
      </c>
      <c r="F139" t="s">
        <v>2064</v>
      </c>
      <c r="G139" s="4">
        <v>45028</v>
      </c>
      <c r="H139" s="4">
        <f>_xlfn.MINIFS(B139:B770, N139:N770, N139)</f>
        <v>44946</v>
      </c>
      <c r="I139" s="4" t="str">
        <f t="shared" si="4"/>
        <v>Jan-2023</v>
      </c>
      <c r="J139" s="13">
        <f t="shared" si="5"/>
        <v>3</v>
      </c>
      <c r="K139" s="13">
        <v>12</v>
      </c>
      <c r="L139" s="30" t="str">
        <f>IF(Table2[[#This Row],[LeadTimeDays]]&lt;7,"1","0")</f>
        <v>0</v>
      </c>
      <c r="M139" s="7" t="s">
        <v>646</v>
      </c>
      <c r="N139" s="7" t="s">
        <v>650</v>
      </c>
      <c r="O139" s="7" t="s">
        <v>675</v>
      </c>
      <c r="P139" s="7" t="s">
        <v>705</v>
      </c>
      <c r="Q139" s="7" t="s">
        <v>708</v>
      </c>
      <c r="R139" s="7" t="s">
        <v>712</v>
      </c>
      <c r="S139" s="7" t="s">
        <v>730</v>
      </c>
      <c r="T139" s="7" t="s">
        <v>1565</v>
      </c>
      <c r="U139" s="9">
        <v>304.22000000000003</v>
      </c>
      <c r="V139" s="9">
        <v>393.31</v>
      </c>
      <c r="W139" s="9">
        <v>393.31</v>
      </c>
      <c r="X139" s="9">
        <v>850.37309999999991</v>
      </c>
      <c r="Y139" s="9">
        <v>1604.0053999999998</v>
      </c>
      <c r="Z139" s="9" t="s">
        <v>2081</v>
      </c>
      <c r="AA139" t="s">
        <v>2065</v>
      </c>
      <c r="AB139" s="11">
        <v>0.26500000000000001</v>
      </c>
      <c r="AC139" t="s">
        <v>2065</v>
      </c>
      <c r="AD139" s="13">
        <v>15</v>
      </c>
      <c r="AE139" s="9">
        <v>4336.2427499999994</v>
      </c>
      <c r="AF139" s="9">
        <v>4563.3</v>
      </c>
      <c r="AG139" s="9">
        <v>-227.05725000000075</v>
      </c>
      <c r="AH139" s="11">
        <v>-5.2362670424759034E-2</v>
      </c>
      <c r="AI139" s="9">
        <f>SUMIFS(AD139:AD770, R139:R770, S139)</f>
        <v>0</v>
      </c>
      <c r="AJ139" s="11" t="e">
        <f>SUMIFS(AD139:AD770, R139:R770, S139, AD139:AD770, "&gt;" &amp; AE139) / AI139</f>
        <v>#DIV/0!</v>
      </c>
      <c r="AK139" s="7" t="e">
        <f>IF(AJ139&lt;=0.8,"A",IF(Table2[[#This Row],[Cumulative rev]]&lt;=0.95,"B","C"))</f>
        <v>#DIV/0!</v>
      </c>
    </row>
    <row r="140" spans="1:37" x14ac:dyDescent="0.3">
      <c r="A140" t="s">
        <v>153</v>
      </c>
      <c r="B140" s="4">
        <v>45616</v>
      </c>
      <c r="C140" s="4" t="s">
        <v>2110</v>
      </c>
      <c r="D140" s="4" t="s">
        <v>2083</v>
      </c>
      <c r="E140" s="4">
        <v>45641</v>
      </c>
      <c r="F140" t="s">
        <v>2064</v>
      </c>
      <c r="G140" s="4">
        <v>45641</v>
      </c>
      <c r="H140" s="4">
        <f>_xlfn.MINIFS(B140:B771, N140:N771, N140)</f>
        <v>44936</v>
      </c>
      <c r="I140" s="4" t="str">
        <f t="shared" si="4"/>
        <v>Jan-2023</v>
      </c>
      <c r="J140" s="13">
        <f t="shared" si="5"/>
        <v>23</v>
      </c>
      <c r="K140" s="13">
        <v>25</v>
      </c>
      <c r="L140" s="30" t="str">
        <f>IF(Table2[[#This Row],[LeadTimeDays]]&lt;7,"1","0")</f>
        <v>0</v>
      </c>
      <c r="M140" s="7" t="s">
        <v>649</v>
      </c>
      <c r="N140" s="7" t="s">
        <v>657</v>
      </c>
      <c r="O140" s="7" t="s">
        <v>690</v>
      </c>
      <c r="P140" s="7" t="s">
        <v>701</v>
      </c>
      <c r="Q140" s="7" t="s">
        <v>708</v>
      </c>
      <c r="R140" s="7" t="s">
        <v>715</v>
      </c>
      <c r="S140" s="7" t="s">
        <v>728</v>
      </c>
      <c r="T140" s="7" t="s">
        <v>1566</v>
      </c>
      <c r="U140" s="9">
        <v>1203.58</v>
      </c>
      <c r="V140" s="9">
        <v>1856.16</v>
      </c>
      <c r="W140" s="9">
        <v>1856.16</v>
      </c>
      <c r="X140" s="9">
        <v>855.64320000000009</v>
      </c>
      <c r="Y140" s="9">
        <v>1611.5976000000005</v>
      </c>
      <c r="Z140" s="9" t="s">
        <v>2095</v>
      </c>
      <c r="AA140" t="s">
        <v>2065</v>
      </c>
      <c r="AB140" s="11">
        <v>0.129</v>
      </c>
      <c r="AC140" t="s">
        <v>2065</v>
      </c>
      <c r="AD140" s="13">
        <v>22</v>
      </c>
      <c r="AE140" s="9">
        <v>35567.737920000007</v>
      </c>
      <c r="AF140" s="9">
        <v>26478.76</v>
      </c>
      <c r="AG140" s="9">
        <v>9088.9779200000085</v>
      </c>
      <c r="AH140" s="11">
        <v>0.25553994860295032</v>
      </c>
      <c r="AI140" s="9">
        <f>SUMIFS(AD140:AD771, R140:R771, S140)</f>
        <v>0</v>
      </c>
      <c r="AJ140" s="11" t="e">
        <f>SUMIFS(AD140:AD771, R140:R771, S140, AD140:AD771, "&gt;" &amp; AE140) / AI140</f>
        <v>#DIV/0!</v>
      </c>
      <c r="AK140" s="7" t="e">
        <f>IF(AJ140&lt;=0.8,"A",IF(Table2[[#This Row],[Cumulative rev]]&lt;=0.95,"B","C"))</f>
        <v>#DIV/0!</v>
      </c>
    </row>
    <row r="141" spans="1:37" x14ac:dyDescent="0.3">
      <c r="A141" t="s">
        <v>154</v>
      </c>
      <c r="B141" s="4">
        <v>45336</v>
      </c>
      <c r="C141" s="4" t="s">
        <v>2124</v>
      </c>
      <c r="D141" s="4" t="s">
        <v>2080</v>
      </c>
      <c r="E141" s="4">
        <v>45336</v>
      </c>
      <c r="F141" t="s">
        <v>2064</v>
      </c>
      <c r="G141" s="4">
        <v>45336</v>
      </c>
      <c r="H141" s="4">
        <f>_xlfn.MINIFS(B141:B772, N141:N772, N141)</f>
        <v>44938</v>
      </c>
      <c r="I141" s="4" t="str">
        <f t="shared" si="4"/>
        <v>Jan-2023</v>
      </c>
      <c r="J141" s="13">
        <f t="shared" si="5"/>
        <v>14</v>
      </c>
      <c r="K141" s="13">
        <v>0</v>
      </c>
      <c r="L141" s="30" t="str">
        <f>IF(Table2[[#This Row],[LeadTimeDays]]&lt;7,"1","0")</f>
        <v>1</v>
      </c>
      <c r="M141" s="7" t="s">
        <v>647</v>
      </c>
      <c r="N141" s="7" t="s">
        <v>659</v>
      </c>
      <c r="O141" s="7" t="s">
        <v>699</v>
      </c>
      <c r="P141" s="7" t="s">
        <v>701</v>
      </c>
      <c r="Q141" s="7" t="s">
        <v>710</v>
      </c>
      <c r="R141" s="7" t="s">
        <v>716</v>
      </c>
      <c r="S141" s="7" t="s">
        <v>733</v>
      </c>
      <c r="T141" s="7" t="s">
        <v>1567</v>
      </c>
      <c r="U141" s="9">
        <v>65.930000000000007</v>
      </c>
      <c r="V141" s="9">
        <v>84.9</v>
      </c>
      <c r="W141" s="9">
        <v>84.9</v>
      </c>
      <c r="X141" s="9">
        <v>852.79859999999996</v>
      </c>
      <c r="Y141" s="9">
        <v>1596.8598</v>
      </c>
      <c r="Z141" s="9" t="s">
        <v>2081</v>
      </c>
      <c r="AA141" t="s">
        <v>2065</v>
      </c>
      <c r="AB141" s="11">
        <v>0.25900000000000001</v>
      </c>
      <c r="AC141" t="s">
        <v>2065</v>
      </c>
      <c r="AD141" s="13">
        <v>23</v>
      </c>
      <c r="AE141" s="9">
        <v>1446.9507000000001</v>
      </c>
      <c r="AF141" s="9">
        <v>1516.39</v>
      </c>
      <c r="AG141" s="9">
        <v>-69.439300000000003</v>
      </c>
      <c r="AH141" s="11">
        <v>-4.7990093926489688E-2</v>
      </c>
      <c r="AI141" s="9">
        <f>SUMIFS(AD141:AD772, R141:R772, S141)</f>
        <v>0</v>
      </c>
      <c r="AJ141" s="11" t="e">
        <f>SUMIFS(AD141:AD772, R141:R772, S141, AD141:AD772, "&gt;" &amp; AE141) / AI141</f>
        <v>#DIV/0!</v>
      </c>
      <c r="AK141" s="7" t="e">
        <f>IF(AJ141&lt;=0.8,"A",IF(Table2[[#This Row],[Cumulative rev]]&lt;=0.95,"B","C"))</f>
        <v>#DIV/0!</v>
      </c>
    </row>
    <row r="142" spans="1:37" x14ac:dyDescent="0.3">
      <c r="A142" t="s">
        <v>155</v>
      </c>
      <c r="B142" s="4">
        <v>45048</v>
      </c>
      <c r="C142" s="4" t="s">
        <v>2107</v>
      </c>
      <c r="D142" s="4" t="s">
        <v>2103</v>
      </c>
      <c r="E142" s="4">
        <v>45064</v>
      </c>
      <c r="F142" t="s">
        <v>2064</v>
      </c>
      <c r="G142" s="4">
        <v>45064</v>
      </c>
      <c r="H142" s="4">
        <f>_xlfn.MINIFS(B142:B773, N142:N773, N142)</f>
        <v>44977</v>
      </c>
      <c r="I142" s="4" t="str">
        <f t="shared" si="4"/>
        <v>Feb-2023</v>
      </c>
      <c r="J142" s="13">
        <f t="shared" si="5"/>
        <v>3</v>
      </c>
      <c r="K142" s="13">
        <v>16</v>
      </c>
      <c r="L142" s="30" t="str">
        <f>IF(Table2[[#This Row],[LeadTimeDays]]&lt;7,"1","0")</f>
        <v>0</v>
      </c>
      <c r="M142" s="7" t="s">
        <v>647</v>
      </c>
      <c r="N142" s="7" t="s">
        <v>654</v>
      </c>
      <c r="O142" s="7" t="s">
        <v>680</v>
      </c>
      <c r="P142" s="7" t="s">
        <v>705</v>
      </c>
      <c r="Q142" s="7" t="s">
        <v>709</v>
      </c>
      <c r="R142" s="7" t="s">
        <v>723</v>
      </c>
      <c r="S142" s="7" t="s">
        <v>732</v>
      </c>
      <c r="T142" s="7" t="s">
        <v>1568</v>
      </c>
      <c r="U142" s="9">
        <v>1463.92</v>
      </c>
      <c r="V142" s="9">
        <v>2252.2399999999998</v>
      </c>
      <c r="W142" s="9">
        <v>2252.2399999999998</v>
      </c>
      <c r="X142" s="9">
        <v>858.57400000000007</v>
      </c>
      <c r="Y142" s="9">
        <v>1604.4520000000007</v>
      </c>
      <c r="Z142" s="9" t="s">
        <v>2095</v>
      </c>
      <c r="AA142" t="s">
        <v>2065</v>
      </c>
      <c r="AB142" s="11">
        <v>0.11799999999999999</v>
      </c>
      <c r="AC142" t="s">
        <v>2065</v>
      </c>
      <c r="AD142" s="13">
        <v>44</v>
      </c>
      <c r="AE142" s="9">
        <v>87404.929919999995</v>
      </c>
      <c r="AF142" s="9">
        <v>64412.480000000003</v>
      </c>
      <c r="AG142" s="9">
        <v>22992.449919999992</v>
      </c>
      <c r="AH142" s="11">
        <v>0.26305667130040061</v>
      </c>
      <c r="AI142" s="9">
        <f>SUMIFS(AD142:AD773, R142:R773, S142)</f>
        <v>0</v>
      </c>
      <c r="AJ142" s="11" t="e">
        <f>SUMIFS(AD142:AD773, R142:R773, S142, AD142:AD773, "&gt;" &amp; AE142) / AI142</f>
        <v>#DIV/0!</v>
      </c>
      <c r="AK142" s="7" t="e">
        <f>IF(AJ142&lt;=0.8,"A",IF(Table2[[#This Row],[Cumulative rev]]&lt;=0.95,"B","C"))</f>
        <v>#DIV/0!</v>
      </c>
    </row>
    <row r="143" spans="1:37" x14ac:dyDescent="0.3">
      <c r="A143" t="s">
        <v>156</v>
      </c>
      <c r="B143" s="4">
        <v>45649</v>
      </c>
      <c r="C143" s="4" t="s">
        <v>2091</v>
      </c>
      <c r="D143" s="4" t="s">
        <v>2083</v>
      </c>
      <c r="E143" s="4">
        <v>45668</v>
      </c>
      <c r="F143" t="s">
        <v>2064</v>
      </c>
      <c r="G143" s="4">
        <v>45668</v>
      </c>
      <c r="H143" s="4">
        <f>_xlfn.MINIFS(B143:B774, N143:N774, N143)</f>
        <v>44948</v>
      </c>
      <c r="I143" s="4" t="str">
        <f t="shared" si="4"/>
        <v>Jan-2023</v>
      </c>
      <c r="J143" s="13">
        <f t="shared" si="5"/>
        <v>24</v>
      </c>
      <c r="K143" s="13">
        <v>19</v>
      </c>
      <c r="L143" s="30" t="str">
        <f>IF(Table2[[#This Row],[LeadTimeDays]]&lt;7,"1","0")</f>
        <v>0</v>
      </c>
      <c r="M143" s="7" t="s">
        <v>649</v>
      </c>
      <c r="N143" s="7" t="s">
        <v>656</v>
      </c>
      <c r="O143" s="7" t="s">
        <v>671</v>
      </c>
      <c r="P143" s="7" t="s">
        <v>702</v>
      </c>
      <c r="Q143" s="7" t="s">
        <v>707</v>
      </c>
      <c r="R143" s="7" t="s">
        <v>723</v>
      </c>
      <c r="S143" s="7" t="s">
        <v>730</v>
      </c>
      <c r="T143" s="7" t="s">
        <v>1569</v>
      </c>
      <c r="U143" s="9">
        <v>501.81</v>
      </c>
      <c r="V143" s="9">
        <v>921.62</v>
      </c>
      <c r="W143" s="9">
        <v>921.62</v>
      </c>
      <c r="X143" s="9">
        <v>855.72940000000006</v>
      </c>
      <c r="Y143" s="9">
        <v>1595.3276000000001</v>
      </c>
      <c r="Z143" s="9" t="s">
        <v>2092</v>
      </c>
      <c r="AA143" t="s">
        <v>2065</v>
      </c>
      <c r="AB143" s="11">
        <v>0.01</v>
      </c>
      <c r="AC143" t="s">
        <v>2065</v>
      </c>
      <c r="AD143" s="13">
        <v>9</v>
      </c>
      <c r="AE143" s="9">
        <v>8211.6342000000004</v>
      </c>
      <c r="AF143" s="9">
        <v>4516.29</v>
      </c>
      <c r="AG143" s="9">
        <v>3695.3442000000005</v>
      </c>
      <c r="AH143" s="11">
        <v>0.45001325071202031</v>
      </c>
      <c r="AI143" s="9">
        <f>SUMIFS(AD143:AD774, R143:R774, S143)</f>
        <v>0</v>
      </c>
      <c r="AJ143" s="11" t="e">
        <f>SUMIFS(AD143:AD774, R143:R774, S143, AD143:AD774, "&gt;" &amp; AE143) / AI143</f>
        <v>#DIV/0!</v>
      </c>
      <c r="AK143" s="7" t="e">
        <f>IF(AJ143&lt;=0.8,"A",IF(Table2[[#This Row],[Cumulative rev]]&lt;=0.95,"B","C"))</f>
        <v>#DIV/0!</v>
      </c>
    </row>
    <row r="144" spans="1:37" x14ac:dyDescent="0.3">
      <c r="A144" t="s">
        <v>157</v>
      </c>
      <c r="B144" s="4">
        <v>45133</v>
      </c>
      <c r="C144" s="4" t="s">
        <v>2116</v>
      </c>
      <c r="D144" s="4" t="s">
        <v>2117</v>
      </c>
      <c r="E144" s="4">
        <v>45163</v>
      </c>
      <c r="F144" t="s">
        <v>2064</v>
      </c>
      <c r="G144" s="4">
        <v>45163</v>
      </c>
      <c r="H144" s="4">
        <f>_xlfn.MINIFS(B144:B775, N144:N775, N144)</f>
        <v>44939</v>
      </c>
      <c r="I144" s="4" t="str">
        <f t="shared" si="4"/>
        <v>Jan-2023</v>
      </c>
      <c r="J144" s="13">
        <f t="shared" si="5"/>
        <v>7</v>
      </c>
      <c r="K144" s="13">
        <v>30</v>
      </c>
      <c r="L144" s="30" t="str">
        <f>IF(Table2[[#This Row],[LeadTimeDays]]&lt;7,"1","0")</f>
        <v>0</v>
      </c>
      <c r="M144" s="7" t="s">
        <v>648</v>
      </c>
      <c r="N144" s="7" t="s">
        <v>1425</v>
      </c>
      <c r="O144" s="7" t="s">
        <v>700</v>
      </c>
      <c r="P144" s="7" t="s">
        <v>704</v>
      </c>
      <c r="Q144" s="7" t="s">
        <v>707</v>
      </c>
      <c r="R144" s="7" t="s">
        <v>724</v>
      </c>
      <c r="S144" s="7" t="s">
        <v>733</v>
      </c>
      <c r="T144" s="7" t="s">
        <v>1570</v>
      </c>
      <c r="U144" s="9">
        <v>1261.48</v>
      </c>
      <c r="V144" s="9">
        <v>1643.18</v>
      </c>
      <c r="W144" s="9">
        <v>1643.18</v>
      </c>
      <c r="X144" s="9">
        <v>852.88480000000015</v>
      </c>
      <c r="Y144" s="9">
        <v>1597.3064000000008</v>
      </c>
      <c r="Z144" s="9" t="s">
        <v>2095</v>
      </c>
      <c r="AA144" t="s">
        <v>2065</v>
      </c>
      <c r="AB144" s="11">
        <v>0.151</v>
      </c>
      <c r="AC144" t="s">
        <v>2065</v>
      </c>
      <c r="AD144" s="13">
        <v>23</v>
      </c>
      <c r="AE144" s="9">
        <v>32086.37586</v>
      </c>
      <c r="AF144" s="9">
        <v>29014.04</v>
      </c>
      <c r="AG144" s="9">
        <v>3072.3358599999992</v>
      </c>
      <c r="AH144" s="11">
        <v>9.5752037357079045E-2</v>
      </c>
      <c r="AI144" s="9">
        <f>SUMIFS(AD144:AD775, R144:R775, S144)</f>
        <v>0</v>
      </c>
      <c r="AJ144" s="11" t="e">
        <f>SUMIFS(AD144:AD775, R144:R775, S144, AD144:AD775, "&gt;" &amp; AE144) / AI144</f>
        <v>#DIV/0!</v>
      </c>
      <c r="AK144" s="7" t="e">
        <f>IF(AJ144&lt;=0.8,"A",IF(Table2[[#This Row],[Cumulative rev]]&lt;=0.95,"B","C"))</f>
        <v>#DIV/0!</v>
      </c>
    </row>
    <row r="145" spans="1:37" x14ac:dyDescent="0.3">
      <c r="A145" t="s">
        <v>158</v>
      </c>
      <c r="B145" s="4">
        <v>45458</v>
      </c>
      <c r="C145" s="4" t="s">
        <v>2109</v>
      </c>
      <c r="D145" s="4" t="s">
        <v>2094</v>
      </c>
      <c r="E145" s="4">
        <v>45479</v>
      </c>
      <c r="F145" t="s">
        <v>2064</v>
      </c>
      <c r="G145" s="4">
        <v>45479</v>
      </c>
      <c r="H145" s="4">
        <f>_xlfn.MINIFS(B145:B776, N145:N776, N145)</f>
        <v>44989</v>
      </c>
      <c r="I145" s="4" t="str">
        <f t="shared" si="4"/>
        <v>Mar-2023</v>
      </c>
      <c r="J145" s="13">
        <f t="shared" si="5"/>
        <v>16</v>
      </c>
      <c r="K145" s="13">
        <v>21</v>
      </c>
      <c r="L145" s="30" t="str">
        <f>IF(Table2[[#This Row],[LeadTimeDays]]&lt;7,"1","0")</f>
        <v>0</v>
      </c>
      <c r="M145" s="7" t="s">
        <v>648</v>
      </c>
      <c r="N145" s="7" t="s">
        <v>653</v>
      </c>
      <c r="O145" s="7" t="s">
        <v>667</v>
      </c>
      <c r="P145" s="7" t="s">
        <v>706</v>
      </c>
      <c r="Q145" s="7" t="s">
        <v>710</v>
      </c>
      <c r="R145" s="7" t="s">
        <v>716</v>
      </c>
      <c r="S145" s="7" t="s">
        <v>728</v>
      </c>
      <c r="T145" s="7" t="s">
        <v>1571</v>
      </c>
      <c r="U145" s="9">
        <v>817.23</v>
      </c>
      <c r="V145" s="9">
        <v>1467.17</v>
      </c>
      <c r="W145" s="9">
        <v>1467.17</v>
      </c>
      <c r="X145" s="9">
        <v>850.51290000000006</v>
      </c>
      <c r="Y145" s="9">
        <v>1595.0907999999999</v>
      </c>
      <c r="Z145" s="9" t="s">
        <v>2092</v>
      </c>
      <c r="AA145" t="s">
        <v>2065</v>
      </c>
      <c r="AB145" s="11">
        <v>0.245</v>
      </c>
      <c r="AC145" t="s">
        <v>2065</v>
      </c>
      <c r="AD145" s="13">
        <v>9</v>
      </c>
      <c r="AE145" s="9">
        <v>9969.4201499999999</v>
      </c>
      <c r="AF145" s="9">
        <v>7355.07</v>
      </c>
      <c r="AG145" s="9">
        <v>2614.3501500000002</v>
      </c>
      <c r="AH145" s="11">
        <v>0.26223693160328893</v>
      </c>
      <c r="AI145" s="9">
        <f>SUMIFS(AD145:AD776, R145:R776, S145)</f>
        <v>0</v>
      </c>
      <c r="AJ145" s="11" t="e">
        <f>SUMIFS(AD145:AD776, R145:R776, S145, AD145:AD776, "&gt;" &amp; AE145) / AI145</f>
        <v>#DIV/0!</v>
      </c>
      <c r="AK145" s="7" t="e">
        <f>IF(AJ145&lt;=0.8,"A",IF(Table2[[#This Row],[Cumulative rev]]&lt;=0.95,"B","C"))</f>
        <v>#DIV/0!</v>
      </c>
    </row>
    <row r="146" spans="1:37" x14ac:dyDescent="0.3">
      <c r="A146" t="s">
        <v>159</v>
      </c>
      <c r="B146" s="4">
        <v>45112</v>
      </c>
      <c r="C146" s="4" t="s">
        <v>2116</v>
      </c>
      <c r="D146" s="4" t="s">
        <v>2117</v>
      </c>
      <c r="E146" s="4">
        <v>45121</v>
      </c>
      <c r="F146" t="s">
        <v>2064</v>
      </c>
      <c r="G146" s="4">
        <v>45121</v>
      </c>
      <c r="H146" s="4">
        <f>_xlfn.MINIFS(B146:B777, N146:N777, N146)</f>
        <v>44955</v>
      </c>
      <c r="I146" s="4" t="str">
        <f t="shared" si="4"/>
        <v>Jan-2023</v>
      </c>
      <c r="J146" s="13">
        <f t="shared" si="5"/>
        <v>6</v>
      </c>
      <c r="K146" s="13">
        <v>9</v>
      </c>
      <c r="L146" s="30" t="str">
        <f>IF(Table2[[#This Row],[LeadTimeDays]]&lt;7,"1","0")</f>
        <v>0</v>
      </c>
      <c r="M146" s="7" t="s">
        <v>648</v>
      </c>
      <c r="N146" s="7" t="s">
        <v>655</v>
      </c>
      <c r="O146" s="7" t="s">
        <v>672</v>
      </c>
      <c r="P146" s="7" t="s">
        <v>706</v>
      </c>
      <c r="Q146" s="7" t="s">
        <v>711</v>
      </c>
      <c r="R146" s="7" t="s">
        <v>717</v>
      </c>
      <c r="S146" s="7" t="s">
        <v>729</v>
      </c>
      <c r="T146" s="7" t="s">
        <v>1572</v>
      </c>
      <c r="U146" s="9">
        <v>578.85</v>
      </c>
      <c r="V146" s="9">
        <v>998.76</v>
      </c>
      <c r="W146" s="9">
        <v>998.76</v>
      </c>
      <c r="X146" s="9">
        <v>848.20619999999997</v>
      </c>
      <c r="Y146" s="9">
        <v>1595.3424</v>
      </c>
      <c r="Z146" s="9" t="s">
        <v>2092</v>
      </c>
      <c r="AA146" t="s">
        <v>2065</v>
      </c>
      <c r="AB146" s="11">
        <v>8.2000000000000003E-2</v>
      </c>
      <c r="AC146" t="s">
        <v>2065</v>
      </c>
      <c r="AD146" s="13">
        <v>28</v>
      </c>
      <c r="AE146" s="9">
        <v>25672.127039999999</v>
      </c>
      <c r="AF146" s="9">
        <v>16207.800000000001</v>
      </c>
      <c r="AG146" s="9">
        <v>9464.3270399999983</v>
      </c>
      <c r="AH146" s="11">
        <v>0.36866158480960831</v>
      </c>
      <c r="AI146" s="9">
        <f>SUMIFS(AD146:AD777, R146:R777, S146)</f>
        <v>0</v>
      </c>
      <c r="AJ146" s="11" t="e">
        <f>SUMIFS(AD146:AD777, R146:R777, S146, AD146:AD777, "&gt;" &amp; AE146) / AI146</f>
        <v>#DIV/0!</v>
      </c>
      <c r="AK146" s="7" t="e">
        <f>IF(AJ146&lt;=0.8,"A",IF(Table2[[#This Row],[Cumulative rev]]&lt;=0.95,"B","C"))</f>
        <v>#DIV/0!</v>
      </c>
    </row>
    <row r="147" spans="1:37" x14ac:dyDescent="0.3">
      <c r="A147" t="s">
        <v>160</v>
      </c>
      <c r="B147" s="4">
        <v>45260</v>
      </c>
      <c r="C147" s="4" t="s">
        <v>2123</v>
      </c>
      <c r="D147" s="4" t="s">
        <v>2089</v>
      </c>
      <c r="E147" s="4">
        <v>45259</v>
      </c>
      <c r="F147" t="s">
        <v>2066</v>
      </c>
      <c r="G147" s="4">
        <v>45260</v>
      </c>
      <c r="H147" s="4">
        <f>_xlfn.MINIFS(B147:B778, N147:N778, N147)</f>
        <v>44933</v>
      </c>
      <c r="I147" s="4" t="str">
        <f t="shared" si="4"/>
        <v>Jan-2023</v>
      </c>
      <c r="J147" s="13">
        <f t="shared" si="5"/>
        <v>11</v>
      </c>
      <c r="K147" s="13">
        <v>0</v>
      </c>
      <c r="L147" s="30" t="str">
        <f>IF(Table2[[#This Row],[LeadTimeDays]]&lt;7,"1","0")</f>
        <v>1</v>
      </c>
      <c r="M147" s="7" t="s">
        <v>646</v>
      </c>
      <c r="N147" s="7" t="s">
        <v>661</v>
      </c>
      <c r="O147" s="7" t="s">
        <v>687</v>
      </c>
      <c r="P147" s="7" t="s">
        <v>705</v>
      </c>
      <c r="Q147" s="7" t="s">
        <v>709</v>
      </c>
      <c r="R147" s="7" t="s">
        <v>718</v>
      </c>
      <c r="S147" s="7" t="s">
        <v>731</v>
      </c>
      <c r="T147" s="7" t="s">
        <v>1573</v>
      </c>
      <c r="U147" s="9">
        <v>275.56</v>
      </c>
      <c r="V147" s="9">
        <v>630.72</v>
      </c>
      <c r="W147" s="9">
        <v>630.72</v>
      </c>
      <c r="X147" s="9">
        <v>845.89949999999999</v>
      </c>
      <c r="Y147" s="9">
        <v>1597.7530000000004</v>
      </c>
      <c r="Z147" s="9" t="s">
        <v>2081</v>
      </c>
      <c r="AA147" t="s">
        <v>2065</v>
      </c>
      <c r="AB147" s="11">
        <v>0.107</v>
      </c>
      <c r="AC147" t="s">
        <v>2065</v>
      </c>
      <c r="AD147" s="13">
        <v>23</v>
      </c>
      <c r="AE147" s="9">
        <v>12954.358080000002</v>
      </c>
      <c r="AF147" s="9">
        <v>6337.88</v>
      </c>
      <c r="AG147" s="9">
        <v>6616.4780800000017</v>
      </c>
      <c r="AH147" s="11">
        <v>0.5107530638831933</v>
      </c>
      <c r="AI147" s="9">
        <f>SUMIFS(AD147:AD778, R147:R778, S147)</f>
        <v>0</v>
      </c>
      <c r="AJ147" s="11" t="e">
        <f>SUMIFS(AD147:AD778, R147:R778, S147, AD147:AD778, "&gt;" &amp; AE147) / AI147</f>
        <v>#DIV/0!</v>
      </c>
      <c r="AK147" s="7" t="e">
        <f>IF(AJ147&lt;=0.8,"A",IF(Table2[[#This Row],[Cumulative rev]]&lt;=0.95,"B","C"))</f>
        <v>#DIV/0!</v>
      </c>
    </row>
    <row r="148" spans="1:37" x14ac:dyDescent="0.3">
      <c r="A148" t="s">
        <v>161</v>
      </c>
      <c r="B148" s="4">
        <v>45911</v>
      </c>
      <c r="C148" s="4" t="s">
        <v>2100</v>
      </c>
      <c r="D148" s="4" t="s">
        <v>2101</v>
      </c>
      <c r="E148" s="4">
        <v>45928</v>
      </c>
      <c r="F148" t="s">
        <v>2064</v>
      </c>
      <c r="G148" s="4">
        <v>45928</v>
      </c>
      <c r="H148" s="4">
        <f>_xlfn.MINIFS(B148:B779, N148:N779, N148)</f>
        <v>44946</v>
      </c>
      <c r="I148" s="4" t="str">
        <f t="shared" si="4"/>
        <v>Jan-2023</v>
      </c>
      <c r="J148" s="13">
        <f t="shared" si="5"/>
        <v>32</v>
      </c>
      <c r="K148" s="13">
        <v>17</v>
      </c>
      <c r="L148" s="30" t="str">
        <f>IF(Table2[[#This Row],[LeadTimeDays]]&lt;7,"1","0")</f>
        <v>0</v>
      </c>
      <c r="M148" s="7" t="s">
        <v>646</v>
      </c>
      <c r="N148" s="7" t="s">
        <v>650</v>
      </c>
      <c r="O148" s="7" t="s">
        <v>664</v>
      </c>
      <c r="P148" s="7" t="s">
        <v>703</v>
      </c>
      <c r="Q148" s="7" t="s">
        <v>710</v>
      </c>
      <c r="R148" s="7" t="s">
        <v>713</v>
      </c>
      <c r="S148" s="7" t="s">
        <v>731</v>
      </c>
      <c r="T148" s="7" t="s">
        <v>1574</v>
      </c>
      <c r="U148" s="9">
        <v>891.46</v>
      </c>
      <c r="V148" s="9">
        <v>728.61</v>
      </c>
      <c r="W148" s="9">
        <v>728.61</v>
      </c>
      <c r="X148" s="9">
        <v>850.58279999999991</v>
      </c>
      <c r="Y148" s="9">
        <v>1605.3452</v>
      </c>
      <c r="Z148" s="9" t="s">
        <v>2081</v>
      </c>
      <c r="AA148" t="s">
        <v>2065</v>
      </c>
      <c r="AB148" s="11">
        <v>0.185</v>
      </c>
      <c r="AC148" t="s">
        <v>2065</v>
      </c>
      <c r="AD148" s="13">
        <v>6</v>
      </c>
      <c r="AE148" s="9">
        <v>3562.9028999999996</v>
      </c>
      <c r="AF148" s="9">
        <v>5348.76</v>
      </c>
      <c r="AG148" s="9">
        <v>-1785.8571000000006</v>
      </c>
      <c r="AH148" s="11">
        <v>-0.50123653383874167</v>
      </c>
      <c r="AI148" s="9">
        <f>SUMIFS(AD148:AD779, R148:R779, S148)</f>
        <v>0</v>
      </c>
      <c r="AJ148" s="11" t="e">
        <f>SUMIFS(AD148:AD779, R148:R779, S148, AD148:AD779, "&gt;" &amp; AE148) / AI148</f>
        <v>#DIV/0!</v>
      </c>
      <c r="AK148" s="7" t="e">
        <f>IF(AJ148&lt;=0.8,"A",IF(Table2[[#This Row],[Cumulative rev]]&lt;=0.95,"B","C"))</f>
        <v>#DIV/0!</v>
      </c>
    </row>
    <row r="149" spans="1:37" x14ac:dyDescent="0.3">
      <c r="A149" t="s">
        <v>162</v>
      </c>
      <c r="B149" s="4">
        <v>45386</v>
      </c>
      <c r="C149" s="4" t="s">
        <v>2112</v>
      </c>
      <c r="D149" s="4" t="s">
        <v>2094</v>
      </c>
      <c r="E149" s="4">
        <v>45406</v>
      </c>
      <c r="F149" t="s">
        <v>2064</v>
      </c>
      <c r="G149" s="4">
        <v>45406</v>
      </c>
      <c r="H149" s="4">
        <f>_xlfn.MINIFS(B149:B780, N149:N780, N149)</f>
        <v>44948</v>
      </c>
      <c r="I149" s="4" t="str">
        <f t="shared" si="4"/>
        <v>Jan-2023</v>
      </c>
      <c r="J149" s="13">
        <f t="shared" si="5"/>
        <v>15</v>
      </c>
      <c r="K149" s="13">
        <v>20</v>
      </c>
      <c r="L149" s="30" t="str">
        <f>IF(Table2[[#This Row],[LeadTimeDays]]&lt;7,"1","0")</f>
        <v>0</v>
      </c>
      <c r="M149" s="7" t="s">
        <v>649</v>
      </c>
      <c r="N149" s="7" t="s">
        <v>656</v>
      </c>
      <c r="O149" s="7" t="s">
        <v>698</v>
      </c>
      <c r="P149" s="7" t="s">
        <v>703</v>
      </c>
      <c r="Q149" s="7" t="s">
        <v>711</v>
      </c>
      <c r="R149" s="7" t="s">
        <v>719</v>
      </c>
      <c r="S149" s="7" t="s">
        <v>733</v>
      </c>
      <c r="T149" s="7" t="s">
        <v>1575</v>
      </c>
      <c r="U149" s="9">
        <v>683.42</v>
      </c>
      <c r="V149" s="9">
        <v>951.51</v>
      </c>
      <c r="W149" s="9">
        <v>951.51</v>
      </c>
      <c r="X149" s="9">
        <v>855.90180000000009</v>
      </c>
      <c r="Y149" s="9">
        <v>1612.9374000000005</v>
      </c>
      <c r="Z149" s="9" t="s">
        <v>2092</v>
      </c>
      <c r="AA149" t="s">
        <v>2065</v>
      </c>
      <c r="AB149" s="11">
        <v>0</v>
      </c>
      <c r="AC149" t="s">
        <v>2065</v>
      </c>
      <c r="AD149" s="13">
        <v>14</v>
      </c>
      <c r="AE149" s="9">
        <v>13321.14</v>
      </c>
      <c r="AF149" s="9">
        <v>9567.8799999999992</v>
      </c>
      <c r="AG149" s="9">
        <v>3753.26</v>
      </c>
      <c r="AH149" s="11">
        <v>0.28175216235247136</v>
      </c>
      <c r="AI149" s="9">
        <f>SUMIFS(AD149:AD780, R149:R780, S149)</f>
        <v>0</v>
      </c>
      <c r="AJ149" s="11" t="e">
        <f>SUMIFS(AD149:AD780, R149:R780, S149, AD149:AD780, "&gt;" &amp; AE149) / AI149</f>
        <v>#DIV/0!</v>
      </c>
      <c r="AK149" s="7" t="e">
        <f>IF(AJ149&lt;=0.8,"A",IF(Table2[[#This Row],[Cumulative rev]]&lt;=0.95,"B","C"))</f>
        <v>#DIV/0!</v>
      </c>
    </row>
    <row r="150" spans="1:37" x14ac:dyDescent="0.3">
      <c r="A150" t="s">
        <v>163</v>
      </c>
      <c r="B150" s="4">
        <v>45183</v>
      </c>
      <c r="C150" s="4" t="s">
        <v>2120</v>
      </c>
      <c r="D150" s="4" t="s">
        <v>2117</v>
      </c>
      <c r="E150" s="4">
        <v>45185</v>
      </c>
      <c r="F150" t="s">
        <v>2064</v>
      </c>
      <c r="G150" s="4">
        <v>45185</v>
      </c>
      <c r="H150" s="4">
        <f>_xlfn.MINIFS(B150:B781, N150:N781, N150)</f>
        <v>44936</v>
      </c>
      <c r="I150" s="4" t="str">
        <f t="shared" si="4"/>
        <v>Jan-2023</v>
      </c>
      <c r="J150" s="13">
        <f t="shared" si="5"/>
        <v>9</v>
      </c>
      <c r="K150" s="13">
        <v>2</v>
      </c>
      <c r="L150" s="30" t="str">
        <f>IF(Table2[[#This Row],[LeadTimeDays]]&lt;7,"1","0")</f>
        <v>1</v>
      </c>
      <c r="M150" s="7" t="s">
        <v>649</v>
      </c>
      <c r="N150" s="7" t="s">
        <v>657</v>
      </c>
      <c r="O150" s="7" t="s">
        <v>679</v>
      </c>
      <c r="P150" s="7" t="s">
        <v>703</v>
      </c>
      <c r="Q150" s="7" t="s">
        <v>711</v>
      </c>
      <c r="R150" s="7" t="s">
        <v>717</v>
      </c>
      <c r="S150" s="7" t="s">
        <v>728</v>
      </c>
      <c r="T150" s="7" t="s">
        <v>1576</v>
      </c>
      <c r="U150" s="9">
        <v>376.83</v>
      </c>
      <c r="V150" s="9">
        <v>732.88</v>
      </c>
      <c r="W150" s="9">
        <v>732.88</v>
      </c>
      <c r="X150" s="9">
        <v>853.05719999999997</v>
      </c>
      <c r="Y150" s="9">
        <v>1618.1799999999998</v>
      </c>
      <c r="Z150" s="9" t="s">
        <v>2081</v>
      </c>
      <c r="AA150" t="s">
        <v>2065</v>
      </c>
      <c r="AB150" s="11">
        <v>0.188</v>
      </c>
      <c r="AC150" t="s">
        <v>2065</v>
      </c>
      <c r="AD150" s="13">
        <v>25</v>
      </c>
      <c r="AE150" s="9">
        <v>14877.464000000002</v>
      </c>
      <c r="AF150" s="9">
        <v>9420.75</v>
      </c>
      <c r="AG150" s="9">
        <v>5456.7140000000018</v>
      </c>
      <c r="AH150" s="11">
        <v>0.36677716040852132</v>
      </c>
      <c r="AI150" s="9">
        <f>SUMIFS(AD150:AD781, R150:R781, S150)</f>
        <v>0</v>
      </c>
      <c r="AJ150" s="11" t="e">
        <f>SUMIFS(AD150:AD781, R150:R781, S150, AD150:AD781, "&gt;" &amp; AE150) / AI150</f>
        <v>#DIV/0!</v>
      </c>
      <c r="AK150" s="7" t="e">
        <f>IF(AJ150&lt;=0.8,"A",IF(Table2[[#This Row],[Cumulative rev]]&lt;=0.95,"B","C"))</f>
        <v>#DIV/0!</v>
      </c>
    </row>
    <row r="151" spans="1:37" x14ac:dyDescent="0.3">
      <c r="A151" t="s">
        <v>164</v>
      </c>
      <c r="B151" s="4">
        <v>45558</v>
      </c>
      <c r="C151" s="4" t="s">
        <v>2122</v>
      </c>
      <c r="D151" s="4" t="s">
        <v>2106</v>
      </c>
      <c r="E151" s="4">
        <v>45583</v>
      </c>
      <c r="F151" t="s">
        <v>2064</v>
      </c>
      <c r="G151" s="4">
        <v>45583</v>
      </c>
      <c r="H151" s="4">
        <f>_xlfn.MINIFS(B151:B782, N151:N782, N151)</f>
        <v>44989</v>
      </c>
      <c r="I151" s="4" t="str">
        <f t="shared" si="4"/>
        <v>Mar-2023</v>
      </c>
      <c r="J151" s="13">
        <f t="shared" si="5"/>
        <v>19</v>
      </c>
      <c r="K151" s="13">
        <v>25</v>
      </c>
      <c r="L151" s="30" t="str">
        <f>IF(Table2[[#This Row],[LeadTimeDays]]&lt;7,"1","0")</f>
        <v>0</v>
      </c>
      <c r="M151" s="7" t="s">
        <v>648</v>
      </c>
      <c r="N151" s="7" t="s">
        <v>653</v>
      </c>
      <c r="O151" s="7" t="s">
        <v>688</v>
      </c>
      <c r="P151" s="7" t="s">
        <v>705</v>
      </c>
      <c r="Q151" s="7" t="s">
        <v>708</v>
      </c>
      <c r="R151" s="7" t="s">
        <v>725</v>
      </c>
      <c r="S151" s="7" t="s">
        <v>730</v>
      </c>
      <c r="T151" s="7" t="s">
        <v>1577</v>
      </c>
      <c r="U151" s="9">
        <v>1297</v>
      </c>
      <c r="V151" s="9">
        <v>2411.52</v>
      </c>
      <c r="W151" s="9">
        <v>2411.52</v>
      </c>
      <c r="X151" s="9">
        <v>858.83260000000007</v>
      </c>
      <c r="Y151" s="9">
        <v>1619.115</v>
      </c>
      <c r="Z151" s="9" t="s">
        <v>2095</v>
      </c>
      <c r="AA151" t="s">
        <v>2065</v>
      </c>
      <c r="AB151" s="11">
        <v>2.1000000000000001E-2</v>
      </c>
      <c r="AC151" t="s">
        <v>2065</v>
      </c>
      <c r="AD151" s="13">
        <v>18</v>
      </c>
      <c r="AE151" s="9">
        <v>42495.805439999996</v>
      </c>
      <c r="AF151" s="9">
        <v>23346</v>
      </c>
      <c r="AG151" s="9">
        <v>19149.805439999996</v>
      </c>
      <c r="AH151" s="11">
        <v>0.45062813239385913</v>
      </c>
      <c r="AI151" s="9">
        <f>SUMIFS(AD151:AD782, R151:R782, S151)</f>
        <v>0</v>
      </c>
      <c r="AJ151" s="11" t="e">
        <f>SUMIFS(AD151:AD782, R151:R782, S151, AD151:AD782, "&gt;" &amp; AE151) / AI151</f>
        <v>#DIV/0!</v>
      </c>
      <c r="AK151" s="7" t="e">
        <f>IF(AJ151&lt;=0.8,"A",IF(Table2[[#This Row],[Cumulative rev]]&lt;=0.95,"B","C"))</f>
        <v>#DIV/0!</v>
      </c>
    </row>
    <row r="152" spans="1:37" x14ac:dyDescent="0.3">
      <c r="A152" t="s">
        <v>165</v>
      </c>
      <c r="B152" s="4">
        <v>45763</v>
      </c>
      <c r="C152" s="4" t="s">
        <v>2111</v>
      </c>
      <c r="D152" s="4" t="s">
        <v>2097</v>
      </c>
      <c r="E152" s="4">
        <v>45793</v>
      </c>
      <c r="F152" t="s">
        <v>2064</v>
      </c>
      <c r="G152" s="4">
        <v>45793</v>
      </c>
      <c r="H152" s="4">
        <f>_xlfn.MINIFS(B152:B783, N152:N783, N152)</f>
        <v>44989</v>
      </c>
      <c r="I152" s="4" t="str">
        <f t="shared" si="4"/>
        <v>Mar-2023</v>
      </c>
      <c r="J152" s="13">
        <f t="shared" si="5"/>
        <v>26</v>
      </c>
      <c r="K152" s="13">
        <v>30</v>
      </c>
      <c r="L152" s="30" t="str">
        <f>IF(Table2[[#This Row],[LeadTimeDays]]&lt;7,"1","0")</f>
        <v>0</v>
      </c>
      <c r="M152" s="7" t="s">
        <v>648</v>
      </c>
      <c r="N152" s="7" t="s">
        <v>653</v>
      </c>
      <c r="O152" s="7" t="s">
        <v>681</v>
      </c>
      <c r="P152" s="7" t="s">
        <v>706</v>
      </c>
      <c r="Q152" s="7" t="s">
        <v>710</v>
      </c>
      <c r="R152" s="7" t="s">
        <v>723</v>
      </c>
      <c r="S152" s="7" t="s">
        <v>728</v>
      </c>
      <c r="T152" s="7" t="s">
        <v>1578</v>
      </c>
      <c r="U152" s="9">
        <v>763.32</v>
      </c>
      <c r="V152" s="9">
        <v>568.29</v>
      </c>
      <c r="W152" s="9">
        <v>568.29</v>
      </c>
      <c r="X152" s="9">
        <v>855.98800000000006</v>
      </c>
      <c r="Y152" s="9">
        <v>1613.3840000000002</v>
      </c>
      <c r="Z152" s="9" t="s">
        <v>2081</v>
      </c>
      <c r="AA152" t="s">
        <v>2065</v>
      </c>
      <c r="AB152" s="11">
        <v>0.13100000000000001</v>
      </c>
      <c r="AC152" t="s">
        <v>2065</v>
      </c>
      <c r="AD152" s="13">
        <v>16</v>
      </c>
      <c r="AE152" s="9">
        <v>7901.5041599999995</v>
      </c>
      <c r="AF152" s="9">
        <v>12213.12</v>
      </c>
      <c r="AG152" s="9">
        <v>-4311.6158400000013</v>
      </c>
      <c r="AH152" s="11">
        <v>-0.54567026134426555</v>
      </c>
      <c r="AI152" s="9">
        <f>SUMIFS(AD152:AD783, R152:R783, S152)</f>
        <v>0</v>
      </c>
      <c r="AJ152" s="11" t="e">
        <f>SUMIFS(AD152:AD783, R152:R783, S152, AD152:AD783, "&gt;" &amp; AE152) / AI152</f>
        <v>#DIV/0!</v>
      </c>
      <c r="AK152" s="7" t="e">
        <f>IF(AJ152&lt;=0.8,"A",IF(Table2[[#This Row],[Cumulative rev]]&lt;=0.95,"B","C"))</f>
        <v>#DIV/0!</v>
      </c>
    </row>
    <row r="153" spans="1:37" x14ac:dyDescent="0.3">
      <c r="A153" t="s">
        <v>166</v>
      </c>
      <c r="B153" s="4">
        <v>45110</v>
      </c>
      <c r="C153" s="4" t="s">
        <v>2116</v>
      </c>
      <c r="D153" s="4" t="s">
        <v>2117</v>
      </c>
      <c r="E153" s="4">
        <v>45130</v>
      </c>
      <c r="F153" t="s">
        <v>2064</v>
      </c>
      <c r="G153" s="4">
        <v>45130</v>
      </c>
      <c r="H153" s="4">
        <f>_xlfn.MINIFS(B153:B784, N153:N784, N153)</f>
        <v>44933</v>
      </c>
      <c r="I153" s="4" t="str">
        <f t="shared" si="4"/>
        <v>Jan-2023</v>
      </c>
      <c r="J153" s="13">
        <f t="shared" si="5"/>
        <v>6</v>
      </c>
      <c r="K153" s="13">
        <v>20</v>
      </c>
      <c r="L153" s="30" t="str">
        <f>IF(Table2[[#This Row],[LeadTimeDays]]&lt;7,"1","0")</f>
        <v>0</v>
      </c>
      <c r="M153" s="7" t="s">
        <v>646</v>
      </c>
      <c r="N153" s="7" t="s">
        <v>661</v>
      </c>
      <c r="O153" s="7" t="s">
        <v>682</v>
      </c>
      <c r="P153" s="7" t="s">
        <v>705</v>
      </c>
      <c r="Q153" s="7" t="s">
        <v>710</v>
      </c>
      <c r="R153" s="7" t="s">
        <v>721</v>
      </c>
      <c r="S153" s="7" t="s">
        <v>731</v>
      </c>
      <c r="T153" s="7" t="s">
        <v>1579</v>
      </c>
      <c r="U153" s="9">
        <v>1001.96</v>
      </c>
      <c r="V153" s="9">
        <v>1254.95</v>
      </c>
      <c r="W153" s="9">
        <v>1254.95</v>
      </c>
      <c r="X153" s="9">
        <v>861.68220000000008</v>
      </c>
      <c r="Y153" s="9">
        <v>1618.2350000000001</v>
      </c>
      <c r="Z153" s="9" t="s">
        <v>2092</v>
      </c>
      <c r="AA153" t="s">
        <v>2065</v>
      </c>
      <c r="AB153" s="11">
        <v>4.4999999999999998E-2</v>
      </c>
      <c r="AC153" t="s">
        <v>2065</v>
      </c>
      <c r="AD153" s="13">
        <v>18</v>
      </c>
      <c r="AE153" s="9">
        <v>21572.590500000002</v>
      </c>
      <c r="AF153" s="9">
        <v>18035.28</v>
      </c>
      <c r="AG153" s="9">
        <v>3537.3105000000032</v>
      </c>
      <c r="AH153" s="11">
        <v>0.16397244920585699</v>
      </c>
      <c r="AI153" s="9">
        <f>SUMIFS(AD153:AD784, R153:R784, S153)</f>
        <v>0</v>
      </c>
      <c r="AJ153" s="11" t="e">
        <f>SUMIFS(AD153:AD784, R153:R784, S153, AD153:AD784, "&gt;" &amp; AE153) / AI153</f>
        <v>#DIV/0!</v>
      </c>
      <c r="AK153" s="7" t="e">
        <f>IF(AJ153&lt;=0.8,"A",IF(Table2[[#This Row],[Cumulative rev]]&lt;=0.95,"B","C"))</f>
        <v>#DIV/0!</v>
      </c>
    </row>
    <row r="154" spans="1:37" x14ac:dyDescent="0.3">
      <c r="A154" t="s">
        <v>167</v>
      </c>
      <c r="B154" s="4">
        <v>45267</v>
      </c>
      <c r="C154" s="4" t="s">
        <v>2088</v>
      </c>
      <c r="D154" s="4" t="s">
        <v>2089</v>
      </c>
      <c r="E154" s="4">
        <v>45265</v>
      </c>
      <c r="F154" t="s">
        <v>2066</v>
      </c>
      <c r="G154" s="4">
        <v>45267</v>
      </c>
      <c r="H154" s="4">
        <f>_xlfn.MINIFS(B154:B785, N154:N785, N154)</f>
        <v>44988</v>
      </c>
      <c r="I154" s="4" t="str">
        <f t="shared" si="4"/>
        <v>Mar-2023</v>
      </c>
      <c r="J154" s="13">
        <f t="shared" si="5"/>
        <v>10</v>
      </c>
      <c r="K154" s="13">
        <v>0</v>
      </c>
      <c r="L154" s="30" t="str">
        <f>IF(Table2[[#This Row],[LeadTimeDays]]&lt;7,"1","0")</f>
        <v>1</v>
      </c>
      <c r="M154" s="7" t="s">
        <v>647</v>
      </c>
      <c r="N154" s="7" t="s">
        <v>652</v>
      </c>
      <c r="O154" s="7" t="s">
        <v>689</v>
      </c>
      <c r="P154" s="7" t="s">
        <v>703</v>
      </c>
      <c r="Q154" s="7" t="s">
        <v>709</v>
      </c>
      <c r="R154" s="7" t="s">
        <v>722</v>
      </c>
      <c r="S154" s="7" t="s">
        <v>728</v>
      </c>
      <c r="T154" s="7" t="s">
        <v>1580</v>
      </c>
      <c r="U154" s="9">
        <v>1097.5899999999999</v>
      </c>
      <c r="V154" s="9">
        <v>845.55</v>
      </c>
      <c r="W154" s="9">
        <v>845.55</v>
      </c>
      <c r="X154" s="9">
        <v>858.91880000000003</v>
      </c>
      <c r="Y154" s="9">
        <v>1619.17</v>
      </c>
      <c r="Z154" s="9" t="s">
        <v>2081</v>
      </c>
      <c r="AA154" t="s">
        <v>2065</v>
      </c>
      <c r="AB154" s="11">
        <v>0.184</v>
      </c>
      <c r="AC154" t="s">
        <v>2065</v>
      </c>
      <c r="AD154" s="13">
        <v>6</v>
      </c>
      <c r="AE154" s="9">
        <v>4139.8127999999997</v>
      </c>
      <c r="AF154" s="9">
        <v>6585.5399999999991</v>
      </c>
      <c r="AG154" s="9">
        <v>-2445.7271999999994</v>
      </c>
      <c r="AH154" s="11">
        <v>-0.59078207594314402</v>
      </c>
      <c r="AI154" s="9">
        <f>SUMIFS(AD154:AD785, R154:R785, S154)</f>
        <v>0</v>
      </c>
      <c r="AJ154" s="11" t="e">
        <f>SUMIFS(AD154:AD785, R154:R785, S154, AD154:AD785, "&gt;" &amp; AE154) / AI154</f>
        <v>#DIV/0!</v>
      </c>
      <c r="AK154" s="7" t="e">
        <f>IF(AJ154&lt;=0.8,"A",IF(Table2[[#This Row],[Cumulative rev]]&lt;=0.95,"B","C"))</f>
        <v>#DIV/0!</v>
      </c>
    </row>
    <row r="155" spans="1:37" x14ac:dyDescent="0.3">
      <c r="A155" t="s">
        <v>168</v>
      </c>
      <c r="B155" s="4">
        <v>45340</v>
      </c>
      <c r="C155" s="4" t="s">
        <v>2124</v>
      </c>
      <c r="D155" s="4" t="s">
        <v>2080</v>
      </c>
      <c r="E155" s="4">
        <v>45355</v>
      </c>
      <c r="F155" t="s">
        <v>2064</v>
      </c>
      <c r="G155" s="4">
        <v>45355</v>
      </c>
      <c r="H155" s="4">
        <f>_xlfn.MINIFS(B155:B786, N155:N786, N155)</f>
        <v>44946</v>
      </c>
      <c r="I155" s="4" t="str">
        <f t="shared" si="4"/>
        <v>Jan-2023</v>
      </c>
      <c r="J155" s="13">
        <f t="shared" si="5"/>
        <v>13</v>
      </c>
      <c r="K155" s="13">
        <v>15</v>
      </c>
      <c r="L155" s="30" t="str">
        <f>IF(Table2[[#This Row],[LeadTimeDays]]&lt;7,"1","0")</f>
        <v>0</v>
      </c>
      <c r="M155" s="7" t="s">
        <v>646</v>
      </c>
      <c r="N155" s="7" t="s">
        <v>650</v>
      </c>
      <c r="O155" s="7" t="s">
        <v>662</v>
      </c>
      <c r="P155" s="7" t="s">
        <v>702</v>
      </c>
      <c r="Q155" s="7" t="s">
        <v>711</v>
      </c>
      <c r="R155" s="7" t="s">
        <v>723</v>
      </c>
      <c r="S155" s="7" t="s">
        <v>728</v>
      </c>
      <c r="T155" s="7" t="s">
        <v>1581</v>
      </c>
      <c r="U155" s="9">
        <v>928.68</v>
      </c>
      <c r="V155" s="9">
        <v>2145.17</v>
      </c>
      <c r="W155" s="9">
        <v>2145.17</v>
      </c>
      <c r="X155" s="9">
        <v>864.21859999999992</v>
      </c>
      <c r="Y155" s="9">
        <v>1620.1049999999998</v>
      </c>
      <c r="Z155" s="9" t="s">
        <v>2095</v>
      </c>
      <c r="AA155" t="s">
        <v>2065</v>
      </c>
      <c r="AB155" s="11">
        <v>0.13600000000000001</v>
      </c>
      <c r="AC155" t="s">
        <v>2065</v>
      </c>
      <c r="AD155" s="13">
        <v>16</v>
      </c>
      <c r="AE155" s="9">
        <v>29654.83008</v>
      </c>
      <c r="AF155" s="9">
        <v>14858.88</v>
      </c>
      <c r="AG155" s="9">
        <v>14795.950080000001</v>
      </c>
      <c r="AH155" s="11">
        <v>0.49893896003062177</v>
      </c>
      <c r="AI155" s="9">
        <f>SUMIFS(AD155:AD786, R155:R786, S155)</f>
        <v>0</v>
      </c>
      <c r="AJ155" s="11" t="e">
        <f>SUMIFS(AD155:AD786, R155:R786, S155, AD155:AD786, "&gt;" &amp; AE155) / AI155</f>
        <v>#DIV/0!</v>
      </c>
      <c r="AK155" s="7" t="e">
        <f>IF(AJ155&lt;=0.8,"A",IF(Table2[[#This Row],[Cumulative rev]]&lt;=0.95,"B","C"))</f>
        <v>#DIV/0!</v>
      </c>
    </row>
    <row r="156" spans="1:37" x14ac:dyDescent="0.3">
      <c r="A156" t="s">
        <v>169</v>
      </c>
      <c r="B156" s="4">
        <v>45230</v>
      </c>
      <c r="C156" s="4" t="s">
        <v>2125</v>
      </c>
      <c r="D156" s="4" t="s">
        <v>2089</v>
      </c>
      <c r="E156" s="4">
        <v>45232</v>
      </c>
      <c r="F156" t="s">
        <v>2064</v>
      </c>
      <c r="G156" s="4">
        <v>45232</v>
      </c>
      <c r="H156" s="4">
        <f>_xlfn.MINIFS(B156:B787, N156:N787, N156)</f>
        <v>44946</v>
      </c>
      <c r="I156" s="4" t="str">
        <f t="shared" si="4"/>
        <v>Jan-2023</v>
      </c>
      <c r="J156" s="13">
        <f t="shared" si="5"/>
        <v>10</v>
      </c>
      <c r="K156" s="13">
        <v>2</v>
      </c>
      <c r="L156" s="30" t="str">
        <f>IF(Table2[[#This Row],[LeadTimeDays]]&lt;7,"1","0")</f>
        <v>1</v>
      </c>
      <c r="M156" s="7" t="s">
        <v>646</v>
      </c>
      <c r="N156" s="7" t="s">
        <v>650</v>
      </c>
      <c r="O156" s="7" t="s">
        <v>662</v>
      </c>
      <c r="P156" s="7" t="s">
        <v>702</v>
      </c>
      <c r="Q156" s="7" t="s">
        <v>707</v>
      </c>
      <c r="R156" s="7" t="s">
        <v>719</v>
      </c>
      <c r="S156" s="7" t="s">
        <v>733</v>
      </c>
      <c r="T156" s="7" t="s">
        <v>1582</v>
      </c>
      <c r="U156" s="9">
        <v>867.89</v>
      </c>
      <c r="V156" s="9">
        <v>1349.94</v>
      </c>
      <c r="W156" s="9">
        <v>1349.94</v>
      </c>
      <c r="X156" s="9">
        <v>861.75680000000011</v>
      </c>
      <c r="Y156" s="9">
        <v>1618.29</v>
      </c>
      <c r="Z156" s="9" t="s">
        <v>2092</v>
      </c>
      <c r="AA156" t="s">
        <v>2065</v>
      </c>
      <c r="AB156" s="11">
        <v>0.184</v>
      </c>
      <c r="AC156" t="s">
        <v>2065</v>
      </c>
      <c r="AD156" s="13">
        <v>10</v>
      </c>
      <c r="AE156" s="9">
        <v>11015.510400000003</v>
      </c>
      <c r="AF156" s="9">
        <v>8678.9</v>
      </c>
      <c r="AG156" s="9">
        <v>2336.6104000000032</v>
      </c>
      <c r="AH156" s="11">
        <v>0.21212003031652557</v>
      </c>
      <c r="AI156" s="9">
        <f>SUMIFS(AD156:AD787, R156:R787, S156)</f>
        <v>0</v>
      </c>
      <c r="AJ156" s="11" t="e">
        <f>SUMIFS(AD156:AD787, R156:R787, S156, AD156:AD787, "&gt;" &amp; AE156) / AI156</f>
        <v>#DIV/0!</v>
      </c>
      <c r="AK156" s="7" t="e">
        <f>IF(AJ156&lt;=0.8,"A",IF(Table2[[#This Row],[Cumulative rev]]&lt;=0.95,"B","C"))</f>
        <v>#DIV/0!</v>
      </c>
    </row>
    <row r="157" spans="1:37" x14ac:dyDescent="0.3">
      <c r="A157" t="s">
        <v>170</v>
      </c>
      <c r="B157" s="4">
        <v>45511</v>
      </c>
      <c r="C157" s="4" t="s">
        <v>2113</v>
      </c>
      <c r="D157" s="4" t="s">
        <v>2106</v>
      </c>
      <c r="E157" s="4">
        <v>45521</v>
      </c>
      <c r="F157" t="s">
        <v>2064</v>
      </c>
      <c r="G157" s="4">
        <v>45521</v>
      </c>
      <c r="H157" s="4">
        <f>_xlfn.MINIFS(B157:B788, N157:N788, N157)</f>
        <v>44988</v>
      </c>
      <c r="I157" s="4" t="str">
        <f t="shared" si="4"/>
        <v>Mar-2023</v>
      </c>
      <c r="J157" s="13">
        <f t="shared" si="5"/>
        <v>18</v>
      </c>
      <c r="K157" s="13">
        <v>10</v>
      </c>
      <c r="L157" s="30" t="str">
        <f>IF(Table2[[#This Row],[LeadTimeDays]]&lt;7,"1","0")</f>
        <v>0</v>
      </c>
      <c r="M157" s="7" t="s">
        <v>647</v>
      </c>
      <c r="N157" s="7" t="s">
        <v>652</v>
      </c>
      <c r="O157" s="7" t="s">
        <v>666</v>
      </c>
      <c r="P157" s="7" t="s">
        <v>704</v>
      </c>
      <c r="Q157" s="7" t="s">
        <v>708</v>
      </c>
      <c r="R157" s="7" t="s">
        <v>723</v>
      </c>
      <c r="S157" s="7" t="s">
        <v>729</v>
      </c>
      <c r="T157" s="7" t="s">
        <v>1583</v>
      </c>
      <c r="U157" s="9">
        <v>436.58</v>
      </c>
      <c r="V157" s="9">
        <v>527.48</v>
      </c>
      <c r="W157" s="9">
        <v>527.48</v>
      </c>
      <c r="X157" s="9">
        <v>859.005</v>
      </c>
      <c r="Y157" s="9">
        <v>1619.2249999999999</v>
      </c>
      <c r="Z157" s="9" t="s">
        <v>2081</v>
      </c>
      <c r="AA157" t="s">
        <v>2065</v>
      </c>
      <c r="AB157" s="11">
        <v>0.111</v>
      </c>
      <c r="AC157" t="s">
        <v>2065</v>
      </c>
      <c r="AD157" s="13">
        <v>19</v>
      </c>
      <c r="AE157" s="9">
        <v>8909.6646800000017</v>
      </c>
      <c r="AF157" s="9">
        <v>8295.02</v>
      </c>
      <c r="AG157" s="9">
        <v>614.64468000000124</v>
      </c>
      <c r="AH157" s="11">
        <v>6.8986286473802644E-2</v>
      </c>
      <c r="AI157" s="9">
        <f>SUMIFS(AD157:AD788, R157:R788, S157)</f>
        <v>0</v>
      </c>
      <c r="AJ157" s="11" t="e">
        <f>SUMIFS(AD157:AD788, R157:R788, S157, AD157:AD788, "&gt;" &amp; AE157) / AI157</f>
        <v>#DIV/0!</v>
      </c>
      <c r="AK157" s="7" t="e">
        <f>IF(AJ157&lt;=0.8,"A",IF(Table2[[#This Row],[Cumulative rev]]&lt;=0.95,"B","C"))</f>
        <v>#DIV/0!</v>
      </c>
    </row>
    <row r="158" spans="1:37" x14ac:dyDescent="0.3">
      <c r="A158" t="s">
        <v>171</v>
      </c>
      <c r="B158" s="4">
        <v>45323</v>
      </c>
      <c r="C158" s="4" t="s">
        <v>2124</v>
      </c>
      <c r="D158" s="4" t="s">
        <v>2080</v>
      </c>
      <c r="E158" s="4">
        <v>45343</v>
      </c>
      <c r="F158" t="s">
        <v>2064</v>
      </c>
      <c r="G158" s="4">
        <v>45343</v>
      </c>
      <c r="H158" s="4">
        <f>_xlfn.MINIFS(B158:B789, N158:N789, N158)</f>
        <v>44936</v>
      </c>
      <c r="I158" s="4" t="str">
        <f t="shared" si="4"/>
        <v>Jan-2023</v>
      </c>
      <c r="J158" s="13">
        <f t="shared" si="5"/>
        <v>13</v>
      </c>
      <c r="K158" s="13">
        <v>20</v>
      </c>
      <c r="L158" s="30" t="str">
        <f>IF(Table2[[#This Row],[LeadTimeDays]]&lt;7,"1","0")</f>
        <v>0</v>
      </c>
      <c r="M158" s="7" t="s">
        <v>649</v>
      </c>
      <c r="N158" s="7" t="s">
        <v>657</v>
      </c>
      <c r="O158" s="7" t="s">
        <v>690</v>
      </c>
      <c r="P158" s="7" t="s">
        <v>705</v>
      </c>
      <c r="Q158" s="7" t="s">
        <v>709</v>
      </c>
      <c r="R158" s="7" t="s">
        <v>720</v>
      </c>
      <c r="S158" s="7" t="s">
        <v>729</v>
      </c>
      <c r="T158" s="7" t="s">
        <v>1584</v>
      </c>
      <c r="U158" s="9">
        <v>656.2</v>
      </c>
      <c r="V158" s="9">
        <v>1467.17</v>
      </c>
      <c r="W158" s="9">
        <v>1467.17</v>
      </c>
      <c r="X158" s="9">
        <v>864.29320000000007</v>
      </c>
      <c r="Y158" s="9">
        <v>1620.16</v>
      </c>
      <c r="Z158" s="9" t="s">
        <v>2092</v>
      </c>
      <c r="AA158" t="s">
        <v>2065</v>
      </c>
      <c r="AB158" s="11">
        <v>1.7999999999999999E-2</v>
      </c>
      <c r="AC158" t="s">
        <v>2065</v>
      </c>
      <c r="AD158" s="13">
        <v>5</v>
      </c>
      <c r="AE158" s="9">
        <v>7203.8047000000006</v>
      </c>
      <c r="AF158" s="9">
        <v>3281</v>
      </c>
      <c r="AG158" s="9">
        <v>3922.8047000000006</v>
      </c>
      <c r="AH158" s="11">
        <v>0.54454623124360946</v>
      </c>
      <c r="AI158" s="9">
        <f>SUMIFS(AD158:AD789, R158:R789, S158)</f>
        <v>0</v>
      </c>
      <c r="AJ158" s="11" t="e">
        <f>SUMIFS(AD158:AD789, R158:R789, S158, AD158:AD789, "&gt;" &amp; AE158) / AI158</f>
        <v>#DIV/0!</v>
      </c>
      <c r="AK158" s="7" t="e">
        <f>IF(AJ158&lt;=0.8,"A",IF(Table2[[#This Row],[Cumulative rev]]&lt;=0.95,"B","C"))</f>
        <v>#DIV/0!</v>
      </c>
    </row>
    <row r="159" spans="1:37" x14ac:dyDescent="0.3">
      <c r="A159" t="s">
        <v>172</v>
      </c>
      <c r="B159" s="4">
        <v>45531</v>
      </c>
      <c r="C159" s="4" t="s">
        <v>2113</v>
      </c>
      <c r="D159" s="4" t="s">
        <v>2106</v>
      </c>
      <c r="E159" s="4">
        <v>45553</v>
      </c>
      <c r="F159" t="s">
        <v>2064</v>
      </c>
      <c r="G159" s="4">
        <v>45553</v>
      </c>
      <c r="H159" s="4">
        <f>_xlfn.MINIFS(B159:B790, N159:N790, N159)</f>
        <v>44977</v>
      </c>
      <c r="I159" s="4" t="str">
        <f t="shared" si="4"/>
        <v>Feb-2023</v>
      </c>
      <c r="J159" s="13">
        <f t="shared" si="5"/>
        <v>19</v>
      </c>
      <c r="K159" s="13">
        <v>22</v>
      </c>
      <c r="L159" s="30" t="str">
        <f>IF(Table2[[#This Row],[LeadTimeDays]]&lt;7,"1","0")</f>
        <v>0</v>
      </c>
      <c r="M159" s="7" t="s">
        <v>647</v>
      </c>
      <c r="N159" s="7" t="s">
        <v>654</v>
      </c>
      <c r="O159" s="7" t="s">
        <v>680</v>
      </c>
      <c r="P159" s="7" t="s">
        <v>704</v>
      </c>
      <c r="Q159" s="7" t="s">
        <v>711</v>
      </c>
      <c r="R159" s="7" t="s">
        <v>717</v>
      </c>
      <c r="S159" s="7" t="s">
        <v>727</v>
      </c>
      <c r="T159" s="7" t="s">
        <v>1585</v>
      </c>
      <c r="U159" s="9">
        <v>896.75</v>
      </c>
      <c r="V159" s="9">
        <v>1651.14</v>
      </c>
      <c r="W159" s="9">
        <v>1651.14</v>
      </c>
      <c r="X159" s="9">
        <v>861.83140000000003</v>
      </c>
      <c r="Y159" s="9">
        <v>1621.3326</v>
      </c>
      <c r="Z159" s="9" t="s">
        <v>2095</v>
      </c>
      <c r="AA159" t="s">
        <v>2065</v>
      </c>
      <c r="AB159" s="11">
        <v>2.5000000000000001E-2</v>
      </c>
      <c r="AC159" t="s">
        <v>2065</v>
      </c>
      <c r="AD159" s="13">
        <v>15</v>
      </c>
      <c r="AE159" s="9">
        <v>24147.922500000001</v>
      </c>
      <c r="AF159" s="9">
        <v>13451.25</v>
      </c>
      <c r="AG159" s="9">
        <v>10696.672500000001</v>
      </c>
      <c r="AH159" s="11">
        <v>0.44296450346815552</v>
      </c>
      <c r="AI159" s="9">
        <f>SUMIFS(AD159:AD790, R159:R790, S159)</f>
        <v>0</v>
      </c>
      <c r="AJ159" s="11" t="e">
        <f>SUMIFS(AD159:AD790, R159:R790, S159, AD159:AD790, "&gt;" &amp; AE159) / AI159</f>
        <v>#DIV/0!</v>
      </c>
      <c r="AK159" s="7" t="e">
        <f>IF(AJ159&lt;=0.8,"A",IF(Table2[[#This Row],[Cumulative rev]]&lt;=0.95,"B","C"))</f>
        <v>#DIV/0!</v>
      </c>
    </row>
    <row r="160" spans="1:37" x14ac:dyDescent="0.3">
      <c r="A160" t="s">
        <v>173</v>
      </c>
      <c r="B160" s="4">
        <v>45703</v>
      </c>
      <c r="C160" s="4" t="s">
        <v>2119</v>
      </c>
      <c r="D160" s="4" t="s">
        <v>2087</v>
      </c>
      <c r="E160" s="4">
        <v>45703</v>
      </c>
      <c r="F160" t="s">
        <v>2064</v>
      </c>
      <c r="G160" s="4">
        <v>45703</v>
      </c>
      <c r="H160" s="4">
        <f>_xlfn.MINIFS(B160:B791, N160:N791, N160)</f>
        <v>44948</v>
      </c>
      <c r="I160" s="4" t="str">
        <f t="shared" si="4"/>
        <v>Jan-2023</v>
      </c>
      <c r="J160" s="13">
        <f t="shared" si="5"/>
        <v>25</v>
      </c>
      <c r="K160" s="13">
        <v>0</v>
      </c>
      <c r="L160" s="30" t="str">
        <f>IF(Table2[[#This Row],[LeadTimeDays]]&lt;7,"1","0")</f>
        <v>1</v>
      </c>
      <c r="M160" s="7" t="s">
        <v>649</v>
      </c>
      <c r="N160" s="7" t="s">
        <v>656</v>
      </c>
      <c r="O160" s="7" t="s">
        <v>698</v>
      </c>
      <c r="P160" s="7" t="s">
        <v>705</v>
      </c>
      <c r="Q160" s="7" t="s">
        <v>709</v>
      </c>
      <c r="R160" s="7" t="s">
        <v>716</v>
      </c>
      <c r="S160" s="7" t="s">
        <v>733</v>
      </c>
      <c r="T160" s="7" t="s">
        <v>1586</v>
      </c>
      <c r="U160" s="9">
        <v>815.83</v>
      </c>
      <c r="V160" s="9">
        <v>1982.18</v>
      </c>
      <c r="W160" s="9">
        <v>1982.18</v>
      </c>
      <c r="X160" s="9">
        <v>859.09120000000019</v>
      </c>
      <c r="Y160" s="9">
        <v>1619.28</v>
      </c>
      <c r="Z160" s="9" t="s">
        <v>2095</v>
      </c>
      <c r="AA160" t="s">
        <v>2065</v>
      </c>
      <c r="AB160" s="11">
        <v>0.127</v>
      </c>
      <c r="AC160" t="s">
        <v>2065</v>
      </c>
      <c r="AD160" s="13">
        <v>6</v>
      </c>
      <c r="AE160" s="9">
        <v>10382.65884</v>
      </c>
      <c r="AF160" s="9">
        <v>4894.9800000000005</v>
      </c>
      <c r="AG160" s="9">
        <v>5487.6788399999996</v>
      </c>
      <c r="AH160" s="11">
        <v>0.52854272923408507</v>
      </c>
      <c r="AI160" s="9">
        <f>SUMIFS(AD160:AD791, R160:R791, S160)</f>
        <v>0</v>
      </c>
      <c r="AJ160" s="11" t="e">
        <f>SUMIFS(AD160:AD791, R160:R791, S160, AD160:AD791, "&gt;" &amp; AE160) / AI160</f>
        <v>#DIV/0!</v>
      </c>
      <c r="AK160" s="7" t="e">
        <f>IF(AJ160&lt;=0.8,"A",IF(Table2[[#This Row],[Cumulative rev]]&lt;=0.95,"B","C"))</f>
        <v>#DIV/0!</v>
      </c>
    </row>
    <row r="161" spans="1:37" x14ac:dyDescent="0.3">
      <c r="A161" t="s">
        <v>174</v>
      </c>
      <c r="B161" s="4">
        <v>45870</v>
      </c>
      <c r="C161" s="4" t="s">
        <v>2121</v>
      </c>
      <c r="D161" s="4" t="s">
        <v>2101</v>
      </c>
      <c r="E161" s="4">
        <v>45890</v>
      </c>
      <c r="F161" t="s">
        <v>2064</v>
      </c>
      <c r="G161" s="4">
        <v>45890</v>
      </c>
      <c r="H161" s="4">
        <f>_xlfn.MINIFS(B161:B792, N161:N792, N161)</f>
        <v>44938</v>
      </c>
      <c r="I161" s="4" t="str">
        <f t="shared" si="4"/>
        <v>Jan-2023</v>
      </c>
      <c r="J161" s="13">
        <f t="shared" si="5"/>
        <v>31</v>
      </c>
      <c r="K161" s="13">
        <v>20</v>
      </c>
      <c r="L161" s="30" t="str">
        <f>IF(Table2[[#This Row],[LeadTimeDays]]&lt;7,"1","0")</f>
        <v>0</v>
      </c>
      <c r="M161" s="7" t="s">
        <v>647</v>
      </c>
      <c r="N161" s="7" t="s">
        <v>659</v>
      </c>
      <c r="O161" s="7" t="s">
        <v>685</v>
      </c>
      <c r="P161" s="7" t="s">
        <v>701</v>
      </c>
      <c r="Q161" s="7" t="s">
        <v>711</v>
      </c>
      <c r="R161" s="7" t="s">
        <v>714</v>
      </c>
      <c r="S161" s="7" t="s">
        <v>730</v>
      </c>
      <c r="T161" s="7" t="s">
        <v>1587</v>
      </c>
      <c r="U161" s="9">
        <v>1220.4100000000001</v>
      </c>
      <c r="V161" s="9">
        <v>2552.2199999999998</v>
      </c>
      <c r="W161" s="9">
        <v>2552.2199999999998</v>
      </c>
      <c r="X161" s="9">
        <v>856.24660000000006</v>
      </c>
      <c r="Y161" s="9">
        <v>1614.7238000000002</v>
      </c>
      <c r="Z161" s="9" t="s">
        <v>2095</v>
      </c>
      <c r="AA161" t="s">
        <v>2065</v>
      </c>
      <c r="AB161" s="11">
        <v>0.18099999999999999</v>
      </c>
      <c r="AC161" t="s">
        <v>2065</v>
      </c>
      <c r="AD161" s="13">
        <v>14</v>
      </c>
      <c r="AE161" s="9">
        <v>29263.754519999995</v>
      </c>
      <c r="AF161" s="9">
        <v>17085.740000000002</v>
      </c>
      <c r="AG161" s="9">
        <v>12178.014519999993</v>
      </c>
      <c r="AH161" s="11">
        <v>0.41614668793360271</v>
      </c>
      <c r="AI161" s="9">
        <f>SUMIFS(AD161:AD792, R161:R792, S161)</f>
        <v>0</v>
      </c>
      <c r="AJ161" s="11" t="e">
        <f>SUMIFS(AD161:AD792, R161:R792, S161, AD161:AD792, "&gt;" &amp; AE161) / AI161</f>
        <v>#DIV/0!</v>
      </c>
      <c r="AK161" s="7" t="e">
        <f>IF(AJ161&lt;=0.8,"A",IF(Table2[[#This Row],[Cumulative rev]]&lt;=0.95,"B","C"))</f>
        <v>#DIV/0!</v>
      </c>
    </row>
    <row r="162" spans="1:37" x14ac:dyDescent="0.3">
      <c r="A162" t="s">
        <v>175</v>
      </c>
      <c r="B162" s="4">
        <v>44977</v>
      </c>
      <c r="C162" s="4" t="s">
        <v>2084</v>
      </c>
      <c r="D162" s="4" t="s">
        <v>2085</v>
      </c>
      <c r="E162" s="4">
        <v>44989</v>
      </c>
      <c r="F162" t="s">
        <v>2064</v>
      </c>
      <c r="G162" s="4">
        <v>44989</v>
      </c>
      <c r="H162" s="4">
        <f>_xlfn.MINIFS(B162:B793, N162:N793, N162)</f>
        <v>44977</v>
      </c>
      <c r="I162" s="4" t="str">
        <f t="shared" si="4"/>
        <v>Feb-2023</v>
      </c>
      <c r="J162" s="13">
        <f t="shared" si="5"/>
        <v>1</v>
      </c>
      <c r="K162" s="13">
        <v>12</v>
      </c>
      <c r="L162" s="30" t="str">
        <f>IF(Table2[[#This Row],[LeadTimeDays]]&lt;7,"1","0")</f>
        <v>0</v>
      </c>
      <c r="M162" s="7" t="s">
        <v>647</v>
      </c>
      <c r="N162" s="7" t="s">
        <v>654</v>
      </c>
      <c r="O162" s="7" t="s">
        <v>680</v>
      </c>
      <c r="P162" s="7" t="s">
        <v>704</v>
      </c>
      <c r="Q162" s="7" t="s">
        <v>710</v>
      </c>
      <c r="R162" s="7" t="s">
        <v>724</v>
      </c>
      <c r="S162" s="7" t="s">
        <v>732</v>
      </c>
      <c r="T162" s="7" t="s">
        <v>1588</v>
      </c>
      <c r="U162" s="9">
        <v>299.75</v>
      </c>
      <c r="V162" s="9">
        <v>523.01</v>
      </c>
      <c r="W162" s="9">
        <v>523.01</v>
      </c>
      <c r="X162" s="9">
        <v>853.40199999999993</v>
      </c>
      <c r="Y162" s="9">
        <v>1599.9859999999996</v>
      </c>
      <c r="Z162" s="9" t="s">
        <v>2081</v>
      </c>
      <c r="AA162" t="s">
        <v>2065</v>
      </c>
      <c r="AB162" s="11">
        <v>0.157</v>
      </c>
      <c r="AC162" t="s">
        <v>2065</v>
      </c>
      <c r="AD162" s="13">
        <v>50</v>
      </c>
      <c r="AE162" s="9">
        <v>22044.871499999997</v>
      </c>
      <c r="AF162" s="9">
        <v>14987.5</v>
      </c>
      <c r="AG162" s="9">
        <v>7057.3714999999975</v>
      </c>
      <c r="AH162" s="11">
        <v>0.32013665854210122</v>
      </c>
      <c r="AI162" s="9">
        <f>SUMIFS(AD162:AD793, R162:R793, S162)</f>
        <v>0</v>
      </c>
      <c r="AJ162" s="11" t="e">
        <f>SUMIFS(AD162:AD793, R162:R793, S162, AD162:AD793, "&gt;" &amp; AE162) / AI162</f>
        <v>#DIV/0!</v>
      </c>
      <c r="AK162" s="7" t="e">
        <f>IF(AJ162&lt;=0.8,"A",IF(Table2[[#This Row],[Cumulative rev]]&lt;=0.95,"B","C"))</f>
        <v>#DIV/0!</v>
      </c>
    </row>
    <row r="163" spans="1:37" x14ac:dyDescent="0.3">
      <c r="A163" t="s">
        <v>176</v>
      </c>
      <c r="B163" s="4">
        <v>45595</v>
      </c>
      <c r="C163" s="4" t="s">
        <v>2082</v>
      </c>
      <c r="D163" s="4" t="s">
        <v>2083</v>
      </c>
      <c r="E163" s="4">
        <v>45620</v>
      </c>
      <c r="F163" t="s">
        <v>2064</v>
      </c>
      <c r="G163" s="4">
        <v>45620</v>
      </c>
      <c r="H163" s="4">
        <f>_xlfn.MINIFS(B163:B794, N163:N794, N163)</f>
        <v>44938</v>
      </c>
      <c r="I163" s="4" t="str">
        <f t="shared" si="4"/>
        <v>Jan-2023</v>
      </c>
      <c r="J163" s="13">
        <f t="shared" si="5"/>
        <v>22</v>
      </c>
      <c r="K163" s="13">
        <v>25</v>
      </c>
      <c r="L163" s="30" t="str">
        <f>IF(Table2[[#This Row],[LeadTimeDays]]&lt;7,"1","0")</f>
        <v>0</v>
      </c>
      <c r="M163" s="7" t="s">
        <v>647</v>
      </c>
      <c r="N163" s="7" t="s">
        <v>659</v>
      </c>
      <c r="O163" s="7" t="s">
        <v>676</v>
      </c>
      <c r="P163" s="7" t="s">
        <v>705</v>
      </c>
      <c r="Q163" s="7" t="s">
        <v>708</v>
      </c>
      <c r="R163" s="7" t="s">
        <v>718</v>
      </c>
      <c r="S163" s="7" t="s">
        <v>727</v>
      </c>
      <c r="T163" s="7" t="s">
        <v>1589</v>
      </c>
      <c r="U163" s="9">
        <v>811.05</v>
      </c>
      <c r="V163" s="9">
        <v>1217.71</v>
      </c>
      <c r="W163" s="9">
        <v>1217.71</v>
      </c>
      <c r="X163" s="9">
        <v>859.17740000000003</v>
      </c>
      <c r="Y163" s="9">
        <v>1607.5782000000004</v>
      </c>
      <c r="Z163" s="9" t="s">
        <v>2092</v>
      </c>
      <c r="AA163" t="s">
        <v>2065</v>
      </c>
      <c r="AB163" s="11">
        <v>7.1999999999999995E-2</v>
      </c>
      <c r="AC163" t="s">
        <v>2065</v>
      </c>
      <c r="AD163" s="13">
        <v>5</v>
      </c>
      <c r="AE163" s="9">
        <v>5650.1744000000008</v>
      </c>
      <c r="AF163" s="9">
        <v>4055.25</v>
      </c>
      <c r="AG163" s="9">
        <v>1594.9244000000008</v>
      </c>
      <c r="AH163" s="11">
        <v>0.28227879125288602</v>
      </c>
      <c r="AI163" s="9">
        <f>SUMIFS(AD163:AD794, R163:R794, S163)</f>
        <v>0</v>
      </c>
      <c r="AJ163" s="11" t="e">
        <f>SUMIFS(AD163:AD794, R163:R794, S163, AD163:AD794, "&gt;" &amp; AE163) / AI163</f>
        <v>#DIV/0!</v>
      </c>
      <c r="AK163" s="7" t="e">
        <f>IF(AJ163&lt;=0.8,"A",IF(Table2[[#This Row],[Cumulative rev]]&lt;=0.95,"B","C"))</f>
        <v>#DIV/0!</v>
      </c>
    </row>
    <row r="164" spans="1:37" x14ac:dyDescent="0.3">
      <c r="A164" t="s">
        <v>177</v>
      </c>
      <c r="B164" s="4">
        <v>45385</v>
      </c>
      <c r="C164" s="4" t="s">
        <v>2112</v>
      </c>
      <c r="D164" s="4" t="s">
        <v>2094</v>
      </c>
      <c r="E164" s="4">
        <v>45389</v>
      </c>
      <c r="F164" t="s">
        <v>2064</v>
      </c>
      <c r="G164" s="4">
        <v>45389</v>
      </c>
      <c r="H164" s="4">
        <f>_xlfn.MINIFS(B164:B795, N164:N795, N164)</f>
        <v>44955</v>
      </c>
      <c r="I164" s="4" t="str">
        <f t="shared" si="4"/>
        <v>Jan-2023</v>
      </c>
      <c r="J164" s="13">
        <f t="shared" si="5"/>
        <v>15</v>
      </c>
      <c r="K164" s="13">
        <v>4</v>
      </c>
      <c r="L164" s="30" t="str">
        <f>IF(Table2[[#This Row],[LeadTimeDays]]&lt;7,"1","0")</f>
        <v>1</v>
      </c>
      <c r="M164" s="7" t="s">
        <v>648</v>
      </c>
      <c r="N164" s="7" t="s">
        <v>655</v>
      </c>
      <c r="O164" s="7" t="s">
        <v>672</v>
      </c>
      <c r="P164" s="7" t="s">
        <v>703</v>
      </c>
      <c r="Q164" s="7" t="s">
        <v>711</v>
      </c>
      <c r="R164" s="7" t="s">
        <v>725</v>
      </c>
      <c r="S164" s="7" t="s">
        <v>730</v>
      </c>
      <c r="T164" s="7" t="s">
        <v>1590</v>
      </c>
      <c r="U164" s="9">
        <v>1023.27</v>
      </c>
      <c r="V164" s="9">
        <v>1343.64</v>
      </c>
      <c r="W164" s="9">
        <v>1343.64</v>
      </c>
      <c r="X164" s="9">
        <v>856.33279999999991</v>
      </c>
      <c r="Y164" s="9">
        <v>1615.1703999999997</v>
      </c>
      <c r="Z164" s="9" t="s">
        <v>2092</v>
      </c>
      <c r="AA164" t="s">
        <v>2065</v>
      </c>
      <c r="AB164" s="11">
        <v>0.13300000000000001</v>
      </c>
      <c r="AC164" t="s">
        <v>2065</v>
      </c>
      <c r="AD164" s="13">
        <v>7</v>
      </c>
      <c r="AE164" s="9">
        <v>8154.5511600000009</v>
      </c>
      <c r="AF164" s="9">
        <v>7162.8899999999994</v>
      </c>
      <c r="AG164" s="9">
        <v>991.66116000000147</v>
      </c>
      <c r="AH164" s="11">
        <v>0.12160830688810116</v>
      </c>
      <c r="AI164" s="9">
        <f>SUMIFS(AD164:AD795, R164:R795, S164)</f>
        <v>0</v>
      </c>
      <c r="AJ164" s="11" t="e">
        <f>SUMIFS(AD164:AD795, R164:R795, S164, AD164:AD795, "&gt;" &amp; AE164) / AI164</f>
        <v>#DIV/0!</v>
      </c>
      <c r="AK164" s="7" t="e">
        <f>IF(AJ164&lt;=0.8,"A",IF(Table2[[#This Row],[Cumulative rev]]&lt;=0.95,"B","C"))</f>
        <v>#DIV/0!</v>
      </c>
    </row>
    <row r="165" spans="1:37" x14ac:dyDescent="0.3">
      <c r="A165" t="s">
        <v>178</v>
      </c>
      <c r="B165" s="4">
        <v>45010</v>
      </c>
      <c r="C165" s="4" t="s">
        <v>2114</v>
      </c>
      <c r="D165" s="4" t="s">
        <v>2085</v>
      </c>
      <c r="E165" s="4">
        <v>45011</v>
      </c>
      <c r="F165" t="s">
        <v>2064</v>
      </c>
      <c r="G165" s="4">
        <v>45011</v>
      </c>
      <c r="H165" s="4">
        <f>_xlfn.MINIFS(B165:B796, N165:N796, N165)</f>
        <v>44988</v>
      </c>
      <c r="I165" s="4" t="str">
        <f t="shared" si="4"/>
        <v>Mar-2023</v>
      </c>
      <c r="J165" s="13">
        <f t="shared" si="5"/>
        <v>1</v>
      </c>
      <c r="K165" s="13">
        <v>1</v>
      </c>
      <c r="L165" s="30" t="str">
        <f>IF(Table2[[#This Row],[LeadTimeDays]]&lt;7,"1","0")</f>
        <v>1</v>
      </c>
      <c r="M165" s="7" t="s">
        <v>647</v>
      </c>
      <c r="N165" s="7" t="s">
        <v>652</v>
      </c>
      <c r="O165" s="7" t="s">
        <v>666</v>
      </c>
      <c r="P165" s="7" t="s">
        <v>705</v>
      </c>
      <c r="Q165" s="7" t="s">
        <v>710</v>
      </c>
      <c r="R165" s="7" t="s">
        <v>714</v>
      </c>
      <c r="S165" s="7" t="s">
        <v>732</v>
      </c>
      <c r="T165" s="7" t="s">
        <v>1591</v>
      </c>
      <c r="U165" s="9">
        <v>135.12</v>
      </c>
      <c r="V165" s="9">
        <v>301.7</v>
      </c>
      <c r="W165" s="9">
        <v>301.7</v>
      </c>
      <c r="X165" s="9">
        <v>853.48820000000012</v>
      </c>
      <c r="Y165" s="9">
        <v>1618.4549999999999</v>
      </c>
      <c r="Z165" s="9" t="s">
        <v>2081</v>
      </c>
      <c r="AA165" t="s">
        <v>2065</v>
      </c>
      <c r="AB165" s="11">
        <v>0.14000000000000001</v>
      </c>
      <c r="AC165" t="s">
        <v>2065</v>
      </c>
      <c r="AD165" s="13">
        <v>47</v>
      </c>
      <c r="AE165" s="9">
        <v>12194.714</v>
      </c>
      <c r="AF165" s="9">
        <v>6350.64</v>
      </c>
      <c r="AG165" s="9">
        <v>5844.0739999999996</v>
      </c>
      <c r="AH165" s="11">
        <v>0.47923009920527859</v>
      </c>
      <c r="AI165" s="9">
        <f>SUMIFS(AD165:AD796, R165:R796, S165)</f>
        <v>0</v>
      </c>
      <c r="AJ165" s="11" t="e">
        <f>SUMIFS(AD165:AD796, R165:R796, S165, AD165:AD796, "&gt;" &amp; AE165) / AI165</f>
        <v>#DIV/0!</v>
      </c>
      <c r="AK165" s="7" t="e">
        <f>IF(AJ165&lt;=0.8,"A",IF(Table2[[#This Row],[Cumulative rev]]&lt;=0.95,"B","C"))</f>
        <v>#DIV/0!</v>
      </c>
    </row>
    <row r="166" spans="1:37" x14ac:dyDescent="0.3">
      <c r="A166" t="s">
        <v>179</v>
      </c>
      <c r="B166" s="4">
        <v>45447</v>
      </c>
      <c r="C166" s="4" t="s">
        <v>2109</v>
      </c>
      <c r="D166" s="4" t="s">
        <v>2094</v>
      </c>
      <c r="E166" s="4">
        <v>45459</v>
      </c>
      <c r="F166" t="s">
        <v>2064</v>
      </c>
      <c r="G166" s="4">
        <v>45459</v>
      </c>
      <c r="H166" s="4">
        <f>_xlfn.MINIFS(B166:B797, N166:N797, N166)</f>
        <v>44938</v>
      </c>
      <c r="I166" s="4" t="str">
        <f t="shared" si="4"/>
        <v>Jan-2023</v>
      </c>
      <c r="J166" s="13">
        <f t="shared" si="5"/>
        <v>17</v>
      </c>
      <c r="K166" s="13">
        <v>12</v>
      </c>
      <c r="L166" s="30" t="str">
        <f>IF(Table2[[#This Row],[LeadTimeDays]]&lt;7,"1","0")</f>
        <v>0</v>
      </c>
      <c r="M166" s="7" t="s">
        <v>647</v>
      </c>
      <c r="N166" s="7" t="s">
        <v>659</v>
      </c>
      <c r="O166" s="7" t="s">
        <v>685</v>
      </c>
      <c r="P166" s="7" t="s">
        <v>701</v>
      </c>
      <c r="Q166" s="7" t="s">
        <v>707</v>
      </c>
      <c r="R166" s="7" t="s">
        <v>713</v>
      </c>
      <c r="S166" s="7" t="s">
        <v>728</v>
      </c>
      <c r="T166" s="7" t="s">
        <v>1592</v>
      </c>
      <c r="U166" s="9">
        <v>918.42</v>
      </c>
      <c r="V166" s="9">
        <v>1511.71</v>
      </c>
      <c r="W166" s="9">
        <v>1511.71</v>
      </c>
      <c r="X166" s="9">
        <v>859.2636</v>
      </c>
      <c r="Y166" s="9">
        <v>1619.3899999999999</v>
      </c>
      <c r="Z166" s="9" t="s">
        <v>2092</v>
      </c>
      <c r="AA166" t="s">
        <v>2065</v>
      </c>
      <c r="AB166" s="11">
        <v>0.02</v>
      </c>
      <c r="AC166" t="s">
        <v>2065</v>
      </c>
      <c r="AD166" s="13">
        <v>8</v>
      </c>
      <c r="AE166" s="9">
        <v>11851.806399999999</v>
      </c>
      <c r="AF166" s="9">
        <v>7347.36</v>
      </c>
      <c r="AG166" s="9">
        <v>4504.4463999999998</v>
      </c>
      <c r="AH166" s="11">
        <v>0.38006412254590999</v>
      </c>
      <c r="AI166" s="9">
        <f>SUMIFS(AD166:AD797, R166:R797, S166)</f>
        <v>0</v>
      </c>
      <c r="AJ166" s="11" t="e">
        <f>SUMIFS(AD166:AD797, R166:R797, S166, AD166:AD797, "&gt;" &amp; AE166) / AI166</f>
        <v>#DIV/0!</v>
      </c>
      <c r="AK166" s="7" t="e">
        <f>IF(AJ166&lt;=0.8,"A",IF(Table2[[#This Row],[Cumulative rev]]&lt;=0.95,"B","C"))</f>
        <v>#DIV/0!</v>
      </c>
    </row>
    <row r="167" spans="1:37" x14ac:dyDescent="0.3">
      <c r="A167" t="s">
        <v>180</v>
      </c>
      <c r="B167" s="4">
        <v>44976</v>
      </c>
      <c r="C167" s="4" t="s">
        <v>2084</v>
      </c>
      <c r="D167" s="4" t="s">
        <v>2085</v>
      </c>
      <c r="E167" s="4">
        <v>44997</v>
      </c>
      <c r="F167" t="s">
        <v>2064</v>
      </c>
      <c r="G167" s="4">
        <v>44997</v>
      </c>
      <c r="H167" s="4">
        <f>_xlfn.MINIFS(B167:B798, N167:N798, N167)</f>
        <v>44948</v>
      </c>
      <c r="I167" s="4" t="str">
        <f t="shared" si="4"/>
        <v>Jan-2023</v>
      </c>
      <c r="J167" s="13">
        <f t="shared" si="5"/>
        <v>1</v>
      </c>
      <c r="K167" s="13">
        <v>21</v>
      </c>
      <c r="L167" s="30" t="str">
        <f>IF(Table2[[#This Row],[LeadTimeDays]]&lt;7,"1","0")</f>
        <v>0</v>
      </c>
      <c r="M167" s="7" t="s">
        <v>649</v>
      </c>
      <c r="N167" s="7" t="s">
        <v>656</v>
      </c>
      <c r="O167" s="7" t="s">
        <v>671</v>
      </c>
      <c r="P167" s="7" t="s">
        <v>705</v>
      </c>
      <c r="Q167" s="7" t="s">
        <v>711</v>
      </c>
      <c r="R167" s="7" t="s">
        <v>716</v>
      </c>
      <c r="S167" s="7" t="s">
        <v>732</v>
      </c>
      <c r="T167" s="7" t="s">
        <v>1593</v>
      </c>
      <c r="U167" s="9">
        <v>1234.81</v>
      </c>
      <c r="V167" s="9">
        <v>2055.2399999999998</v>
      </c>
      <c r="W167" s="9">
        <v>2055.2399999999998</v>
      </c>
      <c r="X167" s="9">
        <v>856.4190000000001</v>
      </c>
      <c r="Y167" s="9">
        <v>1620.325</v>
      </c>
      <c r="Z167" s="9" t="s">
        <v>2095</v>
      </c>
      <c r="AA167" t="s">
        <v>2065</v>
      </c>
      <c r="AB167" s="11">
        <v>5.2999999999999999E-2</v>
      </c>
      <c r="AC167" t="s">
        <v>2065</v>
      </c>
      <c r="AD167" s="13">
        <v>44</v>
      </c>
      <c r="AE167" s="9">
        <v>85637.740319999997</v>
      </c>
      <c r="AF167" s="9">
        <v>54331.64</v>
      </c>
      <c r="AG167" s="9">
        <v>31306.100319999998</v>
      </c>
      <c r="AH167" s="11">
        <v>0.36556429680441616</v>
      </c>
      <c r="AI167" s="9">
        <f>SUMIFS(AD167:AD798, R167:R798, S167)</f>
        <v>0</v>
      </c>
      <c r="AJ167" s="11" t="e">
        <f>SUMIFS(AD167:AD798, R167:R798, S167, AD167:AD798, "&gt;" &amp; AE167) / AI167</f>
        <v>#DIV/0!</v>
      </c>
      <c r="AK167" s="7" t="e">
        <f>IF(AJ167&lt;=0.8,"A",IF(Table2[[#This Row],[Cumulative rev]]&lt;=0.95,"B","C"))</f>
        <v>#DIV/0!</v>
      </c>
    </row>
    <row r="168" spans="1:37" x14ac:dyDescent="0.3">
      <c r="A168" t="s">
        <v>181</v>
      </c>
      <c r="B168" s="4">
        <v>45034</v>
      </c>
      <c r="C168" s="4" t="s">
        <v>2102</v>
      </c>
      <c r="D168" s="4" t="s">
        <v>2103</v>
      </c>
      <c r="E168" s="4">
        <v>45064</v>
      </c>
      <c r="F168" t="s">
        <v>2064</v>
      </c>
      <c r="G168" s="4">
        <v>45064</v>
      </c>
      <c r="H168" s="4">
        <f>_xlfn.MINIFS(B168:B799, N168:N799, N168)</f>
        <v>44938</v>
      </c>
      <c r="I168" s="4" t="str">
        <f t="shared" si="4"/>
        <v>Jan-2023</v>
      </c>
      <c r="J168" s="13">
        <f t="shared" si="5"/>
        <v>4</v>
      </c>
      <c r="K168" s="13">
        <v>30</v>
      </c>
      <c r="L168" s="30" t="str">
        <f>IF(Table2[[#This Row],[LeadTimeDays]]&lt;7,"1","0")</f>
        <v>0</v>
      </c>
      <c r="M168" s="7" t="s">
        <v>647</v>
      </c>
      <c r="N168" s="7" t="s">
        <v>659</v>
      </c>
      <c r="O168" s="7" t="s">
        <v>676</v>
      </c>
      <c r="P168" s="7" t="s">
        <v>703</v>
      </c>
      <c r="Q168" s="7" t="s">
        <v>707</v>
      </c>
      <c r="R168" s="7" t="s">
        <v>722</v>
      </c>
      <c r="S168" s="7" t="s">
        <v>731</v>
      </c>
      <c r="T168" s="7" t="s">
        <v>1594</v>
      </c>
      <c r="U168" s="9">
        <v>329.03</v>
      </c>
      <c r="V168" s="9">
        <v>391.15</v>
      </c>
      <c r="W168" s="9">
        <v>391.15</v>
      </c>
      <c r="X168" s="9">
        <v>853.57439999999997</v>
      </c>
      <c r="Y168" s="9">
        <v>1618.51</v>
      </c>
      <c r="Z168" s="9" t="s">
        <v>2081</v>
      </c>
      <c r="AA168" t="s">
        <v>2065</v>
      </c>
      <c r="AB168" s="11">
        <v>0.19700000000000001</v>
      </c>
      <c r="AC168" t="s">
        <v>2065</v>
      </c>
      <c r="AD168" s="13">
        <v>46</v>
      </c>
      <c r="AE168" s="9">
        <v>14448.298699999998</v>
      </c>
      <c r="AF168" s="9">
        <v>15135.38</v>
      </c>
      <c r="AG168" s="9">
        <v>-687.08130000000165</v>
      </c>
      <c r="AH168" s="11">
        <v>-4.7554477815440081E-2</v>
      </c>
      <c r="AI168" s="9">
        <f>SUMIFS(AD168:AD799, R168:R799, S168)</f>
        <v>0</v>
      </c>
      <c r="AJ168" s="11" t="e">
        <f>SUMIFS(AD168:AD799, R168:R799, S168, AD168:AD799, "&gt;" &amp; AE168) / AI168</f>
        <v>#DIV/0!</v>
      </c>
      <c r="AK168" s="7" t="e">
        <f>IF(AJ168&lt;=0.8,"A",IF(Table2[[#This Row],[Cumulative rev]]&lt;=0.95,"B","C"))</f>
        <v>#DIV/0!</v>
      </c>
    </row>
    <row r="169" spans="1:37" x14ac:dyDescent="0.3">
      <c r="A169" t="s">
        <v>182</v>
      </c>
      <c r="B169" s="4">
        <v>45435</v>
      </c>
      <c r="C169" s="4" t="s">
        <v>2093</v>
      </c>
      <c r="D169" s="4" t="s">
        <v>2094</v>
      </c>
      <c r="E169" s="4">
        <v>45457</v>
      </c>
      <c r="F169" t="s">
        <v>2064</v>
      </c>
      <c r="G169" s="4">
        <v>45457</v>
      </c>
      <c r="H169" s="4">
        <f>_xlfn.MINIFS(B169:B800, N169:N800, N169)</f>
        <v>44936</v>
      </c>
      <c r="I169" s="4" t="str">
        <f t="shared" si="4"/>
        <v>Jan-2023</v>
      </c>
      <c r="J169" s="13">
        <f t="shared" si="5"/>
        <v>17</v>
      </c>
      <c r="K169" s="13">
        <v>22</v>
      </c>
      <c r="L169" s="30" t="str">
        <f>IF(Table2[[#This Row],[LeadTimeDays]]&lt;7,"1","0")</f>
        <v>0</v>
      </c>
      <c r="M169" s="7" t="s">
        <v>649</v>
      </c>
      <c r="N169" s="7" t="s">
        <v>657</v>
      </c>
      <c r="O169" s="7" t="s">
        <v>673</v>
      </c>
      <c r="P169" s="7" t="s">
        <v>705</v>
      </c>
      <c r="Q169" s="7" t="s">
        <v>708</v>
      </c>
      <c r="R169" s="7" t="s">
        <v>725</v>
      </c>
      <c r="S169" s="7" t="s">
        <v>732</v>
      </c>
      <c r="T169" s="7" t="s">
        <v>1595</v>
      </c>
      <c r="U169" s="9">
        <v>1481.74</v>
      </c>
      <c r="V169" s="9">
        <v>1848.97</v>
      </c>
      <c r="W169" s="9">
        <v>1848.97</v>
      </c>
      <c r="X169" s="9">
        <v>859.34980000000019</v>
      </c>
      <c r="Y169" s="9">
        <v>1619.4449999999999</v>
      </c>
      <c r="Z169" s="9" t="s">
        <v>2095</v>
      </c>
      <c r="AA169" t="s">
        <v>2065</v>
      </c>
      <c r="AB169" s="11">
        <v>0.254</v>
      </c>
      <c r="AC169" t="s">
        <v>2065</v>
      </c>
      <c r="AD169" s="13">
        <v>9</v>
      </c>
      <c r="AE169" s="9">
        <v>12413.98458</v>
      </c>
      <c r="AF169" s="9">
        <v>13335.66</v>
      </c>
      <c r="AG169" s="9">
        <v>-921.67541999999958</v>
      </c>
      <c r="AH169" s="11">
        <v>-7.4244930309072407E-2</v>
      </c>
      <c r="AI169" s="9">
        <f>SUMIFS(AD169:AD800, R169:R800, S169)</f>
        <v>0</v>
      </c>
      <c r="AJ169" s="11" t="e">
        <f>SUMIFS(AD169:AD800, R169:R800, S169, AD169:AD800, "&gt;" &amp; AE169) / AI169</f>
        <v>#DIV/0!</v>
      </c>
      <c r="AK169" s="7" t="e">
        <f>IF(AJ169&lt;=0.8,"A",IF(Table2[[#This Row],[Cumulative rev]]&lt;=0.95,"B","C"))</f>
        <v>#DIV/0!</v>
      </c>
    </row>
    <row r="170" spans="1:37" x14ac:dyDescent="0.3">
      <c r="A170" t="s">
        <v>183</v>
      </c>
      <c r="B170" s="4">
        <v>45206</v>
      </c>
      <c r="C170" s="4" t="s">
        <v>2125</v>
      </c>
      <c r="D170" s="4" t="s">
        <v>2089</v>
      </c>
      <c r="E170" s="4">
        <v>45222</v>
      </c>
      <c r="F170" t="s">
        <v>2064</v>
      </c>
      <c r="G170" s="4">
        <v>45222</v>
      </c>
      <c r="H170" s="4">
        <f>_xlfn.MINIFS(B170:B801, N170:N801, N170)</f>
        <v>45048</v>
      </c>
      <c r="I170" s="4" t="str">
        <f t="shared" si="4"/>
        <v>May-2023</v>
      </c>
      <c r="J170" s="13">
        <f t="shared" si="5"/>
        <v>6</v>
      </c>
      <c r="K170" s="13">
        <v>16</v>
      </c>
      <c r="L170" s="30" t="str">
        <f>IF(Table2[[#This Row],[LeadTimeDays]]&lt;7,"1","0")</f>
        <v>0</v>
      </c>
      <c r="M170" s="7" t="s">
        <v>647</v>
      </c>
      <c r="N170" s="7" t="s">
        <v>654</v>
      </c>
      <c r="O170" s="7" t="s">
        <v>696</v>
      </c>
      <c r="P170" s="7" t="s">
        <v>704</v>
      </c>
      <c r="Q170" s="7" t="s">
        <v>707</v>
      </c>
      <c r="R170" s="7" t="s">
        <v>715</v>
      </c>
      <c r="S170" s="7" t="s">
        <v>732</v>
      </c>
      <c r="T170" s="7" t="s">
        <v>1596</v>
      </c>
      <c r="U170" s="9">
        <v>906.81</v>
      </c>
      <c r="V170" s="9">
        <v>1395.56</v>
      </c>
      <c r="W170" s="9">
        <v>1395.56</v>
      </c>
      <c r="X170" s="9">
        <v>856.50520000000006</v>
      </c>
      <c r="Y170" s="9">
        <v>1616.0636000000002</v>
      </c>
      <c r="Z170" s="9" t="s">
        <v>2092</v>
      </c>
      <c r="AA170" t="s">
        <v>2065</v>
      </c>
      <c r="AB170" s="11">
        <v>0.185</v>
      </c>
      <c r="AC170" t="s">
        <v>2065</v>
      </c>
      <c r="AD170" s="13">
        <v>6</v>
      </c>
      <c r="AE170" s="9">
        <v>6824.2884000000004</v>
      </c>
      <c r="AF170" s="9">
        <v>5440.86</v>
      </c>
      <c r="AG170" s="9">
        <v>1383.4284000000007</v>
      </c>
      <c r="AH170" s="11">
        <v>0.20272126834498974</v>
      </c>
      <c r="AI170" s="9">
        <f>SUMIFS(AD170:AD801, R170:R801, S170)</f>
        <v>0</v>
      </c>
      <c r="AJ170" s="11" t="e">
        <f>SUMIFS(AD170:AD801, R170:R801, S170, AD170:AD801, "&gt;" &amp; AE170) / AI170</f>
        <v>#DIV/0!</v>
      </c>
      <c r="AK170" s="7" t="e">
        <f>IF(AJ170&lt;=0.8,"A",IF(Table2[[#This Row],[Cumulative rev]]&lt;=0.95,"B","C"))</f>
        <v>#DIV/0!</v>
      </c>
    </row>
    <row r="171" spans="1:37" x14ac:dyDescent="0.3">
      <c r="A171" t="s">
        <v>184</v>
      </c>
      <c r="B171" s="4">
        <v>45574</v>
      </c>
      <c r="C171" s="4" t="s">
        <v>2082</v>
      </c>
      <c r="D171" s="4" t="s">
        <v>2083</v>
      </c>
      <c r="E171" s="4">
        <v>45604</v>
      </c>
      <c r="F171" t="s">
        <v>2064</v>
      </c>
      <c r="G171" s="4">
        <v>45604</v>
      </c>
      <c r="H171" s="4">
        <f>_xlfn.MINIFS(B171:B802, N171:N802, N171)</f>
        <v>44945</v>
      </c>
      <c r="I171" s="4" t="str">
        <f t="shared" si="4"/>
        <v>Jan-2023</v>
      </c>
      <c r="J171" s="13">
        <f t="shared" si="5"/>
        <v>21</v>
      </c>
      <c r="K171" s="13">
        <v>30</v>
      </c>
      <c r="L171" s="30" t="str">
        <f>IF(Table2[[#This Row],[LeadTimeDays]]&lt;7,"1","0")</f>
        <v>0</v>
      </c>
      <c r="M171" s="7" t="s">
        <v>649</v>
      </c>
      <c r="N171" s="7" t="s">
        <v>658</v>
      </c>
      <c r="O171" s="7" t="s">
        <v>693</v>
      </c>
      <c r="P171" s="7" t="s">
        <v>705</v>
      </c>
      <c r="Q171" s="7" t="s">
        <v>710</v>
      </c>
      <c r="R171" s="7" t="s">
        <v>713</v>
      </c>
      <c r="S171" s="7" t="s">
        <v>727</v>
      </c>
      <c r="T171" s="7" t="s">
        <v>1597</v>
      </c>
      <c r="U171" s="9">
        <v>343.85</v>
      </c>
      <c r="V171" s="9">
        <v>538.04</v>
      </c>
      <c r="W171" s="9">
        <v>538.04</v>
      </c>
      <c r="X171" s="9">
        <v>853.66059999999993</v>
      </c>
      <c r="Y171" s="9">
        <v>1618.5649999999998</v>
      </c>
      <c r="Z171" s="9" t="s">
        <v>2081</v>
      </c>
      <c r="AA171" t="s">
        <v>2065</v>
      </c>
      <c r="AB171" s="11">
        <v>0.13900000000000001</v>
      </c>
      <c r="AC171" t="s">
        <v>2065</v>
      </c>
      <c r="AD171" s="13">
        <v>5</v>
      </c>
      <c r="AE171" s="9">
        <v>2316.2621999999997</v>
      </c>
      <c r="AF171" s="9">
        <v>1719.25</v>
      </c>
      <c r="AG171" s="9">
        <v>597.01219999999967</v>
      </c>
      <c r="AH171" s="11">
        <v>0.25774810813732563</v>
      </c>
      <c r="AI171" s="9">
        <f>SUMIFS(AD171:AD802, R171:R802, S171)</f>
        <v>0</v>
      </c>
      <c r="AJ171" s="11" t="e">
        <f>SUMIFS(AD171:AD802, R171:R802, S171, AD171:AD802, "&gt;" &amp; AE171) / AI171</f>
        <v>#DIV/0!</v>
      </c>
      <c r="AK171" s="7" t="e">
        <f>IF(AJ171&lt;=0.8,"A",IF(Table2[[#This Row],[Cumulative rev]]&lt;=0.95,"B","C"))</f>
        <v>#DIV/0!</v>
      </c>
    </row>
    <row r="172" spans="1:37" x14ac:dyDescent="0.3">
      <c r="A172" t="s">
        <v>185</v>
      </c>
      <c r="B172" s="4">
        <v>45488</v>
      </c>
      <c r="C172" s="4" t="s">
        <v>2105</v>
      </c>
      <c r="D172" s="4" t="s">
        <v>2106</v>
      </c>
      <c r="E172" s="4">
        <v>45488</v>
      </c>
      <c r="F172" t="s">
        <v>2064</v>
      </c>
      <c r="G172" s="4">
        <v>45488</v>
      </c>
      <c r="H172" s="4">
        <f>_xlfn.MINIFS(B172:B803, N172:N803, N172)</f>
        <v>44988</v>
      </c>
      <c r="I172" s="4" t="str">
        <f t="shared" si="4"/>
        <v>Mar-2023</v>
      </c>
      <c r="J172" s="13">
        <f t="shared" si="5"/>
        <v>17</v>
      </c>
      <c r="K172" s="13">
        <v>0</v>
      </c>
      <c r="L172" s="30" t="str">
        <f>IF(Table2[[#This Row],[LeadTimeDays]]&lt;7,"1","0")</f>
        <v>1</v>
      </c>
      <c r="M172" s="7" t="s">
        <v>647</v>
      </c>
      <c r="N172" s="7" t="s">
        <v>652</v>
      </c>
      <c r="O172" s="7" t="s">
        <v>689</v>
      </c>
      <c r="P172" s="7" t="s">
        <v>705</v>
      </c>
      <c r="Q172" s="7" t="s">
        <v>709</v>
      </c>
      <c r="R172" s="7" t="s">
        <v>715</v>
      </c>
      <c r="S172" s="7" t="s">
        <v>733</v>
      </c>
      <c r="T172" s="7" t="s">
        <v>1598</v>
      </c>
      <c r="U172" s="9">
        <v>801.77</v>
      </c>
      <c r="V172" s="9">
        <v>1218.92</v>
      </c>
      <c r="W172" s="9">
        <v>1218.92</v>
      </c>
      <c r="X172" s="9">
        <v>859.43600000000004</v>
      </c>
      <c r="Y172" s="9">
        <v>1619.5</v>
      </c>
      <c r="Z172" s="9" t="s">
        <v>2092</v>
      </c>
      <c r="AA172" t="s">
        <v>2065</v>
      </c>
      <c r="AB172" s="11">
        <v>0.254</v>
      </c>
      <c r="AC172" t="s">
        <v>2065</v>
      </c>
      <c r="AD172" s="13">
        <v>16</v>
      </c>
      <c r="AE172" s="9">
        <v>14549.029120000001</v>
      </c>
      <c r="AF172" s="9">
        <v>12828.32</v>
      </c>
      <c r="AG172" s="9">
        <v>1720.7091200000013</v>
      </c>
      <c r="AH172" s="11">
        <v>0.11826968698788344</v>
      </c>
      <c r="AI172" s="9">
        <f>SUMIFS(AD172:AD803, R172:R803, S172)</f>
        <v>0</v>
      </c>
      <c r="AJ172" s="11" t="e">
        <f>SUMIFS(AD172:AD803, R172:R803, S172, AD172:AD803, "&gt;" &amp; AE172) / AI172</f>
        <v>#DIV/0!</v>
      </c>
      <c r="AK172" s="7" t="e">
        <f>IF(AJ172&lt;=0.8,"A",IF(Table2[[#This Row],[Cumulative rev]]&lt;=0.95,"B","C"))</f>
        <v>#DIV/0!</v>
      </c>
    </row>
    <row r="173" spans="1:37" x14ac:dyDescent="0.3">
      <c r="A173" t="s">
        <v>186</v>
      </c>
      <c r="B173" s="4">
        <v>45190</v>
      </c>
      <c r="C173" s="4" t="s">
        <v>2120</v>
      </c>
      <c r="D173" s="4" t="s">
        <v>2117</v>
      </c>
      <c r="E173" s="4">
        <v>45209</v>
      </c>
      <c r="F173" t="s">
        <v>2064</v>
      </c>
      <c r="G173" s="4">
        <v>45209</v>
      </c>
      <c r="H173" s="4">
        <f>_xlfn.MINIFS(B173:B804, N173:N804, N173)</f>
        <v>44988</v>
      </c>
      <c r="I173" s="4" t="str">
        <f t="shared" si="4"/>
        <v>Mar-2023</v>
      </c>
      <c r="J173" s="13">
        <f t="shared" si="5"/>
        <v>7</v>
      </c>
      <c r="K173" s="13">
        <v>19</v>
      </c>
      <c r="L173" s="30" t="str">
        <f>IF(Table2[[#This Row],[LeadTimeDays]]&lt;7,"1","0")</f>
        <v>0</v>
      </c>
      <c r="M173" s="7" t="s">
        <v>647</v>
      </c>
      <c r="N173" s="7" t="s">
        <v>652</v>
      </c>
      <c r="O173" s="7" t="s">
        <v>689</v>
      </c>
      <c r="P173" s="7" t="s">
        <v>702</v>
      </c>
      <c r="Q173" s="7" t="s">
        <v>708</v>
      </c>
      <c r="R173" s="7" t="s">
        <v>726</v>
      </c>
      <c r="S173" s="7" t="s">
        <v>727</v>
      </c>
      <c r="T173" s="7" t="s">
        <v>1599</v>
      </c>
      <c r="U173" s="9">
        <v>845.63</v>
      </c>
      <c r="V173" s="9">
        <v>2062.12</v>
      </c>
      <c r="W173" s="9">
        <v>2062.12</v>
      </c>
      <c r="X173" s="9">
        <v>856.59139999999991</v>
      </c>
      <c r="Y173" s="9">
        <v>1620.4349999999999</v>
      </c>
      <c r="Z173" s="9" t="s">
        <v>2095</v>
      </c>
      <c r="AA173" t="s">
        <v>2065</v>
      </c>
      <c r="AB173" s="11">
        <v>0.13400000000000001</v>
      </c>
      <c r="AC173" t="s">
        <v>2065</v>
      </c>
      <c r="AD173" s="13">
        <v>5</v>
      </c>
      <c r="AE173" s="9">
        <v>8928.9795999999988</v>
      </c>
      <c r="AF173" s="9">
        <v>4228.1499999999996</v>
      </c>
      <c r="AG173" s="9">
        <v>4700.8295999999991</v>
      </c>
      <c r="AH173" s="11">
        <v>0.52646884757133949</v>
      </c>
      <c r="AI173" s="9">
        <f>SUMIFS(AD173:AD804, R173:R804, S173)</f>
        <v>0</v>
      </c>
      <c r="AJ173" s="11" t="e">
        <f>SUMIFS(AD173:AD804, R173:R804, S173, AD173:AD804, "&gt;" &amp; AE173) / AI173</f>
        <v>#DIV/0!</v>
      </c>
      <c r="AK173" s="7" t="e">
        <f>IF(AJ173&lt;=0.8,"A",IF(Table2[[#This Row],[Cumulative rev]]&lt;=0.95,"B","C"))</f>
        <v>#DIV/0!</v>
      </c>
    </row>
    <row r="174" spans="1:37" x14ac:dyDescent="0.3">
      <c r="A174" t="s">
        <v>187</v>
      </c>
      <c r="B174" s="4">
        <v>44981</v>
      </c>
      <c r="C174" s="4" t="s">
        <v>2084</v>
      </c>
      <c r="D174" s="4" t="s">
        <v>2085</v>
      </c>
      <c r="E174" s="4">
        <v>44994</v>
      </c>
      <c r="F174" t="s">
        <v>2064</v>
      </c>
      <c r="G174" s="4">
        <v>44994</v>
      </c>
      <c r="H174" s="4">
        <f>_xlfn.MINIFS(B174:B805, N174:N805, N174)</f>
        <v>44939</v>
      </c>
      <c r="I174" s="4" t="str">
        <f t="shared" si="4"/>
        <v>Jan-2023</v>
      </c>
      <c r="J174" s="13">
        <f t="shared" si="5"/>
        <v>2</v>
      </c>
      <c r="K174" s="13">
        <v>13</v>
      </c>
      <c r="L174" s="30" t="str">
        <f>IF(Table2[[#This Row],[LeadTimeDays]]&lt;7,"1","0")</f>
        <v>0</v>
      </c>
      <c r="M174" s="7" t="s">
        <v>648</v>
      </c>
      <c r="N174" s="7" t="s">
        <v>1425</v>
      </c>
      <c r="O174" s="7" t="s">
        <v>700</v>
      </c>
      <c r="P174" s="7" t="s">
        <v>706</v>
      </c>
      <c r="Q174" s="7" t="s">
        <v>708</v>
      </c>
      <c r="R174" s="7" t="s">
        <v>724</v>
      </c>
      <c r="S174" s="7" t="s">
        <v>727</v>
      </c>
      <c r="T174" s="7" t="s">
        <v>1600</v>
      </c>
      <c r="U174" s="9">
        <v>6.85</v>
      </c>
      <c r="V174" s="9">
        <v>10.18</v>
      </c>
      <c r="W174" s="9">
        <v>10.18</v>
      </c>
      <c r="X174" s="9">
        <v>853.74680000000012</v>
      </c>
      <c r="Y174" s="9">
        <v>1618.62</v>
      </c>
      <c r="Z174" s="9" t="s">
        <v>2081</v>
      </c>
      <c r="AA174" t="s">
        <v>2065</v>
      </c>
      <c r="AB174" s="11">
        <v>4.7E-2</v>
      </c>
      <c r="AC174" t="s">
        <v>2065</v>
      </c>
      <c r="AD174" s="13">
        <v>10</v>
      </c>
      <c r="AE174" s="9">
        <v>97.0154</v>
      </c>
      <c r="AF174" s="9">
        <v>68.5</v>
      </c>
      <c r="AG174" s="9">
        <v>28.5154</v>
      </c>
      <c r="AH174" s="11">
        <v>0.2939265312517394</v>
      </c>
      <c r="AI174" s="9">
        <f>SUMIFS(AD174:AD805, R174:R805, S174)</f>
        <v>0</v>
      </c>
      <c r="AJ174" s="11" t="e">
        <f>SUMIFS(AD174:AD805, R174:R805, S174, AD174:AD805, "&gt;" &amp; AE174) / AI174</f>
        <v>#DIV/0!</v>
      </c>
      <c r="AK174" s="7" t="e">
        <f>IF(AJ174&lt;=0.8,"A",IF(Table2[[#This Row],[Cumulative rev]]&lt;=0.95,"B","C"))</f>
        <v>#DIV/0!</v>
      </c>
    </row>
    <row r="175" spans="1:37" x14ac:dyDescent="0.3">
      <c r="A175" t="s">
        <v>188</v>
      </c>
      <c r="B175" s="4">
        <v>45798</v>
      </c>
      <c r="C175" s="4" t="s">
        <v>2096</v>
      </c>
      <c r="D175" s="4" t="s">
        <v>2097</v>
      </c>
      <c r="E175" s="4">
        <v>45796</v>
      </c>
      <c r="F175" t="s">
        <v>2066</v>
      </c>
      <c r="G175" s="4">
        <v>45798</v>
      </c>
      <c r="H175" s="4">
        <f>_xlfn.MINIFS(B175:B806, N175:N806, N175)</f>
        <v>44933</v>
      </c>
      <c r="I175" s="4" t="str">
        <f t="shared" si="4"/>
        <v>Jan-2023</v>
      </c>
      <c r="J175" s="13">
        <f t="shared" si="5"/>
        <v>29</v>
      </c>
      <c r="K175" s="13">
        <v>0</v>
      </c>
      <c r="L175" s="30" t="str">
        <f>IF(Table2[[#This Row],[LeadTimeDays]]&lt;7,"1","0")</f>
        <v>1</v>
      </c>
      <c r="M175" s="7" t="s">
        <v>646</v>
      </c>
      <c r="N175" s="7" t="s">
        <v>661</v>
      </c>
      <c r="O175" s="7" t="s">
        <v>682</v>
      </c>
      <c r="P175" s="7" t="s">
        <v>703</v>
      </c>
      <c r="Q175" s="7" t="s">
        <v>710</v>
      </c>
      <c r="R175" s="7" t="s">
        <v>719</v>
      </c>
      <c r="S175" s="7" t="s">
        <v>731</v>
      </c>
      <c r="T175" s="7" t="s">
        <v>1601</v>
      </c>
      <c r="U175" s="9">
        <v>1263.8399999999999</v>
      </c>
      <c r="V175" s="9">
        <v>2281.7199999999998</v>
      </c>
      <c r="W175" s="9">
        <v>2281.7199999999998</v>
      </c>
      <c r="X175" s="9">
        <v>859.5222</v>
      </c>
      <c r="Y175" s="9">
        <v>1619.5549999999998</v>
      </c>
      <c r="Z175" s="9" t="s">
        <v>2095</v>
      </c>
      <c r="AA175" t="s">
        <v>2065</v>
      </c>
      <c r="AB175" s="11">
        <v>7.8E-2</v>
      </c>
      <c r="AC175" t="s">
        <v>2065</v>
      </c>
      <c r="AD175" s="13">
        <v>15</v>
      </c>
      <c r="AE175" s="9">
        <v>31556.187599999997</v>
      </c>
      <c r="AF175" s="9">
        <v>18957.599999999999</v>
      </c>
      <c r="AG175" s="9">
        <v>12598.587599999999</v>
      </c>
      <c r="AH175" s="11">
        <v>0.39924301882398494</v>
      </c>
      <c r="AI175" s="9">
        <f>SUMIFS(AD175:AD806, R175:R806, S175)</f>
        <v>0</v>
      </c>
      <c r="AJ175" s="11" t="e">
        <f>SUMIFS(AD175:AD806, R175:R806, S175, AD175:AD806, "&gt;" &amp; AE175) / AI175</f>
        <v>#DIV/0!</v>
      </c>
      <c r="AK175" s="7" t="e">
        <f>IF(AJ175&lt;=0.8,"A",IF(Table2[[#This Row],[Cumulative rev]]&lt;=0.95,"B","C"))</f>
        <v>#DIV/0!</v>
      </c>
    </row>
    <row r="176" spans="1:37" x14ac:dyDescent="0.3">
      <c r="A176" t="s">
        <v>189</v>
      </c>
      <c r="B176" s="4">
        <v>45435</v>
      </c>
      <c r="C176" s="4" t="s">
        <v>2093</v>
      </c>
      <c r="D176" s="4" t="s">
        <v>2094</v>
      </c>
      <c r="E176" s="4">
        <v>45446</v>
      </c>
      <c r="F176" t="s">
        <v>2064</v>
      </c>
      <c r="G176" s="4">
        <v>45446</v>
      </c>
      <c r="H176" s="4">
        <f>_xlfn.MINIFS(B176:B807, N176:N807, N176)</f>
        <v>44933</v>
      </c>
      <c r="I176" s="4" t="str">
        <f t="shared" si="4"/>
        <v>Jan-2023</v>
      </c>
      <c r="J176" s="13">
        <f t="shared" si="5"/>
        <v>17</v>
      </c>
      <c r="K176" s="13">
        <v>11</v>
      </c>
      <c r="L176" s="30" t="str">
        <f>IF(Table2[[#This Row],[LeadTimeDays]]&lt;7,"1","0")</f>
        <v>0</v>
      </c>
      <c r="M176" s="7" t="s">
        <v>646</v>
      </c>
      <c r="N176" s="7" t="s">
        <v>661</v>
      </c>
      <c r="O176" s="7" t="s">
        <v>682</v>
      </c>
      <c r="P176" s="7" t="s">
        <v>705</v>
      </c>
      <c r="Q176" s="7" t="s">
        <v>710</v>
      </c>
      <c r="R176" s="7" t="s">
        <v>721</v>
      </c>
      <c r="S176" s="7" t="s">
        <v>728</v>
      </c>
      <c r="T176" s="7" t="s">
        <v>1602</v>
      </c>
      <c r="U176" s="9">
        <v>180.89</v>
      </c>
      <c r="V176" s="9">
        <v>249.57</v>
      </c>
      <c r="W176" s="9">
        <v>249.57</v>
      </c>
      <c r="X176" s="9">
        <v>856.6776000000001</v>
      </c>
      <c r="Y176" s="9">
        <v>1616.9568000000008</v>
      </c>
      <c r="Z176" s="9" t="s">
        <v>2081</v>
      </c>
      <c r="AA176" t="s">
        <v>2065</v>
      </c>
      <c r="AB176" s="11">
        <v>2.1999999999999999E-2</v>
      </c>
      <c r="AC176" t="s">
        <v>2065</v>
      </c>
      <c r="AD176" s="13">
        <v>8</v>
      </c>
      <c r="AE176" s="9">
        <v>1952.6356799999999</v>
      </c>
      <c r="AF176" s="9">
        <v>1447.12</v>
      </c>
      <c r="AG176" s="9">
        <v>505.51567999999997</v>
      </c>
      <c r="AH176" s="11">
        <v>0.25888888806948362</v>
      </c>
      <c r="AI176" s="9">
        <f>SUMIFS(AD176:AD807, R176:R807, S176)</f>
        <v>0</v>
      </c>
      <c r="AJ176" s="11" t="e">
        <f>SUMIFS(AD176:AD807, R176:R807, S176, AD176:AD807, "&gt;" &amp; AE176) / AI176</f>
        <v>#DIV/0!</v>
      </c>
      <c r="AK176" s="7" t="e">
        <f>IF(AJ176&lt;=0.8,"A",IF(Table2[[#This Row],[Cumulative rev]]&lt;=0.95,"B","C"))</f>
        <v>#DIV/0!</v>
      </c>
    </row>
    <row r="177" spans="1:37" x14ac:dyDescent="0.3">
      <c r="A177" t="s">
        <v>190</v>
      </c>
      <c r="B177" s="4">
        <v>45761</v>
      </c>
      <c r="C177" s="4" t="s">
        <v>2111</v>
      </c>
      <c r="D177" s="4" t="s">
        <v>2097</v>
      </c>
      <c r="E177" s="4">
        <v>45781</v>
      </c>
      <c r="F177" t="s">
        <v>2064</v>
      </c>
      <c r="G177" s="4">
        <v>45781</v>
      </c>
      <c r="H177" s="4">
        <f>_xlfn.MINIFS(B177:B808, N177:N808, N177)</f>
        <v>44945</v>
      </c>
      <c r="I177" s="4" t="str">
        <f t="shared" si="4"/>
        <v>Jan-2023</v>
      </c>
      <c r="J177" s="13">
        <f t="shared" si="5"/>
        <v>27</v>
      </c>
      <c r="K177" s="13">
        <v>20</v>
      </c>
      <c r="L177" s="30" t="str">
        <f>IF(Table2[[#This Row],[LeadTimeDays]]&lt;7,"1","0")</f>
        <v>0</v>
      </c>
      <c r="M177" s="7" t="s">
        <v>649</v>
      </c>
      <c r="N177" s="7" t="s">
        <v>658</v>
      </c>
      <c r="O177" s="7" t="s">
        <v>674</v>
      </c>
      <c r="P177" s="7" t="s">
        <v>706</v>
      </c>
      <c r="Q177" s="7" t="s">
        <v>709</v>
      </c>
      <c r="R177" s="7" t="s">
        <v>723</v>
      </c>
      <c r="S177" s="7" t="s">
        <v>732</v>
      </c>
      <c r="T177" s="7" t="s">
        <v>1603</v>
      </c>
      <c r="U177" s="9">
        <v>1413.87</v>
      </c>
      <c r="V177" s="9">
        <v>3275</v>
      </c>
      <c r="W177" s="9">
        <v>3275</v>
      </c>
      <c r="X177" s="9">
        <v>862.279</v>
      </c>
      <c r="Y177" s="9">
        <v>1618.675</v>
      </c>
      <c r="Z177" s="9" t="s">
        <v>2095</v>
      </c>
      <c r="AA177" t="s">
        <v>2065</v>
      </c>
      <c r="AB177" s="11">
        <v>0.255</v>
      </c>
      <c r="AC177" t="s">
        <v>2065</v>
      </c>
      <c r="AD177" s="13">
        <v>38</v>
      </c>
      <c r="AE177" s="9">
        <v>92715.25</v>
      </c>
      <c r="AF177" s="9">
        <v>53727.06</v>
      </c>
      <c r="AG177" s="9">
        <v>38988.19</v>
      </c>
      <c r="AH177" s="11">
        <v>0.42051539525590453</v>
      </c>
      <c r="AI177" s="9">
        <f>SUMIFS(AD177:AD808, R177:R808, S177)</f>
        <v>0</v>
      </c>
      <c r="AJ177" s="11" t="e">
        <f>SUMIFS(AD177:AD808, R177:R808, S177, AD177:AD808, "&gt;" &amp; AE177) / AI177</f>
        <v>#DIV/0!</v>
      </c>
      <c r="AK177" s="7" t="e">
        <f>IF(AJ177&lt;=0.8,"A",IF(Table2[[#This Row],[Cumulative rev]]&lt;=0.95,"B","C"))</f>
        <v>#DIV/0!</v>
      </c>
    </row>
    <row r="178" spans="1:37" x14ac:dyDescent="0.3">
      <c r="A178" t="s">
        <v>191</v>
      </c>
      <c r="B178" s="4">
        <v>45165</v>
      </c>
      <c r="C178" s="4" t="s">
        <v>2118</v>
      </c>
      <c r="D178" s="4" t="s">
        <v>2117</v>
      </c>
      <c r="E178" s="4">
        <v>45180</v>
      </c>
      <c r="F178" t="s">
        <v>2064</v>
      </c>
      <c r="G178" s="4">
        <v>45180</v>
      </c>
      <c r="H178" s="4">
        <f>_xlfn.MINIFS(B178:B809, N178:N809, N178)</f>
        <v>44945</v>
      </c>
      <c r="I178" s="4" t="str">
        <f t="shared" si="4"/>
        <v>Jan-2023</v>
      </c>
      <c r="J178" s="13">
        <f t="shared" si="5"/>
        <v>8</v>
      </c>
      <c r="K178" s="13">
        <v>15</v>
      </c>
      <c r="L178" s="30" t="str">
        <f>IF(Table2[[#This Row],[LeadTimeDays]]&lt;7,"1","0")</f>
        <v>0</v>
      </c>
      <c r="M178" s="7" t="s">
        <v>649</v>
      </c>
      <c r="N178" s="7" t="s">
        <v>658</v>
      </c>
      <c r="O178" s="7" t="s">
        <v>683</v>
      </c>
      <c r="P178" s="7" t="s">
        <v>704</v>
      </c>
      <c r="Q178" s="7" t="s">
        <v>709</v>
      </c>
      <c r="R178" s="7" t="s">
        <v>725</v>
      </c>
      <c r="S178" s="7" t="s">
        <v>728</v>
      </c>
      <c r="T178" s="7" t="s">
        <v>1604</v>
      </c>
      <c r="U178" s="9">
        <v>943.79</v>
      </c>
      <c r="V178" s="9">
        <v>1913.76</v>
      </c>
      <c r="W178" s="9">
        <v>1913.76</v>
      </c>
      <c r="X178" s="9">
        <v>859.60839999999996</v>
      </c>
      <c r="Y178" s="9">
        <v>1609.8111999999996</v>
      </c>
      <c r="Z178" s="9" t="s">
        <v>2095</v>
      </c>
      <c r="AA178" t="s">
        <v>2065</v>
      </c>
      <c r="AB178" s="11">
        <v>9.0999999999999998E-2</v>
      </c>
      <c r="AC178" t="s">
        <v>2065</v>
      </c>
      <c r="AD178" s="13">
        <v>9</v>
      </c>
      <c r="AE178" s="9">
        <v>15656.47056</v>
      </c>
      <c r="AF178" s="9">
        <v>8494.11</v>
      </c>
      <c r="AG178" s="9">
        <v>7162.3605599999992</v>
      </c>
      <c r="AH178" s="11">
        <v>0.45746967891338081</v>
      </c>
      <c r="AI178" s="9">
        <f>SUMIFS(AD178:AD809, R178:R809, S178)</f>
        <v>0</v>
      </c>
      <c r="AJ178" s="11" t="e">
        <f>SUMIFS(AD178:AD809, R178:R809, S178, AD178:AD809, "&gt;" &amp; AE178) / AI178</f>
        <v>#DIV/0!</v>
      </c>
      <c r="AK178" s="7" t="e">
        <f>IF(AJ178&lt;=0.8,"A",IF(Table2[[#This Row],[Cumulative rev]]&lt;=0.95,"B","C"))</f>
        <v>#DIV/0!</v>
      </c>
    </row>
    <row r="179" spans="1:37" x14ac:dyDescent="0.3">
      <c r="A179" t="s">
        <v>192</v>
      </c>
      <c r="B179" s="4">
        <v>45325</v>
      </c>
      <c r="C179" s="4" t="s">
        <v>2124</v>
      </c>
      <c r="D179" s="4" t="s">
        <v>2080</v>
      </c>
      <c r="E179" s="4">
        <v>45343</v>
      </c>
      <c r="F179" t="s">
        <v>2064</v>
      </c>
      <c r="G179" s="4">
        <v>45343</v>
      </c>
      <c r="H179" s="4">
        <f>_xlfn.MINIFS(B179:B810, N179:N810, N179)</f>
        <v>44948</v>
      </c>
      <c r="I179" s="4" t="str">
        <f t="shared" si="4"/>
        <v>Jan-2023</v>
      </c>
      <c r="J179" s="13">
        <f t="shared" si="5"/>
        <v>13</v>
      </c>
      <c r="K179" s="13">
        <v>18</v>
      </c>
      <c r="L179" s="30" t="str">
        <f>IF(Table2[[#This Row],[LeadTimeDays]]&lt;7,"1","0")</f>
        <v>0</v>
      </c>
      <c r="M179" s="7" t="s">
        <v>649</v>
      </c>
      <c r="N179" s="7" t="s">
        <v>656</v>
      </c>
      <c r="O179" s="7" t="s">
        <v>698</v>
      </c>
      <c r="P179" s="7" t="s">
        <v>701</v>
      </c>
      <c r="Q179" s="7" t="s">
        <v>707</v>
      </c>
      <c r="R179" s="7" t="s">
        <v>722</v>
      </c>
      <c r="S179" s="7" t="s">
        <v>727</v>
      </c>
      <c r="T179" s="7" t="s">
        <v>1605</v>
      </c>
      <c r="U179" s="9">
        <v>39.229999999999997</v>
      </c>
      <c r="V179" s="9">
        <v>30.09</v>
      </c>
      <c r="W179" s="9">
        <v>30.09</v>
      </c>
      <c r="X179" s="9">
        <v>856.76380000000006</v>
      </c>
      <c r="Y179" s="9">
        <v>1595.5052000000001</v>
      </c>
      <c r="Z179" s="9" t="s">
        <v>2081</v>
      </c>
      <c r="AA179" t="s">
        <v>2065</v>
      </c>
      <c r="AB179" s="11">
        <v>0.17699999999999999</v>
      </c>
      <c r="AC179" t="s">
        <v>2065</v>
      </c>
      <c r="AD179" s="13">
        <v>13</v>
      </c>
      <c r="AE179" s="9">
        <v>321.93290999999999</v>
      </c>
      <c r="AF179" s="9">
        <v>509.98999999999995</v>
      </c>
      <c r="AG179" s="9">
        <v>-188.05708999999996</v>
      </c>
      <c r="AH179" s="11">
        <v>-0.58414993981199359</v>
      </c>
      <c r="AI179" s="9">
        <f>SUMIFS(AD179:AD810, R179:R810, S179)</f>
        <v>0</v>
      </c>
      <c r="AJ179" s="11" t="e">
        <f>SUMIFS(AD179:AD810, R179:R810, S179, AD179:AD810, "&gt;" &amp; AE179) / AI179</f>
        <v>#DIV/0!</v>
      </c>
      <c r="AK179" s="7" t="e">
        <f>IF(AJ179&lt;=0.8,"A",IF(Table2[[#This Row],[Cumulative rev]]&lt;=0.95,"B","C"))</f>
        <v>#DIV/0!</v>
      </c>
    </row>
    <row r="180" spans="1:37" x14ac:dyDescent="0.3">
      <c r="A180" t="s">
        <v>193</v>
      </c>
      <c r="B180" s="4">
        <v>45021</v>
      </c>
      <c r="C180" s="4" t="s">
        <v>2102</v>
      </c>
      <c r="D180" s="4" t="s">
        <v>2103</v>
      </c>
      <c r="E180" s="4">
        <v>45032</v>
      </c>
      <c r="F180" t="s">
        <v>2064</v>
      </c>
      <c r="G180" s="4">
        <v>45032</v>
      </c>
      <c r="H180" s="4">
        <f>_xlfn.MINIFS(B180:B811, N180:N811, N180)</f>
        <v>44989</v>
      </c>
      <c r="I180" s="4" t="str">
        <f t="shared" si="4"/>
        <v>Mar-2023</v>
      </c>
      <c r="J180" s="13">
        <f t="shared" si="5"/>
        <v>2</v>
      </c>
      <c r="K180" s="13">
        <v>11</v>
      </c>
      <c r="L180" s="30" t="str">
        <f>IF(Table2[[#This Row],[LeadTimeDays]]&lt;7,"1","0")</f>
        <v>0</v>
      </c>
      <c r="M180" s="7" t="s">
        <v>648</v>
      </c>
      <c r="N180" s="7" t="s">
        <v>653</v>
      </c>
      <c r="O180" s="7" t="s">
        <v>688</v>
      </c>
      <c r="P180" s="7" t="s">
        <v>703</v>
      </c>
      <c r="Q180" s="7" t="s">
        <v>708</v>
      </c>
      <c r="R180" s="7" t="s">
        <v>719</v>
      </c>
      <c r="S180" s="7" t="s">
        <v>732</v>
      </c>
      <c r="T180" s="7" t="s">
        <v>1606</v>
      </c>
      <c r="U180" s="9">
        <v>213.1</v>
      </c>
      <c r="V180" s="9">
        <v>501.31</v>
      </c>
      <c r="W180" s="9">
        <v>501.31</v>
      </c>
      <c r="X180" s="9">
        <v>862.35359999999991</v>
      </c>
      <c r="Y180" s="9">
        <v>1602.6655999999998</v>
      </c>
      <c r="Z180" s="9" t="s">
        <v>2081</v>
      </c>
      <c r="AA180" t="s">
        <v>2065</v>
      </c>
      <c r="AB180" s="11">
        <v>5.6000000000000001E-2</v>
      </c>
      <c r="AC180" t="s">
        <v>2065</v>
      </c>
      <c r="AD180" s="13">
        <v>15</v>
      </c>
      <c r="AE180" s="9">
        <v>7098.5495999999994</v>
      </c>
      <c r="AF180" s="9">
        <v>3196.5</v>
      </c>
      <c r="AG180" s="9">
        <v>3902.0495999999994</v>
      </c>
      <c r="AH180" s="11">
        <v>0.54969674368409005</v>
      </c>
      <c r="AI180" s="9">
        <f>SUMIFS(AD180:AD811, R180:R811, S180)</f>
        <v>0</v>
      </c>
      <c r="AJ180" s="11" t="e">
        <f>SUMIFS(AD180:AD811, R180:R811, S180, AD180:AD811, "&gt;" &amp; AE180) / AI180</f>
        <v>#DIV/0!</v>
      </c>
      <c r="AK180" s="7" t="e">
        <f>IF(AJ180&lt;=0.8,"A",IF(Table2[[#This Row],[Cumulative rev]]&lt;=0.95,"B","C"))</f>
        <v>#DIV/0!</v>
      </c>
    </row>
    <row r="181" spans="1:37" x14ac:dyDescent="0.3">
      <c r="A181" t="s">
        <v>194</v>
      </c>
      <c r="B181" s="4">
        <v>45890</v>
      </c>
      <c r="C181" s="4" t="s">
        <v>2121</v>
      </c>
      <c r="D181" s="4" t="s">
        <v>2101</v>
      </c>
      <c r="E181" s="4">
        <v>45912</v>
      </c>
      <c r="F181" t="s">
        <v>2064</v>
      </c>
      <c r="G181" s="4">
        <v>45912</v>
      </c>
      <c r="H181" s="4">
        <f>_xlfn.MINIFS(B181:B812, N181:N812, N181)</f>
        <v>44938</v>
      </c>
      <c r="I181" s="4" t="str">
        <f t="shared" si="4"/>
        <v>Jan-2023</v>
      </c>
      <c r="J181" s="13">
        <f t="shared" si="5"/>
        <v>32</v>
      </c>
      <c r="K181" s="13">
        <v>22</v>
      </c>
      <c r="L181" s="30" t="str">
        <f>IF(Table2[[#This Row],[LeadTimeDays]]&lt;7,"1","0")</f>
        <v>0</v>
      </c>
      <c r="M181" s="7" t="s">
        <v>647</v>
      </c>
      <c r="N181" s="7" t="s">
        <v>659</v>
      </c>
      <c r="O181" s="7" t="s">
        <v>676</v>
      </c>
      <c r="P181" s="7" t="s">
        <v>702</v>
      </c>
      <c r="Q181" s="7" t="s">
        <v>707</v>
      </c>
      <c r="R181" s="7" t="s">
        <v>717</v>
      </c>
      <c r="S181" s="7" t="s">
        <v>728</v>
      </c>
      <c r="T181" s="7" t="s">
        <v>1607</v>
      </c>
      <c r="U181" s="9">
        <v>352.66</v>
      </c>
      <c r="V181" s="9">
        <v>411.18</v>
      </c>
      <c r="W181" s="9">
        <v>411.18</v>
      </c>
      <c r="X181" s="9">
        <v>867.35180000000014</v>
      </c>
      <c r="Y181" s="9">
        <v>1610.2578000000005</v>
      </c>
      <c r="Z181" s="9" t="s">
        <v>2081</v>
      </c>
      <c r="AA181" t="s">
        <v>2065</v>
      </c>
      <c r="AB181" s="11">
        <v>0.17299999999999999</v>
      </c>
      <c r="AC181" t="s">
        <v>2065</v>
      </c>
      <c r="AD181" s="13">
        <v>13</v>
      </c>
      <c r="AE181" s="9">
        <v>4420.5961799999995</v>
      </c>
      <c r="AF181" s="9">
        <v>4584.58</v>
      </c>
      <c r="AG181" s="9">
        <v>-163.98382000000038</v>
      </c>
      <c r="AH181" s="11">
        <v>-3.7095408248758066E-2</v>
      </c>
      <c r="AI181" s="9">
        <f>SUMIFS(AD181:AD812, R181:R812, S181)</f>
        <v>0</v>
      </c>
      <c r="AJ181" s="11" t="e">
        <f>SUMIFS(AD181:AD812, R181:R812, S181, AD181:AD812, "&gt;" &amp; AE181) / AI181</f>
        <v>#DIV/0!</v>
      </c>
      <c r="AK181" s="7" t="e">
        <f>IF(AJ181&lt;=0.8,"A",IF(Table2[[#This Row],[Cumulative rev]]&lt;=0.95,"B","C"))</f>
        <v>#DIV/0!</v>
      </c>
    </row>
    <row r="182" spans="1:37" x14ac:dyDescent="0.3">
      <c r="A182" t="s">
        <v>195</v>
      </c>
      <c r="B182" s="4">
        <v>45915</v>
      </c>
      <c r="C182" s="4" t="s">
        <v>2100</v>
      </c>
      <c r="D182" s="4" t="s">
        <v>2101</v>
      </c>
      <c r="E182" s="4">
        <v>45918</v>
      </c>
      <c r="F182" t="s">
        <v>2064</v>
      </c>
      <c r="G182" s="4">
        <v>45918</v>
      </c>
      <c r="H182" s="4">
        <f>_xlfn.MINIFS(B182:B813, N182:N813, N182)</f>
        <v>44955</v>
      </c>
      <c r="I182" s="4" t="str">
        <f t="shared" si="4"/>
        <v>Jan-2023</v>
      </c>
      <c r="J182" s="13">
        <f t="shared" si="5"/>
        <v>32</v>
      </c>
      <c r="K182" s="13">
        <v>3</v>
      </c>
      <c r="L182" s="30" t="str">
        <f>IF(Table2[[#This Row],[LeadTimeDays]]&lt;7,"1","0")</f>
        <v>1</v>
      </c>
      <c r="M182" s="7" t="s">
        <v>648</v>
      </c>
      <c r="N182" s="7" t="s">
        <v>655</v>
      </c>
      <c r="O182" s="7" t="s">
        <v>1426</v>
      </c>
      <c r="P182" s="7" t="s">
        <v>703</v>
      </c>
      <c r="Q182" s="7" t="s">
        <v>711</v>
      </c>
      <c r="R182" s="7" t="s">
        <v>716</v>
      </c>
      <c r="S182" s="7" t="s">
        <v>733</v>
      </c>
      <c r="T182" s="7" t="s">
        <v>1608</v>
      </c>
      <c r="U182" s="9">
        <v>5.5</v>
      </c>
      <c r="V182" s="9">
        <v>5.92</v>
      </c>
      <c r="W182" s="9">
        <v>5.92</v>
      </c>
      <c r="X182" s="9">
        <v>871.18499999999995</v>
      </c>
      <c r="Y182" s="9">
        <v>1617.85</v>
      </c>
      <c r="Z182" s="9" t="s">
        <v>2081</v>
      </c>
      <c r="AA182" t="s">
        <v>2065</v>
      </c>
      <c r="AB182" s="11">
        <v>0.21199999999999999</v>
      </c>
      <c r="AC182" t="s">
        <v>2065</v>
      </c>
      <c r="AD182" s="13">
        <v>4</v>
      </c>
      <c r="AE182" s="9">
        <v>18.659839999999999</v>
      </c>
      <c r="AF182" s="9">
        <v>22</v>
      </c>
      <c r="AG182" s="9">
        <v>-3.3401600000000009</v>
      </c>
      <c r="AH182" s="11">
        <v>-0.17900260666758133</v>
      </c>
      <c r="AI182" s="9">
        <f>SUMIFS(AD182:AD813, R182:R813, S182)</f>
        <v>0</v>
      </c>
      <c r="AJ182" s="11" t="e">
        <f>SUMIFS(AD182:AD813, R182:R813, S182, AD182:AD813, "&gt;" &amp; AE182) / AI182</f>
        <v>#DIV/0!</v>
      </c>
      <c r="AK182" s="7" t="e">
        <f>IF(AJ182&lt;=0.8,"A",IF(Table2[[#This Row],[Cumulative rev]]&lt;=0.95,"B","C"))</f>
        <v>#DIV/0!</v>
      </c>
    </row>
    <row r="183" spans="1:37" x14ac:dyDescent="0.3">
      <c r="A183" t="s">
        <v>196</v>
      </c>
      <c r="B183" s="4">
        <v>45568</v>
      </c>
      <c r="C183" s="4" t="s">
        <v>2082</v>
      </c>
      <c r="D183" s="4" t="s">
        <v>2083</v>
      </c>
      <c r="E183" s="4">
        <v>45576</v>
      </c>
      <c r="F183" t="s">
        <v>2064</v>
      </c>
      <c r="G183" s="4">
        <v>45576</v>
      </c>
      <c r="H183" s="4">
        <f>_xlfn.MINIFS(B183:B814, N183:N814, N183)</f>
        <v>44938</v>
      </c>
      <c r="I183" s="4" t="str">
        <f t="shared" si="4"/>
        <v>Jan-2023</v>
      </c>
      <c r="J183" s="13">
        <f t="shared" si="5"/>
        <v>21</v>
      </c>
      <c r="K183" s="13">
        <v>8</v>
      </c>
      <c r="L183" s="30" t="str">
        <f>IF(Table2[[#This Row],[LeadTimeDays]]&lt;7,"1","0")</f>
        <v>0</v>
      </c>
      <c r="M183" s="7" t="s">
        <v>647</v>
      </c>
      <c r="N183" s="7" t="s">
        <v>659</v>
      </c>
      <c r="O183" s="7" t="s">
        <v>699</v>
      </c>
      <c r="P183" s="7" t="s">
        <v>706</v>
      </c>
      <c r="Q183" s="7" t="s">
        <v>711</v>
      </c>
      <c r="R183" s="7" t="s">
        <v>717</v>
      </c>
      <c r="S183" s="7" t="s">
        <v>730</v>
      </c>
      <c r="T183" s="7" t="s">
        <v>1609</v>
      </c>
      <c r="U183" s="9">
        <v>1132.6099999999999</v>
      </c>
      <c r="V183" s="9">
        <v>2206.63</v>
      </c>
      <c r="W183" s="9">
        <v>2206.63</v>
      </c>
      <c r="X183" s="9">
        <v>874.27020000000005</v>
      </c>
      <c r="Y183" s="9">
        <v>1618.7850000000001</v>
      </c>
      <c r="Z183" s="9" t="s">
        <v>2095</v>
      </c>
      <c r="AA183" t="s">
        <v>2065</v>
      </c>
      <c r="AB183" s="11">
        <v>6.3E-2</v>
      </c>
      <c r="AC183" t="s">
        <v>2065</v>
      </c>
      <c r="AD183" s="13">
        <v>20</v>
      </c>
      <c r="AE183" s="9">
        <v>41352.246200000009</v>
      </c>
      <c r="AF183" s="9">
        <v>22652.199999999997</v>
      </c>
      <c r="AG183" s="9">
        <v>18700.046200000012</v>
      </c>
      <c r="AH183" s="11">
        <v>0.45221355351671338</v>
      </c>
      <c r="AI183" s="9">
        <f>SUMIFS(AD183:AD814, R183:R814, S183)</f>
        <v>0</v>
      </c>
      <c r="AJ183" s="11" t="e">
        <f>SUMIFS(AD183:AD814, R183:R814, S183, AD183:AD814, "&gt;" &amp; AE183) / AI183</f>
        <v>#DIV/0!</v>
      </c>
      <c r="AK183" s="7" t="e">
        <f>IF(AJ183&lt;=0.8,"A",IF(Table2[[#This Row],[Cumulative rev]]&lt;=0.95,"B","C"))</f>
        <v>#DIV/0!</v>
      </c>
    </row>
    <row r="184" spans="1:37" x14ac:dyDescent="0.3">
      <c r="A184" t="s">
        <v>197</v>
      </c>
      <c r="B184" s="4">
        <v>45690</v>
      </c>
      <c r="C184" s="4" t="s">
        <v>2119</v>
      </c>
      <c r="D184" s="4" t="s">
        <v>2087</v>
      </c>
      <c r="E184" s="4">
        <v>45720</v>
      </c>
      <c r="F184" t="s">
        <v>2064</v>
      </c>
      <c r="G184" s="4">
        <v>45720</v>
      </c>
      <c r="H184" s="4">
        <f>_xlfn.MINIFS(B184:B815, N184:N815, N184)</f>
        <v>44988</v>
      </c>
      <c r="I184" s="4" t="str">
        <f t="shared" si="4"/>
        <v>Mar-2023</v>
      </c>
      <c r="J184" s="13">
        <f t="shared" si="5"/>
        <v>23</v>
      </c>
      <c r="K184" s="13">
        <v>30</v>
      </c>
      <c r="L184" s="30" t="str">
        <f>IF(Table2[[#This Row],[LeadTimeDays]]&lt;7,"1","0")</f>
        <v>0</v>
      </c>
      <c r="M184" s="7" t="s">
        <v>647</v>
      </c>
      <c r="N184" s="7" t="s">
        <v>652</v>
      </c>
      <c r="O184" s="7" t="s">
        <v>666</v>
      </c>
      <c r="P184" s="7" t="s">
        <v>702</v>
      </c>
      <c r="Q184" s="7" t="s">
        <v>710</v>
      </c>
      <c r="R184" s="7" t="s">
        <v>716</v>
      </c>
      <c r="S184" s="7" t="s">
        <v>733</v>
      </c>
      <c r="T184" s="7" t="s">
        <v>1610</v>
      </c>
      <c r="U184" s="9">
        <v>766.59</v>
      </c>
      <c r="V184" s="9">
        <v>1912.8</v>
      </c>
      <c r="W184" s="9">
        <v>1912.8</v>
      </c>
      <c r="X184" s="9">
        <v>872.92920000000004</v>
      </c>
      <c r="Y184" s="9">
        <v>1610.7044000000001</v>
      </c>
      <c r="Z184" s="9" t="s">
        <v>2095</v>
      </c>
      <c r="AA184" t="s">
        <v>2065</v>
      </c>
      <c r="AB184" s="11">
        <v>0.19600000000000001</v>
      </c>
      <c r="AC184" t="s">
        <v>2065</v>
      </c>
      <c r="AD184" s="13">
        <v>5</v>
      </c>
      <c r="AE184" s="9">
        <v>7689.4560000000001</v>
      </c>
      <c r="AF184" s="9">
        <v>3832.9500000000003</v>
      </c>
      <c r="AG184" s="9">
        <v>3856.5059999999999</v>
      </c>
      <c r="AH184" s="11">
        <v>0.50153170783472845</v>
      </c>
      <c r="AI184" s="9">
        <f>SUMIFS(AD184:AD815, R184:R815, S184)</f>
        <v>0</v>
      </c>
      <c r="AJ184" s="11" t="e">
        <f>SUMIFS(AD184:AD815, R184:R815, S184, AD184:AD815, "&gt;" &amp; AE184) / AI184</f>
        <v>#DIV/0!</v>
      </c>
      <c r="AK184" s="7" t="e">
        <f>IF(AJ184&lt;=0.8,"A",IF(Table2[[#This Row],[Cumulative rev]]&lt;=0.95,"B","C"))</f>
        <v>#DIV/0!</v>
      </c>
    </row>
    <row r="185" spans="1:37" x14ac:dyDescent="0.3">
      <c r="A185" t="s">
        <v>198</v>
      </c>
      <c r="B185" s="4">
        <v>45157</v>
      </c>
      <c r="C185" s="4" t="s">
        <v>2118</v>
      </c>
      <c r="D185" s="4" t="s">
        <v>2117</v>
      </c>
      <c r="E185" s="4">
        <v>45161</v>
      </c>
      <c r="F185" t="s">
        <v>2064</v>
      </c>
      <c r="G185" s="4">
        <v>45161</v>
      </c>
      <c r="H185" s="4">
        <f>_xlfn.MINIFS(B185:B816, N185:N816, N185)</f>
        <v>44968</v>
      </c>
      <c r="I185" s="4" t="str">
        <f t="shared" si="4"/>
        <v>Feb-2023</v>
      </c>
      <c r="J185" s="13">
        <f t="shared" si="5"/>
        <v>7</v>
      </c>
      <c r="K185" s="13">
        <v>4</v>
      </c>
      <c r="L185" s="30" t="str">
        <f>IF(Table2[[#This Row],[LeadTimeDays]]&lt;7,"1","0")</f>
        <v>1</v>
      </c>
      <c r="M185" s="7" t="s">
        <v>646</v>
      </c>
      <c r="N185" s="7" t="s">
        <v>651</v>
      </c>
      <c r="O185" s="7" t="s">
        <v>669</v>
      </c>
      <c r="P185" s="7" t="s">
        <v>705</v>
      </c>
      <c r="Q185" s="7" t="s">
        <v>708</v>
      </c>
      <c r="R185" s="7" t="s">
        <v>713</v>
      </c>
      <c r="S185" s="7" t="s">
        <v>732</v>
      </c>
      <c r="T185" s="7" t="s">
        <v>1611</v>
      </c>
      <c r="U185" s="9">
        <v>790.63</v>
      </c>
      <c r="V185" s="9">
        <v>1382.31</v>
      </c>
      <c r="W185" s="9">
        <v>1382.31</v>
      </c>
      <c r="X185" s="9">
        <v>871.23630000000014</v>
      </c>
      <c r="Y185" s="9">
        <v>1595.9666000000009</v>
      </c>
      <c r="Z185" s="9" t="s">
        <v>2092</v>
      </c>
      <c r="AA185" t="s">
        <v>2065</v>
      </c>
      <c r="AB185" s="11">
        <v>0.10100000000000001</v>
      </c>
      <c r="AC185" t="s">
        <v>2065</v>
      </c>
      <c r="AD185" s="13">
        <v>7</v>
      </c>
      <c r="AE185" s="9">
        <v>8698.8768300000011</v>
      </c>
      <c r="AF185" s="9">
        <v>5534.41</v>
      </c>
      <c r="AG185" s="9">
        <v>3164.4668300000012</v>
      </c>
      <c r="AH185" s="11">
        <v>0.36377878338116448</v>
      </c>
      <c r="AI185" s="9">
        <f>SUMIFS(AD185:AD816, R185:R816, S185)</f>
        <v>0</v>
      </c>
      <c r="AJ185" s="11" t="e">
        <f>SUMIFS(AD185:AD816, R185:R816, S185, AD185:AD816, "&gt;" &amp; AE185) / AI185</f>
        <v>#DIV/0!</v>
      </c>
      <c r="AK185" s="7" t="e">
        <f>IF(AJ185&lt;=0.8,"A",IF(Table2[[#This Row],[Cumulative rev]]&lt;=0.95,"B","C"))</f>
        <v>#DIV/0!</v>
      </c>
    </row>
    <row r="186" spans="1:37" x14ac:dyDescent="0.3">
      <c r="A186" t="s">
        <v>199</v>
      </c>
      <c r="B186" s="4">
        <v>45587</v>
      </c>
      <c r="C186" s="4" t="s">
        <v>2082</v>
      </c>
      <c r="D186" s="4" t="s">
        <v>2083</v>
      </c>
      <c r="E186" s="4">
        <v>45594</v>
      </c>
      <c r="F186" t="s">
        <v>2064</v>
      </c>
      <c r="G186" s="4">
        <v>45594</v>
      </c>
      <c r="H186" s="4">
        <f>_xlfn.MINIFS(B186:B817, N186:N817, N186)</f>
        <v>44968</v>
      </c>
      <c r="I186" s="4" t="str">
        <f t="shared" si="4"/>
        <v>Feb-2023</v>
      </c>
      <c r="J186" s="13">
        <f t="shared" si="5"/>
        <v>21</v>
      </c>
      <c r="K186" s="13">
        <v>7</v>
      </c>
      <c r="L186" s="30" t="str">
        <f>IF(Table2[[#This Row],[LeadTimeDays]]&lt;7,"1","0")</f>
        <v>0</v>
      </c>
      <c r="M186" s="7" t="s">
        <v>646</v>
      </c>
      <c r="N186" s="7" t="s">
        <v>651</v>
      </c>
      <c r="O186" s="7" t="s">
        <v>663</v>
      </c>
      <c r="P186" s="7" t="s">
        <v>706</v>
      </c>
      <c r="Q186" s="7" t="s">
        <v>710</v>
      </c>
      <c r="R186" s="7" t="s">
        <v>724</v>
      </c>
      <c r="S186" s="7" t="s">
        <v>732</v>
      </c>
      <c r="T186" s="7" t="s">
        <v>1612</v>
      </c>
      <c r="U186" s="9">
        <v>1023.06</v>
      </c>
      <c r="V186" s="9">
        <v>1355.61</v>
      </c>
      <c r="W186" s="9">
        <v>1355.61</v>
      </c>
      <c r="X186" s="9">
        <v>869.54340000000002</v>
      </c>
      <c r="Y186" s="9">
        <v>1603.5588000000002</v>
      </c>
      <c r="Z186" s="9" t="s">
        <v>2092</v>
      </c>
      <c r="AA186" t="s">
        <v>2065</v>
      </c>
      <c r="AB186" s="11">
        <v>0.153</v>
      </c>
      <c r="AC186" t="s">
        <v>2065</v>
      </c>
      <c r="AD186" s="13">
        <v>23</v>
      </c>
      <c r="AE186" s="9">
        <v>26408.63841</v>
      </c>
      <c r="AF186" s="9">
        <v>23530.379999999997</v>
      </c>
      <c r="AG186" s="9">
        <v>2878.2584100000022</v>
      </c>
      <c r="AH186" s="11">
        <v>0.10898927711888809</v>
      </c>
      <c r="AI186" s="9">
        <f>SUMIFS(AD186:AD817, R186:R817, S186)</f>
        <v>0</v>
      </c>
      <c r="AJ186" s="11" t="e">
        <f>SUMIFS(AD186:AD817, R186:R817, S186, AD186:AD817, "&gt;" &amp; AE186) / AI186</f>
        <v>#DIV/0!</v>
      </c>
      <c r="AK186" s="7" t="e">
        <f>IF(AJ186&lt;=0.8,"A",IF(Table2[[#This Row],[Cumulative rev]]&lt;=0.95,"B","C"))</f>
        <v>#DIV/0!</v>
      </c>
    </row>
    <row r="187" spans="1:37" x14ac:dyDescent="0.3">
      <c r="A187" t="s">
        <v>200</v>
      </c>
      <c r="B187" s="4">
        <v>45099</v>
      </c>
      <c r="C187" s="4" t="s">
        <v>2115</v>
      </c>
      <c r="D187" s="4" t="s">
        <v>2103</v>
      </c>
      <c r="E187" s="4">
        <v>45128</v>
      </c>
      <c r="F187" t="s">
        <v>2064</v>
      </c>
      <c r="G187" s="4">
        <v>45128</v>
      </c>
      <c r="H187" s="4">
        <f>_xlfn.MINIFS(B187:B818, N187:N818, N187)</f>
        <v>44936</v>
      </c>
      <c r="I187" s="4" t="str">
        <f t="shared" si="4"/>
        <v>Jan-2023</v>
      </c>
      <c r="J187" s="13">
        <f t="shared" si="5"/>
        <v>6</v>
      </c>
      <c r="K187" s="13">
        <v>29</v>
      </c>
      <c r="L187" s="30" t="str">
        <f>IF(Table2[[#This Row],[LeadTimeDays]]&lt;7,"1","0")</f>
        <v>0</v>
      </c>
      <c r="M187" s="7" t="s">
        <v>649</v>
      </c>
      <c r="N187" s="7" t="s">
        <v>657</v>
      </c>
      <c r="O187" s="7" t="s">
        <v>679</v>
      </c>
      <c r="P187" s="7" t="s">
        <v>701</v>
      </c>
      <c r="Q187" s="7" t="s">
        <v>707</v>
      </c>
      <c r="R187" s="7" t="s">
        <v>713</v>
      </c>
      <c r="S187" s="7" t="s">
        <v>733</v>
      </c>
      <c r="T187" s="7" t="s">
        <v>1613</v>
      </c>
      <c r="U187" s="9">
        <v>734.34</v>
      </c>
      <c r="V187" s="9">
        <v>887.9</v>
      </c>
      <c r="W187" s="9">
        <v>887.9</v>
      </c>
      <c r="X187" s="9">
        <v>867.50099999999998</v>
      </c>
      <c r="Y187" s="9">
        <v>1611.1509999999996</v>
      </c>
      <c r="Z187" s="9" t="s">
        <v>2092</v>
      </c>
      <c r="AA187" t="s">
        <v>2065</v>
      </c>
      <c r="AB187" s="11">
        <v>2.5000000000000001E-2</v>
      </c>
      <c r="AC187" t="s">
        <v>2065</v>
      </c>
      <c r="AD187" s="13">
        <v>12</v>
      </c>
      <c r="AE187" s="9">
        <v>10388.429999999998</v>
      </c>
      <c r="AF187" s="9">
        <v>8812.08</v>
      </c>
      <c r="AG187" s="9">
        <v>1576.3499999999985</v>
      </c>
      <c r="AH187" s="11">
        <v>0.15174092716608753</v>
      </c>
      <c r="AI187" s="9">
        <f>SUMIFS(AD187:AD818, R187:R818, S187)</f>
        <v>0</v>
      </c>
      <c r="AJ187" s="11" t="e">
        <f>SUMIFS(AD187:AD818, R187:R818, S187, AD187:AD818, "&gt;" &amp; AE187) / AI187</f>
        <v>#DIV/0!</v>
      </c>
      <c r="AK187" s="7" t="e">
        <f>IF(AJ187&lt;=0.8,"A",IF(Table2[[#This Row],[Cumulative rev]]&lt;=0.95,"B","C"))</f>
        <v>#DIV/0!</v>
      </c>
    </row>
    <row r="188" spans="1:37" x14ac:dyDescent="0.3">
      <c r="A188" t="s">
        <v>201</v>
      </c>
      <c r="B188" s="4">
        <v>45670</v>
      </c>
      <c r="C188" s="4" t="s">
        <v>2099</v>
      </c>
      <c r="D188" s="4" t="s">
        <v>2087</v>
      </c>
      <c r="E188" s="4">
        <v>45696</v>
      </c>
      <c r="F188" t="s">
        <v>2064</v>
      </c>
      <c r="G188" s="4">
        <v>45696</v>
      </c>
      <c r="H188" s="4">
        <f>_xlfn.MINIFS(B188:B819, N188:N819, N188)</f>
        <v>44936</v>
      </c>
      <c r="I188" s="4" t="str">
        <f t="shared" si="4"/>
        <v>Jan-2023</v>
      </c>
      <c r="J188" s="13">
        <f t="shared" si="5"/>
        <v>25</v>
      </c>
      <c r="K188" s="13">
        <v>26</v>
      </c>
      <c r="L188" s="30" t="str">
        <f>IF(Table2[[#This Row],[LeadTimeDays]]&lt;7,"1","0")</f>
        <v>0</v>
      </c>
      <c r="M188" s="7" t="s">
        <v>649</v>
      </c>
      <c r="N188" s="7" t="s">
        <v>657</v>
      </c>
      <c r="O188" s="7" t="s">
        <v>690</v>
      </c>
      <c r="P188" s="7" t="s">
        <v>703</v>
      </c>
      <c r="Q188" s="7" t="s">
        <v>2057</v>
      </c>
      <c r="R188" s="7" t="s">
        <v>718</v>
      </c>
      <c r="S188" s="7" t="s">
        <v>732</v>
      </c>
      <c r="T188" s="7" t="s">
        <v>1614</v>
      </c>
      <c r="U188" s="9">
        <v>594.74</v>
      </c>
      <c r="V188" s="9">
        <v>1020.69</v>
      </c>
      <c r="W188" s="9">
        <v>1020.69</v>
      </c>
      <c r="X188" s="9">
        <v>865.03920000000005</v>
      </c>
      <c r="Y188" s="9">
        <v>1617.96</v>
      </c>
      <c r="Z188" s="9" t="s">
        <v>2092</v>
      </c>
      <c r="AA188" t="s">
        <v>2065</v>
      </c>
      <c r="AB188" s="11">
        <v>0.21099999999999999</v>
      </c>
      <c r="AC188" t="s">
        <v>2065</v>
      </c>
      <c r="AD188" s="13">
        <v>6</v>
      </c>
      <c r="AE188" s="9">
        <v>4831.9464600000001</v>
      </c>
      <c r="AF188" s="9">
        <v>3568.44</v>
      </c>
      <c r="AG188" s="9">
        <v>1263.5064600000001</v>
      </c>
      <c r="AH188" s="11">
        <v>0.26149016146176424</v>
      </c>
      <c r="AI188" s="9">
        <f>SUMIFS(AD188:AD819, R188:R819, S188)</f>
        <v>0</v>
      </c>
      <c r="AJ188" s="11" t="e">
        <f>SUMIFS(AD188:AD819, R188:R819, S188, AD188:AD819, "&gt;" &amp; AE188) / AI188</f>
        <v>#DIV/0!</v>
      </c>
      <c r="AK188" s="7" t="e">
        <f>IF(AJ188&lt;=0.8,"A",IF(Table2[[#This Row],[Cumulative rev]]&lt;=0.95,"B","C"))</f>
        <v>#DIV/0!</v>
      </c>
    </row>
    <row r="189" spans="1:37" x14ac:dyDescent="0.3">
      <c r="A189" t="s">
        <v>202</v>
      </c>
      <c r="B189" s="4">
        <v>45126</v>
      </c>
      <c r="C189" s="4" t="s">
        <v>2116</v>
      </c>
      <c r="D189" s="4" t="s">
        <v>2117</v>
      </c>
      <c r="E189" s="4">
        <v>45138</v>
      </c>
      <c r="F189" t="s">
        <v>2064</v>
      </c>
      <c r="G189" s="4">
        <v>45138</v>
      </c>
      <c r="H189" s="4">
        <f>_xlfn.MINIFS(B189:B820, N189:N820, N189)</f>
        <v>44955</v>
      </c>
      <c r="I189" s="4" t="str">
        <f t="shared" si="4"/>
        <v>Jan-2023</v>
      </c>
      <c r="J189" s="13">
        <f t="shared" si="5"/>
        <v>6</v>
      </c>
      <c r="K189" s="13">
        <v>12</v>
      </c>
      <c r="L189" s="30" t="str">
        <f>IF(Table2[[#This Row],[LeadTimeDays]]&lt;7,"1","0")</f>
        <v>0</v>
      </c>
      <c r="M189" s="7" t="s">
        <v>648</v>
      </c>
      <c r="N189" s="7" t="s">
        <v>655</v>
      </c>
      <c r="O189" s="7" t="s">
        <v>1426</v>
      </c>
      <c r="P189" s="7" t="s">
        <v>701</v>
      </c>
      <c r="Q189" s="7" t="s">
        <v>707</v>
      </c>
      <c r="R189" s="7" t="s">
        <v>712</v>
      </c>
      <c r="S189" s="7" t="s">
        <v>732</v>
      </c>
      <c r="T189" s="7" t="s">
        <v>1615</v>
      </c>
      <c r="U189" s="9">
        <v>1334.64</v>
      </c>
      <c r="V189" s="9">
        <v>2273.42</v>
      </c>
      <c r="W189" s="9">
        <v>2273.42</v>
      </c>
      <c r="X189" s="9">
        <v>862.57740000000001</v>
      </c>
      <c r="Y189" s="9">
        <v>1618.895</v>
      </c>
      <c r="Z189" s="9" t="s">
        <v>2095</v>
      </c>
      <c r="AA189" t="s">
        <v>2065</v>
      </c>
      <c r="AB189" s="11">
        <v>0.11799999999999999</v>
      </c>
      <c r="AC189" t="s">
        <v>2065</v>
      </c>
      <c r="AD189" s="13">
        <v>14</v>
      </c>
      <c r="AE189" s="9">
        <v>28072.190160000002</v>
      </c>
      <c r="AF189" s="9">
        <v>18684.960000000003</v>
      </c>
      <c r="AG189" s="9">
        <v>9387.2301599999992</v>
      </c>
      <c r="AH189" s="11">
        <v>0.33439607335575267</v>
      </c>
      <c r="AI189" s="9">
        <f>SUMIFS(AD189:AD820, R189:R820, S189)</f>
        <v>0</v>
      </c>
      <c r="AJ189" s="11" t="e">
        <f>SUMIFS(AD189:AD820, R189:R820, S189, AD189:AD820, "&gt;" &amp; AE189) / AI189</f>
        <v>#DIV/0!</v>
      </c>
      <c r="AK189" s="7" t="e">
        <f>IF(AJ189&lt;=0.8,"A",IF(Table2[[#This Row],[Cumulative rev]]&lt;=0.95,"B","C"))</f>
        <v>#DIV/0!</v>
      </c>
    </row>
    <row r="190" spans="1:37" x14ac:dyDescent="0.3">
      <c r="A190" t="s">
        <v>203</v>
      </c>
      <c r="B190" s="4">
        <v>45431</v>
      </c>
      <c r="C190" s="4" t="s">
        <v>2093</v>
      </c>
      <c r="D190" s="4" t="s">
        <v>2094</v>
      </c>
      <c r="E190" s="4">
        <v>45451</v>
      </c>
      <c r="F190" t="s">
        <v>2064</v>
      </c>
      <c r="G190" s="4">
        <v>45451</v>
      </c>
      <c r="H190" s="4">
        <f>_xlfn.MINIFS(B190:B821, N190:N821, N190)</f>
        <v>44955</v>
      </c>
      <c r="I190" s="4" t="str">
        <f t="shared" si="4"/>
        <v>Jan-2023</v>
      </c>
      <c r="J190" s="13">
        <f t="shared" si="5"/>
        <v>16</v>
      </c>
      <c r="K190" s="13">
        <v>20</v>
      </c>
      <c r="L190" s="30" t="str">
        <f>IF(Table2[[#This Row],[LeadTimeDays]]&lt;7,"1","0")</f>
        <v>0</v>
      </c>
      <c r="M190" s="7" t="s">
        <v>648</v>
      </c>
      <c r="N190" s="7" t="s">
        <v>655</v>
      </c>
      <c r="O190" s="7" t="s">
        <v>672</v>
      </c>
      <c r="P190" s="7" t="s">
        <v>705</v>
      </c>
      <c r="Q190" s="7" t="s">
        <v>707</v>
      </c>
      <c r="R190" s="7" t="s">
        <v>718</v>
      </c>
      <c r="S190" s="7" t="s">
        <v>732</v>
      </c>
      <c r="T190" s="7" t="s">
        <v>1616</v>
      </c>
      <c r="U190" s="9">
        <v>1075.9000000000001</v>
      </c>
      <c r="V190" s="9">
        <v>1242.1500000000001</v>
      </c>
      <c r="W190" s="9">
        <v>1242.1500000000001</v>
      </c>
      <c r="X190" s="9">
        <v>859.95320000000004</v>
      </c>
      <c r="Y190" s="9">
        <v>1611.5976000000005</v>
      </c>
      <c r="Z190" s="9" t="s">
        <v>2092</v>
      </c>
      <c r="AA190" t="s">
        <v>2065</v>
      </c>
      <c r="AB190" s="11">
        <v>1.2E-2</v>
      </c>
      <c r="AC190" t="s">
        <v>2065</v>
      </c>
      <c r="AD190" s="13">
        <v>7</v>
      </c>
      <c r="AE190" s="9">
        <v>8590.7094000000016</v>
      </c>
      <c r="AF190" s="9">
        <v>7531.3000000000011</v>
      </c>
      <c r="AG190" s="9">
        <v>1059.4094000000005</v>
      </c>
      <c r="AH190" s="11">
        <v>0.12332036280961853</v>
      </c>
      <c r="AI190" s="9">
        <f>SUMIFS(AD190:AD821, R190:R821, S190)</f>
        <v>0</v>
      </c>
      <c r="AJ190" s="11" t="e">
        <f>SUMIFS(AD190:AD821, R190:R821, S190, AD190:AD821, "&gt;" &amp; AE190) / AI190</f>
        <v>#DIV/0!</v>
      </c>
      <c r="AK190" s="7" t="e">
        <f>IF(AJ190&lt;=0.8,"A",IF(Table2[[#This Row],[Cumulative rev]]&lt;=0.95,"B","C"))</f>
        <v>#DIV/0!</v>
      </c>
    </row>
    <row r="191" spans="1:37" x14ac:dyDescent="0.3">
      <c r="A191" t="s">
        <v>204</v>
      </c>
      <c r="B191" s="4">
        <v>45325</v>
      </c>
      <c r="C191" s="4" t="s">
        <v>2124</v>
      </c>
      <c r="D191" s="4" t="s">
        <v>2080</v>
      </c>
      <c r="E191" s="4">
        <v>45341</v>
      </c>
      <c r="F191" t="s">
        <v>2064</v>
      </c>
      <c r="G191" s="4">
        <v>45341</v>
      </c>
      <c r="H191" s="4">
        <f>_xlfn.MINIFS(B191:B822, N191:N822, N191)</f>
        <v>44938</v>
      </c>
      <c r="I191" s="4" t="str">
        <f t="shared" si="4"/>
        <v>Jan-2023</v>
      </c>
      <c r="J191" s="13">
        <f t="shared" si="5"/>
        <v>13</v>
      </c>
      <c r="K191" s="13">
        <v>16</v>
      </c>
      <c r="L191" s="30" t="str">
        <f>IF(Table2[[#This Row],[LeadTimeDays]]&lt;7,"1","0")</f>
        <v>0</v>
      </c>
      <c r="M191" s="7" t="s">
        <v>647</v>
      </c>
      <c r="N191" s="7" t="s">
        <v>659</v>
      </c>
      <c r="O191" s="7" t="s">
        <v>676</v>
      </c>
      <c r="P191" s="7" t="s">
        <v>705</v>
      </c>
      <c r="Q191" s="7" t="s">
        <v>708</v>
      </c>
      <c r="R191" s="7" t="s">
        <v>722</v>
      </c>
      <c r="S191" s="7" t="s">
        <v>731</v>
      </c>
      <c r="T191" s="7" t="s">
        <v>1617</v>
      </c>
      <c r="U191" s="9">
        <v>993.75</v>
      </c>
      <c r="V191" s="9">
        <v>1310.29</v>
      </c>
      <c r="W191" s="9">
        <v>1310.29</v>
      </c>
      <c r="X191" s="9">
        <v>857.10860000000002</v>
      </c>
      <c r="Y191" s="9">
        <v>1618.0149999999999</v>
      </c>
      <c r="Z191" s="9" t="s">
        <v>2092</v>
      </c>
      <c r="AA191" t="s">
        <v>2065</v>
      </c>
      <c r="AB191" s="11">
        <v>0.215</v>
      </c>
      <c r="AC191" t="s">
        <v>2065</v>
      </c>
      <c r="AD191" s="13">
        <v>19</v>
      </c>
      <c r="AE191" s="9">
        <v>19542.975350000001</v>
      </c>
      <c r="AF191" s="9">
        <v>18881.25</v>
      </c>
      <c r="AG191" s="9">
        <v>661.72535000000062</v>
      </c>
      <c r="AH191" s="11">
        <v>3.3860010471742245E-2</v>
      </c>
      <c r="AI191" s="9">
        <f>SUMIFS(AD191:AD822, R191:R822, S191)</f>
        <v>0</v>
      </c>
      <c r="AJ191" s="11" t="e">
        <f>SUMIFS(AD191:AD822, R191:R822, S191, AD191:AD822, "&gt;" &amp; AE191) / AI191</f>
        <v>#DIV/0!</v>
      </c>
      <c r="AK191" s="7" t="e">
        <f>IF(AJ191&lt;=0.8,"A",IF(Table2[[#This Row],[Cumulative rev]]&lt;=0.95,"B","C"))</f>
        <v>#DIV/0!</v>
      </c>
    </row>
    <row r="192" spans="1:37" x14ac:dyDescent="0.3">
      <c r="A192" t="s">
        <v>205</v>
      </c>
      <c r="B192" s="4">
        <v>45146</v>
      </c>
      <c r="C192" s="4" t="s">
        <v>2118</v>
      </c>
      <c r="D192" s="4" t="s">
        <v>2117</v>
      </c>
      <c r="E192" s="4">
        <v>45160</v>
      </c>
      <c r="F192" t="s">
        <v>2064</v>
      </c>
      <c r="G192" s="4">
        <v>45160</v>
      </c>
      <c r="H192" s="4">
        <f>_xlfn.MINIFS(B192:B823, N192:N823, N192)</f>
        <v>44945</v>
      </c>
      <c r="I192" s="4" t="str">
        <f t="shared" si="4"/>
        <v>Jan-2023</v>
      </c>
      <c r="J192" s="13">
        <f t="shared" si="5"/>
        <v>7</v>
      </c>
      <c r="K192" s="13">
        <v>14</v>
      </c>
      <c r="L192" s="30" t="str">
        <f>IF(Table2[[#This Row],[LeadTimeDays]]&lt;7,"1","0")</f>
        <v>0</v>
      </c>
      <c r="M192" s="7" t="s">
        <v>649</v>
      </c>
      <c r="N192" s="7" t="s">
        <v>658</v>
      </c>
      <c r="O192" s="7" t="s">
        <v>674</v>
      </c>
      <c r="P192" s="7" t="s">
        <v>703</v>
      </c>
      <c r="Q192" s="7" t="s">
        <v>711</v>
      </c>
      <c r="R192" s="7" t="s">
        <v>725</v>
      </c>
      <c r="S192" s="7" t="s">
        <v>732</v>
      </c>
      <c r="T192" s="7" t="s">
        <v>1618</v>
      </c>
      <c r="U192" s="9">
        <v>446.69</v>
      </c>
      <c r="V192" s="9">
        <v>967.25</v>
      </c>
      <c r="W192" s="9">
        <v>967.25</v>
      </c>
      <c r="X192" s="9">
        <v>854.26400000000012</v>
      </c>
      <c r="Y192" s="9">
        <v>1618.95</v>
      </c>
      <c r="Z192" s="9" t="s">
        <v>2092</v>
      </c>
      <c r="AA192" t="s">
        <v>2065</v>
      </c>
      <c r="AB192" s="11">
        <v>9.4E-2</v>
      </c>
      <c r="AC192" t="s">
        <v>2065</v>
      </c>
      <c r="AD192" s="13">
        <v>10</v>
      </c>
      <c r="AE192" s="9">
        <v>8763.2849999999999</v>
      </c>
      <c r="AF192" s="9">
        <v>4466.8999999999996</v>
      </c>
      <c r="AG192" s="9">
        <v>4296.3850000000002</v>
      </c>
      <c r="AH192" s="11">
        <v>0.49027105702941309</v>
      </c>
      <c r="AI192" s="9">
        <f>SUMIFS(AD192:AD823, R192:R823, S192)</f>
        <v>0</v>
      </c>
      <c r="AJ192" s="11" t="e">
        <f>SUMIFS(AD192:AD823, R192:R823, S192, AD192:AD823, "&gt;" &amp; AE192) / AI192</f>
        <v>#DIV/0!</v>
      </c>
      <c r="AK192" s="7" t="e">
        <f>IF(AJ192&lt;=0.8,"A",IF(Table2[[#This Row],[Cumulative rev]]&lt;=0.95,"B","C"))</f>
        <v>#DIV/0!</v>
      </c>
    </row>
    <row r="193" spans="1:37" x14ac:dyDescent="0.3">
      <c r="A193" t="s">
        <v>206</v>
      </c>
      <c r="B193" s="4">
        <v>45516</v>
      </c>
      <c r="C193" s="4" t="s">
        <v>2113</v>
      </c>
      <c r="D193" s="4" t="s">
        <v>2106</v>
      </c>
      <c r="E193" s="4">
        <v>45538</v>
      </c>
      <c r="F193" t="s">
        <v>2064</v>
      </c>
      <c r="G193" s="4">
        <v>45538</v>
      </c>
      <c r="H193" s="4">
        <f>_xlfn.MINIFS(B193:B824, N193:N824, N193)</f>
        <v>44939</v>
      </c>
      <c r="I193" s="4" t="str">
        <f t="shared" si="4"/>
        <v>Jan-2023</v>
      </c>
      <c r="J193" s="13">
        <f t="shared" si="5"/>
        <v>19</v>
      </c>
      <c r="K193" s="13">
        <v>22</v>
      </c>
      <c r="L193" s="30" t="str">
        <f>IF(Table2[[#This Row],[LeadTimeDays]]&lt;7,"1","0")</f>
        <v>0</v>
      </c>
      <c r="M193" s="7" t="s">
        <v>648</v>
      </c>
      <c r="N193" s="7" t="s">
        <v>1425</v>
      </c>
      <c r="O193" s="7" t="s">
        <v>697</v>
      </c>
      <c r="P193" s="7" t="s">
        <v>704</v>
      </c>
      <c r="Q193" s="7" t="s">
        <v>710</v>
      </c>
      <c r="R193" s="7" t="s">
        <v>714</v>
      </c>
      <c r="S193" s="7" t="s">
        <v>731</v>
      </c>
      <c r="T193" s="7" t="s">
        <v>1619</v>
      </c>
      <c r="U193" s="9">
        <v>797.8</v>
      </c>
      <c r="V193" s="9">
        <v>886.22</v>
      </c>
      <c r="W193" s="9">
        <v>886.22</v>
      </c>
      <c r="X193" s="9">
        <v>851.18150000000003</v>
      </c>
      <c r="Y193" s="9">
        <v>1619.885</v>
      </c>
      <c r="Z193" s="9" t="s">
        <v>2092</v>
      </c>
      <c r="AA193" t="s">
        <v>2065</v>
      </c>
      <c r="AB193" s="11">
        <v>0.23599999999999999</v>
      </c>
      <c r="AC193" t="s">
        <v>2065</v>
      </c>
      <c r="AD193" s="13">
        <v>36</v>
      </c>
      <c r="AE193" s="9">
        <v>24374.594880000001</v>
      </c>
      <c r="AF193" s="9">
        <v>28720.799999999999</v>
      </c>
      <c r="AG193" s="9">
        <v>-4346.2051199999987</v>
      </c>
      <c r="AH193" s="11">
        <v>-0.17830881462428633</v>
      </c>
      <c r="AI193" s="9">
        <f>SUMIFS(AD193:AD824, R193:R824, S193)</f>
        <v>0</v>
      </c>
      <c r="AJ193" s="11" t="e">
        <f>SUMIFS(AD193:AD824, R193:R824, S193, AD193:AD824, "&gt;" &amp; AE193) / AI193</f>
        <v>#DIV/0!</v>
      </c>
      <c r="AK193" s="7" t="e">
        <f>IF(AJ193&lt;=0.8,"A",IF(Table2[[#This Row],[Cumulative rev]]&lt;=0.95,"B","C"))</f>
        <v>#DIV/0!</v>
      </c>
    </row>
    <row r="194" spans="1:37" x14ac:dyDescent="0.3">
      <c r="A194" t="s">
        <v>207</v>
      </c>
      <c r="B194" s="4">
        <v>45214</v>
      </c>
      <c r="C194" s="4" t="s">
        <v>2125</v>
      </c>
      <c r="D194" s="4" t="s">
        <v>2089</v>
      </c>
      <c r="E194" s="4">
        <v>45243</v>
      </c>
      <c r="F194" t="s">
        <v>2064</v>
      </c>
      <c r="G194" s="4">
        <v>45243</v>
      </c>
      <c r="H194" s="4">
        <f>_xlfn.MINIFS(B194:B825, N194:N825, N194)</f>
        <v>44938</v>
      </c>
      <c r="I194" s="4" t="str">
        <f t="shared" si="4"/>
        <v>Jan-2023</v>
      </c>
      <c r="J194" s="13">
        <f t="shared" si="5"/>
        <v>10</v>
      </c>
      <c r="K194" s="13">
        <v>29</v>
      </c>
      <c r="L194" s="30" t="str">
        <f>IF(Table2[[#This Row],[LeadTimeDays]]&lt;7,"1","0")</f>
        <v>0</v>
      </c>
      <c r="M194" s="7" t="s">
        <v>647</v>
      </c>
      <c r="N194" s="7" t="s">
        <v>659</v>
      </c>
      <c r="O194" s="7" t="s">
        <v>676</v>
      </c>
      <c r="P194" s="7" t="s">
        <v>703</v>
      </c>
      <c r="Q194" s="7" t="s">
        <v>710</v>
      </c>
      <c r="R194" s="7" t="s">
        <v>713</v>
      </c>
      <c r="S194" s="7" t="s">
        <v>728</v>
      </c>
      <c r="T194" s="7" t="s">
        <v>1620</v>
      </c>
      <c r="U194" s="9">
        <v>986.44</v>
      </c>
      <c r="V194" s="9">
        <v>790.61</v>
      </c>
      <c r="W194" s="9">
        <v>790.61</v>
      </c>
      <c r="X194" s="9">
        <v>847.73300000000017</v>
      </c>
      <c r="Y194" s="9">
        <v>1620.9256</v>
      </c>
      <c r="Z194" s="9" t="s">
        <v>2081</v>
      </c>
      <c r="AA194" t="s">
        <v>2065</v>
      </c>
      <c r="AB194" s="11">
        <v>7.1999999999999995E-2</v>
      </c>
      <c r="AC194" t="s">
        <v>2065</v>
      </c>
      <c r="AD194" s="13">
        <v>6</v>
      </c>
      <c r="AE194" s="9">
        <v>4402.1164799999997</v>
      </c>
      <c r="AF194" s="9">
        <v>5918.64</v>
      </c>
      <c r="AG194" s="9">
        <v>-1516.5235200000006</v>
      </c>
      <c r="AH194" s="11">
        <v>-0.34449872621271499</v>
      </c>
      <c r="AI194" s="9">
        <f>SUMIFS(AD194:AD825, R194:R825, S194)</f>
        <v>0</v>
      </c>
      <c r="AJ194" s="11" t="e">
        <f>SUMIFS(AD194:AD825, R194:R825, S194, AD194:AD825, "&gt;" &amp; AE194) / AI194</f>
        <v>#DIV/0!</v>
      </c>
      <c r="AK194" s="7" t="e">
        <f>IF(AJ194&lt;=0.8,"A",IF(Table2[[#This Row],[Cumulative rev]]&lt;=0.95,"B","C"))</f>
        <v>#DIV/0!</v>
      </c>
    </row>
    <row r="195" spans="1:37" x14ac:dyDescent="0.3">
      <c r="A195" t="s">
        <v>208</v>
      </c>
      <c r="B195" s="4">
        <v>45050</v>
      </c>
      <c r="C195" s="4" t="s">
        <v>2107</v>
      </c>
      <c r="D195" s="4" t="s">
        <v>2103</v>
      </c>
      <c r="E195" s="4">
        <v>45072</v>
      </c>
      <c r="F195" t="s">
        <v>2064</v>
      </c>
      <c r="G195" s="4">
        <v>45072</v>
      </c>
      <c r="H195" s="4">
        <f>_xlfn.MINIFS(B195:B826, N195:N826, N195)</f>
        <v>44939</v>
      </c>
      <c r="I195" s="4" t="str">
        <f t="shared" ref="I195:I258" si="6">TEXT(H195,"mmm-yyyy")</f>
        <v>Jan-2023</v>
      </c>
      <c r="J195" s="13">
        <f t="shared" ref="J195:J258" si="7">DATEDIF(H195, B195, "m") + 1</f>
        <v>4</v>
      </c>
      <c r="K195" s="13">
        <v>22</v>
      </c>
      <c r="L195" s="30" t="str">
        <f>IF(Table2[[#This Row],[LeadTimeDays]]&lt;7,"1","0")</f>
        <v>0</v>
      </c>
      <c r="M195" s="7" t="s">
        <v>648</v>
      </c>
      <c r="N195" s="7" t="s">
        <v>1425</v>
      </c>
      <c r="O195" s="7" t="s">
        <v>686</v>
      </c>
      <c r="P195" s="7" t="s">
        <v>706</v>
      </c>
      <c r="Q195" s="7" t="s">
        <v>708</v>
      </c>
      <c r="R195" s="7" t="s">
        <v>713</v>
      </c>
      <c r="S195" s="7" t="s">
        <v>729</v>
      </c>
      <c r="T195" s="7" t="s">
        <v>1621</v>
      </c>
      <c r="U195" s="9">
        <v>249.71</v>
      </c>
      <c r="V195" s="9">
        <v>361.33</v>
      </c>
      <c r="W195" s="9">
        <v>361.33</v>
      </c>
      <c r="X195" s="9">
        <v>854.35020000000009</v>
      </c>
      <c r="Y195" s="9">
        <v>1622.3094000000001</v>
      </c>
      <c r="Z195" s="9" t="s">
        <v>2081</v>
      </c>
      <c r="AA195" t="s">
        <v>2065</v>
      </c>
      <c r="AB195" s="11">
        <v>9.4E-2</v>
      </c>
      <c r="AC195" t="s">
        <v>2065</v>
      </c>
      <c r="AD195" s="13">
        <v>12</v>
      </c>
      <c r="AE195" s="9">
        <v>3928.3797600000003</v>
      </c>
      <c r="AF195" s="9">
        <v>2996.52</v>
      </c>
      <c r="AG195" s="9">
        <v>931.85976000000028</v>
      </c>
      <c r="AH195" s="11">
        <v>0.23721223937881206</v>
      </c>
      <c r="AI195" s="9">
        <f>SUMIFS(AD195:AD826, R195:R826, S195)</f>
        <v>0</v>
      </c>
      <c r="AJ195" s="11" t="e">
        <f>SUMIFS(AD195:AD826, R195:R826, S195, AD195:AD826, "&gt;" &amp; AE195) / AI195</f>
        <v>#DIV/0!</v>
      </c>
      <c r="AK195" s="7" t="e">
        <f>IF(AJ195&lt;=0.8,"A",IF(Table2[[#This Row],[Cumulative rev]]&lt;=0.95,"B","C"))</f>
        <v>#DIV/0!</v>
      </c>
    </row>
    <row r="196" spans="1:37" x14ac:dyDescent="0.3">
      <c r="A196" t="s">
        <v>209</v>
      </c>
      <c r="B196" s="4">
        <v>45557</v>
      </c>
      <c r="C196" s="4" t="s">
        <v>2122</v>
      </c>
      <c r="D196" s="4" t="s">
        <v>2106</v>
      </c>
      <c r="E196" s="4">
        <v>45566</v>
      </c>
      <c r="F196" t="s">
        <v>2064</v>
      </c>
      <c r="G196" s="4">
        <v>45566</v>
      </c>
      <c r="H196" s="4">
        <f>_xlfn.MINIFS(B196:B827, N196:N827, N196)</f>
        <v>44955</v>
      </c>
      <c r="I196" s="4" t="str">
        <f t="shared" si="6"/>
        <v>Jan-2023</v>
      </c>
      <c r="J196" s="13">
        <f t="shared" si="7"/>
        <v>20</v>
      </c>
      <c r="K196" s="13">
        <v>9</v>
      </c>
      <c r="L196" s="30" t="str">
        <f>IF(Table2[[#This Row],[LeadTimeDays]]&lt;7,"1","0")</f>
        <v>0</v>
      </c>
      <c r="M196" s="7" t="s">
        <v>648</v>
      </c>
      <c r="N196" s="7" t="s">
        <v>655</v>
      </c>
      <c r="O196" s="7" t="s">
        <v>670</v>
      </c>
      <c r="P196" s="7" t="s">
        <v>703</v>
      </c>
      <c r="Q196" s="7" t="s">
        <v>708</v>
      </c>
      <c r="R196" s="7" t="s">
        <v>723</v>
      </c>
      <c r="S196" s="7" t="s">
        <v>732</v>
      </c>
      <c r="T196" s="7" t="s">
        <v>1622</v>
      </c>
      <c r="U196" s="9">
        <v>1378.8</v>
      </c>
      <c r="V196" s="9">
        <v>1952.04</v>
      </c>
      <c r="W196" s="9">
        <v>1952.04</v>
      </c>
      <c r="X196" s="9">
        <v>860.12559999999996</v>
      </c>
      <c r="Y196" s="9">
        <v>1623.6931999999999</v>
      </c>
      <c r="Z196" s="9" t="s">
        <v>2095</v>
      </c>
      <c r="AA196" t="s">
        <v>2065</v>
      </c>
      <c r="AB196" s="11">
        <v>0.159</v>
      </c>
      <c r="AC196" t="s">
        <v>2065</v>
      </c>
      <c r="AD196" s="13">
        <v>19</v>
      </c>
      <c r="AE196" s="9">
        <v>31191.64716</v>
      </c>
      <c r="AF196" s="9">
        <v>26197.200000000001</v>
      </c>
      <c r="AG196" s="9">
        <v>4994.4471599999997</v>
      </c>
      <c r="AH196" s="11">
        <v>0.16012130216723058</v>
      </c>
      <c r="AI196" s="9">
        <f>SUMIFS(AD196:AD827, R196:R827, S196)</f>
        <v>0</v>
      </c>
      <c r="AJ196" s="11" t="e">
        <f>SUMIFS(AD196:AD827, R196:R827, S196, AD196:AD827, "&gt;" &amp; AE196) / AI196</f>
        <v>#DIV/0!</v>
      </c>
      <c r="AK196" s="7" t="e">
        <f>IF(AJ196&lt;=0.8,"A",IF(Table2[[#This Row],[Cumulative rev]]&lt;=0.95,"B","C"))</f>
        <v>#DIV/0!</v>
      </c>
    </row>
    <row r="197" spans="1:37" x14ac:dyDescent="0.3">
      <c r="A197" t="s">
        <v>210</v>
      </c>
      <c r="B197" s="4">
        <v>45588</v>
      </c>
      <c r="C197" s="4" t="s">
        <v>2082</v>
      </c>
      <c r="D197" s="4" t="s">
        <v>2083</v>
      </c>
      <c r="E197" s="4">
        <v>45610</v>
      </c>
      <c r="F197" t="s">
        <v>2064</v>
      </c>
      <c r="G197" s="4">
        <v>45610</v>
      </c>
      <c r="H197" s="4">
        <f>_xlfn.MINIFS(B197:B828, N197:N828, N197)</f>
        <v>44988</v>
      </c>
      <c r="I197" s="4" t="str">
        <f t="shared" si="6"/>
        <v>Mar-2023</v>
      </c>
      <c r="J197" s="13">
        <f t="shared" si="7"/>
        <v>20</v>
      </c>
      <c r="K197" s="13">
        <v>22</v>
      </c>
      <c r="L197" s="30" t="str">
        <f>IF(Table2[[#This Row],[LeadTimeDays]]&lt;7,"1","0")</f>
        <v>0</v>
      </c>
      <c r="M197" s="7" t="s">
        <v>647</v>
      </c>
      <c r="N197" s="7" t="s">
        <v>652</v>
      </c>
      <c r="O197" s="7" t="s">
        <v>666</v>
      </c>
      <c r="P197" s="7" t="s">
        <v>703</v>
      </c>
      <c r="Q197" s="7" t="s">
        <v>711</v>
      </c>
      <c r="R197" s="7" t="s">
        <v>717</v>
      </c>
      <c r="S197" s="7" t="s">
        <v>730</v>
      </c>
      <c r="T197" s="7" t="s">
        <v>1623</v>
      </c>
      <c r="U197" s="9">
        <v>1406.4</v>
      </c>
      <c r="V197" s="9">
        <v>1564.76</v>
      </c>
      <c r="W197" s="9">
        <v>1564.76</v>
      </c>
      <c r="X197" s="9">
        <v>857.28100000000006</v>
      </c>
      <c r="Y197" s="9">
        <v>1621.0070000000001</v>
      </c>
      <c r="Z197" s="9" t="s">
        <v>2092</v>
      </c>
      <c r="AA197" t="s">
        <v>2065</v>
      </c>
      <c r="AB197" s="11">
        <v>0.185</v>
      </c>
      <c r="AC197" t="s">
        <v>2065</v>
      </c>
      <c r="AD197" s="13">
        <v>17</v>
      </c>
      <c r="AE197" s="9">
        <v>21679.749799999998</v>
      </c>
      <c r="AF197" s="9">
        <v>23908.800000000003</v>
      </c>
      <c r="AG197" s="9">
        <v>-2229.0502000000051</v>
      </c>
      <c r="AH197" s="11">
        <v>-0.10281715520536151</v>
      </c>
      <c r="AI197" s="9">
        <f>SUMIFS(AD197:AD828, R197:R828, S197)</f>
        <v>0</v>
      </c>
      <c r="AJ197" s="11" t="e">
        <f>SUMIFS(AD197:AD828, R197:R828, S197, AD197:AD828, "&gt;" &amp; AE197) / AI197</f>
        <v>#DIV/0!</v>
      </c>
      <c r="AK197" s="7" t="e">
        <f>IF(AJ197&lt;=0.8,"A",IF(Table2[[#This Row],[Cumulative rev]]&lt;=0.95,"B","C"))</f>
        <v>#DIV/0!</v>
      </c>
    </row>
    <row r="198" spans="1:37" x14ac:dyDescent="0.3">
      <c r="A198" t="s">
        <v>211</v>
      </c>
      <c r="B198" s="4">
        <v>45333</v>
      </c>
      <c r="C198" s="4" t="s">
        <v>2124</v>
      </c>
      <c r="D198" s="4" t="s">
        <v>2080</v>
      </c>
      <c r="E198" s="4">
        <v>45354</v>
      </c>
      <c r="F198" t="s">
        <v>2064</v>
      </c>
      <c r="G198" s="4">
        <v>45354</v>
      </c>
      <c r="H198" s="4">
        <f>_xlfn.MINIFS(B198:B829, N198:N829, N198)</f>
        <v>44946</v>
      </c>
      <c r="I198" s="4" t="str">
        <f t="shared" si="6"/>
        <v>Jan-2023</v>
      </c>
      <c r="J198" s="13">
        <f t="shared" si="7"/>
        <v>13</v>
      </c>
      <c r="K198" s="13">
        <v>21</v>
      </c>
      <c r="L198" s="30" t="str">
        <f>IF(Table2[[#This Row],[LeadTimeDays]]&lt;7,"1","0")</f>
        <v>0</v>
      </c>
      <c r="M198" s="7" t="s">
        <v>646</v>
      </c>
      <c r="N198" s="7" t="s">
        <v>650</v>
      </c>
      <c r="O198" s="7" t="s">
        <v>662</v>
      </c>
      <c r="P198" s="7" t="s">
        <v>706</v>
      </c>
      <c r="Q198" s="7" t="s">
        <v>708</v>
      </c>
      <c r="R198" s="7" t="s">
        <v>717</v>
      </c>
      <c r="S198" s="7" t="s">
        <v>730</v>
      </c>
      <c r="T198" s="7" t="s">
        <v>1624</v>
      </c>
      <c r="U198" s="9">
        <v>516.86</v>
      </c>
      <c r="V198" s="9">
        <v>852.54</v>
      </c>
      <c r="W198" s="9">
        <v>852.54</v>
      </c>
      <c r="X198" s="9">
        <v>854.43639999999994</v>
      </c>
      <c r="Y198" s="9">
        <v>1622.3907999999999</v>
      </c>
      <c r="Z198" s="9" t="s">
        <v>2081</v>
      </c>
      <c r="AA198" t="s">
        <v>2065</v>
      </c>
      <c r="AB198" s="11">
        <v>5.0999999999999997E-2</v>
      </c>
      <c r="AC198" t="s">
        <v>2065</v>
      </c>
      <c r="AD198" s="13">
        <v>14</v>
      </c>
      <c r="AE198" s="9">
        <v>11326.846439999999</v>
      </c>
      <c r="AF198" s="9">
        <v>7236.04</v>
      </c>
      <c r="AG198" s="9">
        <v>4090.8064399999994</v>
      </c>
      <c r="AH198" s="11">
        <v>0.36116022775355994</v>
      </c>
      <c r="AI198" s="9">
        <f>SUMIFS(AD198:AD829, R198:R829, S198)</f>
        <v>0</v>
      </c>
      <c r="AJ198" s="11" t="e">
        <f>SUMIFS(AD198:AD829, R198:R829, S198, AD198:AD829, "&gt;" &amp; AE198) / AI198</f>
        <v>#DIV/0!</v>
      </c>
      <c r="AK198" s="7" t="e">
        <f>IF(AJ198&lt;=0.8,"A",IF(Table2[[#This Row],[Cumulative rev]]&lt;=0.95,"B","C"))</f>
        <v>#DIV/0!</v>
      </c>
    </row>
    <row r="199" spans="1:37" x14ac:dyDescent="0.3">
      <c r="A199" t="s">
        <v>212</v>
      </c>
      <c r="B199" s="4">
        <v>44956</v>
      </c>
      <c r="C199" s="4" t="s">
        <v>2090</v>
      </c>
      <c r="D199" s="4" t="s">
        <v>2085</v>
      </c>
      <c r="E199" s="4">
        <v>44978</v>
      </c>
      <c r="F199" t="s">
        <v>2064</v>
      </c>
      <c r="G199" s="4">
        <v>44978</v>
      </c>
      <c r="H199" s="4">
        <f>_xlfn.MINIFS(B199:B830, N199:N830, N199)</f>
        <v>44948</v>
      </c>
      <c r="I199" s="4" t="str">
        <f t="shared" si="6"/>
        <v>Jan-2023</v>
      </c>
      <c r="J199" s="13">
        <f t="shared" si="7"/>
        <v>1</v>
      </c>
      <c r="K199" s="13">
        <v>22</v>
      </c>
      <c r="L199" s="30" t="str">
        <f>IF(Table2[[#This Row],[LeadTimeDays]]&lt;7,"1","0")</f>
        <v>0</v>
      </c>
      <c r="M199" s="7" t="s">
        <v>649</v>
      </c>
      <c r="N199" s="7" t="s">
        <v>656</v>
      </c>
      <c r="O199" s="7" t="s">
        <v>684</v>
      </c>
      <c r="P199" s="7" t="s">
        <v>705</v>
      </c>
      <c r="Q199" s="7" t="s">
        <v>709</v>
      </c>
      <c r="R199" s="7" t="s">
        <v>715</v>
      </c>
      <c r="S199" s="7" t="s">
        <v>729</v>
      </c>
      <c r="T199" s="7" t="s">
        <v>1625</v>
      </c>
      <c r="U199" s="9">
        <v>1142.8800000000001</v>
      </c>
      <c r="V199" s="9">
        <v>1465.29</v>
      </c>
      <c r="W199" s="9">
        <v>1465.29</v>
      </c>
      <c r="X199" s="9">
        <v>859.06230000000028</v>
      </c>
      <c r="Y199" s="9">
        <v>1623.7746000000002</v>
      </c>
      <c r="Z199" s="9" t="s">
        <v>2092</v>
      </c>
      <c r="AA199" t="s">
        <v>2065</v>
      </c>
      <c r="AB199" s="11">
        <v>0.186</v>
      </c>
      <c r="AC199" t="s">
        <v>2065</v>
      </c>
      <c r="AD199" s="13">
        <v>7</v>
      </c>
      <c r="AE199" s="9">
        <v>8349.2224200000001</v>
      </c>
      <c r="AF199" s="9">
        <v>8000.1600000000008</v>
      </c>
      <c r="AG199" s="9">
        <v>349.06241999999929</v>
      </c>
      <c r="AH199" s="11">
        <v>4.1807775915017401E-2</v>
      </c>
      <c r="AI199" s="9">
        <f>SUMIFS(AD199:AD830, R199:R830, S199)</f>
        <v>0</v>
      </c>
      <c r="AJ199" s="11" t="e">
        <f>SUMIFS(AD199:AD830, R199:R830, S199, AD199:AD830, "&gt;" &amp; AE199) / AI199</f>
        <v>#DIV/0!</v>
      </c>
      <c r="AK199" s="7" t="e">
        <f>IF(AJ199&lt;=0.8,"A",IF(Table2[[#This Row],[Cumulative rev]]&lt;=0.95,"B","C"))</f>
        <v>#DIV/0!</v>
      </c>
    </row>
    <row r="200" spans="1:37" x14ac:dyDescent="0.3">
      <c r="A200" t="s">
        <v>213</v>
      </c>
      <c r="B200" s="4">
        <v>45030</v>
      </c>
      <c r="C200" s="4" t="s">
        <v>2102</v>
      </c>
      <c r="D200" s="4" t="s">
        <v>2103</v>
      </c>
      <c r="E200" s="4">
        <v>45059</v>
      </c>
      <c r="F200" t="s">
        <v>2064</v>
      </c>
      <c r="G200" s="4">
        <v>45059</v>
      </c>
      <c r="H200" s="4">
        <f>_xlfn.MINIFS(B200:B831, N200:N831, N200)</f>
        <v>44948</v>
      </c>
      <c r="I200" s="4" t="str">
        <f t="shared" si="6"/>
        <v>Jan-2023</v>
      </c>
      <c r="J200" s="13">
        <f t="shared" si="7"/>
        <v>3</v>
      </c>
      <c r="K200" s="13">
        <v>29</v>
      </c>
      <c r="L200" s="30" t="str">
        <f>IF(Table2[[#This Row],[LeadTimeDays]]&lt;7,"1","0")</f>
        <v>0</v>
      </c>
      <c r="M200" s="7" t="s">
        <v>649</v>
      </c>
      <c r="N200" s="7" t="s">
        <v>656</v>
      </c>
      <c r="O200" s="7" t="s">
        <v>698</v>
      </c>
      <c r="P200" s="7" t="s">
        <v>704</v>
      </c>
      <c r="Q200" s="7" t="s">
        <v>711</v>
      </c>
      <c r="R200" s="7" t="s">
        <v>713</v>
      </c>
      <c r="S200" s="7" t="s">
        <v>728</v>
      </c>
      <c r="T200" s="7" t="s">
        <v>1626</v>
      </c>
      <c r="U200" s="9">
        <v>1320.33</v>
      </c>
      <c r="V200" s="9">
        <v>2645.23</v>
      </c>
      <c r="W200" s="9">
        <v>2645.23</v>
      </c>
      <c r="X200" s="9">
        <v>852.76920000000007</v>
      </c>
      <c r="Y200" s="9">
        <v>1624.76</v>
      </c>
      <c r="Z200" s="9" t="s">
        <v>2095</v>
      </c>
      <c r="AA200" t="s">
        <v>2065</v>
      </c>
      <c r="AB200" s="11">
        <v>0.155</v>
      </c>
      <c r="AC200" t="s">
        <v>2065</v>
      </c>
      <c r="AD200" s="13">
        <v>25</v>
      </c>
      <c r="AE200" s="9">
        <v>55880.483749999999</v>
      </c>
      <c r="AF200" s="9">
        <v>33008.25</v>
      </c>
      <c r="AG200" s="9">
        <v>22872.233749999999</v>
      </c>
      <c r="AH200" s="11">
        <v>0.40930629470436536</v>
      </c>
      <c r="AI200" s="9">
        <f>SUMIFS(AD200:AD831, R200:R831, S200)</f>
        <v>0</v>
      </c>
      <c r="AJ200" s="11" t="e">
        <f>SUMIFS(AD200:AD831, R200:R831, S200, AD200:AD831, "&gt;" &amp; AE200) / AI200</f>
        <v>#DIV/0!</v>
      </c>
      <c r="AK200" s="7" t="e">
        <f>IF(AJ200&lt;=0.8,"A",IF(Table2[[#This Row],[Cumulative rev]]&lt;=0.95,"B","C"))</f>
        <v>#DIV/0!</v>
      </c>
    </row>
    <row r="201" spans="1:37" x14ac:dyDescent="0.3">
      <c r="A201" t="s">
        <v>214</v>
      </c>
      <c r="B201" s="4">
        <v>44939</v>
      </c>
      <c r="C201" s="4" t="s">
        <v>2090</v>
      </c>
      <c r="D201" s="4" t="s">
        <v>2085</v>
      </c>
      <c r="E201" s="4">
        <v>44945</v>
      </c>
      <c r="F201" t="s">
        <v>2064</v>
      </c>
      <c r="G201" s="4">
        <v>44945</v>
      </c>
      <c r="H201" s="4">
        <f>_xlfn.MINIFS(B201:B832, N201:N832, N201)</f>
        <v>44939</v>
      </c>
      <c r="I201" s="4" t="str">
        <f t="shared" si="6"/>
        <v>Jan-2023</v>
      </c>
      <c r="J201" s="13">
        <f t="shared" si="7"/>
        <v>1</v>
      </c>
      <c r="K201" s="13">
        <v>6</v>
      </c>
      <c r="L201" s="30" t="str">
        <f>IF(Table2[[#This Row],[LeadTimeDays]]&lt;7,"1","0")</f>
        <v>1</v>
      </c>
      <c r="M201" s="7" t="s">
        <v>648</v>
      </c>
      <c r="N201" s="7" t="s">
        <v>1425</v>
      </c>
      <c r="O201" s="7" t="s">
        <v>677</v>
      </c>
      <c r="P201" s="7" t="s">
        <v>701</v>
      </c>
      <c r="Q201" s="7" t="s">
        <v>711</v>
      </c>
      <c r="R201" s="7" t="s">
        <v>722</v>
      </c>
      <c r="S201" s="7" t="s">
        <v>730</v>
      </c>
      <c r="T201" s="7" t="s">
        <v>1627</v>
      </c>
      <c r="U201" s="9">
        <v>833.57</v>
      </c>
      <c r="V201" s="9">
        <v>881.57</v>
      </c>
      <c r="W201" s="9">
        <v>881.57</v>
      </c>
      <c r="X201" s="9">
        <v>846.47610000000032</v>
      </c>
      <c r="Y201" s="9">
        <v>1622.4722000000002</v>
      </c>
      <c r="Z201" s="9" t="s">
        <v>2092</v>
      </c>
      <c r="AA201" t="s">
        <v>2065</v>
      </c>
      <c r="AB201" s="11">
        <v>5.7000000000000002E-2</v>
      </c>
      <c r="AC201" t="s">
        <v>2065</v>
      </c>
      <c r="AD201" s="13">
        <v>18</v>
      </c>
      <c r="AE201" s="9">
        <v>14963.769179999999</v>
      </c>
      <c r="AF201" s="9">
        <v>15004.26</v>
      </c>
      <c r="AG201" s="9">
        <v>-40.490820000000895</v>
      </c>
      <c r="AH201" s="11">
        <v>-2.7059238560107821E-3</v>
      </c>
      <c r="AI201" s="9">
        <f>SUMIFS(AD201:AD832, R201:R832, S201)</f>
        <v>0</v>
      </c>
      <c r="AJ201" s="11" t="e">
        <f>SUMIFS(AD201:AD832, R201:R832, S201, AD201:AD832, "&gt;" &amp; AE201) / AI201</f>
        <v>#DIV/0!</v>
      </c>
      <c r="AK201" s="7" t="e">
        <f>IF(AJ201&lt;=0.8,"A",IF(Table2[[#This Row],[Cumulative rev]]&lt;=0.95,"B","C"))</f>
        <v>#DIV/0!</v>
      </c>
    </row>
    <row r="202" spans="1:37" x14ac:dyDescent="0.3">
      <c r="A202" t="s">
        <v>215</v>
      </c>
      <c r="B202" s="4">
        <v>45303</v>
      </c>
      <c r="C202" s="4" t="s">
        <v>2098</v>
      </c>
      <c r="D202" s="4" t="s">
        <v>2080</v>
      </c>
      <c r="E202" s="4">
        <v>45320</v>
      </c>
      <c r="F202" t="s">
        <v>2064</v>
      </c>
      <c r="G202" s="4">
        <v>45320</v>
      </c>
      <c r="H202" s="4">
        <f>_xlfn.MINIFS(B202:B833, N202:N833, N202)</f>
        <v>44962</v>
      </c>
      <c r="I202" s="4" t="str">
        <f t="shared" si="6"/>
        <v>Feb-2023</v>
      </c>
      <c r="J202" s="13">
        <f t="shared" si="7"/>
        <v>12</v>
      </c>
      <c r="K202" s="13">
        <v>17</v>
      </c>
      <c r="L202" s="30" t="str">
        <f>IF(Table2[[#This Row],[LeadTimeDays]]&lt;7,"1","0")</f>
        <v>0</v>
      </c>
      <c r="M202" s="7" t="s">
        <v>648</v>
      </c>
      <c r="N202" s="7" t="s">
        <v>1425</v>
      </c>
      <c r="O202" s="7" t="s">
        <v>677</v>
      </c>
      <c r="P202" s="7" t="s">
        <v>702</v>
      </c>
      <c r="Q202" s="7" t="s">
        <v>710</v>
      </c>
      <c r="R202" s="7" t="s">
        <v>720</v>
      </c>
      <c r="S202" s="7" t="s">
        <v>728</v>
      </c>
      <c r="T202" s="7" t="s">
        <v>1628</v>
      </c>
      <c r="U202" s="9">
        <v>493.76</v>
      </c>
      <c r="V202" s="9">
        <v>625.04</v>
      </c>
      <c r="W202" s="9">
        <v>625.04</v>
      </c>
      <c r="X202" s="9">
        <v>841.78500000000008</v>
      </c>
      <c r="Y202" s="9">
        <v>1623.856</v>
      </c>
      <c r="Z202" s="9" t="s">
        <v>2081</v>
      </c>
      <c r="AA202" t="s">
        <v>2065</v>
      </c>
      <c r="AB202" s="11">
        <v>0.25800000000000001</v>
      </c>
      <c r="AC202" t="s">
        <v>2065</v>
      </c>
      <c r="AD202" s="13">
        <v>10</v>
      </c>
      <c r="AE202" s="9">
        <v>4637.7968000000001</v>
      </c>
      <c r="AF202" s="9">
        <v>4937.6000000000004</v>
      </c>
      <c r="AG202" s="9">
        <v>-299.80320000000029</v>
      </c>
      <c r="AH202" s="11">
        <v>-6.464345311549663E-2</v>
      </c>
      <c r="AI202" s="9">
        <f>SUMIFS(AD202:AD833, R202:R833, S202)</f>
        <v>0</v>
      </c>
      <c r="AJ202" s="11" t="e">
        <f>SUMIFS(AD202:AD833, R202:R833, S202, AD202:AD833, "&gt;" &amp; AE202) / AI202</f>
        <v>#DIV/0!</v>
      </c>
      <c r="AK202" s="7" t="e">
        <f>IF(AJ202&lt;=0.8,"A",IF(Table2[[#This Row],[Cumulative rev]]&lt;=0.95,"B","C"))</f>
        <v>#DIV/0!</v>
      </c>
    </row>
    <row r="203" spans="1:37" x14ac:dyDescent="0.3">
      <c r="A203" t="s">
        <v>216</v>
      </c>
      <c r="B203" s="4">
        <v>45153</v>
      </c>
      <c r="C203" s="4" t="s">
        <v>2118</v>
      </c>
      <c r="D203" s="4" t="s">
        <v>2117</v>
      </c>
      <c r="E203" s="4">
        <v>45176</v>
      </c>
      <c r="F203" t="s">
        <v>2064</v>
      </c>
      <c r="G203" s="4">
        <v>45176</v>
      </c>
      <c r="H203" s="4">
        <f>_xlfn.MINIFS(B203:B834, N203:N834, N203)</f>
        <v>44962</v>
      </c>
      <c r="I203" s="4" t="str">
        <f t="shared" si="6"/>
        <v>Feb-2023</v>
      </c>
      <c r="J203" s="13">
        <f t="shared" si="7"/>
        <v>7</v>
      </c>
      <c r="K203" s="13">
        <v>23</v>
      </c>
      <c r="L203" s="30" t="str">
        <f>IF(Table2[[#This Row],[LeadTimeDays]]&lt;7,"1","0")</f>
        <v>0</v>
      </c>
      <c r="M203" s="7" t="s">
        <v>648</v>
      </c>
      <c r="N203" s="7" t="s">
        <v>1425</v>
      </c>
      <c r="O203" s="7" t="s">
        <v>700</v>
      </c>
      <c r="P203" s="7" t="s">
        <v>706</v>
      </c>
      <c r="Q203" s="7" t="s">
        <v>708</v>
      </c>
      <c r="R203" s="7" t="s">
        <v>723</v>
      </c>
      <c r="S203" s="7" t="s">
        <v>730</v>
      </c>
      <c r="T203" s="7" t="s">
        <v>1629</v>
      </c>
      <c r="U203" s="9">
        <v>590.33000000000004</v>
      </c>
      <c r="V203" s="9">
        <v>973.04</v>
      </c>
      <c r="W203" s="9">
        <v>973.04</v>
      </c>
      <c r="X203" s="9">
        <v>852.95989999999983</v>
      </c>
      <c r="Y203" s="9">
        <v>1624.7750000000001</v>
      </c>
      <c r="Z203" s="9" t="s">
        <v>2092</v>
      </c>
      <c r="AA203" t="s">
        <v>2065</v>
      </c>
      <c r="AB203" s="11">
        <v>0</v>
      </c>
      <c r="AC203" t="s">
        <v>2065</v>
      </c>
      <c r="AD203" s="13">
        <v>26</v>
      </c>
      <c r="AE203" s="9">
        <v>25299.040000000001</v>
      </c>
      <c r="AF203" s="9">
        <v>15348.580000000002</v>
      </c>
      <c r="AG203" s="9">
        <v>9950.4599999999991</v>
      </c>
      <c r="AH203" s="11">
        <v>0.39331373838691108</v>
      </c>
      <c r="AI203" s="9">
        <f>SUMIFS(AD203:AD834, R203:R834, S203)</f>
        <v>0</v>
      </c>
      <c r="AJ203" s="11" t="e">
        <f>SUMIFS(AD203:AD834, R203:R834, S203, AD203:AD834, "&gt;" &amp; AE203) / AI203</f>
        <v>#DIV/0!</v>
      </c>
      <c r="AK203" s="7" t="e">
        <f>IF(AJ203&lt;=0.8,"A",IF(Table2[[#This Row],[Cumulative rev]]&lt;=0.95,"B","C"))</f>
        <v>#DIV/0!</v>
      </c>
    </row>
    <row r="204" spans="1:37" x14ac:dyDescent="0.3">
      <c r="A204" t="s">
        <v>217</v>
      </c>
      <c r="B204" s="4">
        <v>44946</v>
      </c>
      <c r="C204" s="4" t="s">
        <v>2090</v>
      </c>
      <c r="D204" s="4" t="s">
        <v>2085</v>
      </c>
      <c r="E204" s="4">
        <v>44960</v>
      </c>
      <c r="F204" t="s">
        <v>2064</v>
      </c>
      <c r="G204" s="4">
        <v>44960</v>
      </c>
      <c r="H204" s="4">
        <f>_xlfn.MINIFS(B204:B835, N204:N835, N204)</f>
        <v>44946</v>
      </c>
      <c r="I204" s="4" t="str">
        <f t="shared" si="6"/>
        <v>Jan-2023</v>
      </c>
      <c r="J204" s="13">
        <f t="shared" si="7"/>
        <v>1</v>
      </c>
      <c r="K204" s="13">
        <v>14</v>
      </c>
      <c r="L204" s="30" t="str">
        <f>IF(Table2[[#This Row],[LeadTimeDays]]&lt;7,"1","0")</f>
        <v>0</v>
      </c>
      <c r="M204" s="7" t="s">
        <v>646</v>
      </c>
      <c r="N204" s="7" t="s">
        <v>650</v>
      </c>
      <c r="O204" s="7" t="s">
        <v>662</v>
      </c>
      <c r="P204" s="7" t="s">
        <v>701</v>
      </c>
      <c r="Q204" s="7" t="s">
        <v>707</v>
      </c>
      <c r="R204" s="7" t="s">
        <v>724</v>
      </c>
      <c r="S204" s="7" t="s">
        <v>729</v>
      </c>
      <c r="T204" s="7" t="s">
        <v>1630</v>
      </c>
      <c r="U204" s="9">
        <v>884.36</v>
      </c>
      <c r="V204" s="9">
        <v>1545.34</v>
      </c>
      <c r="W204" s="9">
        <v>1545.34</v>
      </c>
      <c r="X204" s="9">
        <v>846.66680000000019</v>
      </c>
      <c r="Y204" s="9">
        <v>1625.0300000000002</v>
      </c>
      <c r="Z204" s="9" t="s">
        <v>2092</v>
      </c>
      <c r="AA204" t="s">
        <v>2065</v>
      </c>
      <c r="AB204" s="11">
        <v>0.24299999999999999</v>
      </c>
      <c r="AC204" t="s">
        <v>2065</v>
      </c>
      <c r="AD204" s="13">
        <v>41</v>
      </c>
      <c r="AE204" s="9">
        <v>47962.717579999997</v>
      </c>
      <c r="AF204" s="9">
        <v>36258.76</v>
      </c>
      <c r="AG204" s="9">
        <v>11703.957579999995</v>
      </c>
      <c r="AH204" s="11">
        <v>0.24402198562827965</v>
      </c>
      <c r="AI204" s="9">
        <f>SUMIFS(AD204:AD835, R204:R835, S204)</f>
        <v>0</v>
      </c>
      <c r="AJ204" s="11" t="e">
        <f>SUMIFS(AD204:AD835, R204:R835, S204, AD204:AD835, "&gt;" &amp; AE204) / AI204</f>
        <v>#DIV/0!</v>
      </c>
      <c r="AK204" s="7" t="e">
        <f>IF(AJ204&lt;=0.8,"A",IF(Table2[[#This Row],[Cumulative rev]]&lt;=0.95,"B","C"))</f>
        <v>#DIV/0!</v>
      </c>
    </row>
    <row r="205" spans="1:37" x14ac:dyDescent="0.3">
      <c r="A205" t="s">
        <v>218</v>
      </c>
      <c r="B205" s="4">
        <v>45692</v>
      </c>
      <c r="C205" s="4" t="s">
        <v>2119</v>
      </c>
      <c r="D205" s="4" t="s">
        <v>2087</v>
      </c>
      <c r="E205" s="4">
        <v>45713</v>
      </c>
      <c r="F205" t="s">
        <v>2064</v>
      </c>
      <c r="G205" s="4">
        <v>45713</v>
      </c>
      <c r="H205" s="4">
        <f>_xlfn.MINIFS(B205:B836, N205:N836, N205)</f>
        <v>44945</v>
      </c>
      <c r="I205" s="4" t="str">
        <f t="shared" si="6"/>
        <v>Jan-2023</v>
      </c>
      <c r="J205" s="13">
        <f t="shared" si="7"/>
        <v>25</v>
      </c>
      <c r="K205" s="13">
        <v>21</v>
      </c>
      <c r="L205" s="30" t="str">
        <f>IF(Table2[[#This Row],[LeadTimeDays]]&lt;7,"1","0")</f>
        <v>0</v>
      </c>
      <c r="M205" s="7" t="s">
        <v>649</v>
      </c>
      <c r="N205" s="7" t="s">
        <v>658</v>
      </c>
      <c r="O205" s="7" t="s">
        <v>674</v>
      </c>
      <c r="P205" s="7" t="s">
        <v>701</v>
      </c>
      <c r="Q205" s="7" t="s">
        <v>709</v>
      </c>
      <c r="R205" s="7" t="s">
        <v>726</v>
      </c>
      <c r="S205" s="7" t="s">
        <v>732</v>
      </c>
      <c r="T205" s="7" t="s">
        <v>1631</v>
      </c>
      <c r="U205" s="9">
        <v>1016.32</v>
      </c>
      <c r="V205" s="9">
        <v>2253.42</v>
      </c>
      <c r="W205" s="9">
        <v>2253.42</v>
      </c>
      <c r="X205" s="9">
        <v>841.81550000000004</v>
      </c>
      <c r="Y205" s="9">
        <v>1625.2850000000001</v>
      </c>
      <c r="Z205" s="9" t="s">
        <v>2095</v>
      </c>
      <c r="AA205" t="s">
        <v>2065</v>
      </c>
      <c r="AB205" s="11">
        <v>5.5E-2</v>
      </c>
      <c r="AC205" t="s">
        <v>2065</v>
      </c>
      <c r="AD205" s="13">
        <v>12</v>
      </c>
      <c r="AE205" s="9">
        <v>25553.782800000001</v>
      </c>
      <c r="AF205" s="9">
        <v>12195.84</v>
      </c>
      <c r="AG205" s="9">
        <v>13357.942800000001</v>
      </c>
      <c r="AH205" s="11">
        <v>0.52273837124419797</v>
      </c>
      <c r="AI205" s="9">
        <f>SUMIFS(AD205:AD836, R205:R836, S205)</f>
        <v>0</v>
      </c>
      <c r="AJ205" s="11" t="e">
        <f>SUMIFS(AD205:AD836, R205:R836, S205, AD205:AD836, "&gt;" &amp; AE205) / AI205</f>
        <v>#DIV/0!</v>
      </c>
      <c r="AK205" s="7" t="e">
        <f>IF(AJ205&lt;=0.8,"A",IF(Table2[[#This Row],[Cumulative rev]]&lt;=0.95,"B","C"))</f>
        <v>#DIV/0!</v>
      </c>
    </row>
    <row r="206" spans="1:37" x14ac:dyDescent="0.3">
      <c r="A206" t="s">
        <v>219</v>
      </c>
      <c r="B206" s="4">
        <v>45035</v>
      </c>
      <c r="C206" s="4" t="s">
        <v>2102</v>
      </c>
      <c r="D206" s="4" t="s">
        <v>2103</v>
      </c>
      <c r="E206" s="4">
        <v>45044</v>
      </c>
      <c r="F206" t="s">
        <v>2064</v>
      </c>
      <c r="G206" s="4">
        <v>45044</v>
      </c>
      <c r="H206" s="4">
        <f>_xlfn.MINIFS(B206:B837, N206:N837, N206)</f>
        <v>44948</v>
      </c>
      <c r="I206" s="4" t="str">
        <f t="shared" si="6"/>
        <v>Jan-2023</v>
      </c>
      <c r="J206" s="13">
        <f t="shared" si="7"/>
        <v>3</v>
      </c>
      <c r="K206" s="13">
        <v>9</v>
      </c>
      <c r="L206" s="30" t="str">
        <f>IF(Table2[[#This Row],[LeadTimeDays]]&lt;7,"1","0")</f>
        <v>0</v>
      </c>
      <c r="M206" s="7" t="s">
        <v>649</v>
      </c>
      <c r="N206" s="7" t="s">
        <v>656</v>
      </c>
      <c r="O206" s="7" t="s">
        <v>671</v>
      </c>
      <c r="P206" s="7" t="s">
        <v>702</v>
      </c>
      <c r="Q206" s="7" t="s">
        <v>708</v>
      </c>
      <c r="R206" s="7" t="s">
        <v>718</v>
      </c>
      <c r="S206" s="7" t="s">
        <v>732</v>
      </c>
      <c r="T206" s="7" t="s">
        <v>1632</v>
      </c>
      <c r="U206" s="9">
        <v>1178.42</v>
      </c>
      <c r="V206" s="9">
        <v>2446.56</v>
      </c>
      <c r="W206" s="9">
        <v>2446.56</v>
      </c>
      <c r="X206" s="9">
        <v>840.80900000000008</v>
      </c>
      <c r="Y206" s="9">
        <v>1624.7900000000002</v>
      </c>
      <c r="Z206" s="9" t="s">
        <v>2095</v>
      </c>
      <c r="AA206" t="s">
        <v>2065</v>
      </c>
      <c r="AB206" s="11">
        <v>2.9000000000000001E-2</v>
      </c>
      <c r="AC206" t="s">
        <v>2065</v>
      </c>
      <c r="AD206" s="13">
        <v>11</v>
      </c>
      <c r="AE206" s="9">
        <v>26131.70736</v>
      </c>
      <c r="AF206" s="9">
        <v>12962.62</v>
      </c>
      <c r="AG206" s="9">
        <v>13169.08736</v>
      </c>
      <c r="AH206" s="11">
        <v>0.5039505141618883</v>
      </c>
      <c r="AI206" s="9">
        <f>SUMIFS(AD206:AD837, R206:R837, S206)</f>
        <v>0</v>
      </c>
      <c r="AJ206" s="11" t="e">
        <f>SUMIFS(AD206:AD837, R206:R837, S206, AD206:AD837, "&gt;" &amp; AE206) / AI206</f>
        <v>#DIV/0!</v>
      </c>
      <c r="AK206" s="7" t="e">
        <f>IF(AJ206&lt;=0.8,"A",IF(Table2[[#This Row],[Cumulative rev]]&lt;=0.95,"B","C"))</f>
        <v>#DIV/0!</v>
      </c>
    </row>
    <row r="207" spans="1:37" x14ac:dyDescent="0.3">
      <c r="A207" t="s">
        <v>220</v>
      </c>
      <c r="B207" s="4">
        <v>45109</v>
      </c>
      <c r="C207" s="4" t="s">
        <v>2116</v>
      </c>
      <c r="D207" s="4" t="s">
        <v>2117</v>
      </c>
      <c r="E207" s="4">
        <v>45139</v>
      </c>
      <c r="F207" t="s">
        <v>2064</v>
      </c>
      <c r="G207" s="4">
        <v>45139</v>
      </c>
      <c r="H207" s="4">
        <f>_xlfn.MINIFS(B207:B838, N207:N838, N207)</f>
        <v>44945</v>
      </c>
      <c r="I207" s="4" t="str">
        <f t="shared" si="6"/>
        <v>Jan-2023</v>
      </c>
      <c r="J207" s="13">
        <f t="shared" si="7"/>
        <v>6</v>
      </c>
      <c r="K207" s="13">
        <v>30</v>
      </c>
      <c r="L207" s="30" t="str">
        <f>IF(Table2[[#This Row],[LeadTimeDays]]&lt;7,"1","0")</f>
        <v>0</v>
      </c>
      <c r="M207" s="7" t="s">
        <v>649</v>
      </c>
      <c r="N207" s="7" t="s">
        <v>658</v>
      </c>
      <c r="O207" s="7" t="s">
        <v>674</v>
      </c>
      <c r="P207" s="7" t="s">
        <v>705</v>
      </c>
      <c r="Q207" s="7" t="s">
        <v>707</v>
      </c>
      <c r="R207" s="7" t="s">
        <v>717</v>
      </c>
      <c r="S207" s="7" t="s">
        <v>727</v>
      </c>
      <c r="T207" s="7" t="s">
        <v>1633</v>
      </c>
      <c r="U207" s="9">
        <v>137.46</v>
      </c>
      <c r="V207" s="9">
        <v>188.3</v>
      </c>
      <c r="W207" s="9">
        <v>188.3</v>
      </c>
      <c r="X207" s="9">
        <v>839.80250000000001</v>
      </c>
      <c r="Y207" s="9">
        <v>1622.635</v>
      </c>
      <c r="Z207" s="9" t="s">
        <v>2081</v>
      </c>
      <c r="AA207" t="s">
        <v>2065</v>
      </c>
      <c r="AB207" s="11">
        <v>3.7999999999999999E-2</v>
      </c>
      <c r="AC207" t="s">
        <v>2065</v>
      </c>
      <c r="AD207" s="13">
        <v>37</v>
      </c>
      <c r="AE207" s="9">
        <v>6702.3501999999999</v>
      </c>
      <c r="AF207" s="9">
        <v>5086.0200000000004</v>
      </c>
      <c r="AG207" s="9">
        <v>1616.3301999999994</v>
      </c>
      <c r="AH207" s="11">
        <v>0.24115872071262398</v>
      </c>
      <c r="AI207" s="9">
        <f>SUMIFS(AD207:AD838, R207:R838, S207)</f>
        <v>0</v>
      </c>
      <c r="AJ207" s="11" t="e">
        <f>SUMIFS(AD207:AD838, R207:R838, S207, AD207:AD838, "&gt;" &amp; AE207) / AI207</f>
        <v>#DIV/0!</v>
      </c>
      <c r="AK207" s="7" t="e">
        <f>IF(AJ207&lt;=0.8,"A",IF(Table2[[#This Row],[Cumulative rev]]&lt;=0.95,"B","C"))</f>
        <v>#DIV/0!</v>
      </c>
    </row>
    <row r="208" spans="1:37" x14ac:dyDescent="0.3">
      <c r="A208" t="s">
        <v>221</v>
      </c>
      <c r="B208" s="4">
        <v>45678</v>
      </c>
      <c r="C208" s="4" t="s">
        <v>2099</v>
      </c>
      <c r="D208" s="4" t="s">
        <v>2087</v>
      </c>
      <c r="E208" s="4">
        <v>45702</v>
      </c>
      <c r="F208" t="s">
        <v>2064</v>
      </c>
      <c r="G208" s="4">
        <v>45702</v>
      </c>
      <c r="H208" s="4">
        <f>_xlfn.MINIFS(B208:B839, N208:N839, N208)</f>
        <v>44978</v>
      </c>
      <c r="I208" s="4" t="str">
        <f t="shared" si="6"/>
        <v>Feb-2023</v>
      </c>
      <c r="J208" s="13">
        <f t="shared" si="7"/>
        <v>24</v>
      </c>
      <c r="K208" s="13">
        <v>24</v>
      </c>
      <c r="L208" s="30" t="str">
        <f>IF(Table2[[#This Row],[LeadTimeDays]]&lt;7,"1","0")</f>
        <v>0</v>
      </c>
      <c r="M208" s="7" t="s">
        <v>646</v>
      </c>
      <c r="N208" s="7" t="s">
        <v>650</v>
      </c>
      <c r="O208" s="7" t="s">
        <v>664</v>
      </c>
      <c r="P208" s="7" t="s">
        <v>705</v>
      </c>
      <c r="Q208" s="7" t="s">
        <v>707</v>
      </c>
      <c r="R208" s="7" t="s">
        <v>713</v>
      </c>
      <c r="S208" s="7" t="s">
        <v>733</v>
      </c>
      <c r="T208" s="7" t="s">
        <v>1634</v>
      </c>
      <c r="U208" s="9">
        <v>1030.44</v>
      </c>
      <c r="V208" s="9">
        <v>2562.84</v>
      </c>
      <c r="W208" s="9">
        <v>2562.84</v>
      </c>
      <c r="X208" s="9">
        <v>841.84600000000012</v>
      </c>
      <c r="Y208" s="9">
        <v>1624.0188000000003</v>
      </c>
      <c r="Z208" s="9" t="s">
        <v>2095</v>
      </c>
      <c r="AA208" t="s">
        <v>2065</v>
      </c>
      <c r="AB208" s="11">
        <v>0.14799999999999999</v>
      </c>
      <c r="AC208" t="s">
        <v>2065</v>
      </c>
      <c r="AD208" s="13">
        <v>13</v>
      </c>
      <c r="AE208" s="9">
        <v>28386.015839999996</v>
      </c>
      <c r="AF208" s="9">
        <v>13395.720000000001</v>
      </c>
      <c r="AG208" s="9">
        <v>14990.295839999995</v>
      </c>
      <c r="AH208" s="11">
        <v>0.52808734852027039</v>
      </c>
      <c r="AI208" s="9">
        <f>SUMIFS(AD208:AD839, R208:R839, S208)</f>
        <v>0</v>
      </c>
      <c r="AJ208" s="11" t="e">
        <f>SUMIFS(AD208:AD839, R208:R839, S208, AD208:AD839, "&gt;" &amp; AE208) / AI208</f>
        <v>#DIV/0!</v>
      </c>
      <c r="AK208" s="7" t="e">
        <f>IF(AJ208&lt;=0.8,"A",IF(Table2[[#This Row],[Cumulative rev]]&lt;=0.95,"B","C"))</f>
        <v>#DIV/0!</v>
      </c>
    </row>
    <row r="209" spans="1:37" x14ac:dyDescent="0.3">
      <c r="A209" t="s">
        <v>222</v>
      </c>
      <c r="B209" s="4">
        <v>45545</v>
      </c>
      <c r="C209" s="4" t="s">
        <v>2122</v>
      </c>
      <c r="D209" s="4" t="s">
        <v>2106</v>
      </c>
      <c r="E209" s="4">
        <v>45572</v>
      </c>
      <c r="F209" t="s">
        <v>2064</v>
      </c>
      <c r="G209" s="4">
        <v>45572</v>
      </c>
      <c r="H209" s="4">
        <f>_xlfn.MINIFS(B209:B840, N209:N840, N209)</f>
        <v>44978</v>
      </c>
      <c r="I209" s="4" t="str">
        <f t="shared" si="6"/>
        <v>Feb-2023</v>
      </c>
      <c r="J209" s="13">
        <f t="shared" si="7"/>
        <v>19</v>
      </c>
      <c r="K209" s="13">
        <v>27</v>
      </c>
      <c r="L209" s="30" t="str">
        <f>IF(Table2[[#This Row],[LeadTimeDays]]&lt;7,"1","0")</f>
        <v>0</v>
      </c>
      <c r="M209" s="7" t="s">
        <v>646</v>
      </c>
      <c r="N209" s="7" t="s">
        <v>650</v>
      </c>
      <c r="O209" s="7" t="s">
        <v>662</v>
      </c>
      <c r="P209" s="7" t="s">
        <v>704</v>
      </c>
      <c r="Q209" s="7" t="s">
        <v>707</v>
      </c>
      <c r="R209" s="7" t="s">
        <v>716</v>
      </c>
      <c r="S209" s="7" t="s">
        <v>728</v>
      </c>
      <c r="T209" s="7" t="s">
        <v>1635</v>
      </c>
      <c r="U209" s="9">
        <v>1248.3900000000001</v>
      </c>
      <c r="V209" s="9">
        <v>1805.11</v>
      </c>
      <c r="W209" s="9">
        <v>1805.11</v>
      </c>
      <c r="X209" s="9">
        <v>840.83950000000004</v>
      </c>
      <c r="Y209" s="9">
        <v>1621.3326</v>
      </c>
      <c r="Z209" s="9" t="s">
        <v>2095</v>
      </c>
      <c r="AA209" t="s">
        <v>2065</v>
      </c>
      <c r="AB209" s="11">
        <v>0.20300000000000001</v>
      </c>
      <c r="AC209" t="s">
        <v>2065</v>
      </c>
      <c r="AD209" s="13">
        <v>11</v>
      </c>
      <c r="AE209" s="9">
        <v>15825.399369999997</v>
      </c>
      <c r="AF209" s="9">
        <v>13732.29</v>
      </c>
      <c r="AG209" s="9">
        <v>2093.1093699999965</v>
      </c>
      <c r="AH209" s="11">
        <v>0.13226265707820786</v>
      </c>
      <c r="AI209" s="9">
        <f>SUMIFS(AD209:AD840, R209:R840, S209)</f>
        <v>0</v>
      </c>
      <c r="AJ209" s="11" t="e">
        <f>SUMIFS(AD209:AD840, R209:R840, S209, AD209:AD840, "&gt;" &amp; AE209) / AI209</f>
        <v>#DIV/0!</v>
      </c>
      <c r="AK209" s="7" t="e">
        <f>IF(AJ209&lt;=0.8,"A",IF(Table2[[#This Row],[Cumulative rev]]&lt;=0.95,"B","C"))</f>
        <v>#DIV/0!</v>
      </c>
    </row>
    <row r="210" spans="1:37" x14ac:dyDescent="0.3">
      <c r="A210" t="s">
        <v>223</v>
      </c>
      <c r="B210" s="4">
        <v>45859</v>
      </c>
      <c r="C210" s="4" t="s">
        <v>2104</v>
      </c>
      <c r="D210" s="4" t="s">
        <v>2101</v>
      </c>
      <c r="E210" s="4">
        <v>45876</v>
      </c>
      <c r="F210" t="s">
        <v>2064</v>
      </c>
      <c r="G210" s="4">
        <v>45876</v>
      </c>
      <c r="H210" s="4">
        <f>_xlfn.MINIFS(B210:B841, N210:N841, N210)</f>
        <v>44968</v>
      </c>
      <c r="I210" s="4" t="str">
        <f t="shared" si="6"/>
        <v>Feb-2023</v>
      </c>
      <c r="J210" s="13">
        <f t="shared" si="7"/>
        <v>30</v>
      </c>
      <c r="K210" s="13">
        <v>17</v>
      </c>
      <c r="L210" s="30" t="str">
        <f>IF(Table2[[#This Row],[LeadTimeDays]]&lt;7,"1","0")</f>
        <v>0</v>
      </c>
      <c r="M210" s="7" t="s">
        <v>646</v>
      </c>
      <c r="N210" s="7" t="s">
        <v>651</v>
      </c>
      <c r="O210" s="7" t="s">
        <v>665</v>
      </c>
      <c r="P210" s="7" t="s">
        <v>706</v>
      </c>
      <c r="Q210" s="7" t="s">
        <v>711</v>
      </c>
      <c r="R210" s="7" t="s">
        <v>724</v>
      </c>
      <c r="S210" s="7" t="s">
        <v>733</v>
      </c>
      <c r="T210" s="7" t="s">
        <v>1636</v>
      </c>
      <c r="U210" s="9">
        <v>1204.95</v>
      </c>
      <c r="V210" s="9">
        <v>2065.73</v>
      </c>
      <c r="W210" s="9">
        <v>2065.73</v>
      </c>
      <c r="X210" s="9">
        <v>839.83300000000008</v>
      </c>
      <c r="Y210" s="9">
        <v>1619.28</v>
      </c>
      <c r="Z210" s="9" t="s">
        <v>2095</v>
      </c>
      <c r="AA210" t="s">
        <v>2065</v>
      </c>
      <c r="AB210" s="11">
        <v>0.13600000000000001</v>
      </c>
      <c r="AC210" t="s">
        <v>2065</v>
      </c>
      <c r="AD210" s="13">
        <v>10</v>
      </c>
      <c r="AE210" s="9">
        <v>17847.907199999998</v>
      </c>
      <c r="AF210" s="9">
        <v>12049.5</v>
      </c>
      <c r="AG210" s="9">
        <v>5798.4071999999978</v>
      </c>
      <c r="AH210" s="11">
        <v>0.32487882949100039</v>
      </c>
      <c r="AI210" s="9">
        <f>SUMIFS(AD210:AD841, R210:R841, S210)</f>
        <v>0</v>
      </c>
      <c r="AJ210" s="11" t="e">
        <f>SUMIFS(AD210:AD841, R210:R841, S210, AD210:AD841, "&gt;" &amp; AE210) / AI210</f>
        <v>#DIV/0!</v>
      </c>
      <c r="AK210" s="7" t="e">
        <f>IF(AJ210&lt;=0.8,"A",IF(Table2[[#This Row],[Cumulative rev]]&lt;=0.95,"B","C"))</f>
        <v>#DIV/0!</v>
      </c>
    </row>
    <row r="211" spans="1:37" x14ac:dyDescent="0.3">
      <c r="A211" t="s">
        <v>224</v>
      </c>
      <c r="B211" s="4">
        <v>45567</v>
      </c>
      <c r="C211" s="4" t="s">
        <v>2082</v>
      </c>
      <c r="D211" s="4" t="s">
        <v>2083</v>
      </c>
      <c r="E211" s="4">
        <v>45588</v>
      </c>
      <c r="F211" t="s">
        <v>2064</v>
      </c>
      <c r="G211" s="4">
        <v>45588</v>
      </c>
      <c r="H211" s="4">
        <f>_xlfn.MINIFS(B211:B842, N211:N842, N211)</f>
        <v>44933</v>
      </c>
      <c r="I211" s="4" t="str">
        <f t="shared" si="6"/>
        <v>Jan-2023</v>
      </c>
      <c r="J211" s="13">
        <f t="shared" si="7"/>
        <v>21</v>
      </c>
      <c r="K211" s="13">
        <v>21</v>
      </c>
      <c r="L211" s="30" t="str">
        <f>IF(Table2[[#This Row],[LeadTimeDays]]&lt;7,"1","0")</f>
        <v>0</v>
      </c>
      <c r="M211" s="7" t="s">
        <v>646</v>
      </c>
      <c r="N211" s="7" t="s">
        <v>661</v>
      </c>
      <c r="O211" s="7" t="s">
        <v>687</v>
      </c>
      <c r="P211" s="7" t="s">
        <v>701</v>
      </c>
      <c r="Q211" s="7" t="s">
        <v>709</v>
      </c>
      <c r="R211" s="7" t="s">
        <v>720</v>
      </c>
      <c r="S211" s="7" t="s">
        <v>727</v>
      </c>
      <c r="T211" s="7" t="s">
        <v>1637</v>
      </c>
      <c r="U211" s="9">
        <v>1095.6099999999999</v>
      </c>
      <c r="V211" s="9">
        <v>2366.5100000000002</v>
      </c>
      <c r="W211" s="9">
        <v>2366.5100000000002</v>
      </c>
      <c r="X211" s="9">
        <v>838.66549999999995</v>
      </c>
      <c r="Y211" s="9">
        <v>1614.7238000000002</v>
      </c>
      <c r="Z211" s="9" t="s">
        <v>2095</v>
      </c>
      <c r="AA211" t="s">
        <v>2065</v>
      </c>
      <c r="AB211" s="11">
        <v>0.152</v>
      </c>
      <c r="AC211" t="s">
        <v>2065</v>
      </c>
      <c r="AD211" s="13">
        <v>9</v>
      </c>
      <c r="AE211" s="9">
        <v>18061.204320000004</v>
      </c>
      <c r="AF211" s="9">
        <v>9860.49</v>
      </c>
      <c r="AG211" s="9">
        <v>8200.7143200000046</v>
      </c>
      <c r="AH211" s="11">
        <v>0.4540513564158607</v>
      </c>
      <c r="AI211" s="9">
        <f>SUMIFS(AD211:AD842, R211:R842, S211)</f>
        <v>0</v>
      </c>
      <c r="AJ211" s="11" t="e">
        <f>SUMIFS(AD211:AD842, R211:R842, S211, AD211:AD842, "&gt;" &amp; AE211) / AI211</f>
        <v>#DIV/0!</v>
      </c>
      <c r="AK211" s="7" t="e">
        <f>IF(AJ211&lt;=0.8,"A",IF(Table2[[#This Row],[Cumulative rev]]&lt;=0.95,"B","C"))</f>
        <v>#DIV/0!</v>
      </c>
    </row>
    <row r="212" spans="1:37" x14ac:dyDescent="0.3">
      <c r="A212" t="s">
        <v>225</v>
      </c>
      <c r="B212" s="4">
        <v>45852</v>
      </c>
      <c r="C212" s="4" t="s">
        <v>2104</v>
      </c>
      <c r="D212" s="4" t="s">
        <v>2101</v>
      </c>
      <c r="E212" s="4">
        <v>45873</v>
      </c>
      <c r="F212" t="s">
        <v>2064</v>
      </c>
      <c r="G212" s="4">
        <v>45873</v>
      </c>
      <c r="H212" s="4">
        <f>_xlfn.MINIFS(B212:B843, N212:N843, N212)</f>
        <v>44989</v>
      </c>
      <c r="I212" s="4" t="str">
        <f t="shared" si="6"/>
        <v>Mar-2023</v>
      </c>
      <c r="J212" s="13">
        <f t="shared" si="7"/>
        <v>29</v>
      </c>
      <c r="K212" s="13">
        <v>21</v>
      </c>
      <c r="L212" s="30" t="str">
        <f>IF(Table2[[#This Row],[LeadTimeDays]]&lt;7,"1","0")</f>
        <v>0</v>
      </c>
      <c r="M212" s="7" t="s">
        <v>648</v>
      </c>
      <c r="N212" s="7" t="s">
        <v>653</v>
      </c>
      <c r="O212" s="7" t="s">
        <v>681</v>
      </c>
      <c r="P212" s="7" t="s">
        <v>704</v>
      </c>
      <c r="Q212" s="7" t="s">
        <v>708</v>
      </c>
      <c r="R212" s="7" t="s">
        <v>722</v>
      </c>
      <c r="S212" s="7" t="s">
        <v>732</v>
      </c>
      <c r="T212" s="7" t="s">
        <v>1638</v>
      </c>
      <c r="U212" s="9">
        <v>90.3</v>
      </c>
      <c r="V212" s="9">
        <v>131.76</v>
      </c>
      <c r="W212" s="9">
        <v>131.76</v>
      </c>
      <c r="X212" s="9">
        <v>836.9</v>
      </c>
      <c r="Y212" s="9">
        <v>1599.9859999999996</v>
      </c>
      <c r="Z212" s="9" t="s">
        <v>2081</v>
      </c>
      <c r="AA212" t="s">
        <v>2065</v>
      </c>
      <c r="AB212" s="11">
        <v>0.10199999999999999</v>
      </c>
      <c r="AC212" t="s">
        <v>2065</v>
      </c>
      <c r="AD212" s="13">
        <v>15</v>
      </c>
      <c r="AE212" s="9">
        <v>1774.8072</v>
      </c>
      <c r="AF212" s="9">
        <v>1354.5</v>
      </c>
      <c r="AG212" s="9">
        <v>420.30719999999997</v>
      </c>
      <c r="AH212" s="11">
        <v>0.23681851189244668</v>
      </c>
      <c r="AI212" s="9">
        <f>SUMIFS(AD212:AD843, R212:R843, S212)</f>
        <v>0</v>
      </c>
      <c r="AJ212" s="11" t="e">
        <f>SUMIFS(AD212:AD843, R212:R843, S212, AD212:AD843, "&gt;" &amp; AE212) / AI212</f>
        <v>#DIV/0!</v>
      </c>
      <c r="AK212" s="7" t="e">
        <f>IF(AJ212&lt;=0.8,"A",IF(Table2[[#This Row],[Cumulative rev]]&lt;=0.95,"B","C"))</f>
        <v>#DIV/0!</v>
      </c>
    </row>
    <row r="213" spans="1:37" x14ac:dyDescent="0.3">
      <c r="A213" t="s">
        <v>226</v>
      </c>
      <c r="B213" s="4">
        <v>45544</v>
      </c>
      <c r="C213" s="4" t="s">
        <v>2122</v>
      </c>
      <c r="D213" s="4" t="s">
        <v>2106</v>
      </c>
      <c r="E213" s="4">
        <v>45566</v>
      </c>
      <c r="F213" t="s">
        <v>2064</v>
      </c>
      <c r="G213" s="4">
        <v>45566</v>
      </c>
      <c r="H213" s="4">
        <f>_xlfn.MINIFS(B213:B844, N213:N844, N213)</f>
        <v>44938</v>
      </c>
      <c r="I213" s="4" t="str">
        <f t="shared" si="6"/>
        <v>Jan-2023</v>
      </c>
      <c r="J213" s="13">
        <f t="shared" si="7"/>
        <v>20</v>
      </c>
      <c r="K213" s="13">
        <v>22</v>
      </c>
      <c r="L213" s="30" t="str">
        <f>IF(Table2[[#This Row],[LeadTimeDays]]&lt;7,"1","0")</f>
        <v>0</v>
      </c>
      <c r="M213" s="7" t="s">
        <v>647</v>
      </c>
      <c r="N213" s="7" t="s">
        <v>659</v>
      </c>
      <c r="O213" s="7" t="s">
        <v>676</v>
      </c>
      <c r="P213" s="7" t="s">
        <v>704</v>
      </c>
      <c r="Q213" s="7" t="s">
        <v>711</v>
      </c>
      <c r="R213" s="7" t="s">
        <v>716</v>
      </c>
      <c r="S213" s="7" t="s">
        <v>728</v>
      </c>
      <c r="T213" s="7" t="s">
        <v>1639</v>
      </c>
      <c r="U213" s="9">
        <v>1166.18</v>
      </c>
      <c r="V213" s="9">
        <v>1335.02</v>
      </c>
      <c r="W213" s="9">
        <v>1335.02</v>
      </c>
      <c r="X213" s="9">
        <v>839.86350000000004</v>
      </c>
      <c r="Y213" s="9">
        <v>1607.5782000000004</v>
      </c>
      <c r="Z213" s="9" t="s">
        <v>2092</v>
      </c>
      <c r="AA213" t="s">
        <v>2065</v>
      </c>
      <c r="AB213" s="11">
        <v>0.128</v>
      </c>
      <c r="AC213" t="s">
        <v>2065</v>
      </c>
      <c r="AD213" s="13">
        <v>6</v>
      </c>
      <c r="AE213" s="9">
        <v>6984.8246399999998</v>
      </c>
      <c r="AF213" s="9">
        <v>6997.08</v>
      </c>
      <c r="AG213" s="9">
        <v>-12.25536000000011</v>
      </c>
      <c r="AH213" s="11">
        <v>-1.7545694604582242E-3</v>
      </c>
      <c r="AI213" s="9">
        <f>SUMIFS(AD213:AD844, R213:R844, S213)</f>
        <v>0</v>
      </c>
      <c r="AJ213" s="11" t="e">
        <f>SUMIFS(AD213:AD844, R213:R844, S213, AD213:AD844, "&gt;" &amp; AE213) / AI213</f>
        <v>#DIV/0!</v>
      </c>
      <c r="AK213" s="7" t="e">
        <f>IF(AJ213&lt;=0.8,"A",IF(Table2[[#This Row],[Cumulative rev]]&lt;=0.95,"B","C"))</f>
        <v>#DIV/0!</v>
      </c>
    </row>
    <row r="214" spans="1:37" x14ac:dyDescent="0.3">
      <c r="A214" t="s">
        <v>227</v>
      </c>
      <c r="B214" s="4">
        <v>45686</v>
      </c>
      <c r="C214" s="4" t="s">
        <v>2099</v>
      </c>
      <c r="D214" s="4" t="s">
        <v>2087</v>
      </c>
      <c r="E214" s="4">
        <v>45694</v>
      </c>
      <c r="F214" t="s">
        <v>2064</v>
      </c>
      <c r="G214" s="4">
        <v>45694</v>
      </c>
      <c r="H214" s="4">
        <f>_xlfn.MINIFS(B214:B845, N214:N845, N214)</f>
        <v>44978</v>
      </c>
      <c r="I214" s="4" t="str">
        <f t="shared" si="6"/>
        <v>Feb-2023</v>
      </c>
      <c r="J214" s="13">
        <f t="shared" si="7"/>
        <v>24</v>
      </c>
      <c r="K214" s="13">
        <v>8</v>
      </c>
      <c r="L214" s="30" t="str">
        <f>IF(Table2[[#This Row],[LeadTimeDays]]&lt;7,"1","0")</f>
        <v>0</v>
      </c>
      <c r="M214" s="7" t="s">
        <v>646</v>
      </c>
      <c r="N214" s="7" t="s">
        <v>650</v>
      </c>
      <c r="O214" s="7" t="s">
        <v>662</v>
      </c>
      <c r="P214" s="7" t="s">
        <v>702</v>
      </c>
      <c r="Q214" s="7" t="s">
        <v>707</v>
      </c>
      <c r="R214" s="7" t="s">
        <v>717</v>
      </c>
      <c r="S214" s="7" t="s">
        <v>730</v>
      </c>
      <c r="T214" s="7" t="s">
        <v>1640</v>
      </c>
      <c r="U214" s="9">
        <v>1445.27</v>
      </c>
      <c r="V214" s="9">
        <v>2691.45</v>
      </c>
      <c r="W214" s="9">
        <v>2691.45</v>
      </c>
      <c r="X214" s="9">
        <v>838.71899999999994</v>
      </c>
      <c r="Y214" s="9">
        <v>1615.1703999999997</v>
      </c>
      <c r="Z214" s="9" t="s">
        <v>2095</v>
      </c>
      <c r="AA214" t="s">
        <v>2065</v>
      </c>
      <c r="AB214" s="11">
        <v>0</v>
      </c>
      <c r="AC214" t="s">
        <v>2065</v>
      </c>
      <c r="AD214" s="13">
        <v>9</v>
      </c>
      <c r="AE214" s="9">
        <v>24223.05</v>
      </c>
      <c r="AF214" s="9">
        <v>13007.43</v>
      </c>
      <c r="AG214" s="9">
        <v>11215.619999999999</v>
      </c>
      <c r="AH214" s="11">
        <v>0.46301436028906351</v>
      </c>
      <c r="AI214" s="9">
        <f>SUMIFS(AD214:AD845, R214:R845, S214)</f>
        <v>0</v>
      </c>
      <c r="AJ214" s="11" t="e">
        <f>SUMIFS(AD214:AD845, R214:R845, S214, AD214:AD845, "&gt;" &amp; AE214) / AI214</f>
        <v>#DIV/0!</v>
      </c>
      <c r="AK214" s="7" t="e">
        <f>IF(AJ214&lt;=0.8,"A",IF(Table2[[#This Row],[Cumulative rev]]&lt;=0.95,"B","C"))</f>
        <v>#DIV/0!</v>
      </c>
    </row>
    <row r="215" spans="1:37" x14ac:dyDescent="0.3">
      <c r="A215" t="s">
        <v>228</v>
      </c>
      <c r="B215" s="4">
        <v>45240</v>
      </c>
      <c r="C215" s="4" t="s">
        <v>2123</v>
      </c>
      <c r="D215" s="4" t="s">
        <v>2089</v>
      </c>
      <c r="E215" s="4">
        <v>45258</v>
      </c>
      <c r="F215" t="s">
        <v>2064</v>
      </c>
      <c r="G215" s="4">
        <v>45258</v>
      </c>
      <c r="H215" s="4">
        <f>_xlfn.MINIFS(B215:B846, N215:N846, N215)</f>
        <v>44955</v>
      </c>
      <c r="I215" s="4" t="str">
        <f t="shared" si="6"/>
        <v>Jan-2023</v>
      </c>
      <c r="J215" s="13">
        <f t="shared" si="7"/>
        <v>10</v>
      </c>
      <c r="K215" s="13">
        <v>18</v>
      </c>
      <c r="L215" s="30" t="str">
        <f>IF(Table2[[#This Row],[LeadTimeDays]]&lt;7,"1","0")</f>
        <v>0</v>
      </c>
      <c r="M215" s="7" t="s">
        <v>648</v>
      </c>
      <c r="N215" s="7" t="s">
        <v>655</v>
      </c>
      <c r="O215" s="7" t="s">
        <v>672</v>
      </c>
      <c r="P215" s="7" t="s">
        <v>702</v>
      </c>
      <c r="Q215" s="7" t="s">
        <v>709</v>
      </c>
      <c r="R215" s="7" t="s">
        <v>716</v>
      </c>
      <c r="S215" s="7" t="s">
        <v>733</v>
      </c>
      <c r="T215" s="7" t="s">
        <v>1641</v>
      </c>
      <c r="U215" s="9">
        <v>388.51</v>
      </c>
      <c r="V215" s="9">
        <v>776.46</v>
      </c>
      <c r="W215" s="9">
        <v>776.46</v>
      </c>
      <c r="X215" s="9">
        <v>836.95350000000008</v>
      </c>
      <c r="Y215" s="9">
        <v>1600.4326000000005</v>
      </c>
      <c r="Z215" s="9" t="s">
        <v>2081</v>
      </c>
      <c r="AA215" t="s">
        <v>2065</v>
      </c>
      <c r="AB215" s="11">
        <v>0.157</v>
      </c>
      <c r="AC215" t="s">
        <v>2065</v>
      </c>
      <c r="AD215" s="13">
        <v>12</v>
      </c>
      <c r="AE215" s="9">
        <v>7854.6693599999999</v>
      </c>
      <c r="AF215" s="9">
        <v>4662.12</v>
      </c>
      <c r="AG215" s="9">
        <v>3192.54936</v>
      </c>
      <c r="AH215" s="11">
        <v>0.40645241876864946</v>
      </c>
      <c r="AI215" s="9">
        <f>SUMIFS(AD215:AD846, R215:R846, S215)</f>
        <v>0</v>
      </c>
      <c r="AJ215" s="11" t="e">
        <f>SUMIFS(AD215:AD846, R215:R846, S215, AD215:AD846, "&gt;" &amp; AE215) / AI215</f>
        <v>#DIV/0!</v>
      </c>
      <c r="AK215" s="7" t="e">
        <f>IF(AJ215&lt;=0.8,"A",IF(Table2[[#This Row],[Cumulative rev]]&lt;=0.95,"B","C"))</f>
        <v>#DIV/0!</v>
      </c>
    </row>
    <row r="216" spans="1:37" x14ac:dyDescent="0.3">
      <c r="A216" t="s">
        <v>229</v>
      </c>
      <c r="B216" s="4">
        <v>45351</v>
      </c>
      <c r="C216" s="4" t="s">
        <v>2124</v>
      </c>
      <c r="D216" s="4" t="s">
        <v>2080</v>
      </c>
      <c r="E216" s="4">
        <v>45381</v>
      </c>
      <c r="F216" t="s">
        <v>2064</v>
      </c>
      <c r="G216" s="4">
        <v>45381</v>
      </c>
      <c r="H216" s="4">
        <f>_xlfn.MINIFS(B216:B847, N216:N847, N216)</f>
        <v>44988</v>
      </c>
      <c r="I216" s="4" t="str">
        <f t="shared" si="6"/>
        <v>Mar-2023</v>
      </c>
      <c r="J216" s="13">
        <f t="shared" si="7"/>
        <v>12</v>
      </c>
      <c r="K216" s="13">
        <v>30</v>
      </c>
      <c r="L216" s="30" t="str">
        <f>IF(Table2[[#This Row],[LeadTimeDays]]&lt;7,"1","0")</f>
        <v>0</v>
      </c>
      <c r="M216" s="7" t="s">
        <v>647</v>
      </c>
      <c r="N216" s="7" t="s">
        <v>652</v>
      </c>
      <c r="O216" s="7" t="s">
        <v>694</v>
      </c>
      <c r="P216" s="7" t="s">
        <v>705</v>
      </c>
      <c r="Q216" s="7" t="s">
        <v>711</v>
      </c>
      <c r="R216" s="7" t="s">
        <v>714</v>
      </c>
      <c r="S216" s="7" t="s">
        <v>729</v>
      </c>
      <c r="T216" s="7" t="s">
        <v>1642</v>
      </c>
      <c r="U216" s="9">
        <v>231.11</v>
      </c>
      <c r="V216" s="9">
        <v>318.17</v>
      </c>
      <c r="W216" s="9">
        <v>318.17</v>
      </c>
      <c r="X216" s="9">
        <v>839.89400000000001</v>
      </c>
      <c r="Y216" s="9">
        <v>1608.0247999999999</v>
      </c>
      <c r="Z216" s="9" t="s">
        <v>2081</v>
      </c>
      <c r="AA216" t="s">
        <v>2065</v>
      </c>
      <c r="AB216" s="11">
        <v>0.20100000000000001</v>
      </c>
      <c r="AC216" t="s">
        <v>2065</v>
      </c>
      <c r="AD216" s="13">
        <v>60</v>
      </c>
      <c r="AE216" s="9">
        <v>15253.069799999999</v>
      </c>
      <c r="AF216" s="9">
        <v>13866.6</v>
      </c>
      <c r="AG216" s="9">
        <v>1386.4697999999989</v>
      </c>
      <c r="AH216" s="11">
        <v>9.0897754889969692E-2</v>
      </c>
      <c r="AI216" s="9">
        <f>SUMIFS(AD216:AD847, R216:R847, S216)</f>
        <v>0</v>
      </c>
      <c r="AJ216" s="11" t="e">
        <f>SUMIFS(AD216:AD847, R216:R847, S216, AD216:AD847, "&gt;" &amp; AE216) / AI216</f>
        <v>#DIV/0!</v>
      </c>
      <c r="AK216" s="7" t="e">
        <f>IF(AJ216&lt;=0.8,"A",IF(Table2[[#This Row],[Cumulative rev]]&lt;=0.95,"B","C"))</f>
        <v>#DIV/0!</v>
      </c>
    </row>
    <row r="217" spans="1:37" x14ac:dyDescent="0.3">
      <c r="A217" t="s">
        <v>230</v>
      </c>
      <c r="B217" s="4">
        <v>45280</v>
      </c>
      <c r="C217" s="4" t="s">
        <v>2088</v>
      </c>
      <c r="D217" s="4" t="s">
        <v>2089</v>
      </c>
      <c r="E217" s="4">
        <v>45305</v>
      </c>
      <c r="F217" t="s">
        <v>2064</v>
      </c>
      <c r="G217" s="4">
        <v>45305</v>
      </c>
      <c r="H217" s="4">
        <f>_xlfn.MINIFS(B217:B848, N217:N848, N217)</f>
        <v>45048</v>
      </c>
      <c r="I217" s="4" t="str">
        <f t="shared" si="6"/>
        <v>May-2023</v>
      </c>
      <c r="J217" s="13">
        <f t="shared" si="7"/>
        <v>8</v>
      </c>
      <c r="K217" s="13">
        <v>25</v>
      </c>
      <c r="L217" s="30" t="str">
        <f>IF(Table2[[#This Row],[LeadTimeDays]]&lt;7,"1","0")</f>
        <v>0</v>
      </c>
      <c r="M217" s="7" t="s">
        <v>647</v>
      </c>
      <c r="N217" s="7" t="s">
        <v>654</v>
      </c>
      <c r="O217" s="7" t="s">
        <v>691</v>
      </c>
      <c r="P217" s="7" t="s">
        <v>703</v>
      </c>
      <c r="Q217" s="7" t="s">
        <v>709</v>
      </c>
      <c r="R217" s="7" t="s">
        <v>716</v>
      </c>
      <c r="S217" s="7" t="s">
        <v>732</v>
      </c>
      <c r="T217" s="7" t="s">
        <v>1643</v>
      </c>
      <c r="U217" s="9">
        <v>1085.6099999999999</v>
      </c>
      <c r="V217" s="9">
        <v>1246.4100000000001</v>
      </c>
      <c r="W217" s="9">
        <v>1246.4100000000001</v>
      </c>
      <c r="X217" s="9">
        <v>841.93750000000011</v>
      </c>
      <c r="Y217" s="9">
        <v>1615.6170000000006</v>
      </c>
      <c r="Z217" s="9" t="s">
        <v>2092</v>
      </c>
      <c r="AA217" t="s">
        <v>2065</v>
      </c>
      <c r="AB217" s="11">
        <v>0.113</v>
      </c>
      <c r="AC217" t="s">
        <v>2065</v>
      </c>
      <c r="AD217" s="13">
        <v>7</v>
      </c>
      <c r="AE217" s="9">
        <v>7738.9596900000006</v>
      </c>
      <c r="AF217" s="9">
        <v>7599.2699999999995</v>
      </c>
      <c r="AG217" s="9">
        <v>139.68969000000106</v>
      </c>
      <c r="AH217" s="11">
        <v>1.8050189637310417E-2</v>
      </c>
      <c r="AI217" s="9">
        <f>SUMIFS(AD217:AD848, R217:R848, S217)</f>
        <v>0</v>
      </c>
      <c r="AJ217" s="11" t="e">
        <f>SUMIFS(AD217:AD848, R217:R848, S217, AD217:AD848, "&gt;" &amp; AE217) / AI217</f>
        <v>#DIV/0!</v>
      </c>
      <c r="AK217" s="7" t="e">
        <f>IF(AJ217&lt;=0.8,"A",IF(Table2[[#This Row],[Cumulative rev]]&lt;=0.95,"B","C"))</f>
        <v>#DIV/0!</v>
      </c>
    </row>
    <row r="218" spans="1:37" x14ac:dyDescent="0.3">
      <c r="A218" t="s">
        <v>231</v>
      </c>
      <c r="B218" s="4">
        <v>44948</v>
      </c>
      <c r="C218" s="4" t="s">
        <v>2090</v>
      </c>
      <c r="D218" s="4" t="s">
        <v>2085</v>
      </c>
      <c r="E218" s="4">
        <v>44947</v>
      </c>
      <c r="F218" t="s">
        <v>2066</v>
      </c>
      <c r="G218" s="4">
        <v>44948</v>
      </c>
      <c r="H218" s="4">
        <f>_xlfn.MINIFS(B218:B849, N218:N849, N218)</f>
        <v>44948</v>
      </c>
      <c r="I218" s="4" t="str">
        <f t="shared" si="6"/>
        <v>Jan-2023</v>
      </c>
      <c r="J218" s="13">
        <f t="shared" si="7"/>
        <v>1</v>
      </c>
      <c r="K218" s="13">
        <v>0</v>
      </c>
      <c r="L218" s="30" t="str">
        <f>IF(Table2[[#This Row],[LeadTimeDays]]&lt;7,"1","0")</f>
        <v>1</v>
      </c>
      <c r="M218" s="7" t="s">
        <v>649</v>
      </c>
      <c r="N218" s="7" t="s">
        <v>656</v>
      </c>
      <c r="O218" s="7" t="s">
        <v>684</v>
      </c>
      <c r="P218" s="7" t="s">
        <v>701</v>
      </c>
      <c r="Q218" s="7" t="s">
        <v>711</v>
      </c>
      <c r="R218" s="7" t="s">
        <v>721</v>
      </c>
      <c r="S218" s="7" t="s">
        <v>732</v>
      </c>
      <c r="T218" s="7" t="s">
        <v>1644</v>
      </c>
      <c r="U218" s="9">
        <v>150.86000000000001</v>
      </c>
      <c r="V218" s="9">
        <v>346.96</v>
      </c>
      <c r="W218" s="9">
        <v>346.96</v>
      </c>
      <c r="X218" s="9">
        <v>840.93100000000004</v>
      </c>
      <c r="Y218" s="9">
        <v>1618.51</v>
      </c>
      <c r="Z218" s="9" t="s">
        <v>2081</v>
      </c>
      <c r="AA218" t="s">
        <v>2065</v>
      </c>
      <c r="AB218" s="11">
        <v>0.19600000000000001</v>
      </c>
      <c r="AC218" t="s">
        <v>2065</v>
      </c>
      <c r="AD218" s="13">
        <v>8</v>
      </c>
      <c r="AE218" s="9">
        <v>2231.6467200000002</v>
      </c>
      <c r="AF218" s="9">
        <v>1206.8800000000001</v>
      </c>
      <c r="AG218" s="9">
        <v>1024.7667200000001</v>
      </c>
      <c r="AH218" s="11">
        <v>0.45919755614365343</v>
      </c>
      <c r="AI218" s="9">
        <f>SUMIFS(AD218:AD849, R218:R849, S218)</f>
        <v>0</v>
      </c>
      <c r="AJ218" s="11" t="e">
        <f>SUMIFS(AD218:AD849, R218:R849, S218, AD218:AD849, "&gt;" &amp; AE218) / AI218</f>
        <v>#DIV/0!</v>
      </c>
      <c r="AK218" s="7" t="e">
        <f>IF(AJ218&lt;=0.8,"A",IF(Table2[[#This Row],[Cumulative rev]]&lt;=0.95,"B","C"))</f>
        <v>#DIV/0!</v>
      </c>
    </row>
    <row r="219" spans="1:37" x14ac:dyDescent="0.3">
      <c r="A219" t="s">
        <v>232</v>
      </c>
      <c r="B219" s="4">
        <v>45576</v>
      </c>
      <c r="C219" s="4" t="s">
        <v>2082</v>
      </c>
      <c r="D219" s="4" t="s">
        <v>2083</v>
      </c>
      <c r="E219" s="4">
        <v>45605</v>
      </c>
      <c r="F219" t="s">
        <v>2064</v>
      </c>
      <c r="G219" s="4">
        <v>45605</v>
      </c>
      <c r="H219" s="4">
        <f>_xlfn.MINIFS(B219:B850, N219:N850, N219)</f>
        <v>44938</v>
      </c>
      <c r="I219" s="4" t="str">
        <f t="shared" si="6"/>
        <v>Jan-2023</v>
      </c>
      <c r="J219" s="13">
        <f t="shared" si="7"/>
        <v>21</v>
      </c>
      <c r="K219" s="13">
        <v>29</v>
      </c>
      <c r="L219" s="30" t="str">
        <f>IF(Table2[[#This Row],[LeadTimeDays]]&lt;7,"1","0")</f>
        <v>0</v>
      </c>
      <c r="M219" s="7" t="s">
        <v>647</v>
      </c>
      <c r="N219" s="7" t="s">
        <v>659</v>
      </c>
      <c r="O219" s="7" t="s">
        <v>685</v>
      </c>
      <c r="P219" s="7" t="s">
        <v>703</v>
      </c>
      <c r="Q219" s="7" t="s">
        <v>708</v>
      </c>
      <c r="R219" s="7" t="s">
        <v>721</v>
      </c>
      <c r="S219" s="7" t="s">
        <v>728</v>
      </c>
      <c r="T219" s="7" t="s">
        <v>1645</v>
      </c>
      <c r="U219" s="9">
        <v>391.64</v>
      </c>
      <c r="V219" s="9">
        <v>504.76</v>
      </c>
      <c r="W219" s="9">
        <v>504.76</v>
      </c>
      <c r="X219" s="9">
        <v>847.62030000000038</v>
      </c>
      <c r="Y219" s="9">
        <v>1619.4449999999999</v>
      </c>
      <c r="Z219" s="9" t="s">
        <v>2081</v>
      </c>
      <c r="AA219" t="s">
        <v>2065</v>
      </c>
      <c r="AB219" s="11">
        <v>4.0000000000000001E-3</v>
      </c>
      <c r="AC219" t="s">
        <v>2065</v>
      </c>
      <c r="AD219" s="13">
        <v>13</v>
      </c>
      <c r="AE219" s="9">
        <v>6535.6324800000002</v>
      </c>
      <c r="AF219" s="9">
        <v>5091.32</v>
      </c>
      <c r="AG219" s="9">
        <v>1444.3124800000005</v>
      </c>
      <c r="AH219" s="11">
        <v>0.22099046793402319</v>
      </c>
      <c r="AI219" s="9">
        <f>SUMIFS(AD219:AD850, R219:R850, S219)</f>
        <v>0</v>
      </c>
      <c r="AJ219" s="11" t="e">
        <f>SUMIFS(AD219:AD850, R219:R850, S219, AD219:AD850, "&gt;" &amp; AE219) / AI219</f>
        <v>#DIV/0!</v>
      </c>
      <c r="AK219" s="7" t="e">
        <f>IF(AJ219&lt;=0.8,"A",IF(Table2[[#This Row],[Cumulative rev]]&lt;=0.95,"B","C"))</f>
        <v>#DIV/0!</v>
      </c>
    </row>
    <row r="220" spans="1:37" x14ac:dyDescent="0.3">
      <c r="A220" t="s">
        <v>233</v>
      </c>
      <c r="B220" s="4">
        <v>45554</v>
      </c>
      <c r="C220" s="4" t="s">
        <v>2122</v>
      </c>
      <c r="D220" s="4" t="s">
        <v>2106</v>
      </c>
      <c r="E220" s="4">
        <v>45579</v>
      </c>
      <c r="F220" t="s">
        <v>2064</v>
      </c>
      <c r="G220" s="4">
        <v>45579</v>
      </c>
      <c r="H220" s="4">
        <f>_xlfn.MINIFS(B220:B851, N220:N851, N220)</f>
        <v>44955</v>
      </c>
      <c r="I220" s="4" t="str">
        <f t="shared" si="6"/>
        <v>Jan-2023</v>
      </c>
      <c r="J220" s="13">
        <f t="shared" si="7"/>
        <v>20</v>
      </c>
      <c r="K220" s="13">
        <v>25</v>
      </c>
      <c r="L220" s="30" t="str">
        <f>IF(Table2[[#This Row],[LeadTimeDays]]&lt;7,"1","0")</f>
        <v>0</v>
      </c>
      <c r="M220" s="7" t="s">
        <v>648</v>
      </c>
      <c r="N220" s="7" t="s">
        <v>655</v>
      </c>
      <c r="O220" s="7" t="s">
        <v>1426</v>
      </c>
      <c r="P220" s="7" t="s">
        <v>705</v>
      </c>
      <c r="Q220" s="7" t="s">
        <v>707</v>
      </c>
      <c r="R220" s="7" t="s">
        <v>723</v>
      </c>
      <c r="S220" s="7" t="s">
        <v>728</v>
      </c>
      <c r="T220" s="7" t="s">
        <v>1646</v>
      </c>
      <c r="U220" s="9">
        <v>386.96</v>
      </c>
      <c r="V220" s="9">
        <v>937.46</v>
      </c>
      <c r="W220" s="9">
        <v>937.46</v>
      </c>
      <c r="X220" s="9">
        <v>860.39720000000011</v>
      </c>
      <c r="Y220" s="9">
        <v>1620.3799999999999</v>
      </c>
      <c r="Z220" s="9" t="s">
        <v>2092</v>
      </c>
      <c r="AA220" t="s">
        <v>2065</v>
      </c>
      <c r="AB220" s="11">
        <v>0.26600000000000001</v>
      </c>
      <c r="AC220" t="s">
        <v>2065</v>
      </c>
      <c r="AD220" s="13">
        <v>41</v>
      </c>
      <c r="AE220" s="9">
        <v>28211.92124</v>
      </c>
      <c r="AF220" s="9">
        <v>15865.359999999999</v>
      </c>
      <c r="AG220" s="9">
        <v>12346.561240000001</v>
      </c>
      <c r="AH220" s="11">
        <v>0.43763631462626335</v>
      </c>
      <c r="AI220" s="9">
        <f>SUMIFS(AD220:AD851, R220:R851, S220)</f>
        <v>0</v>
      </c>
      <c r="AJ220" s="11" t="e">
        <f>SUMIFS(AD220:AD851, R220:R851, S220, AD220:AD851, "&gt;" &amp; AE220) / AI220</f>
        <v>#DIV/0!</v>
      </c>
      <c r="AK220" s="7" t="e">
        <f>IF(AJ220&lt;=0.8,"A",IF(Table2[[#This Row],[Cumulative rev]]&lt;=0.95,"B","C"))</f>
        <v>#DIV/0!</v>
      </c>
    </row>
    <row r="221" spans="1:37" x14ac:dyDescent="0.3">
      <c r="A221" t="s">
        <v>234</v>
      </c>
      <c r="B221" s="4">
        <v>45894</v>
      </c>
      <c r="C221" s="4" t="s">
        <v>2121</v>
      </c>
      <c r="D221" s="4" t="s">
        <v>2101</v>
      </c>
      <c r="E221" s="4">
        <v>45924</v>
      </c>
      <c r="F221" t="s">
        <v>2064</v>
      </c>
      <c r="G221" s="4">
        <v>45924</v>
      </c>
      <c r="H221" s="4">
        <f>_xlfn.MINIFS(B221:B852, N221:N852, N221)</f>
        <v>44978</v>
      </c>
      <c r="I221" s="4" t="str">
        <f t="shared" si="6"/>
        <v>Feb-2023</v>
      </c>
      <c r="J221" s="13">
        <f t="shared" si="7"/>
        <v>31</v>
      </c>
      <c r="K221" s="13">
        <v>30</v>
      </c>
      <c r="L221" s="30" t="str">
        <f>IF(Table2[[#This Row],[LeadTimeDays]]&lt;7,"1","0")</f>
        <v>0</v>
      </c>
      <c r="M221" s="7" t="s">
        <v>646</v>
      </c>
      <c r="N221" s="7" t="s">
        <v>650</v>
      </c>
      <c r="O221" s="7" t="s">
        <v>664</v>
      </c>
      <c r="P221" s="7" t="s">
        <v>704</v>
      </c>
      <c r="Q221" s="7" t="s">
        <v>711</v>
      </c>
      <c r="R221" s="7" t="s">
        <v>717</v>
      </c>
      <c r="S221" s="7" t="s">
        <v>727</v>
      </c>
      <c r="T221" s="7" t="s">
        <v>1647</v>
      </c>
      <c r="U221" s="9">
        <v>589.14</v>
      </c>
      <c r="V221" s="9">
        <v>1300.58</v>
      </c>
      <c r="W221" s="9">
        <v>1300.58</v>
      </c>
      <c r="X221" s="9">
        <v>854.1040999999999</v>
      </c>
      <c r="Y221" s="9">
        <v>1621.6581999999999</v>
      </c>
      <c r="Z221" s="9" t="s">
        <v>2092</v>
      </c>
      <c r="AA221" t="s">
        <v>2065</v>
      </c>
      <c r="AB221" s="11">
        <v>5.5E-2</v>
      </c>
      <c r="AC221" t="s">
        <v>2065</v>
      </c>
      <c r="AD221" s="13">
        <v>11</v>
      </c>
      <c r="AE221" s="9">
        <v>13519.529099999998</v>
      </c>
      <c r="AF221" s="9">
        <v>6480.54</v>
      </c>
      <c r="AG221" s="9">
        <v>7038.989099999998</v>
      </c>
      <c r="AH221" s="11">
        <v>0.52065342275863724</v>
      </c>
      <c r="AI221" s="9">
        <f>SUMIFS(AD221:AD852, R221:R852, S221)</f>
        <v>0</v>
      </c>
      <c r="AJ221" s="11" t="e">
        <f>SUMIFS(AD221:AD852, R221:R852, S221, AD221:AD852, "&gt;" &amp; AE221) / AI221</f>
        <v>#DIV/0!</v>
      </c>
      <c r="AK221" s="7" t="e">
        <f>IF(AJ221&lt;=0.8,"A",IF(Table2[[#This Row],[Cumulative rev]]&lt;=0.95,"B","C"))</f>
        <v>#DIV/0!</v>
      </c>
    </row>
    <row r="222" spans="1:37" x14ac:dyDescent="0.3">
      <c r="A222" t="s">
        <v>235</v>
      </c>
      <c r="B222" s="4">
        <v>45194</v>
      </c>
      <c r="C222" s="4" t="s">
        <v>2120</v>
      </c>
      <c r="D222" s="4" t="s">
        <v>2117</v>
      </c>
      <c r="E222" s="4">
        <v>45201</v>
      </c>
      <c r="F222" t="s">
        <v>2064</v>
      </c>
      <c r="G222" s="4">
        <v>45201</v>
      </c>
      <c r="H222" s="4">
        <f>_xlfn.MINIFS(B222:B853, N222:N853, N222)</f>
        <v>44962</v>
      </c>
      <c r="I222" s="4" t="str">
        <f t="shared" si="6"/>
        <v>Feb-2023</v>
      </c>
      <c r="J222" s="13">
        <f t="shared" si="7"/>
        <v>8</v>
      </c>
      <c r="K222" s="13">
        <v>7</v>
      </c>
      <c r="L222" s="30" t="str">
        <f>IF(Table2[[#This Row],[LeadTimeDays]]&lt;7,"1","0")</f>
        <v>0</v>
      </c>
      <c r="M222" s="7" t="s">
        <v>648</v>
      </c>
      <c r="N222" s="7" t="s">
        <v>1425</v>
      </c>
      <c r="O222" s="7" t="s">
        <v>700</v>
      </c>
      <c r="P222" s="7" t="s">
        <v>702</v>
      </c>
      <c r="Q222" s="7" t="s">
        <v>709</v>
      </c>
      <c r="R222" s="7" t="s">
        <v>714</v>
      </c>
      <c r="S222" s="7" t="s">
        <v>733</v>
      </c>
      <c r="T222" s="7" t="s">
        <v>1648</v>
      </c>
      <c r="U222" s="9">
        <v>145.58000000000001</v>
      </c>
      <c r="V222" s="9">
        <v>228.15</v>
      </c>
      <c r="W222" s="9">
        <v>228.15</v>
      </c>
      <c r="X222" s="9">
        <v>847.81100000000026</v>
      </c>
      <c r="Y222" s="9">
        <v>1623.0420000000001</v>
      </c>
      <c r="Z222" s="9" t="s">
        <v>2081</v>
      </c>
      <c r="AA222" t="s">
        <v>2065</v>
      </c>
      <c r="AB222" s="11">
        <v>0.20399999999999999</v>
      </c>
      <c r="AC222" t="s">
        <v>2065</v>
      </c>
      <c r="AD222" s="13">
        <v>5</v>
      </c>
      <c r="AE222" s="9">
        <v>908.03700000000003</v>
      </c>
      <c r="AF222" s="9">
        <v>727.90000000000009</v>
      </c>
      <c r="AG222" s="9">
        <v>180.13699999999994</v>
      </c>
      <c r="AH222" s="11">
        <v>0.19838068272548359</v>
      </c>
      <c r="AI222" s="9">
        <f>SUMIFS(AD222:AD853, R222:R853, S222)</f>
        <v>0</v>
      </c>
      <c r="AJ222" s="11" t="e">
        <f>SUMIFS(AD222:AD853, R222:R853, S222, AD222:AD853, "&gt;" &amp; AE222) / AI222</f>
        <v>#DIV/0!</v>
      </c>
      <c r="AK222" s="7" t="e">
        <f>IF(AJ222&lt;=0.8,"A",IF(Table2[[#This Row],[Cumulative rev]]&lt;=0.95,"B","C"))</f>
        <v>#DIV/0!</v>
      </c>
    </row>
    <row r="223" spans="1:37" x14ac:dyDescent="0.3">
      <c r="A223" t="s">
        <v>236</v>
      </c>
      <c r="B223" s="4">
        <v>45164</v>
      </c>
      <c r="C223" s="4" t="s">
        <v>2118</v>
      </c>
      <c r="D223" s="4" t="s">
        <v>2117</v>
      </c>
      <c r="E223" s="4">
        <v>45179</v>
      </c>
      <c r="F223" t="s">
        <v>2064</v>
      </c>
      <c r="G223" s="4">
        <v>45179</v>
      </c>
      <c r="H223" s="4">
        <f>_xlfn.MINIFS(B223:B854, N223:N854, N223)</f>
        <v>44933</v>
      </c>
      <c r="I223" s="4" t="str">
        <f t="shared" si="6"/>
        <v>Jan-2023</v>
      </c>
      <c r="J223" s="13">
        <f t="shared" si="7"/>
        <v>8</v>
      </c>
      <c r="K223" s="13">
        <v>15</v>
      </c>
      <c r="L223" s="30" t="str">
        <f>IF(Table2[[#This Row],[LeadTimeDays]]&lt;7,"1","0")</f>
        <v>0</v>
      </c>
      <c r="M223" s="7" t="s">
        <v>646</v>
      </c>
      <c r="N223" s="7" t="s">
        <v>661</v>
      </c>
      <c r="O223" s="7" t="s">
        <v>695</v>
      </c>
      <c r="P223" s="7" t="s">
        <v>703</v>
      </c>
      <c r="Q223" s="7" t="s">
        <v>711</v>
      </c>
      <c r="R223" s="7" t="s">
        <v>725</v>
      </c>
      <c r="S223" s="7" t="s">
        <v>727</v>
      </c>
      <c r="T223" s="7" t="s">
        <v>1649</v>
      </c>
      <c r="U223" s="9">
        <v>241.14</v>
      </c>
      <c r="V223" s="9">
        <v>496.52</v>
      </c>
      <c r="W223" s="9">
        <v>496.52</v>
      </c>
      <c r="X223" s="9">
        <v>860.58789999999999</v>
      </c>
      <c r="Y223" s="9">
        <v>1624.4258</v>
      </c>
      <c r="Z223" s="9" t="s">
        <v>2081</v>
      </c>
      <c r="AA223" t="s">
        <v>2065</v>
      </c>
      <c r="AB223" s="11">
        <v>9.2999999999999999E-2</v>
      </c>
      <c r="AC223" t="s">
        <v>2065</v>
      </c>
      <c r="AD223" s="13">
        <v>10</v>
      </c>
      <c r="AE223" s="9">
        <v>4503.4363999999996</v>
      </c>
      <c r="AF223" s="9">
        <v>2411.3999999999996</v>
      </c>
      <c r="AG223" s="9">
        <v>2092.0364</v>
      </c>
      <c r="AH223" s="11">
        <v>0.46454223268257994</v>
      </c>
      <c r="AI223" s="9">
        <f>SUMIFS(AD223:AD854, R223:R854, S223)</f>
        <v>0</v>
      </c>
      <c r="AJ223" s="11" t="e">
        <f>SUMIFS(AD223:AD854, R223:R854, S223, AD223:AD854, "&gt;" &amp; AE223) / AI223</f>
        <v>#DIV/0!</v>
      </c>
      <c r="AK223" s="7" t="e">
        <f>IF(AJ223&lt;=0.8,"A",IF(Table2[[#This Row],[Cumulative rev]]&lt;=0.95,"B","C"))</f>
        <v>#DIV/0!</v>
      </c>
    </row>
    <row r="224" spans="1:37" x14ac:dyDescent="0.3">
      <c r="A224" t="s">
        <v>237</v>
      </c>
      <c r="B224" s="4">
        <v>45854</v>
      </c>
      <c r="C224" s="4" t="s">
        <v>2104</v>
      </c>
      <c r="D224" s="4" t="s">
        <v>2101</v>
      </c>
      <c r="E224" s="4">
        <v>45855</v>
      </c>
      <c r="F224" t="s">
        <v>2064</v>
      </c>
      <c r="G224" s="4">
        <v>45855</v>
      </c>
      <c r="H224" s="4">
        <f>_xlfn.MINIFS(B224:B855, N224:N855, N224)</f>
        <v>44933</v>
      </c>
      <c r="I224" s="4" t="str">
        <f t="shared" si="6"/>
        <v>Jan-2023</v>
      </c>
      <c r="J224" s="13">
        <f t="shared" si="7"/>
        <v>31</v>
      </c>
      <c r="K224" s="13">
        <v>1</v>
      </c>
      <c r="L224" s="30" t="str">
        <f>IF(Table2[[#This Row],[LeadTimeDays]]&lt;7,"1","0")</f>
        <v>1</v>
      </c>
      <c r="M224" s="7" t="s">
        <v>646</v>
      </c>
      <c r="N224" s="7" t="s">
        <v>661</v>
      </c>
      <c r="O224" s="7" t="s">
        <v>687</v>
      </c>
      <c r="P224" s="7" t="s">
        <v>705</v>
      </c>
      <c r="Q224" s="7" t="s">
        <v>710</v>
      </c>
      <c r="R224" s="7" t="s">
        <v>717</v>
      </c>
      <c r="S224" s="7" t="s">
        <v>729</v>
      </c>
      <c r="T224" s="7" t="s">
        <v>1650</v>
      </c>
      <c r="U224" s="9">
        <v>1198.9000000000001</v>
      </c>
      <c r="V224" s="9">
        <v>2941.2</v>
      </c>
      <c r="W224" s="9">
        <v>2941.2</v>
      </c>
      <c r="X224" s="9">
        <v>865.9344000000001</v>
      </c>
      <c r="Y224" s="9">
        <v>1624.88</v>
      </c>
      <c r="Z224" s="9" t="s">
        <v>2095</v>
      </c>
      <c r="AA224" t="s">
        <v>2065</v>
      </c>
      <c r="AB224" s="11">
        <v>5.0999999999999997E-2</v>
      </c>
      <c r="AC224" t="s">
        <v>2065</v>
      </c>
      <c r="AD224" s="13">
        <v>24</v>
      </c>
      <c r="AE224" s="9">
        <v>66988.771199999988</v>
      </c>
      <c r="AF224" s="9">
        <v>28773.600000000002</v>
      </c>
      <c r="AG224" s="9">
        <v>38215.171199999982</v>
      </c>
      <c r="AH224" s="11">
        <v>0.57047129713583977</v>
      </c>
      <c r="AI224" s="9">
        <f>SUMIFS(AD224:AD855, R224:R855, S224)</f>
        <v>0</v>
      </c>
      <c r="AJ224" s="11" t="e">
        <f>SUMIFS(AD224:AD855, R224:R855, S224, AD224:AD855, "&gt;" &amp; AE224) / AI224</f>
        <v>#DIV/0!</v>
      </c>
      <c r="AK224" s="7" t="e">
        <f>IF(AJ224&lt;=0.8,"A",IF(Table2[[#This Row],[Cumulative rev]]&lt;=0.95,"B","C"))</f>
        <v>#DIV/0!</v>
      </c>
    </row>
    <row r="225" spans="1:37" x14ac:dyDescent="0.3">
      <c r="A225" t="s">
        <v>238</v>
      </c>
      <c r="B225" s="4">
        <v>45035</v>
      </c>
      <c r="C225" s="4" t="s">
        <v>2102</v>
      </c>
      <c r="D225" s="4" t="s">
        <v>2103</v>
      </c>
      <c r="E225" s="4">
        <v>45053</v>
      </c>
      <c r="F225" t="s">
        <v>2064</v>
      </c>
      <c r="G225" s="4">
        <v>45053</v>
      </c>
      <c r="H225" s="4">
        <f>_xlfn.MINIFS(B225:B856, N225:N856, N225)</f>
        <v>44945</v>
      </c>
      <c r="I225" s="4" t="str">
        <f t="shared" si="6"/>
        <v>Jan-2023</v>
      </c>
      <c r="J225" s="13">
        <f t="shared" si="7"/>
        <v>4</v>
      </c>
      <c r="K225" s="13">
        <v>18</v>
      </c>
      <c r="L225" s="30" t="str">
        <f>IF(Table2[[#This Row],[LeadTimeDays]]&lt;7,"1","0")</f>
        <v>0</v>
      </c>
      <c r="M225" s="7" t="s">
        <v>649</v>
      </c>
      <c r="N225" s="7" t="s">
        <v>658</v>
      </c>
      <c r="O225" s="7" t="s">
        <v>674</v>
      </c>
      <c r="P225" s="7" t="s">
        <v>706</v>
      </c>
      <c r="Q225" s="7" t="s">
        <v>707</v>
      </c>
      <c r="R225" s="7" t="s">
        <v>725</v>
      </c>
      <c r="S225" s="7" t="s">
        <v>731</v>
      </c>
      <c r="T225" s="7" t="s">
        <v>1651</v>
      </c>
      <c r="U225" s="9">
        <v>1089.1500000000001</v>
      </c>
      <c r="V225" s="9">
        <v>1088.2</v>
      </c>
      <c r="W225" s="9">
        <v>1088.2</v>
      </c>
      <c r="X225" s="9">
        <v>863.47259999999994</v>
      </c>
      <c r="Y225" s="9">
        <v>1623.1233999999999</v>
      </c>
      <c r="Z225" s="9" t="s">
        <v>2092</v>
      </c>
      <c r="AA225" t="s">
        <v>2065</v>
      </c>
      <c r="AB225" s="11">
        <v>5.0999999999999997E-2</v>
      </c>
      <c r="AC225" t="s">
        <v>2065</v>
      </c>
      <c r="AD225" s="13">
        <v>15</v>
      </c>
      <c r="AE225" s="9">
        <v>15490.527</v>
      </c>
      <c r="AF225" s="9">
        <v>16337.250000000002</v>
      </c>
      <c r="AG225" s="9">
        <v>-846.72300000000178</v>
      </c>
      <c r="AH225" s="11">
        <v>-5.4660696824582002E-2</v>
      </c>
      <c r="AI225" s="9">
        <f>SUMIFS(AD225:AD856, R225:R856, S225)</f>
        <v>0</v>
      </c>
      <c r="AJ225" s="11" t="e">
        <f>SUMIFS(AD225:AD856, R225:R856, S225, AD225:AD856, "&gt;" &amp; AE225) / AI225</f>
        <v>#DIV/0!</v>
      </c>
      <c r="AK225" s="7" t="e">
        <f>IF(AJ225&lt;=0.8,"A",IF(Table2[[#This Row],[Cumulative rev]]&lt;=0.95,"B","C"))</f>
        <v>#DIV/0!</v>
      </c>
    </row>
    <row r="226" spans="1:37" x14ac:dyDescent="0.3">
      <c r="A226" t="s">
        <v>239</v>
      </c>
      <c r="B226" s="4">
        <v>45279</v>
      </c>
      <c r="C226" s="4" t="s">
        <v>2088</v>
      </c>
      <c r="D226" s="4" t="s">
        <v>2089</v>
      </c>
      <c r="E226" s="4">
        <v>45280</v>
      </c>
      <c r="F226" t="s">
        <v>2064</v>
      </c>
      <c r="G226" s="4">
        <v>45280</v>
      </c>
      <c r="H226" s="4">
        <f>_xlfn.MINIFS(B226:B857, N226:N857, N226)</f>
        <v>44955</v>
      </c>
      <c r="I226" s="4" t="str">
        <f t="shared" si="6"/>
        <v>Jan-2023</v>
      </c>
      <c r="J226" s="13">
        <f t="shared" si="7"/>
        <v>11</v>
      </c>
      <c r="K226" s="13">
        <v>1</v>
      </c>
      <c r="L226" s="30" t="str">
        <f>IF(Table2[[#This Row],[LeadTimeDays]]&lt;7,"1","0")</f>
        <v>1</v>
      </c>
      <c r="M226" s="7" t="s">
        <v>648</v>
      </c>
      <c r="N226" s="7" t="s">
        <v>655</v>
      </c>
      <c r="O226" s="7" t="s">
        <v>1426</v>
      </c>
      <c r="P226" s="7" t="s">
        <v>704</v>
      </c>
      <c r="Q226" s="7" t="s">
        <v>710</v>
      </c>
      <c r="R226" s="7" t="s">
        <v>713</v>
      </c>
      <c r="S226" s="7" t="s">
        <v>730</v>
      </c>
      <c r="T226" s="7" t="s">
        <v>1652</v>
      </c>
      <c r="U226" s="9">
        <v>1080.43</v>
      </c>
      <c r="V226" s="9">
        <v>2529.15</v>
      </c>
      <c r="W226" s="9">
        <v>2529.15</v>
      </c>
      <c r="X226" s="9">
        <v>860.77860000000032</v>
      </c>
      <c r="Y226" s="9">
        <v>1624.5072000000002</v>
      </c>
      <c r="Z226" s="9" t="s">
        <v>2095</v>
      </c>
      <c r="AA226" t="s">
        <v>2065</v>
      </c>
      <c r="AB226" s="11">
        <v>0.14699999999999999</v>
      </c>
      <c r="AC226" t="s">
        <v>2065</v>
      </c>
      <c r="AD226" s="13">
        <v>10</v>
      </c>
      <c r="AE226" s="9">
        <v>21573.6495</v>
      </c>
      <c r="AF226" s="9">
        <v>10804.300000000001</v>
      </c>
      <c r="AG226" s="9">
        <v>10769.349499999998</v>
      </c>
      <c r="AH226" s="11">
        <v>0.49918997247081437</v>
      </c>
      <c r="AI226" s="9">
        <f>SUMIFS(AD226:AD857, R226:R857, S226)</f>
        <v>0</v>
      </c>
      <c r="AJ226" s="11" t="e">
        <f>SUMIFS(AD226:AD857, R226:R857, S226, AD226:AD857, "&gt;" &amp; AE226) / AI226</f>
        <v>#DIV/0!</v>
      </c>
      <c r="AK226" s="7" t="e">
        <f>IF(AJ226&lt;=0.8,"A",IF(Table2[[#This Row],[Cumulative rev]]&lt;=0.95,"B","C"))</f>
        <v>#DIV/0!</v>
      </c>
    </row>
    <row r="227" spans="1:37" x14ac:dyDescent="0.3">
      <c r="A227" t="s">
        <v>240</v>
      </c>
      <c r="B227" s="4">
        <v>45137</v>
      </c>
      <c r="C227" s="4" t="s">
        <v>2116</v>
      </c>
      <c r="D227" s="4" t="s">
        <v>2117</v>
      </c>
      <c r="E227" s="4">
        <v>45145</v>
      </c>
      <c r="F227" t="s">
        <v>2064</v>
      </c>
      <c r="G227" s="4">
        <v>45145</v>
      </c>
      <c r="H227" s="4">
        <f>_xlfn.MINIFS(B227:B858, N227:N858, N227)</f>
        <v>44988</v>
      </c>
      <c r="I227" s="4" t="str">
        <f t="shared" si="6"/>
        <v>Mar-2023</v>
      </c>
      <c r="J227" s="13">
        <f t="shared" si="7"/>
        <v>5</v>
      </c>
      <c r="K227" s="13">
        <v>8</v>
      </c>
      <c r="L227" s="30" t="str">
        <f>IF(Table2[[#This Row],[LeadTimeDays]]&lt;7,"1","0")</f>
        <v>0</v>
      </c>
      <c r="M227" s="7" t="s">
        <v>647</v>
      </c>
      <c r="N227" s="7" t="s">
        <v>652</v>
      </c>
      <c r="O227" s="7" t="s">
        <v>694</v>
      </c>
      <c r="P227" s="7" t="s">
        <v>702</v>
      </c>
      <c r="Q227" s="7" t="s">
        <v>709</v>
      </c>
      <c r="R227" s="7" t="s">
        <v>720</v>
      </c>
      <c r="S227" s="7" t="s">
        <v>729</v>
      </c>
      <c r="T227" s="7" t="s">
        <v>1653</v>
      </c>
      <c r="U227" s="9">
        <v>1352.44</v>
      </c>
      <c r="V227" s="9">
        <v>2698.01</v>
      </c>
      <c r="W227" s="9">
        <v>2698.01</v>
      </c>
      <c r="X227" s="9">
        <v>854.48550000000012</v>
      </c>
      <c r="Y227" s="9">
        <v>1621.8209999999999</v>
      </c>
      <c r="Z227" s="9" t="s">
        <v>2095</v>
      </c>
      <c r="AA227" t="s">
        <v>2065</v>
      </c>
      <c r="AB227" s="11">
        <v>0.13100000000000001</v>
      </c>
      <c r="AC227" t="s">
        <v>2065</v>
      </c>
      <c r="AD227" s="13">
        <v>13</v>
      </c>
      <c r="AE227" s="9">
        <v>30479.418970000002</v>
      </c>
      <c r="AF227" s="9">
        <v>17581.72</v>
      </c>
      <c r="AG227" s="9">
        <v>12897.698970000001</v>
      </c>
      <c r="AH227" s="11">
        <v>0.42316091992090887</v>
      </c>
      <c r="AI227" s="9">
        <f>SUMIFS(AD227:AD858, R227:R858, S227)</f>
        <v>0</v>
      </c>
      <c r="AJ227" s="11" t="e">
        <f>SUMIFS(AD227:AD858, R227:R858, S227, AD227:AD858, "&gt;" &amp; AE227) / AI227</f>
        <v>#DIV/0!</v>
      </c>
      <c r="AK227" s="7" t="e">
        <f>IF(AJ227&lt;=0.8,"A",IF(Table2[[#This Row],[Cumulative rev]]&lt;=0.95,"B","C"))</f>
        <v>#DIV/0!</v>
      </c>
    </row>
    <row r="228" spans="1:37" x14ac:dyDescent="0.3">
      <c r="A228" t="s">
        <v>241</v>
      </c>
      <c r="B228" s="4">
        <v>45203</v>
      </c>
      <c r="C228" s="4" t="s">
        <v>2125</v>
      </c>
      <c r="D228" s="4" t="s">
        <v>2089</v>
      </c>
      <c r="E228" s="4">
        <v>45228</v>
      </c>
      <c r="F228" t="s">
        <v>2064</v>
      </c>
      <c r="G228" s="4">
        <v>45228</v>
      </c>
      <c r="H228" s="4">
        <f>_xlfn.MINIFS(B228:B859, N228:N859, N228)</f>
        <v>44962</v>
      </c>
      <c r="I228" s="4" t="str">
        <f t="shared" si="6"/>
        <v>Feb-2023</v>
      </c>
      <c r="J228" s="13">
        <f t="shared" si="7"/>
        <v>8</v>
      </c>
      <c r="K228" s="13">
        <v>25</v>
      </c>
      <c r="L228" s="30" t="str">
        <f>IF(Table2[[#This Row],[LeadTimeDays]]&lt;7,"1","0")</f>
        <v>0</v>
      </c>
      <c r="M228" s="7" t="s">
        <v>648</v>
      </c>
      <c r="N228" s="7" t="s">
        <v>1425</v>
      </c>
      <c r="O228" s="7" t="s">
        <v>686</v>
      </c>
      <c r="P228" s="7" t="s">
        <v>705</v>
      </c>
      <c r="Q228" s="7" t="s">
        <v>710</v>
      </c>
      <c r="R228" s="7" t="s">
        <v>719</v>
      </c>
      <c r="S228" s="7" t="s">
        <v>733</v>
      </c>
      <c r="T228" s="7" t="s">
        <v>1654</v>
      </c>
      <c r="U228" s="9">
        <v>1239.8399999999999</v>
      </c>
      <c r="V228" s="9">
        <v>1482.75</v>
      </c>
      <c r="W228" s="9">
        <v>1482.75</v>
      </c>
      <c r="X228" s="9">
        <v>848.19239999999991</v>
      </c>
      <c r="Y228" s="9">
        <v>1619.61</v>
      </c>
      <c r="Z228" s="9" t="s">
        <v>2092</v>
      </c>
      <c r="AA228" t="s">
        <v>2065</v>
      </c>
      <c r="AB228" s="11">
        <v>6.7000000000000004E-2</v>
      </c>
      <c r="AC228" t="s">
        <v>2065</v>
      </c>
      <c r="AD228" s="13">
        <v>4</v>
      </c>
      <c r="AE228" s="9">
        <v>5533.6230000000005</v>
      </c>
      <c r="AF228" s="9">
        <v>4959.3599999999997</v>
      </c>
      <c r="AG228" s="9">
        <v>574.26300000000083</v>
      </c>
      <c r="AH228" s="11">
        <v>0.10377703721413634</v>
      </c>
      <c r="AI228" s="9">
        <f>SUMIFS(AD228:AD859, R228:R859, S228)</f>
        <v>0</v>
      </c>
      <c r="AJ228" s="11" t="e">
        <f>SUMIFS(AD228:AD859, R228:R859, S228, AD228:AD859, "&gt;" &amp; AE228) / AI228</f>
        <v>#DIV/0!</v>
      </c>
      <c r="AK228" s="7" t="e">
        <f>IF(AJ228&lt;=0.8,"A",IF(Table2[[#This Row],[Cumulative rev]]&lt;=0.95,"B","C"))</f>
        <v>#DIV/0!</v>
      </c>
    </row>
    <row r="229" spans="1:37" x14ac:dyDescent="0.3">
      <c r="A229" t="s">
        <v>242</v>
      </c>
      <c r="B229" s="4">
        <v>45879</v>
      </c>
      <c r="C229" s="4" t="s">
        <v>2121</v>
      </c>
      <c r="D229" s="4" t="s">
        <v>2101</v>
      </c>
      <c r="E229" s="4">
        <v>45899</v>
      </c>
      <c r="F229" t="s">
        <v>2064</v>
      </c>
      <c r="G229" s="4">
        <v>45899</v>
      </c>
      <c r="H229" s="4">
        <f>_xlfn.MINIFS(B229:B860, N229:N860, N229)</f>
        <v>44962</v>
      </c>
      <c r="I229" s="4" t="str">
        <f t="shared" si="6"/>
        <v>Feb-2023</v>
      </c>
      <c r="J229" s="13">
        <f t="shared" si="7"/>
        <v>31</v>
      </c>
      <c r="K229" s="13">
        <v>20</v>
      </c>
      <c r="L229" s="30" t="str">
        <f>IF(Table2[[#This Row],[LeadTimeDays]]&lt;7,"1","0")</f>
        <v>0</v>
      </c>
      <c r="M229" s="7" t="s">
        <v>648</v>
      </c>
      <c r="N229" s="7" t="s">
        <v>1425</v>
      </c>
      <c r="O229" s="7" t="s">
        <v>686</v>
      </c>
      <c r="P229" s="7" t="s">
        <v>701</v>
      </c>
      <c r="Q229" s="7" t="s">
        <v>709</v>
      </c>
      <c r="R229" s="7" t="s">
        <v>723</v>
      </c>
      <c r="S229" s="7" t="s">
        <v>728</v>
      </c>
      <c r="T229" s="7" t="s">
        <v>1655</v>
      </c>
      <c r="U229" s="9">
        <v>933.29</v>
      </c>
      <c r="V229" s="9">
        <v>1456.81</v>
      </c>
      <c r="W229" s="9">
        <v>1456.81</v>
      </c>
      <c r="X229" s="9">
        <v>842.05950000000007</v>
      </c>
      <c r="Y229" s="9">
        <v>1620.5450000000001</v>
      </c>
      <c r="Z229" s="9" t="s">
        <v>2092</v>
      </c>
      <c r="AA229" t="s">
        <v>2065</v>
      </c>
      <c r="AB229" s="11">
        <v>0.123</v>
      </c>
      <c r="AC229" t="s">
        <v>2065</v>
      </c>
      <c r="AD229" s="13">
        <v>13</v>
      </c>
      <c r="AE229" s="9">
        <v>16609.090809999998</v>
      </c>
      <c r="AF229" s="9">
        <v>12132.77</v>
      </c>
      <c r="AG229" s="9">
        <v>4476.3208099999974</v>
      </c>
      <c r="AH229" s="11">
        <v>0.26951028573489977</v>
      </c>
      <c r="AI229" s="9">
        <f>SUMIFS(AD229:AD860, R229:R860, S229)</f>
        <v>0</v>
      </c>
      <c r="AJ229" s="11" t="e">
        <f>SUMIFS(AD229:AD860, R229:R860, S229, AD229:AD860, "&gt;" &amp; AE229) / AI229</f>
        <v>#DIV/0!</v>
      </c>
      <c r="AK229" s="7" t="e">
        <f>IF(AJ229&lt;=0.8,"A",IF(Table2[[#This Row],[Cumulative rev]]&lt;=0.95,"B","C"))</f>
        <v>#DIV/0!</v>
      </c>
    </row>
    <row r="230" spans="1:37" x14ac:dyDescent="0.3">
      <c r="A230" t="s">
        <v>243</v>
      </c>
      <c r="B230" s="4">
        <v>44992</v>
      </c>
      <c r="C230" s="4" t="s">
        <v>2114</v>
      </c>
      <c r="D230" s="4" t="s">
        <v>2085</v>
      </c>
      <c r="E230" s="4">
        <v>45017</v>
      </c>
      <c r="F230" t="s">
        <v>2064</v>
      </c>
      <c r="G230" s="4">
        <v>45017</v>
      </c>
      <c r="H230" s="4">
        <f>_xlfn.MINIFS(B230:B861, N230:N861, N230)</f>
        <v>44978</v>
      </c>
      <c r="I230" s="4" t="str">
        <f t="shared" si="6"/>
        <v>Feb-2023</v>
      </c>
      <c r="J230" s="13">
        <f t="shared" si="7"/>
        <v>1</v>
      </c>
      <c r="K230" s="13">
        <v>25</v>
      </c>
      <c r="L230" s="30" t="str">
        <f>IF(Table2[[#This Row],[LeadTimeDays]]&lt;7,"1","0")</f>
        <v>0</v>
      </c>
      <c r="M230" s="7" t="s">
        <v>646</v>
      </c>
      <c r="N230" s="7" t="s">
        <v>650</v>
      </c>
      <c r="O230" s="7" t="s">
        <v>664</v>
      </c>
      <c r="P230" s="7" t="s">
        <v>704</v>
      </c>
      <c r="Q230" s="7" t="s">
        <v>709</v>
      </c>
      <c r="R230" s="7" t="s">
        <v>726</v>
      </c>
      <c r="S230" s="7" t="s">
        <v>728</v>
      </c>
      <c r="T230" s="7" t="s">
        <v>1656</v>
      </c>
      <c r="U230" s="9">
        <v>1024.0999999999999</v>
      </c>
      <c r="V230" s="9">
        <v>918.19</v>
      </c>
      <c r="W230" s="9">
        <v>918.19</v>
      </c>
      <c r="X230" s="9">
        <v>841.053</v>
      </c>
      <c r="Y230" s="9">
        <v>1621.9023999999999</v>
      </c>
      <c r="Z230" s="9" t="s">
        <v>2092</v>
      </c>
      <c r="AA230" t="s">
        <v>2065</v>
      </c>
      <c r="AB230" s="11">
        <v>0.189</v>
      </c>
      <c r="AC230" t="s">
        <v>2065</v>
      </c>
      <c r="AD230" s="13">
        <v>10</v>
      </c>
      <c r="AE230" s="9">
        <v>7446.5209000000004</v>
      </c>
      <c r="AF230" s="9">
        <v>10241</v>
      </c>
      <c r="AG230" s="9">
        <v>-2794.4790999999996</v>
      </c>
      <c r="AH230" s="11">
        <v>-0.37527311579827827</v>
      </c>
      <c r="AI230" s="9">
        <f>SUMIFS(AD230:AD861, R230:R861, S230)</f>
        <v>0</v>
      </c>
      <c r="AJ230" s="11" t="e">
        <f>SUMIFS(AD230:AD861, R230:R861, S230, AD230:AD861, "&gt;" &amp; AE230) / AI230</f>
        <v>#DIV/0!</v>
      </c>
      <c r="AK230" s="7" t="e">
        <f>IF(AJ230&lt;=0.8,"A",IF(Table2[[#This Row],[Cumulative rev]]&lt;=0.95,"B","C"))</f>
        <v>#DIV/0!</v>
      </c>
    </row>
    <row r="231" spans="1:37" x14ac:dyDescent="0.3">
      <c r="A231" t="s">
        <v>244</v>
      </c>
      <c r="B231" s="4">
        <v>45069</v>
      </c>
      <c r="C231" s="4" t="s">
        <v>2107</v>
      </c>
      <c r="D231" s="4" t="s">
        <v>2103</v>
      </c>
      <c r="E231" s="4">
        <v>45087</v>
      </c>
      <c r="F231" t="s">
        <v>2064</v>
      </c>
      <c r="G231" s="4">
        <v>45087</v>
      </c>
      <c r="H231" s="4">
        <f>_xlfn.MINIFS(B231:B862, N231:N862, N231)</f>
        <v>44938</v>
      </c>
      <c r="I231" s="4" t="str">
        <f t="shared" si="6"/>
        <v>Jan-2023</v>
      </c>
      <c r="J231" s="13">
        <f t="shared" si="7"/>
        <v>5</v>
      </c>
      <c r="K231" s="13">
        <v>18</v>
      </c>
      <c r="L231" s="30" t="str">
        <f>IF(Table2[[#This Row],[LeadTimeDays]]&lt;7,"1","0")</f>
        <v>0</v>
      </c>
      <c r="M231" s="7" t="s">
        <v>647</v>
      </c>
      <c r="N231" s="7" t="s">
        <v>659</v>
      </c>
      <c r="O231" s="7" t="s">
        <v>685</v>
      </c>
      <c r="P231" s="7" t="s">
        <v>701</v>
      </c>
      <c r="Q231" s="7" t="s">
        <v>710</v>
      </c>
      <c r="R231" s="7" t="s">
        <v>718</v>
      </c>
      <c r="S231" s="7" t="s">
        <v>727</v>
      </c>
      <c r="T231" s="7" t="s">
        <v>1657</v>
      </c>
      <c r="U231" s="9">
        <v>54.62</v>
      </c>
      <c r="V231" s="9">
        <v>48.94</v>
      </c>
      <c r="W231" s="9">
        <v>48.94</v>
      </c>
      <c r="X231" s="9">
        <v>840.04650000000004</v>
      </c>
      <c r="Y231" s="9">
        <v>1623.2862</v>
      </c>
      <c r="Z231" s="9" t="s">
        <v>2081</v>
      </c>
      <c r="AA231" t="s">
        <v>2065</v>
      </c>
      <c r="AB231" s="11">
        <v>0.14799999999999999</v>
      </c>
      <c r="AC231" t="s">
        <v>2065</v>
      </c>
      <c r="AD231" s="13">
        <v>16</v>
      </c>
      <c r="AE231" s="9">
        <v>667.15008</v>
      </c>
      <c r="AF231" s="9">
        <v>873.92</v>
      </c>
      <c r="AG231" s="9">
        <v>-206.76991999999996</v>
      </c>
      <c r="AH231" s="11">
        <v>-0.3099301434543783</v>
      </c>
      <c r="AI231" s="9">
        <f>SUMIFS(AD231:AD862, R231:R862, S231)</f>
        <v>0</v>
      </c>
      <c r="AJ231" s="11" t="e">
        <f>SUMIFS(AD231:AD862, R231:R862, S231, AD231:AD862, "&gt;" &amp; AE231) / AI231</f>
        <v>#DIV/0!</v>
      </c>
      <c r="AK231" s="7" t="e">
        <f>IF(AJ231&lt;=0.8,"A",IF(Table2[[#This Row],[Cumulative rev]]&lt;=0.95,"B","C"))</f>
        <v>#DIV/0!</v>
      </c>
    </row>
    <row r="232" spans="1:37" x14ac:dyDescent="0.3">
      <c r="A232" t="s">
        <v>245</v>
      </c>
      <c r="B232" s="4">
        <v>45771</v>
      </c>
      <c r="C232" s="4" t="s">
        <v>2111</v>
      </c>
      <c r="D232" s="4" t="s">
        <v>2097</v>
      </c>
      <c r="E232" s="4">
        <v>45783</v>
      </c>
      <c r="F232" t="s">
        <v>2064</v>
      </c>
      <c r="G232" s="4">
        <v>45783</v>
      </c>
      <c r="H232" s="4">
        <f>_xlfn.MINIFS(B232:B863, N232:N863, N232)</f>
        <v>44955</v>
      </c>
      <c r="I232" s="4" t="str">
        <f t="shared" si="6"/>
        <v>Jan-2023</v>
      </c>
      <c r="J232" s="13">
        <f t="shared" si="7"/>
        <v>27</v>
      </c>
      <c r="K232" s="13">
        <v>12</v>
      </c>
      <c r="L232" s="30" t="str">
        <f>IF(Table2[[#This Row],[LeadTimeDays]]&lt;7,"1","0")</f>
        <v>0</v>
      </c>
      <c r="M232" s="7" t="s">
        <v>648</v>
      </c>
      <c r="N232" s="7" t="s">
        <v>655</v>
      </c>
      <c r="O232" s="7" t="s">
        <v>672</v>
      </c>
      <c r="P232" s="7" t="s">
        <v>704</v>
      </c>
      <c r="Q232" s="7" t="s">
        <v>708</v>
      </c>
      <c r="R232" s="7" t="s">
        <v>712</v>
      </c>
      <c r="S232" s="7" t="s">
        <v>730</v>
      </c>
      <c r="T232" s="7" t="s">
        <v>1658</v>
      </c>
      <c r="U232" s="9">
        <v>394.13</v>
      </c>
      <c r="V232" s="9">
        <v>932.29</v>
      </c>
      <c r="W232" s="9">
        <v>932.29</v>
      </c>
      <c r="X232" s="9">
        <v>842.09</v>
      </c>
      <c r="Y232" s="9">
        <v>1624.67</v>
      </c>
      <c r="Z232" s="9" t="s">
        <v>2092</v>
      </c>
      <c r="AA232" t="s">
        <v>2065</v>
      </c>
      <c r="AB232" s="11">
        <v>0.109</v>
      </c>
      <c r="AC232" t="s">
        <v>2065</v>
      </c>
      <c r="AD232" s="13">
        <v>7</v>
      </c>
      <c r="AE232" s="9">
        <v>5814.6927299999998</v>
      </c>
      <c r="AF232" s="9">
        <v>2758.91</v>
      </c>
      <c r="AG232" s="9">
        <v>3055.7827299999999</v>
      </c>
      <c r="AH232" s="11">
        <v>0.5255278089303268</v>
      </c>
      <c r="AI232" s="9">
        <f>SUMIFS(AD232:AD863, R232:R863, S232)</f>
        <v>0</v>
      </c>
      <c r="AJ232" s="11" t="e">
        <f>SUMIFS(AD232:AD863, R232:R863, S232, AD232:AD863, "&gt;" &amp; AE232) / AI232</f>
        <v>#DIV/0!</v>
      </c>
      <c r="AK232" s="7" t="e">
        <f>IF(AJ232&lt;=0.8,"A",IF(Table2[[#This Row],[Cumulative rev]]&lt;=0.95,"B","C"))</f>
        <v>#DIV/0!</v>
      </c>
    </row>
    <row r="233" spans="1:37" x14ac:dyDescent="0.3">
      <c r="A233" t="s">
        <v>246</v>
      </c>
      <c r="B233" s="4">
        <v>45538</v>
      </c>
      <c r="C233" s="4" t="s">
        <v>2122</v>
      </c>
      <c r="D233" s="4" t="s">
        <v>2106</v>
      </c>
      <c r="E233" s="4">
        <v>45543</v>
      </c>
      <c r="F233" t="s">
        <v>2064</v>
      </c>
      <c r="G233" s="4">
        <v>45543</v>
      </c>
      <c r="H233" s="4">
        <f>_xlfn.MINIFS(B233:B864, N233:N864, N233)</f>
        <v>44968</v>
      </c>
      <c r="I233" s="4" t="str">
        <f t="shared" si="6"/>
        <v>Feb-2023</v>
      </c>
      <c r="J233" s="13">
        <f t="shared" si="7"/>
        <v>19</v>
      </c>
      <c r="K233" s="13">
        <v>5</v>
      </c>
      <c r="L233" s="30" t="str">
        <f>IF(Table2[[#This Row],[LeadTimeDays]]&lt;7,"1","0")</f>
        <v>1</v>
      </c>
      <c r="M233" s="7" t="s">
        <v>646</v>
      </c>
      <c r="N233" s="7" t="s">
        <v>651</v>
      </c>
      <c r="O233" s="7" t="s">
        <v>665</v>
      </c>
      <c r="P233" s="7" t="s">
        <v>705</v>
      </c>
      <c r="Q233" s="7" t="s">
        <v>711</v>
      </c>
      <c r="R233" s="7" t="s">
        <v>723</v>
      </c>
      <c r="S233" s="7" t="s">
        <v>728</v>
      </c>
      <c r="T233" s="7" t="s">
        <v>1659</v>
      </c>
      <c r="U233" s="9">
        <v>197.63</v>
      </c>
      <c r="V233" s="9">
        <v>325.79000000000002</v>
      </c>
      <c r="W233" s="9">
        <v>325.79000000000002</v>
      </c>
      <c r="X233" s="9">
        <v>841.08350000000007</v>
      </c>
      <c r="Y233" s="9">
        <v>1624.9250000000002</v>
      </c>
      <c r="Z233" s="9" t="s">
        <v>2081</v>
      </c>
      <c r="AA233" t="s">
        <v>2065</v>
      </c>
      <c r="AB233" s="11">
        <v>0.11600000000000001</v>
      </c>
      <c r="AC233" t="s">
        <v>2065</v>
      </c>
      <c r="AD233" s="13">
        <v>10</v>
      </c>
      <c r="AE233" s="9">
        <v>2879.9836</v>
      </c>
      <c r="AF233" s="9">
        <v>1976.3</v>
      </c>
      <c r="AG233" s="9">
        <v>903.68360000000007</v>
      </c>
      <c r="AH233" s="11">
        <v>0.31378081458519419</v>
      </c>
      <c r="AI233" s="9">
        <f>SUMIFS(AD233:AD864, R233:R864, S233)</f>
        <v>0</v>
      </c>
      <c r="AJ233" s="11" t="e">
        <f>SUMIFS(AD233:AD864, R233:R864, S233, AD233:AD864, "&gt;" &amp; AE233) / AI233</f>
        <v>#DIV/0!</v>
      </c>
      <c r="AK233" s="7" t="e">
        <f>IF(AJ233&lt;=0.8,"A",IF(Table2[[#This Row],[Cumulative rev]]&lt;=0.95,"B","C"))</f>
        <v>#DIV/0!</v>
      </c>
    </row>
    <row r="234" spans="1:37" x14ac:dyDescent="0.3">
      <c r="A234" t="s">
        <v>247</v>
      </c>
      <c r="B234" s="4">
        <v>45540</v>
      </c>
      <c r="C234" s="4" t="s">
        <v>2122</v>
      </c>
      <c r="D234" s="4" t="s">
        <v>2106</v>
      </c>
      <c r="E234" s="4">
        <v>45560</v>
      </c>
      <c r="F234" t="s">
        <v>2064</v>
      </c>
      <c r="G234" s="4">
        <v>45560</v>
      </c>
      <c r="H234" s="4">
        <f>_xlfn.MINIFS(B234:B865, N234:N865, N234)</f>
        <v>44988</v>
      </c>
      <c r="I234" s="4" t="str">
        <f t="shared" si="6"/>
        <v>Mar-2023</v>
      </c>
      <c r="J234" s="13">
        <f t="shared" si="7"/>
        <v>19</v>
      </c>
      <c r="K234" s="13">
        <v>20</v>
      </c>
      <c r="L234" s="30" t="str">
        <f>IF(Table2[[#This Row],[LeadTimeDays]]&lt;7,"1","0")</f>
        <v>0</v>
      </c>
      <c r="M234" s="7" t="s">
        <v>647</v>
      </c>
      <c r="N234" s="7" t="s">
        <v>652</v>
      </c>
      <c r="O234" s="7" t="s">
        <v>666</v>
      </c>
      <c r="P234" s="7" t="s">
        <v>706</v>
      </c>
      <c r="Q234" s="7" t="s">
        <v>710</v>
      </c>
      <c r="R234" s="7" t="s">
        <v>726</v>
      </c>
      <c r="S234" s="7" t="s">
        <v>732</v>
      </c>
      <c r="T234" s="7" t="s">
        <v>1660</v>
      </c>
      <c r="U234" s="9">
        <v>195.54</v>
      </c>
      <c r="V234" s="9">
        <v>405.97</v>
      </c>
      <c r="W234" s="9">
        <v>405.97</v>
      </c>
      <c r="X234" s="9">
        <v>848.57380000000012</v>
      </c>
      <c r="Y234" s="9">
        <v>1625.18</v>
      </c>
      <c r="Z234" s="9" t="s">
        <v>2081</v>
      </c>
      <c r="AA234" t="s">
        <v>2065</v>
      </c>
      <c r="AB234" s="11">
        <v>0.187</v>
      </c>
      <c r="AC234" t="s">
        <v>2065</v>
      </c>
      <c r="AD234" s="13">
        <v>16</v>
      </c>
      <c r="AE234" s="9">
        <v>5280.8577599999999</v>
      </c>
      <c r="AF234" s="9">
        <v>3128.64</v>
      </c>
      <c r="AG234" s="9">
        <v>2152.21776</v>
      </c>
      <c r="AH234" s="11">
        <v>0.40755079152141377</v>
      </c>
      <c r="AI234" s="9">
        <f>SUMIFS(AD234:AD865, R234:R865, S234)</f>
        <v>0</v>
      </c>
      <c r="AJ234" s="11" t="e">
        <f>SUMIFS(AD234:AD865, R234:R865, S234, AD234:AD865, "&gt;" &amp; AE234) / AI234</f>
        <v>#DIV/0!</v>
      </c>
      <c r="AK234" s="7" t="e">
        <f>IF(AJ234&lt;=0.8,"A",IF(Table2[[#This Row],[Cumulative rev]]&lt;=0.95,"B","C"))</f>
        <v>#DIV/0!</v>
      </c>
    </row>
    <row r="235" spans="1:37" x14ac:dyDescent="0.3">
      <c r="A235" t="s">
        <v>248</v>
      </c>
      <c r="B235" s="4">
        <v>44999</v>
      </c>
      <c r="C235" s="4" t="s">
        <v>2114</v>
      </c>
      <c r="D235" s="4" t="s">
        <v>2085</v>
      </c>
      <c r="E235" s="4">
        <v>45015</v>
      </c>
      <c r="F235" t="s">
        <v>2064</v>
      </c>
      <c r="G235" s="4">
        <v>45015</v>
      </c>
      <c r="H235" s="4">
        <f>_xlfn.MINIFS(B235:B866, N235:N866, N235)</f>
        <v>44933</v>
      </c>
      <c r="I235" s="4" t="str">
        <f t="shared" si="6"/>
        <v>Jan-2023</v>
      </c>
      <c r="J235" s="13">
        <f t="shared" si="7"/>
        <v>3</v>
      </c>
      <c r="K235" s="13">
        <v>16</v>
      </c>
      <c r="L235" s="30" t="str">
        <f>IF(Table2[[#This Row],[LeadTimeDays]]&lt;7,"1","0")</f>
        <v>0</v>
      </c>
      <c r="M235" s="7" t="s">
        <v>646</v>
      </c>
      <c r="N235" s="7" t="s">
        <v>661</v>
      </c>
      <c r="O235" s="7" t="s">
        <v>695</v>
      </c>
      <c r="P235" s="7" t="s">
        <v>704</v>
      </c>
      <c r="Q235" s="7" t="s">
        <v>710</v>
      </c>
      <c r="R235" s="7" t="s">
        <v>723</v>
      </c>
      <c r="S235" s="7" t="s">
        <v>727</v>
      </c>
      <c r="T235" s="7" t="s">
        <v>1661</v>
      </c>
      <c r="U235" s="9">
        <v>1309.77</v>
      </c>
      <c r="V235" s="9">
        <v>1589.07</v>
      </c>
      <c r="W235" s="9">
        <v>1589.07</v>
      </c>
      <c r="X235" s="9">
        <v>861.23460000000011</v>
      </c>
      <c r="Y235" s="9">
        <v>1625.5194000000004</v>
      </c>
      <c r="Z235" s="9" t="s">
        <v>2092</v>
      </c>
      <c r="AA235" t="s">
        <v>2065</v>
      </c>
      <c r="AB235" s="11">
        <v>0.10199999999999999</v>
      </c>
      <c r="AC235" t="s">
        <v>2065</v>
      </c>
      <c r="AD235" s="13">
        <v>10</v>
      </c>
      <c r="AE235" s="9">
        <v>14269.848599999999</v>
      </c>
      <c r="AF235" s="9">
        <v>13097.7</v>
      </c>
      <c r="AG235" s="9">
        <v>1172.1485999999986</v>
      </c>
      <c r="AH235" s="11">
        <v>8.2141628328137886E-2</v>
      </c>
      <c r="AI235" s="9">
        <f>SUMIFS(AD235:AD866, R235:R866, S235)</f>
        <v>0</v>
      </c>
      <c r="AJ235" s="11" t="e">
        <f>SUMIFS(AD235:AD866, R235:R866, S235, AD235:AD866, "&gt;" &amp; AE235) / AI235</f>
        <v>#DIV/0!</v>
      </c>
      <c r="AK235" s="7" t="e">
        <f>IF(AJ235&lt;=0.8,"A",IF(Table2[[#This Row],[Cumulative rev]]&lt;=0.95,"B","C"))</f>
        <v>#DIV/0!</v>
      </c>
    </row>
    <row r="236" spans="1:37" x14ac:dyDescent="0.3">
      <c r="A236" t="s">
        <v>249</v>
      </c>
      <c r="B236" s="4">
        <v>45302</v>
      </c>
      <c r="C236" s="4" t="s">
        <v>2098</v>
      </c>
      <c r="D236" s="4" t="s">
        <v>2080</v>
      </c>
      <c r="E236" s="4">
        <v>45324</v>
      </c>
      <c r="F236" t="s">
        <v>2064</v>
      </c>
      <c r="G236" s="4">
        <v>45324</v>
      </c>
      <c r="H236" s="4">
        <f>_xlfn.MINIFS(B236:B867, N236:N867, N236)</f>
        <v>44988</v>
      </c>
      <c r="I236" s="4" t="str">
        <f t="shared" si="6"/>
        <v>Mar-2023</v>
      </c>
      <c r="J236" s="13">
        <f t="shared" si="7"/>
        <v>11</v>
      </c>
      <c r="K236" s="13">
        <v>22</v>
      </c>
      <c r="L236" s="30" t="str">
        <f>IF(Table2[[#This Row],[LeadTimeDays]]&lt;7,"1","0")</f>
        <v>0</v>
      </c>
      <c r="M236" s="7" t="s">
        <v>647</v>
      </c>
      <c r="N236" s="7" t="s">
        <v>652</v>
      </c>
      <c r="O236" s="7" t="s">
        <v>694</v>
      </c>
      <c r="P236" s="7" t="s">
        <v>705</v>
      </c>
      <c r="Q236" s="7" t="s">
        <v>708</v>
      </c>
      <c r="R236" s="7" t="s">
        <v>2057</v>
      </c>
      <c r="S236" s="7" t="s">
        <v>728</v>
      </c>
      <c r="T236" s="7" t="s">
        <v>1662</v>
      </c>
      <c r="U236" s="9">
        <v>1237.68</v>
      </c>
      <c r="V236" s="9">
        <v>1432.8</v>
      </c>
      <c r="W236" s="9">
        <v>1432.8</v>
      </c>
      <c r="X236" s="9">
        <v>855.05760000000009</v>
      </c>
      <c r="Y236" s="9">
        <v>1627.2092000000002</v>
      </c>
      <c r="Z236" s="9" t="s">
        <v>2092</v>
      </c>
      <c r="AA236" t="s">
        <v>2065</v>
      </c>
      <c r="AB236" s="11">
        <v>6.8000000000000005E-2</v>
      </c>
      <c r="AC236" t="s">
        <v>2065</v>
      </c>
      <c r="AD236" s="13">
        <v>13</v>
      </c>
      <c r="AE236" s="9">
        <v>17359.804799999998</v>
      </c>
      <c r="AF236" s="9">
        <v>16089.84</v>
      </c>
      <c r="AG236" s="9">
        <v>1269.9647999999979</v>
      </c>
      <c r="AH236" s="11">
        <v>7.315547695559331E-2</v>
      </c>
      <c r="AI236" s="9">
        <f>SUMIFS(AD236:AD867, R236:R867, S236)</f>
        <v>0</v>
      </c>
      <c r="AJ236" s="11" t="e">
        <f>SUMIFS(AD236:AD867, R236:R867, S236, AD236:AD867, "&gt;" &amp; AE236) / AI236</f>
        <v>#DIV/0!</v>
      </c>
      <c r="AK236" s="7" t="e">
        <f>IF(AJ236&lt;=0.8,"A",IF(Table2[[#This Row],[Cumulative rev]]&lt;=0.95,"B","C"))</f>
        <v>#DIV/0!</v>
      </c>
    </row>
    <row r="237" spans="1:37" x14ac:dyDescent="0.3">
      <c r="A237" t="s">
        <v>250</v>
      </c>
      <c r="B237" s="4">
        <v>45548</v>
      </c>
      <c r="C237" s="4" t="s">
        <v>2122</v>
      </c>
      <c r="D237" s="4" t="s">
        <v>2106</v>
      </c>
      <c r="E237" s="4">
        <v>45567</v>
      </c>
      <c r="F237" t="s">
        <v>2064</v>
      </c>
      <c r="G237" s="4">
        <v>45567</v>
      </c>
      <c r="H237" s="4">
        <f>_xlfn.MINIFS(B237:B868, N237:N868, N237)</f>
        <v>44978</v>
      </c>
      <c r="I237" s="4" t="str">
        <f t="shared" si="6"/>
        <v>Feb-2023</v>
      </c>
      <c r="J237" s="13">
        <f t="shared" si="7"/>
        <v>19</v>
      </c>
      <c r="K237" s="13">
        <v>19</v>
      </c>
      <c r="L237" s="30" t="str">
        <f>IF(Table2[[#This Row],[LeadTimeDays]]&lt;7,"1","0")</f>
        <v>0</v>
      </c>
      <c r="M237" s="7" t="s">
        <v>646</v>
      </c>
      <c r="N237" s="7" t="s">
        <v>650</v>
      </c>
      <c r="O237" s="7" t="s">
        <v>675</v>
      </c>
      <c r="P237" s="7" t="s">
        <v>705</v>
      </c>
      <c r="Q237" s="7" t="s">
        <v>707</v>
      </c>
      <c r="R237" s="7" t="s">
        <v>724</v>
      </c>
      <c r="S237" s="7" t="s">
        <v>730</v>
      </c>
      <c r="T237" s="7" t="s">
        <v>1663</v>
      </c>
      <c r="U237" s="9">
        <v>1338.99</v>
      </c>
      <c r="V237" s="9">
        <v>1765.76</v>
      </c>
      <c r="W237" s="9">
        <v>1765.76</v>
      </c>
      <c r="X237" s="9">
        <v>848.76449999999988</v>
      </c>
      <c r="Y237" s="9">
        <v>1628.8990000000001</v>
      </c>
      <c r="Z237" s="9" t="s">
        <v>2095</v>
      </c>
      <c r="AA237" t="s">
        <v>2065</v>
      </c>
      <c r="AB237" s="11">
        <v>0.126</v>
      </c>
      <c r="AC237" t="s">
        <v>2065</v>
      </c>
      <c r="AD237" s="13">
        <v>24</v>
      </c>
      <c r="AE237" s="9">
        <v>37038.581760000001</v>
      </c>
      <c r="AF237" s="9">
        <v>32135.760000000002</v>
      </c>
      <c r="AG237" s="9">
        <v>4902.8217599999989</v>
      </c>
      <c r="AH237" s="11">
        <v>0.1323706666677725</v>
      </c>
      <c r="AI237" s="9">
        <f>SUMIFS(AD237:AD868, R237:R868, S237)</f>
        <v>0</v>
      </c>
      <c r="AJ237" s="11" t="e">
        <f>SUMIFS(AD237:AD868, R237:R868, S237, AD237:AD868, "&gt;" &amp; AE237) / AI237</f>
        <v>#DIV/0!</v>
      </c>
      <c r="AK237" s="7" t="e">
        <f>IF(AJ237&lt;=0.8,"A",IF(Table2[[#This Row],[Cumulative rev]]&lt;=0.95,"B","C"))</f>
        <v>#DIV/0!</v>
      </c>
    </row>
    <row r="238" spans="1:37" x14ac:dyDescent="0.3">
      <c r="A238" t="s">
        <v>251</v>
      </c>
      <c r="B238" s="4">
        <v>45855</v>
      </c>
      <c r="C238" s="4" t="s">
        <v>2104</v>
      </c>
      <c r="D238" s="4" t="s">
        <v>2101</v>
      </c>
      <c r="E238" s="4">
        <v>45861</v>
      </c>
      <c r="F238" t="s">
        <v>2064</v>
      </c>
      <c r="G238" s="4">
        <v>45861</v>
      </c>
      <c r="H238" s="4">
        <f>_xlfn.MINIFS(B238:B869, N238:N869, N238)</f>
        <v>44989</v>
      </c>
      <c r="I238" s="4" t="str">
        <f t="shared" si="6"/>
        <v>Mar-2023</v>
      </c>
      <c r="J238" s="13">
        <f t="shared" si="7"/>
        <v>29</v>
      </c>
      <c r="K238" s="13">
        <v>6</v>
      </c>
      <c r="L238" s="30" t="str">
        <f>IF(Table2[[#This Row],[LeadTimeDays]]&lt;7,"1","0")</f>
        <v>1</v>
      </c>
      <c r="M238" s="7" t="s">
        <v>648</v>
      </c>
      <c r="N238" s="7" t="s">
        <v>653</v>
      </c>
      <c r="O238" s="7" t="s">
        <v>688</v>
      </c>
      <c r="P238" s="7" t="s">
        <v>704</v>
      </c>
      <c r="Q238" s="7" t="s">
        <v>708</v>
      </c>
      <c r="R238" s="7" t="s">
        <v>722</v>
      </c>
      <c r="S238" s="7" t="s">
        <v>727</v>
      </c>
      <c r="T238" s="7" t="s">
        <v>1664</v>
      </c>
      <c r="U238" s="9">
        <v>1364.89</v>
      </c>
      <c r="V238" s="9">
        <v>2757.54</v>
      </c>
      <c r="W238" s="9">
        <v>2757.54</v>
      </c>
      <c r="X238" s="9">
        <v>842.47140000000024</v>
      </c>
      <c r="Y238" s="9">
        <v>1625.6188000000002</v>
      </c>
      <c r="Z238" s="9" t="s">
        <v>2095</v>
      </c>
      <c r="AA238" t="s">
        <v>2065</v>
      </c>
      <c r="AB238" s="11">
        <v>0.17199999999999999</v>
      </c>
      <c r="AC238" t="s">
        <v>2065</v>
      </c>
      <c r="AD238" s="13">
        <v>61</v>
      </c>
      <c r="AE238" s="9">
        <v>139277.83032000001</v>
      </c>
      <c r="AF238" s="9">
        <v>83258.290000000008</v>
      </c>
      <c r="AG238" s="9">
        <v>56019.54032</v>
      </c>
      <c r="AH238" s="11">
        <v>0.4022143379983118</v>
      </c>
      <c r="AI238" s="9">
        <f>SUMIFS(AD238:AD869, R238:R869, S238)</f>
        <v>0</v>
      </c>
      <c r="AJ238" s="11" t="e">
        <f>SUMIFS(AD238:AD869, R238:R869, S238, AD238:AD869, "&gt;" &amp; AE238) / AI238</f>
        <v>#DIV/0!</v>
      </c>
      <c r="AK238" s="7" t="e">
        <f>IF(AJ238&lt;=0.8,"A",IF(Table2[[#This Row],[Cumulative rev]]&lt;=0.95,"B","C"))</f>
        <v>#DIV/0!</v>
      </c>
    </row>
    <row r="239" spans="1:37" x14ac:dyDescent="0.3">
      <c r="A239" t="s">
        <v>252</v>
      </c>
      <c r="B239" s="4">
        <v>45258</v>
      </c>
      <c r="C239" s="4" t="s">
        <v>2123</v>
      </c>
      <c r="D239" s="4" t="s">
        <v>2089</v>
      </c>
      <c r="E239" s="4">
        <v>45267</v>
      </c>
      <c r="F239" t="s">
        <v>2064</v>
      </c>
      <c r="G239" s="4">
        <v>45267</v>
      </c>
      <c r="H239" s="4">
        <f>_xlfn.MINIFS(B239:B870, N239:N870, N239)</f>
        <v>45048</v>
      </c>
      <c r="I239" s="4" t="str">
        <f t="shared" si="6"/>
        <v>May-2023</v>
      </c>
      <c r="J239" s="13">
        <f t="shared" si="7"/>
        <v>7</v>
      </c>
      <c r="K239" s="13">
        <v>9</v>
      </c>
      <c r="L239" s="30" t="str">
        <f>IF(Table2[[#This Row],[LeadTimeDays]]&lt;7,"1","0")</f>
        <v>0</v>
      </c>
      <c r="M239" s="7" t="s">
        <v>647</v>
      </c>
      <c r="N239" s="7" t="s">
        <v>654</v>
      </c>
      <c r="O239" s="7" t="s">
        <v>680</v>
      </c>
      <c r="P239" s="7" t="s">
        <v>706</v>
      </c>
      <c r="Q239" s="7" t="s">
        <v>709</v>
      </c>
      <c r="R239" s="7" t="s">
        <v>716</v>
      </c>
      <c r="S239" s="7" t="s">
        <v>730</v>
      </c>
      <c r="T239" s="7" t="s">
        <v>1665</v>
      </c>
      <c r="U239" s="9">
        <v>699.33</v>
      </c>
      <c r="V239" s="9">
        <v>873.75</v>
      </c>
      <c r="W239" s="9">
        <v>873.75</v>
      </c>
      <c r="X239" s="9">
        <v>841.14449999999999</v>
      </c>
      <c r="Y239" s="9">
        <v>1624.9550000000002</v>
      </c>
      <c r="Z239" s="9" t="s">
        <v>2092</v>
      </c>
      <c r="AA239" t="s">
        <v>2065</v>
      </c>
      <c r="AB239" s="11">
        <v>0.23499999999999999</v>
      </c>
      <c r="AC239" t="s">
        <v>2065</v>
      </c>
      <c r="AD239" s="13">
        <v>10</v>
      </c>
      <c r="AE239" s="9">
        <v>6684.1875</v>
      </c>
      <c r="AF239" s="9">
        <v>6993.3</v>
      </c>
      <c r="AG239" s="9">
        <v>-309.11250000000018</v>
      </c>
      <c r="AH239" s="11">
        <v>-4.6245336475076469E-2</v>
      </c>
      <c r="AI239" s="9">
        <f>SUMIFS(AD239:AD870, R239:R870, S239)</f>
        <v>0</v>
      </c>
      <c r="AJ239" s="11" t="e">
        <f>SUMIFS(AD239:AD870, R239:R870, S239, AD239:AD870, "&gt;" &amp; AE239) / AI239</f>
        <v>#DIV/0!</v>
      </c>
      <c r="AK239" s="7" t="e">
        <f>IF(AJ239&lt;=0.8,"A",IF(Table2[[#This Row],[Cumulative rev]]&lt;=0.95,"B","C"))</f>
        <v>#DIV/0!</v>
      </c>
    </row>
    <row r="240" spans="1:37" x14ac:dyDescent="0.3">
      <c r="A240" t="s">
        <v>253</v>
      </c>
      <c r="B240" s="4">
        <v>45381</v>
      </c>
      <c r="C240" s="4" t="s">
        <v>2079</v>
      </c>
      <c r="D240" s="4" t="s">
        <v>2080</v>
      </c>
      <c r="E240" s="4">
        <v>45406</v>
      </c>
      <c r="F240" t="s">
        <v>2064</v>
      </c>
      <c r="G240" s="4">
        <v>45406</v>
      </c>
      <c r="H240" s="4">
        <f>_xlfn.MINIFS(B240:B871, N240:N871, N240)</f>
        <v>44962</v>
      </c>
      <c r="I240" s="4" t="str">
        <f t="shared" si="6"/>
        <v>Feb-2023</v>
      </c>
      <c r="J240" s="13">
        <f t="shared" si="7"/>
        <v>14</v>
      </c>
      <c r="K240" s="13">
        <v>25</v>
      </c>
      <c r="L240" s="30" t="str">
        <f>IF(Table2[[#This Row],[LeadTimeDays]]&lt;7,"1","0")</f>
        <v>0</v>
      </c>
      <c r="M240" s="7" t="s">
        <v>648</v>
      </c>
      <c r="N240" s="7" t="s">
        <v>1425</v>
      </c>
      <c r="O240" s="7" t="s">
        <v>697</v>
      </c>
      <c r="P240" s="7" t="s">
        <v>703</v>
      </c>
      <c r="Q240" s="7" t="s">
        <v>708</v>
      </c>
      <c r="R240" s="7" t="s">
        <v>715</v>
      </c>
      <c r="S240" s="7" t="s">
        <v>731</v>
      </c>
      <c r="T240" s="7" t="s">
        <v>1666</v>
      </c>
      <c r="U240" s="9">
        <v>160.82</v>
      </c>
      <c r="V240" s="9">
        <v>258.52</v>
      </c>
      <c r="W240" s="9">
        <v>258.52</v>
      </c>
      <c r="X240" s="9">
        <v>840.13800000000003</v>
      </c>
      <c r="Y240" s="9">
        <v>1625.21</v>
      </c>
      <c r="Z240" s="9" t="s">
        <v>2081</v>
      </c>
      <c r="AA240" t="s">
        <v>2065</v>
      </c>
      <c r="AB240" s="11">
        <v>0.13</v>
      </c>
      <c r="AC240" t="s">
        <v>2065</v>
      </c>
      <c r="AD240" s="13">
        <v>17</v>
      </c>
      <c r="AE240" s="9">
        <v>3823.5108</v>
      </c>
      <c r="AF240" s="9">
        <v>2733.94</v>
      </c>
      <c r="AG240" s="9">
        <v>1089.5708</v>
      </c>
      <c r="AH240" s="11">
        <v>0.28496605789631874</v>
      </c>
      <c r="AI240" s="9">
        <f>SUMIFS(AD240:AD871, R240:R871, S240)</f>
        <v>0</v>
      </c>
      <c r="AJ240" s="11" t="e">
        <f>SUMIFS(AD240:AD871, R240:R871, S240, AD240:AD871, "&gt;" &amp; AE240) / AI240</f>
        <v>#DIV/0!</v>
      </c>
      <c r="AK240" s="7" t="e">
        <f>IF(AJ240&lt;=0.8,"A",IF(Table2[[#This Row],[Cumulative rev]]&lt;=0.95,"B","C"))</f>
        <v>#DIV/0!</v>
      </c>
    </row>
    <row r="241" spans="1:37" x14ac:dyDescent="0.3">
      <c r="A241" t="s">
        <v>254</v>
      </c>
      <c r="B241" s="4">
        <v>45188</v>
      </c>
      <c r="C241" s="4" t="s">
        <v>2120</v>
      </c>
      <c r="D241" s="4" t="s">
        <v>2117</v>
      </c>
      <c r="E241" s="4">
        <v>45207</v>
      </c>
      <c r="F241" t="s">
        <v>2064</v>
      </c>
      <c r="G241" s="4">
        <v>45207</v>
      </c>
      <c r="H241" s="4">
        <f>_xlfn.MINIFS(B241:B872, N241:N872, N241)</f>
        <v>45048</v>
      </c>
      <c r="I241" s="4" t="str">
        <f t="shared" si="6"/>
        <v>May-2023</v>
      </c>
      <c r="J241" s="13">
        <f t="shared" si="7"/>
        <v>5</v>
      </c>
      <c r="K241" s="13">
        <v>19</v>
      </c>
      <c r="L241" s="30" t="str">
        <f>IF(Table2[[#This Row],[LeadTimeDays]]&lt;7,"1","0")</f>
        <v>0</v>
      </c>
      <c r="M241" s="7" t="s">
        <v>647</v>
      </c>
      <c r="N241" s="7" t="s">
        <v>654</v>
      </c>
      <c r="O241" s="7" t="s">
        <v>668</v>
      </c>
      <c r="P241" s="7" t="s">
        <v>702</v>
      </c>
      <c r="Q241" s="7" t="s">
        <v>711</v>
      </c>
      <c r="R241" s="7" t="s">
        <v>713</v>
      </c>
      <c r="S241" s="7" t="s">
        <v>728</v>
      </c>
      <c r="T241" s="7" t="s">
        <v>1667</v>
      </c>
      <c r="U241" s="9">
        <v>385.32</v>
      </c>
      <c r="V241" s="9">
        <v>606.76</v>
      </c>
      <c r="W241" s="9">
        <v>606.76</v>
      </c>
      <c r="X241" s="9">
        <v>842.66210000000001</v>
      </c>
      <c r="Y241" s="9">
        <v>1625.7182</v>
      </c>
      <c r="Z241" s="9" t="s">
        <v>2081</v>
      </c>
      <c r="AA241" t="s">
        <v>2065</v>
      </c>
      <c r="AB241" s="11">
        <v>8.5999999999999993E-2</v>
      </c>
      <c r="AC241" t="s">
        <v>2065</v>
      </c>
      <c r="AD241" s="13">
        <v>8</v>
      </c>
      <c r="AE241" s="9">
        <v>4436.6291200000005</v>
      </c>
      <c r="AF241" s="9">
        <v>3082.56</v>
      </c>
      <c r="AG241" s="9">
        <v>1354.0691200000006</v>
      </c>
      <c r="AH241" s="11">
        <v>0.30520223425842735</v>
      </c>
      <c r="AI241" s="9">
        <f>SUMIFS(AD241:AD872, R241:R872, S241)</f>
        <v>0</v>
      </c>
      <c r="AJ241" s="11" t="e">
        <f>SUMIFS(AD241:AD872, R241:R872, S241, AD241:AD872, "&gt;" &amp; AE241) / AI241</f>
        <v>#DIV/0!</v>
      </c>
      <c r="AK241" s="7" t="e">
        <f>IF(AJ241&lt;=0.8,"A",IF(Table2[[#This Row],[Cumulative rev]]&lt;=0.95,"B","C"))</f>
        <v>#DIV/0!</v>
      </c>
    </row>
    <row r="242" spans="1:37" x14ac:dyDescent="0.3">
      <c r="A242" t="s">
        <v>255</v>
      </c>
      <c r="B242" s="4">
        <v>45793</v>
      </c>
      <c r="C242" s="4" t="s">
        <v>2096</v>
      </c>
      <c r="D242" s="4" t="s">
        <v>2097</v>
      </c>
      <c r="E242" s="4">
        <v>45804</v>
      </c>
      <c r="F242" t="s">
        <v>2064</v>
      </c>
      <c r="G242" s="4">
        <v>45804</v>
      </c>
      <c r="H242" s="4">
        <f>_xlfn.MINIFS(B242:B873, N242:N873, N242)</f>
        <v>44938</v>
      </c>
      <c r="I242" s="4" t="str">
        <f t="shared" si="6"/>
        <v>Jan-2023</v>
      </c>
      <c r="J242" s="13">
        <f t="shared" si="7"/>
        <v>29</v>
      </c>
      <c r="K242" s="13">
        <v>11</v>
      </c>
      <c r="L242" s="30" t="str">
        <f>IF(Table2[[#This Row],[LeadTimeDays]]&lt;7,"1","0")</f>
        <v>0</v>
      </c>
      <c r="M242" s="7" t="s">
        <v>647</v>
      </c>
      <c r="N242" s="7" t="s">
        <v>659</v>
      </c>
      <c r="O242" s="7" t="s">
        <v>699</v>
      </c>
      <c r="P242" s="7" t="s">
        <v>706</v>
      </c>
      <c r="Q242" s="7" t="s">
        <v>708</v>
      </c>
      <c r="R242" s="7" t="s">
        <v>721</v>
      </c>
      <c r="S242" s="7" t="s">
        <v>730</v>
      </c>
      <c r="T242" s="7" t="s">
        <v>1668</v>
      </c>
      <c r="U242" s="9">
        <v>918.12</v>
      </c>
      <c r="V242" s="9">
        <v>1337.69</v>
      </c>
      <c r="W242" s="9">
        <v>1337.69</v>
      </c>
      <c r="X242" s="9">
        <v>855.43900000000031</v>
      </c>
      <c r="Y242" s="9">
        <v>1627.4080000000004</v>
      </c>
      <c r="Z242" s="9" t="s">
        <v>2092</v>
      </c>
      <c r="AA242" t="s">
        <v>2065</v>
      </c>
      <c r="AB242" s="11">
        <v>9.5000000000000001E-2</v>
      </c>
      <c r="AC242" t="s">
        <v>2065</v>
      </c>
      <c r="AD242" s="13">
        <v>8</v>
      </c>
      <c r="AE242" s="9">
        <v>9684.8756000000012</v>
      </c>
      <c r="AF242" s="9">
        <v>7344.96</v>
      </c>
      <c r="AG242" s="9">
        <v>2339.9156000000012</v>
      </c>
      <c r="AH242" s="11">
        <v>0.24160512707050164</v>
      </c>
      <c r="AI242" s="9">
        <f>SUMIFS(AD242:AD873, R242:R873, S242)</f>
        <v>0</v>
      </c>
      <c r="AJ242" s="11" t="e">
        <f>SUMIFS(AD242:AD873, R242:R873, S242, AD242:AD873, "&gt;" &amp; AE242) / AI242</f>
        <v>#DIV/0!</v>
      </c>
      <c r="AK242" s="7" t="e">
        <f>IF(AJ242&lt;=0.8,"A",IF(Table2[[#This Row],[Cumulative rev]]&lt;=0.95,"B","C"))</f>
        <v>#DIV/0!</v>
      </c>
    </row>
    <row r="243" spans="1:37" x14ac:dyDescent="0.3">
      <c r="A243" t="s">
        <v>256</v>
      </c>
      <c r="B243" s="4">
        <v>45871</v>
      </c>
      <c r="C243" s="4" t="s">
        <v>2121</v>
      </c>
      <c r="D243" s="4" t="s">
        <v>2101</v>
      </c>
      <c r="E243" s="4">
        <v>45877</v>
      </c>
      <c r="F243" t="s">
        <v>2064</v>
      </c>
      <c r="G243" s="4">
        <v>45877</v>
      </c>
      <c r="H243" s="4">
        <f>_xlfn.MINIFS(B243:B874, N243:N874, N243)</f>
        <v>44988</v>
      </c>
      <c r="I243" s="4" t="str">
        <f t="shared" si="6"/>
        <v>Mar-2023</v>
      </c>
      <c r="J243" s="13">
        <f t="shared" si="7"/>
        <v>29</v>
      </c>
      <c r="K243" s="13">
        <v>6</v>
      </c>
      <c r="L243" s="30" t="str">
        <f>IF(Table2[[#This Row],[LeadTimeDays]]&lt;7,"1","0")</f>
        <v>1</v>
      </c>
      <c r="M243" s="7" t="s">
        <v>647</v>
      </c>
      <c r="N243" s="7" t="s">
        <v>652</v>
      </c>
      <c r="O243" s="7" t="s">
        <v>666</v>
      </c>
      <c r="P243" s="7" t="s">
        <v>704</v>
      </c>
      <c r="Q243" s="7" t="s">
        <v>711</v>
      </c>
      <c r="R243" s="7" t="s">
        <v>725</v>
      </c>
      <c r="S243" s="7" t="s">
        <v>731</v>
      </c>
      <c r="T243" s="7" t="s">
        <v>1669</v>
      </c>
      <c r="U243" s="9">
        <v>1225.94</v>
      </c>
      <c r="V243" s="9">
        <v>1793.08</v>
      </c>
      <c r="W243" s="9">
        <v>1793.08</v>
      </c>
      <c r="X243" s="9">
        <v>849.1459000000001</v>
      </c>
      <c r="Y243" s="9">
        <v>1629.0978000000002</v>
      </c>
      <c r="Z243" s="9" t="s">
        <v>2095</v>
      </c>
      <c r="AA243" t="s">
        <v>2065</v>
      </c>
      <c r="AB243" s="11">
        <v>0.13600000000000001</v>
      </c>
      <c r="AC243" t="s">
        <v>2065</v>
      </c>
      <c r="AD243" s="13">
        <v>22</v>
      </c>
      <c r="AE243" s="9">
        <v>34082.864639999993</v>
      </c>
      <c r="AF243" s="9">
        <v>26970.68</v>
      </c>
      <c r="AG243" s="9">
        <v>7112.1846399999922</v>
      </c>
      <c r="AH243" s="11">
        <v>0.20867332353434462</v>
      </c>
      <c r="AI243" s="9">
        <f>SUMIFS(AD243:AD874, R243:R874, S243)</f>
        <v>0</v>
      </c>
      <c r="AJ243" s="11" t="e">
        <f>SUMIFS(AD243:AD874, R243:R874, S243, AD243:AD874, "&gt;" &amp; AE243) / AI243</f>
        <v>#DIV/0!</v>
      </c>
      <c r="AK243" s="7" t="e">
        <f>IF(AJ243&lt;=0.8,"A",IF(Table2[[#This Row],[Cumulative rev]]&lt;=0.95,"B","C"))</f>
        <v>#DIV/0!</v>
      </c>
    </row>
    <row r="244" spans="1:37" x14ac:dyDescent="0.3">
      <c r="A244" t="s">
        <v>257</v>
      </c>
      <c r="B244" s="4">
        <v>45630</v>
      </c>
      <c r="C244" s="4" t="s">
        <v>2091</v>
      </c>
      <c r="D244" s="4" t="s">
        <v>2083</v>
      </c>
      <c r="E244" s="4">
        <v>45638</v>
      </c>
      <c r="F244" t="s">
        <v>2064</v>
      </c>
      <c r="G244" s="4">
        <v>45638</v>
      </c>
      <c r="H244" s="4">
        <f>_xlfn.MINIFS(B244:B875, N244:N875, N244)</f>
        <v>44952</v>
      </c>
      <c r="I244" s="4" t="str">
        <f t="shared" si="6"/>
        <v>Jan-2023</v>
      </c>
      <c r="J244" s="13">
        <f t="shared" si="7"/>
        <v>23</v>
      </c>
      <c r="K244" s="13">
        <v>8</v>
      </c>
      <c r="L244" s="30" t="str">
        <f>IF(Table2[[#This Row],[LeadTimeDays]]&lt;7,"1","0")</f>
        <v>0</v>
      </c>
      <c r="M244" s="7" t="s">
        <v>649</v>
      </c>
      <c r="N244" s="7" t="s">
        <v>656</v>
      </c>
      <c r="O244" s="7" t="s">
        <v>698</v>
      </c>
      <c r="P244" s="7" t="s">
        <v>706</v>
      </c>
      <c r="Q244" s="7" t="s">
        <v>709</v>
      </c>
      <c r="R244" s="7" t="s">
        <v>717</v>
      </c>
      <c r="S244" s="7" t="s">
        <v>728</v>
      </c>
      <c r="T244" s="7" t="s">
        <v>1670</v>
      </c>
      <c r="U244" s="9">
        <v>72.06</v>
      </c>
      <c r="V244" s="9">
        <v>122.74</v>
      </c>
      <c r="W244" s="9">
        <v>122.74</v>
      </c>
      <c r="X244" s="9">
        <v>842.85279999999989</v>
      </c>
      <c r="Y244" s="9">
        <v>1625.8176000000001</v>
      </c>
      <c r="Z244" s="9" t="s">
        <v>2081</v>
      </c>
      <c r="AA244" t="s">
        <v>2065</v>
      </c>
      <c r="AB244" s="11">
        <v>0.23799999999999999</v>
      </c>
      <c r="AC244" t="s">
        <v>2065</v>
      </c>
      <c r="AD244" s="13">
        <v>8</v>
      </c>
      <c r="AE244" s="9">
        <v>748.22303999999997</v>
      </c>
      <c r="AF244" s="9">
        <v>576.48</v>
      </c>
      <c r="AG244" s="9">
        <v>171.74303999999995</v>
      </c>
      <c r="AH244" s="11">
        <v>0.22953455162246802</v>
      </c>
      <c r="AI244" s="9">
        <f>SUMIFS(AD244:AD875, R244:R875, S244)</f>
        <v>0</v>
      </c>
      <c r="AJ244" s="11" t="e">
        <f>SUMIFS(AD244:AD875, R244:R875, S244, AD244:AD875, "&gt;" &amp; AE244) / AI244</f>
        <v>#DIV/0!</v>
      </c>
      <c r="AK244" s="7" t="e">
        <f>IF(AJ244&lt;=0.8,"A",IF(Table2[[#This Row],[Cumulative rev]]&lt;=0.95,"B","C"))</f>
        <v>#DIV/0!</v>
      </c>
    </row>
    <row r="245" spans="1:37" x14ac:dyDescent="0.3">
      <c r="A245" t="s">
        <v>258</v>
      </c>
      <c r="B245" s="4">
        <v>45035</v>
      </c>
      <c r="C245" s="4" t="s">
        <v>2102</v>
      </c>
      <c r="D245" s="4" t="s">
        <v>2103</v>
      </c>
      <c r="E245" s="4">
        <v>45044</v>
      </c>
      <c r="F245" t="s">
        <v>2064</v>
      </c>
      <c r="G245" s="4">
        <v>45044</v>
      </c>
      <c r="H245" s="4">
        <f>_xlfn.MINIFS(B245:B876, N245:N876, N245)</f>
        <v>44955</v>
      </c>
      <c r="I245" s="4" t="str">
        <f t="shared" si="6"/>
        <v>Jan-2023</v>
      </c>
      <c r="J245" s="13">
        <f t="shared" si="7"/>
        <v>3</v>
      </c>
      <c r="K245" s="13">
        <v>9</v>
      </c>
      <c r="L245" s="30" t="str">
        <f>IF(Table2[[#This Row],[LeadTimeDays]]&lt;7,"1","0")</f>
        <v>0</v>
      </c>
      <c r="M245" s="7" t="s">
        <v>648</v>
      </c>
      <c r="N245" s="7" t="s">
        <v>655</v>
      </c>
      <c r="O245" s="7" t="s">
        <v>1426</v>
      </c>
      <c r="P245" s="7" t="s">
        <v>701</v>
      </c>
      <c r="Q245" s="7" t="s">
        <v>710</v>
      </c>
      <c r="R245" s="7" t="s">
        <v>724</v>
      </c>
      <c r="S245" s="7" t="s">
        <v>730</v>
      </c>
      <c r="T245" s="7" t="s">
        <v>1671</v>
      </c>
      <c r="U245" s="9">
        <v>1013.54</v>
      </c>
      <c r="V245" s="9">
        <v>927.93</v>
      </c>
      <c r="W245" s="9">
        <v>927.93</v>
      </c>
      <c r="X245" s="9">
        <v>855.62970000000018</v>
      </c>
      <c r="Y245" s="9">
        <v>1627.5074000000002</v>
      </c>
      <c r="Z245" s="9" t="s">
        <v>2092</v>
      </c>
      <c r="AA245" t="s">
        <v>2065</v>
      </c>
      <c r="AB245" s="11">
        <v>0.17499999999999999</v>
      </c>
      <c r="AC245" t="s">
        <v>2065</v>
      </c>
      <c r="AD245" s="13">
        <v>16</v>
      </c>
      <c r="AE245" s="9">
        <v>12248.675999999999</v>
      </c>
      <c r="AF245" s="9">
        <v>16216.64</v>
      </c>
      <c r="AG245" s="9">
        <v>-3967.9639999999999</v>
      </c>
      <c r="AH245" s="11">
        <v>-0.32395044166406234</v>
      </c>
      <c r="AI245" s="9">
        <f>SUMIFS(AD245:AD876, R245:R876, S245)</f>
        <v>0</v>
      </c>
      <c r="AJ245" s="11" t="e">
        <f>SUMIFS(AD245:AD876, R245:R876, S245, AD245:AD876, "&gt;" &amp; AE245) / AI245</f>
        <v>#DIV/0!</v>
      </c>
      <c r="AK245" s="7" t="e">
        <f>IF(AJ245&lt;=0.8,"A",IF(Table2[[#This Row],[Cumulative rev]]&lt;=0.95,"B","C"))</f>
        <v>#DIV/0!</v>
      </c>
    </row>
    <row r="246" spans="1:37" x14ac:dyDescent="0.3">
      <c r="A246" t="s">
        <v>259</v>
      </c>
      <c r="B246" s="4">
        <v>45357</v>
      </c>
      <c r="C246" s="4" t="s">
        <v>2079</v>
      </c>
      <c r="D246" s="4" t="s">
        <v>2080</v>
      </c>
      <c r="E246" s="4">
        <v>45377</v>
      </c>
      <c r="F246" t="s">
        <v>2064</v>
      </c>
      <c r="G246" s="4">
        <v>45377</v>
      </c>
      <c r="H246" s="4">
        <f>_xlfn.MINIFS(B246:B877, N246:N877, N246)</f>
        <v>44968</v>
      </c>
      <c r="I246" s="4" t="str">
        <f t="shared" si="6"/>
        <v>Feb-2023</v>
      </c>
      <c r="J246" s="13">
        <f t="shared" si="7"/>
        <v>13</v>
      </c>
      <c r="K246" s="13">
        <v>20</v>
      </c>
      <c r="L246" s="30" t="str">
        <f>IF(Table2[[#This Row],[LeadTimeDays]]&lt;7,"1","0")</f>
        <v>0</v>
      </c>
      <c r="M246" s="7" t="s">
        <v>646</v>
      </c>
      <c r="N246" s="7" t="s">
        <v>651</v>
      </c>
      <c r="O246" s="7" t="s">
        <v>663</v>
      </c>
      <c r="P246" s="7" t="s">
        <v>704</v>
      </c>
      <c r="Q246" s="7" t="s">
        <v>709</v>
      </c>
      <c r="R246" s="7" t="s">
        <v>714</v>
      </c>
      <c r="S246" s="7" t="s">
        <v>730</v>
      </c>
      <c r="T246" s="7" t="s">
        <v>1672</v>
      </c>
      <c r="U246" s="9">
        <v>65.64</v>
      </c>
      <c r="V246" s="9">
        <v>151.88</v>
      </c>
      <c r="W246" s="9">
        <v>151.88</v>
      </c>
      <c r="X246" s="9">
        <v>849.33659999999998</v>
      </c>
      <c r="Y246" s="9">
        <v>1629.1972000000003</v>
      </c>
      <c r="Z246" s="9" t="s">
        <v>2081</v>
      </c>
      <c r="AA246" t="s">
        <v>2065</v>
      </c>
      <c r="AB246" s="11">
        <v>0.16700000000000001</v>
      </c>
      <c r="AC246" t="s">
        <v>2065</v>
      </c>
      <c r="AD246" s="13">
        <v>23</v>
      </c>
      <c r="AE246" s="9">
        <v>2909.8689199999999</v>
      </c>
      <c r="AF246" s="9">
        <v>1509.72</v>
      </c>
      <c r="AG246" s="9">
        <v>1400.1489199999999</v>
      </c>
      <c r="AH246" s="11">
        <v>0.48117250587356353</v>
      </c>
      <c r="AI246" s="9">
        <f>SUMIFS(AD246:AD877, R246:R877, S246)</f>
        <v>0</v>
      </c>
      <c r="AJ246" s="11" t="e">
        <f>SUMIFS(AD246:AD877, R246:R877, S246, AD246:AD877, "&gt;" &amp; AE246) / AI246</f>
        <v>#DIV/0!</v>
      </c>
      <c r="AK246" s="7" t="e">
        <f>IF(AJ246&lt;=0.8,"A",IF(Table2[[#This Row],[Cumulative rev]]&lt;=0.95,"B","C"))</f>
        <v>#DIV/0!</v>
      </c>
    </row>
    <row r="247" spans="1:37" x14ac:dyDescent="0.3">
      <c r="A247" t="s">
        <v>260</v>
      </c>
      <c r="B247" s="4">
        <v>45338</v>
      </c>
      <c r="C247" s="4" t="s">
        <v>2124</v>
      </c>
      <c r="D247" s="4" t="s">
        <v>2080</v>
      </c>
      <c r="E247" s="4">
        <v>45355</v>
      </c>
      <c r="F247" t="s">
        <v>2064</v>
      </c>
      <c r="G247" s="4">
        <v>45355</v>
      </c>
      <c r="H247" s="4">
        <f>_xlfn.MINIFS(B247:B878, N247:N878, N247)</f>
        <v>44989</v>
      </c>
      <c r="I247" s="4" t="str">
        <f t="shared" si="6"/>
        <v>Mar-2023</v>
      </c>
      <c r="J247" s="13">
        <f t="shared" si="7"/>
        <v>12</v>
      </c>
      <c r="K247" s="13">
        <v>17</v>
      </c>
      <c r="L247" s="30" t="str">
        <f>IF(Table2[[#This Row],[LeadTimeDays]]&lt;7,"1","0")</f>
        <v>0</v>
      </c>
      <c r="M247" s="7" t="s">
        <v>648</v>
      </c>
      <c r="N247" s="7" t="s">
        <v>653</v>
      </c>
      <c r="O247" s="7" t="s">
        <v>681</v>
      </c>
      <c r="P247" s="7" t="s">
        <v>703</v>
      </c>
      <c r="Q247" s="7" t="s">
        <v>707</v>
      </c>
      <c r="R247" s="7" t="s">
        <v>726</v>
      </c>
      <c r="S247" s="7" t="s">
        <v>731</v>
      </c>
      <c r="T247" s="7" t="s">
        <v>1673</v>
      </c>
      <c r="U247" s="9">
        <v>1350.98</v>
      </c>
      <c r="V247" s="9">
        <v>2210.4</v>
      </c>
      <c r="W247" s="9">
        <v>2210.4</v>
      </c>
      <c r="X247" s="9">
        <v>861.53300000000002</v>
      </c>
      <c r="Y247" s="9">
        <v>1630.8370000000002</v>
      </c>
      <c r="Z247" s="9" t="s">
        <v>2095</v>
      </c>
      <c r="AA247" t="s">
        <v>2065</v>
      </c>
      <c r="AB247" s="11">
        <v>0.26300000000000001</v>
      </c>
      <c r="AC247" t="s">
        <v>2065</v>
      </c>
      <c r="AD247" s="13">
        <v>6</v>
      </c>
      <c r="AE247" s="9">
        <v>9774.3888000000006</v>
      </c>
      <c r="AF247" s="9">
        <v>8105.88</v>
      </c>
      <c r="AG247" s="9">
        <v>1668.5088000000005</v>
      </c>
      <c r="AH247" s="11">
        <v>0.17070211080615091</v>
      </c>
      <c r="AI247" s="9">
        <f>SUMIFS(AD247:AD878, R247:R878, S247)</f>
        <v>0</v>
      </c>
      <c r="AJ247" s="11" t="e">
        <f>SUMIFS(AD247:AD878, R247:R878, S247, AD247:AD878, "&gt;" &amp; AE247) / AI247</f>
        <v>#DIV/0!</v>
      </c>
      <c r="AK247" s="7" t="e">
        <f>IF(AJ247&lt;=0.8,"A",IF(Table2[[#This Row],[Cumulative rev]]&lt;=0.95,"B","C"))</f>
        <v>#DIV/0!</v>
      </c>
    </row>
    <row r="248" spans="1:37" x14ac:dyDescent="0.3">
      <c r="A248" t="s">
        <v>261</v>
      </c>
      <c r="B248" s="4">
        <v>45769</v>
      </c>
      <c r="C248" s="4" t="s">
        <v>2111</v>
      </c>
      <c r="D248" s="4" t="s">
        <v>2097</v>
      </c>
      <c r="E248" s="4">
        <v>45779</v>
      </c>
      <c r="F248" t="s">
        <v>2064</v>
      </c>
      <c r="G248" s="4">
        <v>45779</v>
      </c>
      <c r="H248" s="4">
        <f>_xlfn.MINIFS(B248:B879, N248:N879, N248)</f>
        <v>44952</v>
      </c>
      <c r="I248" s="4" t="str">
        <f t="shared" si="6"/>
        <v>Jan-2023</v>
      </c>
      <c r="J248" s="13">
        <f t="shared" si="7"/>
        <v>27</v>
      </c>
      <c r="K248" s="13">
        <v>10</v>
      </c>
      <c r="L248" s="30" t="str">
        <f>IF(Table2[[#This Row],[LeadTimeDays]]&lt;7,"1","0")</f>
        <v>0</v>
      </c>
      <c r="M248" s="7" t="s">
        <v>649</v>
      </c>
      <c r="N248" s="7" t="s">
        <v>656</v>
      </c>
      <c r="O248" s="7" t="s">
        <v>671</v>
      </c>
      <c r="P248" s="7" t="s">
        <v>701</v>
      </c>
      <c r="Q248" s="7" t="s">
        <v>709</v>
      </c>
      <c r="R248" s="7" t="s">
        <v>712</v>
      </c>
      <c r="S248" s="7" t="s">
        <v>732</v>
      </c>
      <c r="T248" s="7" t="s">
        <v>1674</v>
      </c>
      <c r="U248" s="9">
        <v>20.149999999999999</v>
      </c>
      <c r="V248" s="9">
        <v>39.74</v>
      </c>
      <c r="W248" s="9">
        <v>39.74</v>
      </c>
      <c r="X248" s="9">
        <v>855.82039999999995</v>
      </c>
      <c r="Y248" s="9">
        <v>1627.6068</v>
      </c>
      <c r="Z248" s="9" t="s">
        <v>2081</v>
      </c>
      <c r="AA248" t="s">
        <v>2065</v>
      </c>
      <c r="AB248" s="11">
        <v>0.151</v>
      </c>
      <c r="AC248" t="s">
        <v>2065</v>
      </c>
      <c r="AD248" s="13">
        <v>18</v>
      </c>
      <c r="AE248" s="9">
        <v>607.30668000000003</v>
      </c>
      <c r="AF248" s="9">
        <v>362.7</v>
      </c>
      <c r="AG248" s="9">
        <v>244.60668000000004</v>
      </c>
      <c r="AH248" s="11">
        <v>0.4027729120318585</v>
      </c>
      <c r="AI248" s="9">
        <f>SUMIFS(AD248:AD879, R248:R879, S248)</f>
        <v>0</v>
      </c>
      <c r="AJ248" s="11" t="e">
        <f>SUMIFS(AD248:AD879, R248:R879, S248, AD248:AD879, "&gt;" &amp; AE248) / AI248</f>
        <v>#DIV/0!</v>
      </c>
      <c r="AK248" s="7" t="e">
        <f>IF(AJ248&lt;=0.8,"A",IF(Table2[[#This Row],[Cumulative rev]]&lt;=0.95,"B","C"))</f>
        <v>#DIV/0!</v>
      </c>
    </row>
    <row r="249" spans="1:37" x14ac:dyDescent="0.3">
      <c r="A249" t="s">
        <v>262</v>
      </c>
      <c r="B249" s="4">
        <v>45604</v>
      </c>
      <c r="C249" s="4" t="s">
        <v>2110</v>
      </c>
      <c r="D249" s="4" t="s">
        <v>2083</v>
      </c>
      <c r="E249" s="4">
        <v>45604</v>
      </c>
      <c r="F249" t="s">
        <v>2064</v>
      </c>
      <c r="G249" s="4">
        <v>45604</v>
      </c>
      <c r="H249" s="4">
        <f>_xlfn.MINIFS(B249:B880, N249:N880, N249)</f>
        <v>44978</v>
      </c>
      <c r="I249" s="4" t="str">
        <f t="shared" si="6"/>
        <v>Feb-2023</v>
      </c>
      <c r="J249" s="13">
        <f t="shared" si="7"/>
        <v>21</v>
      </c>
      <c r="K249" s="13">
        <v>0</v>
      </c>
      <c r="L249" s="30" t="str">
        <f>IF(Table2[[#This Row],[LeadTimeDays]]&lt;7,"1","0")</f>
        <v>1</v>
      </c>
      <c r="M249" s="7" t="s">
        <v>646</v>
      </c>
      <c r="N249" s="7" t="s">
        <v>650</v>
      </c>
      <c r="O249" s="7" t="s">
        <v>678</v>
      </c>
      <c r="P249" s="7" t="s">
        <v>706</v>
      </c>
      <c r="Q249" s="7" t="s">
        <v>709</v>
      </c>
      <c r="R249" s="7" t="s">
        <v>724</v>
      </c>
      <c r="S249" s="7" t="s">
        <v>729</v>
      </c>
      <c r="T249" s="7" t="s">
        <v>1675</v>
      </c>
      <c r="U249" s="9">
        <v>803.28</v>
      </c>
      <c r="V249" s="9">
        <v>1009</v>
      </c>
      <c r="W249" s="9">
        <v>1009</v>
      </c>
      <c r="X249" s="9">
        <v>864.06939999999997</v>
      </c>
      <c r="Y249" s="9">
        <v>1629.2966000000001</v>
      </c>
      <c r="Z249" s="9" t="s">
        <v>2092</v>
      </c>
      <c r="AA249" t="s">
        <v>2065</v>
      </c>
      <c r="AB249" s="11">
        <v>0.11</v>
      </c>
      <c r="AC249" t="s">
        <v>2065</v>
      </c>
      <c r="AD249" s="13">
        <v>4</v>
      </c>
      <c r="AE249" s="9">
        <v>3592.04</v>
      </c>
      <c r="AF249" s="9">
        <v>3213.12</v>
      </c>
      <c r="AG249" s="9">
        <v>378.92000000000007</v>
      </c>
      <c r="AH249" s="11">
        <v>0.10548880302001093</v>
      </c>
      <c r="AI249" s="9">
        <f>SUMIFS(AD249:AD880, R249:R880, S249)</f>
        <v>0</v>
      </c>
      <c r="AJ249" s="11" t="e">
        <f>SUMIFS(AD249:AD880, R249:R880, S249, AD249:AD880, "&gt;" &amp; AE249) / AI249</f>
        <v>#DIV/0!</v>
      </c>
      <c r="AK249" s="7" t="e">
        <f>IF(AJ249&lt;=0.8,"A",IF(Table2[[#This Row],[Cumulative rev]]&lt;=0.95,"B","C"))</f>
        <v>#DIV/0!</v>
      </c>
    </row>
    <row r="250" spans="1:37" x14ac:dyDescent="0.3">
      <c r="A250" t="s">
        <v>263</v>
      </c>
      <c r="B250" s="4">
        <v>45912</v>
      </c>
      <c r="C250" s="4" t="s">
        <v>2100</v>
      </c>
      <c r="D250" s="4" t="s">
        <v>2101</v>
      </c>
      <c r="E250" s="4">
        <v>45930</v>
      </c>
      <c r="F250" t="s">
        <v>2064</v>
      </c>
      <c r="G250" s="4">
        <v>45930</v>
      </c>
      <c r="H250" s="4">
        <f>_xlfn.MINIFS(B250:B881, N250:N881, N250)</f>
        <v>44988</v>
      </c>
      <c r="I250" s="4" t="str">
        <f t="shared" si="6"/>
        <v>Mar-2023</v>
      </c>
      <c r="J250" s="13">
        <f t="shared" si="7"/>
        <v>31</v>
      </c>
      <c r="K250" s="13">
        <v>18</v>
      </c>
      <c r="L250" s="30" t="str">
        <f>IF(Table2[[#This Row],[LeadTimeDays]]&lt;7,"1","0")</f>
        <v>0</v>
      </c>
      <c r="M250" s="7" t="s">
        <v>647</v>
      </c>
      <c r="N250" s="7" t="s">
        <v>652</v>
      </c>
      <c r="O250" s="7" t="s">
        <v>694</v>
      </c>
      <c r="P250" s="7" t="s">
        <v>703</v>
      </c>
      <c r="Q250" s="7" t="s">
        <v>709</v>
      </c>
      <c r="R250" s="7" t="s">
        <v>721</v>
      </c>
      <c r="S250" s="7" t="s">
        <v>732</v>
      </c>
      <c r="T250" s="7" t="s">
        <v>1676</v>
      </c>
      <c r="U250" s="9">
        <v>1212.99</v>
      </c>
      <c r="V250" s="9">
        <v>1653.64</v>
      </c>
      <c r="W250" s="9">
        <v>1653.64</v>
      </c>
      <c r="X250" s="9">
        <v>861.60759999999993</v>
      </c>
      <c r="Y250" s="9">
        <v>1630.9264000000001</v>
      </c>
      <c r="Z250" s="9" t="s">
        <v>2095</v>
      </c>
      <c r="AA250" t="s">
        <v>2065</v>
      </c>
      <c r="AB250" s="11">
        <v>0.107</v>
      </c>
      <c r="AC250" t="s">
        <v>2065</v>
      </c>
      <c r="AD250" s="13">
        <v>8</v>
      </c>
      <c r="AE250" s="9">
        <v>11813.604160000001</v>
      </c>
      <c r="AF250" s="9">
        <v>9703.92</v>
      </c>
      <c r="AG250" s="9">
        <v>2109.6841600000007</v>
      </c>
      <c r="AH250" s="11">
        <v>0.17858090819931455</v>
      </c>
      <c r="AI250" s="9">
        <f>SUMIFS(AD250:AD881, R250:R881, S250)</f>
        <v>0</v>
      </c>
      <c r="AJ250" s="11" t="e">
        <f>SUMIFS(AD250:AD881, R250:R881, S250, AD250:AD881, "&gt;" &amp; AE250) / AI250</f>
        <v>#DIV/0!</v>
      </c>
      <c r="AK250" s="7" t="e">
        <f>IF(AJ250&lt;=0.8,"A",IF(Table2[[#This Row],[Cumulative rev]]&lt;=0.95,"B","C"))</f>
        <v>#DIV/0!</v>
      </c>
    </row>
    <row r="251" spans="1:37" x14ac:dyDescent="0.3">
      <c r="A251" t="s">
        <v>264</v>
      </c>
      <c r="B251" s="4">
        <v>45537</v>
      </c>
      <c r="C251" s="4" t="s">
        <v>2122</v>
      </c>
      <c r="D251" s="4" t="s">
        <v>2106</v>
      </c>
      <c r="E251" s="4">
        <v>45543</v>
      </c>
      <c r="F251" t="s">
        <v>2064</v>
      </c>
      <c r="G251" s="4">
        <v>45543</v>
      </c>
      <c r="H251" s="4">
        <f>_xlfn.MINIFS(B251:B882, N251:N882, N251)</f>
        <v>44962</v>
      </c>
      <c r="I251" s="4" t="str">
        <f t="shared" si="6"/>
        <v>Feb-2023</v>
      </c>
      <c r="J251" s="13">
        <f t="shared" si="7"/>
        <v>19</v>
      </c>
      <c r="K251" s="13">
        <v>6</v>
      </c>
      <c r="L251" s="30" t="str">
        <f>IF(Table2[[#This Row],[LeadTimeDays]]&lt;7,"1","0")</f>
        <v>1</v>
      </c>
      <c r="M251" s="7" t="s">
        <v>648</v>
      </c>
      <c r="N251" s="7" t="s">
        <v>1425</v>
      </c>
      <c r="O251" s="7" t="s">
        <v>697</v>
      </c>
      <c r="P251" s="7" t="s">
        <v>704</v>
      </c>
      <c r="Q251" s="7" t="s">
        <v>711</v>
      </c>
      <c r="R251" s="7" t="s">
        <v>722</v>
      </c>
      <c r="S251" s="7" t="s">
        <v>727</v>
      </c>
      <c r="T251" s="7" t="s">
        <v>1677</v>
      </c>
      <c r="U251" s="9">
        <v>462.94</v>
      </c>
      <c r="V251" s="9">
        <v>1015.7</v>
      </c>
      <c r="W251" s="9">
        <v>1015.7</v>
      </c>
      <c r="X251" s="9">
        <v>856.01110000000006</v>
      </c>
      <c r="Y251" s="9">
        <v>1627.7062000000001</v>
      </c>
      <c r="Z251" s="9" t="s">
        <v>2092</v>
      </c>
      <c r="AA251" t="s">
        <v>2065</v>
      </c>
      <c r="AB251" s="11">
        <v>0.14299999999999999</v>
      </c>
      <c r="AC251" t="s">
        <v>2065</v>
      </c>
      <c r="AD251" s="13">
        <v>14</v>
      </c>
      <c r="AE251" s="9">
        <v>12186.368600000002</v>
      </c>
      <c r="AF251" s="9">
        <v>6481.16</v>
      </c>
      <c r="AG251" s="9">
        <v>5705.2086000000018</v>
      </c>
      <c r="AH251" s="11">
        <v>0.46816314090483041</v>
      </c>
      <c r="AI251" s="9">
        <f>SUMIFS(AD251:AD882, R251:R882, S251)</f>
        <v>0</v>
      </c>
      <c r="AJ251" s="11" t="e">
        <f>SUMIFS(AD251:AD882, R251:R882, S251, AD251:AD882, "&gt;" &amp; AE251) / AI251</f>
        <v>#DIV/0!</v>
      </c>
      <c r="AK251" s="7" t="e">
        <f>IF(AJ251&lt;=0.8,"A",IF(Table2[[#This Row],[Cumulative rev]]&lt;=0.95,"B","C"))</f>
        <v>#DIV/0!</v>
      </c>
    </row>
    <row r="252" spans="1:37" x14ac:dyDescent="0.3">
      <c r="A252" t="s">
        <v>265</v>
      </c>
      <c r="B252" s="4">
        <v>44989</v>
      </c>
      <c r="C252" s="4" t="s">
        <v>2114</v>
      </c>
      <c r="D252" s="4" t="s">
        <v>2085</v>
      </c>
      <c r="E252" s="4">
        <v>45009</v>
      </c>
      <c r="F252" t="s">
        <v>2064</v>
      </c>
      <c r="G252" s="4">
        <v>45009</v>
      </c>
      <c r="H252" s="4">
        <f>_xlfn.MINIFS(B252:B883, N252:N883, N252)</f>
        <v>44989</v>
      </c>
      <c r="I252" s="4" t="str">
        <f t="shared" si="6"/>
        <v>Mar-2023</v>
      </c>
      <c r="J252" s="13">
        <f t="shared" si="7"/>
        <v>1</v>
      </c>
      <c r="K252" s="13">
        <v>20</v>
      </c>
      <c r="L252" s="30" t="str">
        <f>IF(Table2[[#This Row],[LeadTimeDays]]&lt;7,"1","0")</f>
        <v>0</v>
      </c>
      <c r="M252" s="7" t="s">
        <v>648</v>
      </c>
      <c r="N252" s="7" t="s">
        <v>653</v>
      </c>
      <c r="O252" s="7" t="s">
        <v>681</v>
      </c>
      <c r="P252" s="7" t="s">
        <v>704</v>
      </c>
      <c r="Q252" s="7" t="s">
        <v>710</v>
      </c>
      <c r="R252" s="7" t="s">
        <v>714</v>
      </c>
      <c r="S252" s="7" t="s">
        <v>731</v>
      </c>
      <c r="T252" s="7" t="s">
        <v>1678</v>
      </c>
      <c r="U252" s="9">
        <v>481.71</v>
      </c>
      <c r="V252" s="9">
        <v>912.45</v>
      </c>
      <c r="W252" s="9">
        <v>912.45</v>
      </c>
      <c r="X252" s="9">
        <v>849.71800000000007</v>
      </c>
      <c r="Y252" s="9">
        <v>1629.3960000000002</v>
      </c>
      <c r="Z252" s="9" t="s">
        <v>2092</v>
      </c>
      <c r="AA252" t="s">
        <v>2065</v>
      </c>
      <c r="AB252" s="11">
        <v>0.20300000000000001</v>
      </c>
      <c r="AC252" t="s">
        <v>2065</v>
      </c>
      <c r="AD252" s="13">
        <v>24</v>
      </c>
      <c r="AE252" s="9">
        <v>17453.3436</v>
      </c>
      <c r="AF252" s="9">
        <v>11561.039999999999</v>
      </c>
      <c r="AG252" s="9">
        <v>5892.3036000000011</v>
      </c>
      <c r="AH252" s="11">
        <v>0.33760313983619739</v>
      </c>
      <c r="AI252" s="9">
        <f>SUMIFS(AD252:AD883, R252:R883, S252)</f>
        <v>0</v>
      </c>
      <c r="AJ252" s="11" t="e">
        <f>SUMIFS(AD252:AD883, R252:R883, S252, AD252:AD883, "&gt;" &amp; AE252) / AI252</f>
        <v>#DIV/0!</v>
      </c>
      <c r="AK252" s="7" t="e">
        <f>IF(AJ252&lt;=0.8,"A",IF(Table2[[#This Row],[Cumulative rev]]&lt;=0.95,"B","C"))</f>
        <v>#DIV/0!</v>
      </c>
    </row>
    <row r="253" spans="1:37" x14ac:dyDescent="0.3">
      <c r="A253" t="s">
        <v>266</v>
      </c>
      <c r="B253" s="4">
        <v>45366</v>
      </c>
      <c r="C253" s="4" t="s">
        <v>2079</v>
      </c>
      <c r="D253" s="4" t="s">
        <v>2080</v>
      </c>
      <c r="E253" s="4">
        <v>45391</v>
      </c>
      <c r="F253" t="s">
        <v>2064</v>
      </c>
      <c r="G253" s="4">
        <v>45391</v>
      </c>
      <c r="H253" s="4">
        <f>_xlfn.MINIFS(B253:B884, N253:N884, N253)</f>
        <v>45029</v>
      </c>
      <c r="I253" s="4" t="str">
        <f t="shared" si="6"/>
        <v>Apr-2023</v>
      </c>
      <c r="J253" s="13">
        <f t="shared" si="7"/>
        <v>12</v>
      </c>
      <c r="K253" s="13">
        <v>25</v>
      </c>
      <c r="L253" s="30" t="str">
        <f>IF(Table2[[#This Row],[LeadTimeDays]]&lt;7,"1","0")</f>
        <v>0</v>
      </c>
      <c r="M253" s="7" t="s">
        <v>648</v>
      </c>
      <c r="N253" s="7" t="s">
        <v>653</v>
      </c>
      <c r="O253" s="7" t="s">
        <v>688</v>
      </c>
      <c r="P253" s="7" t="s">
        <v>704</v>
      </c>
      <c r="Q253" s="7" t="s">
        <v>708</v>
      </c>
      <c r="R253" s="7" t="s">
        <v>721</v>
      </c>
      <c r="S253" s="7" t="s">
        <v>732</v>
      </c>
      <c r="T253" s="7" t="s">
        <v>1679</v>
      </c>
      <c r="U253" s="9">
        <v>648.64</v>
      </c>
      <c r="V253" s="9">
        <v>815.19</v>
      </c>
      <c r="W253" s="9">
        <v>815.19</v>
      </c>
      <c r="X253" s="9">
        <v>843.42490000000021</v>
      </c>
      <c r="Y253" s="9">
        <v>1631.0158000000001</v>
      </c>
      <c r="Z253" s="9" t="s">
        <v>2081</v>
      </c>
      <c r="AA253" t="s">
        <v>2065</v>
      </c>
      <c r="AB253" s="11">
        <v>0.22500000000000001</v>
      </c>
      <c r="AC253" t="s">
        <v>2065</v>
      </c>
      <c r="AD253" s="13">
        <v>28</v>
      </c>
      <c r="AE253" s="9">
        <v>17689.623</v>
      </c>
      <c r="AF253" s="9">
        <v>18161.919999999998</v>
      </c>
      <c r="AG253" s="9">
        <v>-472.29699999999866</v>
      </c>
      <c r="AH253" s="11">
        <v>-2.6699099240272032E-2</v>
      </c>
      <c r="AI253" s="9">
        <f>SUMIFS(AD253:AD884, R253:R884, S253)</f>
        <v>0</v>
      </c>
      <c r="AJ253" s="11" t="e">
        <f>SUMIFS(AD253:AD884, R253:R884, S253, AD253:AD884, "&gt;" &amp; AE253) / AI253</f>
        <v>#DIV/0!</v>
      </c>
      <c r="AK253" s="7" t="e">
        <f>IF(AJ253&lt;=0.8,"A",IF(Table2[[#This Row],[Cumulative rev]]&lt;=0.95,"B","C"))</f>
        <v>#DIV/0!</v>
      </c>
    </row>
    <row r="254" spans="1:37" x14ac:dyDescent="0.3">
      <c r="A254" t="s">
        <v>267</v>
      </c>
      <c r="B254" s="4">
        <v>45502</v>
      </c>
      <c r="C254" s="4" t="s">
        <v>2105</v>
      </c>
      <c r="D254" s="4" t="s">
        <v>2106</v>
      </c>
      <c r="E254" s="4">
        <v>45504</v>
      </c>
      <c r="F254" t="s">
        <v>2064</v>
      </c>
      <c r="G254" s="4">
        <v>45504</v>
      </c>
      <c r="H254" s="4">
        <f>_xlfn.MINIFS(B254:B885, N254:N885, N254)</f>
        <v>44962</v>
      </c>
      <c r="I254" s="4" t="str">
        <f t="shared" si="6"/>
        <v>Feb-2023</v>
      </c>
      <c r="J254" s="13">
        <f t="shared" si="7"/>
        <v>18</v>
      </c>
      <c r="K254" s="13">
        <v>2</v>
      </c>
      <c r="L254" s="30" t="str">
        <f>IF(Table2[[#This Row],[LeadTimeDays]]&lt;7,"1","0")</f>
        <v>1</v>
      </c>
      <c r="M254" s="7" t="s">
        <v>648</v>
      </c>
      <c r="N254" s="7" t="s">
        <v>1425</v>
      </c>
      <c r="O254" s="7" t="s">
        <v>700</v>
      </c>
      <c r="P254" s="7" t="s">
        <v>702</v>
      </c>
      <c r="Q254" s="7" t="s">
        <v>709</v>
      </c>
      <c r="R254" s="7" t="s">
        <v>714</v>
      </c>
      <c r="S254" s="7" t="s">
        <v>728</v>
      </c>
      <c r="T254" s="7" t="s">
        <v>1680</v>
      </c>
      <c r="U254" s="9">
        <v>798.97</v>
      </c>
      <c r="V254" s="9">
        <v>1814.06</v>
      </c>
      <c r="W254" s="9">
        <v>1814.06</v>
      </c>
      <c r="X254" s="9">
        <v>856.20180000000016</v>
      </c>
      <c r="Y254" s="9">
        <v>1632.5356000000002</v>
      </c>
      <c r="Z254" s="9" t="s">
        <v>2095</v>
      </c>
      <c r="AA254" t="s">
        <v>2065</v>
      </c>
      <c r="AB254" s="11">
        <v>0.122</v>
      </c>
      <c r="AC254" t="s">
        <v>2065</v>
      </c>
      <c r="AD254" s="13">
        <v>16</v>
      </c>
      <c r="AE254" s="9">
        <v>25483.91488</v>
      </c>
      <c r="AF254" s="9">
        <v>12783.52</v>
      </c>
      <c r="AG254" s="9">
        <v>12700.39488</v>
      </c>
      <c r="AH254" s="11">
        <v>0.49836906691159061</v>
      </c>
      <c r="AI254" s="9">
        <f>SUMIFS(AD254:AD885, R254:R885, S254)</f>
        <v>0</v>
      </c>
      <c r="AJ254" s="11" t="e">
        <f>SUMIFS(AD254:AD885, R254:R885, S254, AD254:AD885, "&gt;" &amp; AE254) / AI254</f>
        <v>#DIV/0!</v>
      </c>
      <c r="AK254" s="7" t="e">
        <f>IF(AJ254&lt;=0.8,"A",IF(Table2[[#This Row],[Cumulative rev]]&lt;=0.95,"B","C"))</f>
        <v>#DIV/0!</v>
      </c>
    </row>
    <row r="255" spans="1:37" x14ac:dyDescent="0.3">
      <c r="A255" t="s">
        <v>268</v>
      </c>
      <c r="B255" s="4">
        <v>45592</v>
      </c>
      <c r="C255" s="4" t="s">
        <v>2082</v>
      </c>
      <c r="D255" s="4" t="s">
        <v>2083</v>
      </c>
      <c r="E255" s="4">
        <v>45616</v>
      </c>
      <c r="F255" t="s">
        <v>2064</v>
      </c>
      <c r="G255" s="4">
        <v>45616</v>
      </c>
      <c r="H255" s="4">
        <f>_xlfn.MINIFS(B255:B886, N255:N886, N255)</f>
        <v>44988</v>
      </c>
      <c r="I255" s="4" t="str">
        <f t="shared" si="6"/>
        <v>Mar-2023</v>
      </c>
      <c r="J255" s="13">
        <f t="shared" si="7"/>
        <v>20</v>
      </c>
      <c r="K255" s="13">
        <v>24</v>
      </c>
      <c r="L255" s="30" t="str">
        <f>IF(Table2[[#This Row],[LeadTimeDays]]&lt;7,"1","0")</f>
        <v>0</v>
      </c>
      <c r="M255" s="7" t="s">
        <v>647</v>
      </c>
      <c r="N255" s="7" t="s">
        <v>652</v>
      </c>
      <c r="O255" s="7" t="s">
        <v>694</v>
      </c>
      <c r="P255" s="7" t="s">
        <v>703</v>
      </c>
      <c r="Q255" s="7" t="s">
        <v>708</v>
      </c>
      <c r="R255" s="7" t="s">
        <v>722</v>
      </c>
      <c r="S255" s="7" t="s">
        <v>732</v>
      </c>
      <c r="T255" s="7" t="s">
        <v>1681</v>
      </c>
      <c r="U255" s="9">
        <v>317.25</v>
      </c>
      <c r="V255" s="9">
        <v>758.92</v>
      </c>
      <c r="W255" s="9">
        <v>758.92</v>
      </c>
      <c r="X255" s="9">
        <v>849.90870000000018</v>
      </c>
      <c r="Y255" s="9">
        <v>1629.4954000000002</v>
      </c>
      <c r="Z255" s="9" t="s">
        <v>2081</v>
      </c>
      <c r="AA255" t="s">
        <v>2065</v>
      </c>
      <c r="AB255" s="11">
        <v>5.2999999999999999E-2</v>
      </c>
      <c r="AC255" t="s">
        <v>2065</v>
      </c>
      <c r="AD255" s="13">
        <v>9</v>
      </c>
      <c r="AE255" s="9">
        <v>6468.2751599999992</v>
      </c>
      <c r="AF255" s="9">
        <v>2855.25</v>
      </c>
      <c r="AG255" s="9">
        <v>3613.0251599999992</v>
      </c>
      <c r="AH255" s="11">
        <v>0.5585762928489888</v>
      </c>
      <c r="AI255" s="9">
        <f>SUMIFS(AD255:AD886, R255:R886, S255)</f>
        <v>0</v>
      </c>
      <c r="AJ255" s="11" t="e">
        <f>SUMIFS(AD255:AD886, R255:R886, S255, AD255:AD886, "&gt;" &amp; AE255) / AI255</f>
        <v>#DIV/0!</v>
      </c>
      <c r="AK255" s="7" t="e">
        <f>IF(AJ255&lt;=0.8,"A",IF(Table2[[#This Row],[Cumulative rev]]&lt;=0.95,"B","C"))</f>
        <v>#DIV/0!</v>
      </c>
    </row>
    <row r="256" spans="1:37" x14ac:dyDescent="0.3">
      <c r="A256" t="s">
        <v>269</v>
      </c>
      <c r="B256" s="4">
        <v>45411</v>
      </c>
      <c r="C256" s="4" t="s">
        <v>2112</v>
      </c>
      <c r="D256" s="4" t="s">
        <v>2094</v>
      </c>
      <c r="E256" s="4">
        <v>45431</v>
      </c>
      <c r="F256" t="s">
        <v>2064</v>
      </c>
      <c r="G256" s="4">
        <v>45431</v>
      </c>
      <c r="H256" s="4">
        <f>_xlfn.MINIFS(B256:B887, N256:N887, N256)</f>
        <v>44952</v>
      </c>
      <c r="I256" s="4" t="str">
        <f t="shared" si="6"/>
        <v>Jan-2023</v>
      </c>
      <c r="J256" s="13">
        <f t="shared" si="7"/>
        <v>16</v>
      </c>
      <c r="K256" s="13">
        <v>20</v>
      </c>
      <c r="L256" s="30" t="str">
        <f>IF(Table2[[#This Row],[LeadTimeDays]]&lt;7,"1","0")</f>
        <v>0</v>
      </c>
      <c r="M256" s="7" t="s">
        <v>649</v>
      </c>
      <c r="N256" s="7" t="s">
        <v>656</v>
      </c>
      <c r="O256" s="7" t="s">
        <v>698</v>
      </c>
      <c r="P256" s="7" t="s">
        <v>706</v>
      </c>
      <c r="Q256" s="7" t="s">
        <v>709</v>
      </c>
      <c r="R256" s="7" t="s">
        <v>712</v>
      </c>
      <c r="S256" s="7" t="s">
        <v>731</v>
      </c>
      <c r="T256" s="7" t="s">
        <v>1682</v>
      </c>
      <c r="U256" s="9">
        <v>668.97</v>
      </c>
      <c r="V256" s="9">
        <v>1667.44</v>
      </c>
      <c r="W256" s="9">
        <v>1667.44</v>
      </c>
      <c r="X256" s="9">
        <v>861.75680000000011</v>
      </c>
      <c r="Y256" s="9">
        <v>1631.1052000000002</v>
      </c>
      <c r="Z256" s="9" t="s">
        <v>2095</v>
      </c>
      <c r="AA256" t="s">
        <v>2065</v>
      </c>
      <c r="AB256" s="11">
        <v>3.4000000000000002E-2</v>
      </c>
      <c r="AC256" t="s">
        <v>2065</v>
      </c>
      <c r="AD256" s="13">
        <v>15</v>
      </c>
      <c r="AE256" s="9">
        <v>24161.205600000001</v>
      </c>
      <c r="AF256" s="9">
        <v>10034.550000000001</v>
      </c>
      <c r="AG256" s="9">
        <v>14126.6556</v>
      </c>
      <c r="AH256" s="11">
        <v>0.58468339013679016</v>
      </c>
      <c r="AI256" s="9">
        <f>SUMIFS(AD256:AD887, R256:R887, S256)</f>
        <v>0</v>
      </c>
      <c r="AJ256" s="11" t="e">
        <f>SUMIFS(AD256:AD887, R256:R887, S256, AD256:AD887, "&gt;" &amp; AE256) / AI256</f>
        <v>#DIV/0!</v>
      </c>
      <c r="AK256" s="7" t="e">
        <f>IF(AJ256&lt;=0.8,"A",IF(Table2[[#This Row],[Cumulative rev]]&lt;=0.95,"B","C"))</f>
        <v>#DIV/0!</v>
      </c>
    </row>
    <row r="257" spans="1:37" x14ac:dyDescent="0.3">
      <c r="A257" t="s">
        <v>270</v>
      </c>
      <c r="B257" s="4">
        <v>45204</v>
      </c>
      <c r="C257" s="4" t="s">
        <v>2125</v>
      </c>
      <c r="D257" s="4" t="s">
        <v>2089</v>
      </c>
      <c r="E257" s="4">
        <v>45205</v>
      </c>
      <c r="F257" t="s">
        <v>2064</v>
      </c>
      <c r="G257" s="4">
        <v>45205</v>
      </c>
      <c r="H257" s="4">
        <f>_xlfn.MINIFS(B257:B888, N257:N888, N257)</f>
        <v>45048</v>
      </c>
      <c r="I257" s="4" t="str">
        <f t="shared" si="6"/>
        <v>May-2023</v>
      </c>
      <c r="J257" s="13">
        <f t="shared" si="7"/>
        <v>6</v>
      </c>
      <c r="K257" s="13">
        <v>1</v>
      </c>
      <c r="L257" s="30" t="str">
        <f>IF(Table2[[#This Row],[LeadTimeDays]]&lt;7,"1","0")</f>
        <v>1</v>
      </c>
      <c r="M257" s="7" t="s">
        <v>647</v>
      </c>
      <c r="N257" s="7" t="s">
        <v>654</v>
      </c>
      <c r="O257" s="7" t="s">
        <v>668</v>
      </c>
      <c r="P257" s="7" t="s">
        <v>703</v>
      </c>
      <c r="Q257" s="7" t="s">
        <v>708</v>
      </c>
      <c r="R257" s="7" t="s">
        <v>714</v>
      </c>
      <c r="S257" s="7" t="s">
        <v>727</v>
      </c>
      <c r="T257" s="7" t="s">
        <v>1683</v>
      </c>
      <c r="U257" s="9">
        <v>1470.26</v>
      </c>
      <c r="V257" s="9">
        <v>2562.5500000000002</v>
      </c>
      <c r="W257" s="9">
        <v>2562.5500000000002</v>
      </c>
      <c r="X257" s="9">
        <v>856.39249999999993</v>
      </c>
      <c r="Y257" s="9">
        <v>1627.9050000000002</v>
      </c>
      <c r="Z257" s="9" t="s">
        <v>2095</v>
      </c>
      <c r="AA257" t="s">
        <v>2065</v>
      </c>
      <c r="AB257" s="11">
        <v>0.17299999999999999</v>
      </c>
      <c r="AC257" t="s">
        <v>2065</v>
      </c>
      <c r="AD257" s="13">
        <v>9</v>
      </c>
      <c r="AE257" s="9">
        <v>19073.059649999999</v>
      </c>
      <c r="AF257" s="9">
        <v>13232.34</v>
      </c>
      <c r="AG257" s="9">
        <v>5840.7196499999991</v>
      </c>
      <c r="AH257" s="11">
        <v>0.30622877279157462</v>
      </c>
      <c r="AI257" s="9">
        <f>SUMIFS(AD257:AD888, R257:R888, S257)</f>
        <v>0</v>
      </c>
      <c r="AJ257" s="11" t="e">
        <f>SUMIFS(AD257:AD888, R257:R888, S257, AD257:AD888, "&gt;" &amp; AE257) / AI257</f>
        <v>#DIV/0!</v>
      </c>
      <c r="AK257" s="7" t="e">
        <f>IF(AJ257&lt;=0.8,"A",IF(Table2[[#This Row],[Cumulative rev]]&lt;=0.95,"B","C"))</f>
        <v>#DIV/0!</v>
      </c>
    </row>
    <row r="258" spans="1:37" x14ac:dyDescent="0.3">
      <c r="A258" t="s">
        <v>271</v>
      </c>
      <c r="B258" s="4">
        <v>45035</v>
      </c>
      <c r="C258" s="4" t="s">
        <v>2102</v>
      </c>
      <c r="D258" s="4" t="s">
        <v>2103</v>
      </c>
      <c r="E258" s="4">
        <v>45053</v>
      </c>
      <c r="F258" t="s">
        <v>2064</v>
      </c>
      <c r="G258" s="4">
        <v>45053</v>
      </c>
      <c r="H258" s="4">
        <f>_xlfn.MINIFS(B258:B889, N258:N889, N258)</f>
        <v>44945</v>
      </c>
      <c r="I258" s="4" t="str">
        <f t="shared" si="6"/>
        <v>Jan-2023</v>
      </c>
      <c r="J258" s="13">
        <f t="shared" si="7"/>
        <v>4</v>
      </c>
      <c r="K258" s="13">
        <v>18</v>
      </c>
      <c r="L258" s="30" t="str">
        <f>IF(Table2[[#This Row],[LeadTimeDays]]&lt;7,"1","0")</f>
        <v>0</v>
      </c>
      <c r="M258" s="7" t="s">
        <v>649</v>
      </c>
      <c r="N258" s="7" t="s">
        <v>658</v>
      </c>
      <c r="O258" s="7" t="s">
        <v>683</v>
      </c>
      <c r="P258" s="7" t="s">
        <v>703</v>
      </c>
      <c r="Q258" s="7" t="s">
        <v>711</v>
      </c>
      <c r="R258" s="7" t="s">
        <v>722</v>
      </c>
      <c r="S258" s="7" t="s">
        <v>729</v>
      </c>
      <c r="T258" s="7" t="s">
        <v>1684</v>
      </c>
      <c r="U258" s="9">
        <v>516.96</v>
      </c>
      <c r="V258" s="9">
        <v>745.38</v>
      </c>
      <c r="W258" s="9">
        <v>745.38</v>
      </c>
      <c r="X258" s="9">
        <v>850.09940000000006</v>
      </c>
      <c r="Y258" s="9">
        <v>1625.3000000000002</v>
      </c>
      <c r="Z258" s="9" t="s">
        <v>2081</v>
      </c>
      <c r="AA258" t="s">
        <v>2065</v>
      </c>
      <c r="AB258" s="11">
        <v>0.19700000000000001</v>
      </c>
      <c r="AC258" t="s">
        <v>2065</v>
      </c>
      <c r="AD258" s="13">
        <v>4</v>
      </c>
      <c r="AE258" s="9">
        <v>2394.1605599999998</v>
      </c>
      <c r="AF258" s="9">
        <v>2067.84</v>
      </c>
      <c r="AG258" s="9">
        <v>326.32055999999966</v>
      </c>
      <c r="AH258" s="11">
        <v>0.13629852794835101</v>
      </c>
      <c r="AI258" s="9">
        <f>SUMIFS(AD258:AD889, R258:R889, S258)</f>
        <v>0</v>
      </c>
      <c r="AJ258" s="11" t="e">
        <f>SUMIFS(AD258:AD889, R258:R889, S258, AD258:AD889, "&gt;" &amp; AE258) / AI258</f>
        <v>#DIV/0!</v>
      </c>
      <c r="AK258" s="7" t="e">
        <f>IF(AJ258&lt;=0.8,"A",IF(Table2[[#This Row],[Cumulative rev]]&lt;=0.95,"B","C"))</f>
        <v>#DIV/0!</v>
      </c>
    </row>
    <row r="259" spans="1:37" x14ac:dyDescent="0.3">
      <c r="A259" t="s">
        <v>272</v>
      </c>
      <c r="B259" s="4">
        <v>45835</v>
      </c>
      <c r="C259" s="4" t="s">
        <v>2108</v>
      </c>
      <c r="D259" s="4" t="s">
        <v>2097</v>
      </c>
      <c r="E259" s="4">
        <v>45843</v>
      </c>
      <c r="F259" t="s">
        <v>2064</v>
      </c>
      <c r="G259" s="4">
        <v>45843</v>
      </c>
      <c r="H259" s="4">
        <f>_xlfn.MINIFS(B259:B890, N259:N890, N259)</f>
        <v>44952</v>
      </c>
      <c r="I259" s="4" t="str">
        <f t="shared" ref="I259:I322" si="8">TEXT(H259,"mmm-yyyy")</f>
        <v>Jan-2023</v>
      </c>
      <c r="J259" s="13">
        <f t="shared" ref="J259:J322" si="9">DATEDIF(H259, B259, "m") + 1</f>
        <v>30</v>
      </c>
      <c r="K259" s="13">
        <v>8</v>
      </c>
      <c r="L259" s="30" t="str">
        <f>IF(Table2[[#This Row],[LeadTimeDays]]&lt;7,"1","0")</f>
        <v>0</v>
      </c>
      <c r="M259" s="7" t="s">
        <v>649</v>
      </c>
      <c r="N259" s="7" t="s">
        <v>656</v>
      </c>
      <c r="O259" s="7" t="s">
        <v>684</v>
      </c>
      <c r="P259" s="7" t="s">
        <v>705</v>
      </c>
      <c r="Q259" s="7" t="s">
        <v>711</v>
      </c>
      <c r="R259" s="7" t="s">
        <v>715</v>
      </c>
      <c r="S259" s="7" t="s">
        <v>732</v>
      </c>
      <c r="T259" s="7" t="s">
        <v>1685</v>
      </c>
      <c r="U259" s="9">
        <v>314.93</v>
      </c>
      <c r="V259" s="9">
        <v>687.95</v>
      </c>
      <c r="W259" s="9">
        <v>687.95</v>
      </c>
      <c r="X259" s="9">
        <v>861.83140000000003</v>
      </c>
      <c r="Y259" s="9">
        <v>1626.3146000000002</v>
      </c>
      <c r="Z259" s="9" t="s">
        <v>2081</v>
      </c>
      <c r="AA259" t="s">
        <v>2065</v>
      </c>
      <c r="AB259" s="11">
        <v>0.20499999999999999</v>
      </c>
      <c r="AC259" t="s">
        <v>2065</v>
      </c>
      <c r="AD259" s="13">
        <v>8</v>
      </c>
      <c r="AE259" s="9">
        <v>4375.3620000000001</v>
      </c>
      <c r="AF259" s="9">
        <v>2519.44</v>
      </c>
      <c r="AG259" s="9">
        <v>1855.922</v>
      </c>
      <c r="AH259" s="11">
        <v>0.424175645352316</v>
      </c>
      <c r="AI259" s="9">
        <f>SUMIFS(AD259:AD890, R259:R890, S259)</f>
        <v>0</v>
      </c>
      <c r="AJ259" s="11" t="e">
        <f>SUMIFS(AD259:AD890, R259:R890, S259, AD259:AD890, "&gt;" &amp; AE259) / AI259</f>
        <v>#DIV/0!</v>
      </c>
      <c r="AK259" s="7" t="e">
        <f>IF(AJ259&lt;=0.8,"A",IF(Table2[[#This Row],[Cumulative rev]]&lt;=0.95,"B","C"))</f>
        <v>#DIV/0!</v>
      </c>
    </row>
    <row r="260" spans="1:37" x14ac:dyDescent="0.3">
      <c r="A260" t="s">
        <v>273</v>
      </c>
      <c r="B260" s="4">
        <v>45210</v>
      </c>
      <c r="C260" s="4" t="s">
        <v>2125</v>
      </c>
      <c r="D260" s="4" t="s">
        <v>2089</v>
      </c>
      <c r="E260" s="4">
        <v>45212</v>
      </c>
      <c r="F260" t="s">
        <v>2064</v>
      </c>
      <c r="G260" s="4">
        <v>45212</v>
      </c>
      <c r="H260" s="4">
        <f>_xlfn.MINIFS(B260:B891, N260:N891, N260)</f>
        <v>44955</v>
      </c>
      <c r="I260" s="4" t="str">
        <f t="shared" si="8"/>
        <v>Jan-2023</v>
      </c>
      <c r="J260" s="13">
        <f t="shared" si="9"/>
        <v>9</v>
      </c>
      <c r="K260" s="13">
        <v>2</v>
      </c>
      <c r="L260" s="30" t="str">
        <f>IF(Table2[[#This Row],[LeadTimeDays]]&lt;7,"1","0")</f>
        <v>1</v>
      </c>
      <c r="M260" s="7" t="s">
        <v>648</v>
      </c>
      <c r="N260" s="7" t="s">
        <v>655</v>
      </c>
      <c r="O260" s="7" t="s">
        <v>672</v>
      </c>
      <c r="P260" s="7" t="s">
        <v>704</v>
      </c>
      <c r="Q260" s="7" t="s">
        <v>710</v>
      </c>
      <c r="R260" s="7" t="s">
        <v>2057</v>
      </c>
      <c r="S260" s="7" t="s">
        <v>733</v>
      </c>
      <c r="T260" s="7" t="s">
        <v>1686</v>
      </c>
      <c r="U260" s="9">
        <v>715.94</v>
      </c>
      <c r="V260" s="9">
        <v>550.07000000000005</v>
      </c>
      <c r="W260" s="9">
        <v>550.07000000000005</v>
      </c>
      <c r="X260" s="9">
        <v>866.82960000000003</v>
      </c>
      <c r="Y260" s="9">
        <v>1628.0044</v>
      </c>
      <c r="Z260" s="9" t="s">
        <v>2081</v>
      </c>
      <c r="AA260" t="s">
        <v>2065</v>
      </c>
      <c r="AB260" s="11">
        <v>0.14000000000000001</v>
      </c>
      <c r="AC260" t="s">
        <v>2065</v>
      </c>
      <c r="AD260" s="13">
        <v>16</v>
      </c>
      <c r="AE260" s="9">
        <v>7568.9632000000001</v>
      </c>
      <c r="AF260" s="9">
        <v>11455.04</v>
      </c>
      <c r="AG260" s="9">
        <v>-3886.0768000000007</v>
      </c>
      <c r="AH260" s="11">
        <v>-0.51342260456491595</v>
      </c>
      <c r="AI260" s="9">
        <f>SUMIFS(AD260:AD891, R260:R891, S260)</f>
        <v>0</v>
      </c>
      <c r="AJ260" s="11" t="e">
        <f>SUMIFS(AD260:AD891, R260:R891, S260, AD260:AD891, "&gt;" &amp; AE260) / AI260</f>
        <v>#DIV/0!</v>
      </c>
      <c r="AK260" s="7" t="e">
        <f>IF(AJ260&lt;=0.8,"A",IF(Table2[[#This Row],[Cumulative rev]]&lt;=0.95,"B","C"))</f>
        <v>#DIV/0!</v>
      </c>
    </row>
    <row r="261" spans="1:37" x14ac:dyDescent="0.3">
      <c r="A261" t="s">
        <v>274</v>
      </c>
      <c r="B261" s="4">
        <v>45066</v>
      </c>
      <c r="C261" s="4" t="s">
        <v>2107</v>
      </c>
      <c r="D261" s="4" t="s">
        <v>2103</v>
      </c>
      <c r="E261" s="4">
        <v>45084</v>
      </c>
      <c r="F261" t="s">
        <v>2064</v>
      </c>
      <c r="G261" s="4">
        <v>45084</v>
      </c>
      <c r="H261" s="4">
        <f>_xlfn.MINIFS(B261:B892, N261:N892, N261)</f>
        <v>44968</v>
      </c>
      <c r="I261" s="4" t="str">
        <f t="shared" si="8"/>
        <v>Feb-2023</v>
      </c>
      <c r="J261" s="13">
        <f t="shared" si="9"/>
        <v>4</v>
      </c>
      <c r="K261" s="13">
        <v>18</v>
      </c>
      <c r="L261" s="30" t="str">
        <f>IF(Table2[[#This Row],[LeadTimeDays]]&lt;7,"1","0")</f>
        <v>0</v>
      </c>
      <c r="M261" s="7" t="s">
        <v>646</v>
      </c>
      <c r="N261" s="7" t="s">
        <v>651</v>
      </c>
      <c r="O261" s="7" t="s">
        <v>663</v>
      </c>
      <c r="P261" s="7" t="s">
        <v>706</v>
      </c>
      <c r="Q261" s="7" t="s">
        <v>710</v>
      </c>
      <c r="R261" s="7" t="s">
        <v>718</v>
      </c>
      <c r="S261" s="7" t="s">
        <v>727</v>
      </c>
      <c r="T261" s="7" t="s">
        <v>1687</v>
      </c>
      <c r="U261" s="9">
        <v>1120.06</v>
      </c>
      <c r="V261" s="9">
        <v>2068.21</v>
      </c>
      <c r="W261" s="9">
        <v>2068.21</v>
      </c>
      <c r="X261" s="9">
        <v>872.14170000000001</v>
      </c>
      <c r="Y261" s="9">
        <v>1629.6942000000001</v>
      </c>
      <c r="Z261" s="9" t="s">
        <v>2095</v>
      </c>
      <c r="AA261" t="s">
        <v>2065</v>
      </c>
      <c r="AB261" s="11">
        <v>7.8E-2</v>
      </c>
      <c r="AC261" t="s">
        <v>2065</v>
      </c>
      <c r="AD261" s="13">
        <v>12</v>
      </c>
      <c r="AE261" s="9">
        <v>22882.675440000003</v>
      </c>
      <c r="AF261" s="9">
        <v>13440.72</v>
      </c>
      <c r="AG261" s="9">
        <v>9441.9554400000034</v>
      </c>
      <c r="AH261" s="11">
        <v>0.41262462795303284</v>
      </c>
      <c r="AI261" s="9">
        <f>SUMIFS(AD261:AD892, R261:R892, S261)</f>
        <v>0</v>
      </c>
      <c r="AJ261" s="11" t="e">
        <f>SUMIFS(AD261:AD892, R261:R892, S261, AD261:AD892, "&gt;" &amp; AE261) / AI261</f>
        <v>#DIV/0!</v>
      </c>
      <c r="AK261" s="7" t="e">
        <f>IF(AJ261&lt;=0.8,"A",IF(Table2[[#This Row],[Cumulative rev]]&lt;=0.95,"B","C"))</f>
        <v>#DIV/0!</v>
      </c>
    </row>
    <row r="262" spans="1:37" x14ac:dyDescent="0.3">
      <c r="A262" t="s">
        <v>275</v>
      </c>
      <c r="B262" s="4">
        <v>45073</v>
      </c>
      <c r="C262" s="4" t="s">
        <v>2107</v>
      </c>
      <c r="D262" s="4" t="s">
        <v>2103</v>
      </c>
      <c r="E262" s="4">
        <v>45096</v>
      </c>
      <c r="F262" t="s">
        <v>2064</v>
      </c>
      <c r="G262" s="4">
        <v>45096</v>
      </c>
      <c r="H262" s="4">
        <f>_xlfn.MINIFS(B262:B893, N262:N893, N262)</f>
        <v>44952</v>
      </c>
      <c r="I262" s="4" t="str">
        <f t="shared" si="8"/>
        <v>Jan-2023</v>
      </c>
      <c r="J262" s="13">
        <f t="shared" si="9"/>
        <v>5</v>
      </c>
      <c r="K262" s="13">
        <v>23</v>
      </c>
      <c r="L262" s="30" t="str">
        <f>IF(Table2[[#This Row],[LeadTimeDays]]&lt;7,"1","0")</f>
        <v>0</v>
      </c>
      <c r="M262" s="7" t="s">
        <v>649</v>
      </c>
      <c r="N262" s="7" t="s">
        <v>656</v>
      </c>
      <c r="O262" s="7" t="s">
        <v>671</v>
      </c>
      <c r="P262" s="7" t="s">
        <v>702</v>
      </c>
      <c r="Q262" s="7" t="s">
        <v>707</v>
      </c>
      <c r="R262" s="7" t="s">
        <v>719</v>
      </c>
      <c r="S262" s="7" t="s">
        <v>733</v>
      </c>
      <c r="T262" s="7" t="s">
        <v>1688</v>
      </c>
      <c r="U262" s="9">
        <v>1471.58</v>
      </c>
      <c r="V262" s="9">
        <v>2576.65</v>
      </c>
      <c r="W262" s="9">
        <v>2576.65</v>
      </c>
      <c r="X262" s="9">
        <v>869.43900000000008</v>
      </c>
      <c r="Y262" s="9">
        <v>1626.4140000000002</v>
      </c>
      <c r="Z262" s="9" t="s">
        <v>2095</v>
      </c>
      <c r="AA262" t="s">
        <v>2065</v>
      </c>
      <c r="AB262" s="11">
        <v>4.0000000000000001E-3</v>
      </c>
      <c r="AC262" t="s">
        <v>2065</v>
      </c>
      <c r="AD262" s="13">
        <v>7</v>
      </c>
      <c r="AE262" s="9">
        <v>17964.4038</v>
      </c>
      <c r="AF262" s="9">
        <v>10301.06</v>
      </c>
      <c r="AG262" s="9">
        <v>7663.3438000000006</v>
      </c>
      <c r="AH262" s="11">
        <v>0.4265849223451546</v>
      </c>
      <c r="AI262" s="9">
        <f>SUMIFS(AD262:AD893, R262:R893, S262)</f>
        <v>0</v>
      </c>
      <c r="AJ262" s="11" t="e">
        <f>SUMIFS(AD262:AD893, R262:R893, S262, AD262:AD893, "&gt;" &amp; AE262) / AI262</f>
        <v>#DIV/0!</v>
      </c>
      <c r="AK262" s="7" t="e">
        <f>IF(AJ262&lt;=0.8,"A",IF(Table2[[#This Row],[Cumulative rev]]&lt;=0.95,"B","C"))</f>
        <v>#DIV/0!</v>
      </c>
    </row>
    <row r="263" spans="1:37" x14ac:dyDescent="0.3">
      <c r="A263" t="s">
        <v>276</v>
      </c>
      <c r="B263" s="4">
        <v>45142</v>
      </c>
      <c r="C263" s="4" t="s">
        <v>2118</v>
      </c>
      <c r="D263" s="4" t="s">
        <v>2117</v>
      </c>
      <c r="E263" s="4">
        <v>45162</v>
      </c>
      <c r="F263" t="s">
        <v>2064</v>
      </c>
      <c r="G263" s="4">
        <v>45162</v>
      </c>
      <c r="H263" s="4">
        <f>_xlfn.MINIFS(B263:B894, N263:N894, N263)</f>
        <v>44955</v>
      </c>
      <c r="I263" s="4" t="str">
        <f t="shared" si="8"/>
        <v>Jan-2023</v>
      </c>
      <c r="J263" s="13">
        <f t="shared" si="9"/>
        <v>7</v>
      </c>
      <c r="K263" s="13">
        <v>20</v>
      </c>
      <c r="L263" s="30" t="str">
        <f>IF(Table2[[#This Row],[LeadTimeDays]]&lt;7,"1","0")</f>
        <v>0</v>
      </c>
      <c r="M263" s="7" t="s">
        <v>648</v>
      </c>
      <c r="N263" s="7" t="s">
        <v>655</v>
      </c>
      <c r="O263" s="7" t="s">
        <v>672</v>
      </c>
      <c r="P263" s="7" t="s">
        <v>703</v>
      </c>
      <c r="Q263" s="7" t="s">
        <v>711</v>
      </c>
      <c r="R263" s="7" t="s">
        <v>2057</v>
      </c>
      <c r="S263" s="7" t="s">
        <v>729</v>
      </c>
      <c r="T263" s="7" t="s">
        <v>1689</v>
      </c>
      <c r="U263" s="9">
        <v>582.88</v>
      </c>
      <c r="V263" s="9">
        <v>1044.1400000000001</v>
      </c>
      <c r="W263" s="9">
        <v>1044.1400000000001</v>
      </c>
      <c r="X263" s="9">
        <v>866.90420000000006</v>
      </c>
      <c r="Y263" s="9">
        <v>1625.075</v>
      </c>
      <c r="Z263" s="9" t="s">
        <v>2092</v>
      </c>
      <c r="AA263" t="s">
        <v>2065</v>
      </c>
      <c r="AB263" s="11">
        <v>0.216</v>
      </c>
      <c r="AC263" t="s">
        <v>2065</v>
      </c>
      <c r="AD263" s="13">
        <v>10</v>
      </c>
      <c r="AE263" s="9">
        <v>8186.057600000001</v>
      </c>
      <c r="AF263" s="9">
        <v>5828.8</v>
      </c>
      <c r="AG263" s="9">
        <v>2357.2576000000008</v>
      </c>
      <c r="AH263" s="11">
        <v>0.28796005539956138</v>
      </c>
      <c r="AI263" s="9">
        <f>SUMIFS(AD263:AD894, R263:R894, S263)</f>
        <v>0</v>
      </c>
      <c r="AJ263" s="11" t="e">
        <f>SUMIFS(AD263:AD894, R263:R894, S263, AD263:AD894, "&gt;" &amp; AE263) / AI263</f>
        <v>#DIV/0!</v>
      </c>
      <c r="AK263" s="7" t="e">
        <f>IF(AJ263&lt;=0.8,"A",IF(Table2[[#This Row],[Cumulative rev]]&lt;=0.95,"B","C"))</f>
        <v>#DIV/0!</v>
      </c>
    </row>
    <row r="264" spans="1:37" x14ac:dyDescent="0.3">
      <c r="A264" t="s">
        <v>277</v>
      </c>
      <c r="B264" s="4">
        <v>45829</v>
      </c>
      <c r="C264" s="4" t="s">
        <v>2108</v>
      </c>
      <c r="D264" s="4" t="s">
        <v>2097</v>
      </c>
      <c r="E264" s="4">
        <v>45835</v>
      </c>
      <c r="F264" t="s">
        <v>2064</v>
      </c>
      <c r="G264" s="4">
        <v>45835</v>
      </c>
      <c r="H264" s="4">
        <f>_xlfn.MINIFS(B264:B895, N264:N895, N264)</f>
        <v>44933</v>
      </c>
      <c r="I264" s="4" t="str">
        <f t="shared" si="8"/>
        <v>Jan-2023</v>
      </c>
      <c r="J264" s="13">
        <f t="shared" si="9"/>
        <v>30</v>
      </c>
      <c r="K264" s="13">
        <v>6</v>
      </c>
      <c r="L264" s="30" t="str">
        <f>IF(Table2[[#This Row],[LeadTimeDays]]&lt;7,"1","0")</f>
        <v>1</v>
      </c>
      <c r="M264" s="7" t="s">
        <v>646</v>
      </c>
      <c r="N264" s="7" t="s">
        <v>661</v>
      </c>
      <c r="O264" s="7" t="s">
        <v>687</v>
      </c>
      <c r="P264" s="7" t="s">
        <v>706</v>
      </c>
      <c r="Q264" s="7" t="s">
        <v>710</v>
      </c>
      <c r="R264" s="7" t="s">
        <v>725</v>
      </c>
      <c r="S264" s="7" t="s">
        <v>730</v>
      </c>
      <c r="T264" s="7" t="s">
        <v>1690</v>
      </c>
      <c r="U264" s="9">
        <v>93.91</v>
      </c>
      <c r="V264" s="9">
        <v>99.04</v>
      </c>
      <c r="W264" s="9">
        <v>99.04</v>
      </c>
      <c r="X264" s="9">
        <v>864.44240000000002</v>
      </c>
      <c r="Y264" s="9">
        <v>1625.3300000000002</v>
      </c>
      <c r="Z264" s="9" t="s">
        <v>2081</v>
      </c>
      <c r="AA264" t="s">
        <v>2065</v>
      </c>
      <c r="AB264" s="11">
        <v>5.7000000000000002E-2</v>
      </c>
      <c r="AC264" t="s">
        <v>2065</v>
      </c>
      <c r="AD264" s="13">
        <v>6</v>
      </c>
      <c r="AE264" s="9">
        <v>560.36831999999993</v>
      </c>
      <c r="AF264" s="9">
        <v>563.46</v>
      </c>
      <c r="AG264" s="9">
        <v>-3.0916800000001103</v>
      </c>
      <c r="AH264" s="11">
        <v>-5.5172283829323376E-3</v>
      </c>
      <c r="AI264" s="9">
        <f>SUMIFS(AD264:AD895, R264:R895, S264)</f>
        <v>0</v>
      </c>
      <c r="AJ264" s="11" t="e">
        <f>SUMIFS(AD264:AD895, R264:R895, S264, AD264:AD895, "&gt;" &amp; AE264) / AI264</f>
        <v>#DIV/0!</v>
      </c>
      <c r="AK264" s="7" t="e">
        <f>IF(AJ264&lt;=0.8,"A",IF(Table2[[#This Row],[Cumulative rev]]&lt;=0.95,"B","C"))</f>
        <v>#DIV/0!</v>
      </c>
    </row>
    <row r="265" spans="1:37" x14ac:dyDescent="0.3">
      <c r="A265" t="s">
        <v>278</v>
      </c>
      <c r="B265" s="4">
        <v>45763</v>
      </c>
      <c r="C265" s="4" t="s">
        <v>2111</v>
      </c>
      <c r="D265" s="4" t="s">
        <v>2097</v>
      </c>
      <c r="E265" s="4">
        <v>45773</v>
      </c>
      <c r="F265" t="s">
        <v>2064</v>
      </c>
      <c r="G265" s="4">
        <v>45773</v>
      </c>
      <c r="H265" s="4">
        <f>_xlfn.MINIFS(B265:B896, N265:N896, N265)</f>
        <v>44968</v>
      </c>
      <c r="I265" s="4" t="str">
        <f t="shared" si="8"/>
        <v>Feb-2023</v>
      </c>
      <c r="J265" s="13">
        <f t="shared" si="9"/>
        <v>27</v>
      </c>
      <c r="K265" s="13">
        <v>10</v>
      </c>
      <c r="L265" s="30" t="str">
        <f>IF(Table2[[#This Row],[LeadTimeDays]]&lt;7,"1","0")</f>
        <v>0</v>
      </c>
      <c r="M265" s="7" t="s">
        <v>646</v>
      </c>
      <c r="N265" s="7" t="s">
        <v>651</v>
      </c>
      <c r="O265" s="7" t="s">
        <v>663</v>
      </c>
      <c r="P265" s="7" t="s">
        <v>706</v>
      </c>
      <c r="Q265" s="7" t="s">
        <v>709</v>
      </c>
      <c r="R265" s="7" t="s">
        <v>721</v>
      </c>
      <c r="S265" s="7" t="s">
        <v>731</v>
      </c>
      <c r="T265" s="7" t="s">
        <v>1691</v>
      </c>
      <c r="U265" s="9">
        <v>1457.44</v>
      </c>
      <c r="V265" s="9">
        <v>1996.81</v>
      </c>
      <c r="W265" s="9">
        <v>1996.81</v>
      </c>
      <c r="X265" s="9">
        <v>869.52089999999998</v>
      </c>
      <c r="Y265" s="9">
        <v>1626.5134</v>
      </c>
      <c r="Z265" s="9" t="s">
        <v>2095</v>
      </c>
      <c r="AA265" t="s">
        <v>2065</v>
      </c>
      <c r="AB265" s="11">
        <v>0.126</v>
      </c>
      <c r="AC265" t="s">
        <v>2065</v>
      </c>
      <c r="AD265" s="13">
        <v>23</v>
      </c>
      <c r="AE265" s="9">
        <v>40139.874619999995</v>
      </c>
      <c r="AF265" s="9">
        <v>33521.120000000003</v>
      </c>
      <c r="AG265" s="9">
        <v>6618.7546199999924</v>
      </c>
      <c r="AH265" s="11">
        <v>0.16489225944672353</v>
      </c>
      <c r="AI265" s="9">
        <f>SUMIFS(AD265:AD896, R265:R896, S265)</f>
        <v>0</v>
      </c>
      <c r="AJ265" s="11" t="e">
        <f>SUMIFS(AD265:AD896, R265:R896, S265, AD265:AD896, "&gt;" &amp; AE265) / AI265</f>
        <v>#DIV/0!</v>
      </c>
      <c r="AK265" s="7" t="e">
        <f>IF(AJ265&lt;=0.8,"A",IF(Table2[[#This Row],[Cumulative rev]]&lt;=0.95,"B","C"))</f>
        <v>#DIV/0!</v>
      </c>
    </row>
    <row r="266" spans="1:37" x14ac:dyDescent="0.3">
      <c r="A266" t="s">
        <v>279</v>
      </c>
      <c r="B266" s="4">
        <v>45902</v>
      </c>
      <c r="C266" s="4" t="s">
        <v>2100</v>
      </c>
      <c r="D266" s="4" t="s">
        <v>2101</v>
      </c>
      <c r="E266" s="4">
        <v>45911</v>
      </c>
      <c r="F266" t="s">
        <v>2064</v>
      </c>
      <c r="G266" s="4">
        <v>45911</v>
      </c>
      <c r="H266" s="4">
        <f>_xlfn.MINIFS(B266:B897, N266:N897, N266)</f>
        <v>45029</v>
      </c>
      <c r="I266" s="4" t="str">
        <f t="shared" si="8"/>
        <v>Apr-2023</v>
      </c>
      <c r="J266" s="13">
        <f t="shared" si="9"/>
        <v>29</v>
      </c>
      <c r="K266" s="13">
        <v>9</v>
      </c>
      <c r="L266" s="30" t="str">
        <f>IF(Table2[[#This Row],[LeadTimeDays]]&lt;7,"1","0")</f>
        <v>0</v>
      </c>
      <c r="M266" s="7" t="s">
        <v>648</v>
      </c>
      <c r="N266" s="7" t="s">
        <v>653</v>
      </c>
      <c r="O266" s="7" t="s">
        <v>667</v>
      </c>
      <c r="P266" s="7" t="s">
        <v>701</v>
      </c>
      <c r="Q266" s="7" t="s">
        <v>710</v>
      </c>
      <c r="R266" s="7" t="s">
        <v>724</v>
      </c>
      <c r="S266" s="7" t="s">
        <v>728</v>
      </c>
      <c r="T266" s="7" t="s">
        <v>1692</v>
      </c>
      <c r="U266" s="9">
        <v>1207.6300000000001</v>
      </c>
      <c r="V266" s="9">
        <v>921.68</v>
      </c>
      <c r="W266" s="9">
        <v>921.68</v>
      </c>
      <c r="X266" s="9">
        <v>866.97879999999998</v>
      </c>
      <c r="Y266" s="9">
        <v>1625.0900000000001</v>
      </c>
      <c r="Z266" s="9" t="s">
        <v>2092</v>
      </c>
      <c r="AA266" t="s">
        <v>2065</v>
      </c>
      <c r="AB266" s="11">
        <v>0.19600000000000001</v>
      </c>
      <c r="AC266" t="s">
        <v>2065</v>
      </c>
      <c r="AD266" s="13">
        <v>17</v>
      </c>
      <c r="AE266" s="9">
        <v>12597.52224</v>
      </c>
      <c r="AF266" s="9">
        <v>20529.710000000003</v>
      </c>
      <c r="AG266" s="9">
        <v>-7932.1877600000025</v>
      </c>
      <c r="AH266" s="11">
        <v>-0.62966253274897988</v>
      </c>
      <c r="AI266" s="9">
        <f>SUMIFS(AD266:AD897, R266:R897, S266)</f>
        <v>0</v>
      </c>
      <c r="AJ266" s="11" t="e">
        <f>SUMIFS(AD266:AD897, R266:R897, S266, AD266:AD897, "&gt;" &amp; AE266) / AI266</f>
        <v>#DIV/0!</v>
      </c>
      <c r="AK266" s="7" t="e">
        <f>IF(AJ266&lt;=0.8,"A",IF(Table2[[#This Row],[Cumulative rev]]&lt;=0.95,"B","C"))</f>
        <v>#DIV/0!</v>
      </c>
    </row>
    <row r="267" spans="1:37" x14ac:dyDescent="0.3">
      <c r="A267" t="s">
        <v>280</v>
      </c>
      <c r="B267" s="4">
        <v>45573</v>
      </c>
      <c r="C267" s="4" t="s">
        <v>2082</v>
      </c>
      <c r="D267" s="4" t="s">
        <v>2083</v>
      </c>
      <c r="E267" s="4">
        <v>45573</v>
      </c>
      <c r="F267" t="s">
        <v>2064</v>
      </c>
      <c r="G267" s="4">
        <v>45573</v>
      </c>
      <c r="H267" s="4">
        <f>_xlfn.MINIFS(B267:B898, N267:N898, N267)</f>
        <v>44945</v>
      </c>
      <c r="I267" s="4" t="str">
        <f t="shared" si="8"/>
        <v>Jan-2023</v>
      </c>
      <c r="J267" s="13">
        <f t="shared" si="9"/>
        <v>21</v>
      </c>
      <c r="K267" s="13">
        <v>0</v>
      </c>
      <c r="L267" s="30" t="str">
        <f>IF(Table2[[#This Row],[LeadTimeDays]]&lt;7,"1","0")</f>
        <v>1</v>
      </c>
      <c r="M267" s="7" t="s">
        <v>649</v>
      </c>
      <c r="N267" s="7" t="s">
        <v>658</v>
      </c>
      <c r="O267" s="7" t="s">
        <v>683</v>
      </c>
      <c r="P267" s="7" t="s">
        <v>701</v>
      </c>
      <c r="Q267" s="7" t="s">
        <v>708</v>
      </c>
      <c r="R267" s="7" t="s">
        <v>718</v>
      </c>
      <c r="S267" s="7" t="s">
        <v>732</v>
      </c>
      <c r="T267" s="7" t="s">
        <v>1693</v>
      </c>
      <c r="U267" s="9">
        <v>1108.1099999999999</v>
      </c>
      <c r="V267" s="9">
        <v>2503.79</v>
      </c>
      <c r="W267" s="9">
        <v>2503.79</v>
      </c>
      <c r="X267" s="9">
        <v>864.51700000000005</v>
      </c>
      <c r="Y267" s="9">
        <v>1625.345</v>
      </c>
      <c r="Z267" s="9" t="s">
        <v>2095</v>
      </c>
      <c r="AA267" t="s">
        <v>2065</v>
      </c>
      <c r="AB267" s="11">
        <v>0.184</v>
      </c>
      <c r="AC267" t="s">
        <v>2065</v>
      </c>
      <c r="AD267" s="13">
        <v>19</v>
      </c>
      <c r="AE267" s="9">
        <v>38818.760160000005</v>
      </c>
      <c r="AF267" s="9">
        <v>21054.089999999997</v>
      </c>
      <c r="AG267" s="9">
        <v>17764.670160000009</v>
      </c>
      <c r="AH267" s="11">
        <v>0.45763105485025896</v>
      </c>
      <c r="AI267" s="9">
        <f>SUMIFS(AD267:AD898, R267:R898, S267)</f>
        <v>0</v>
      </c>
      <c r="AJ267" s="11" t="e">
        <f>SUMIFS(AD267:AD898, R267:R898, S267, AD267:AD898, "&gt;" &amp; AE267) / AI267</f>
        <v>#DIV/0!</v>
      </c>
      <c r="AK267" s="7" t="e">
        <f>IF(AJ267&lt;=0.8,"A",IF(Table2[[#This Row],[Cumulative rev]]&lt;=0.95,"B","C"))</f>
        <v>#DIV/0!</v>
      </c>
    </row>
    <row r="268" spans="1:37" x14ac:dyDescent="0.3">
      <c r="A268" t="s">
        <v>281</v>
      </c>
      <c r="B268" s="4">
        <v>45053</v>
      </c>
      <c r="C268" s="4" t="s">
        <v>2107</v>
      </c>
      <c r="D268" s="4" t="s">
        <v>2103</v>
      </c>
      <c r="E268" s="4">
        <v>45051</v>
      </c>
      <c r="F268" t="s">
        <v>2066</v>
      </c>
      <c r="G268" s="4">
        <v>45053</v>
      </c>
      <c r="H268" s="4">
        <f>_xlfn.MINIFS(B268:B899, N268:N899, N268)</f>
        <v>44968</v>
      </c>
      <c r="I268" s="4" t="str">
        <f t="shared" si="8"/>
        <v>Feb-2023</v>
      </c>
      <c r="J268" s="13">
        <f t="shared" si="9"/>
        <v>3</v>
      </c>
      <c r="K268" s="13">
        <v>0</v>
      </c>
      <c r="L268" s="30" t="str">
        <f>IF(Table2[[#This Row],[LeadTimeDays]]&lt;7,"1","0")</f>
        <v>1</v>
      </c>
      <c r="M268" s="7" t="s">
        <v>646</v>
      </c>
      <c r="N268" s="7" t="s">
        <v>651</v>
      </c>
      <c r="O268" s="7" t="s">
        <v>663</v>
      </c>
      <c r="P268" s="7" t="s">
        <v>703</v>
      </c>
      <c r="Q268" s="7" t="s">
        <v>709</v>
      </c>
      <c r="R268" s="7" t="s">
        <v>720</v>
      </c>
      <c r="S268" s="7" t="s">
        <v>727</v>
      </c>
      <c r="T268" s="7" t="s">
        <v>1694</v>
      </c>
      <c r="U268" s="9">
        <v>1269.6500000000001</v>
      </c>
      <c r="V268" s="9">
        <v>2462.77</v>
      </c>
      <c r="W268" s="9">
        <v>2462.77</v>
      </c>
      <c r="X268" s="9">
        <v>862.05520000000001</v>
      </c>
      <c r="Y268" s="9">
        <v>1624.8500000000001</v>
      </c>
      <c r="Z268" s="9" t="s">
        <v>2095</v>
      </c>
      <c r="AA268" t="s">
        <v>2065</v>
      </c>
      <c r="AB268" s="11">
        <v>0.107</v>
      </c>
      <c r="AC268" t="s">
        <v>2065</v>
      </c>
      <c r="AD268" s="13">
        <v>8</v>
      </c>
      <c r="AE268" s="9">
        <v>17594.028880000002</v>
      </c>
      <c r="AF268" s="9">
        <v>10157.200000000001</v>
      </c>
      <c r="AG268" s="9">
        <v>7436.8288800000009</v>
      </c>
      <c r="AH268" s="11">
        <v>0.42269050089225502</v>
      </c>
      <c r="AI268" s="9">
        <f>SUMIFS(AD268:AD899, R268:R899, S268)</f>
        <v>0</v>
      </c>
      <c r="AJ268" s="11" t="e">
        <f>SUMIFS(AD268:AD899, R268:R899, S268, AD268:AD899, "&gt;" &amp; AE268) / AI268</f>
        <v>#DIV/0!</v>
      </c>
      <c r="AK268" s="7" t="e">
        <f>IF(AJ268&lt;=0.8,"A",IF(Table2[[#This Row],[Cumulative rev]]&lt;=0.95,"B","C"))</f>
        <v>#DIV/0!</v>
      </c>
    </row>
    <row r="269" spans="1:37" x14ac:dyDescent="0.3">
      <c r="A269" t="s">
        <v>282</v>
      </c>
      <c r="B269" s="4">
        <v>45284</v>
      </c>
      <c r="C269" s="4" t="s">
        <v>2088</v>
      </c>
      <c r="D269" s="4" t="s">
        <v>2089</v>
      </c>
      <c r="E269" s="4">
        <v>45292</v>
      </c>
      <c r="F269" t="s">
        <v>2064</v>
      </c>
      <c r="G269" s="4">
        <v>45292</v>
      </c>
      <c r="H269" s="4">
        <f>_xlfn.MINIFS(B269:B900, N269:N900, N269)</f>
        <v>44955</v>
      </c>
      <c r="I269" s="4" t="str">
        <f t="shared" si="8"/>
        <v>Jan-2023</v>
      </c>
      <c r="J269" s="13">
        <f t="shared" si="9"/>
        <v>11</v>
      </c>
      <c r="K269" s="13">
        <v>8</v>
      </c>
      <c r="L269" s="30" t="str">
        <f>IF(Table2[[#This Row],[LeadTimeDays]]&lt;7,"1","0")</f>
        <v>0</v>
      </c>
      <c r="M269" s="7" t="s">
        <v>648</v>
      </c>
      <c r="N269" s="7" t="s">
        <v>655</v>
      </c>
      <c r="O269" s="7" t="s">
        <v>670</v>
      </c>
      <c r="P269" s="7" t="s">
        <v>702</v>
      </c>
      <c r="Q269" s="7" t="s">
        <v>711</v>
      </c>
      <c r="R269" s="7" t="s">
        <v>712</v>
      </c>
      <c r="S269" s="7" t="s">
        <v>730</v>
      </c>
      <c r="T269" s="7" t="s">
        <v>1695</v>
      </c>
      <c r="U269" s="9">
        <v>526.49</v>
      </c>
      <c r="V269" s="9">
        <v>496.2</v>
      </c>
      <c r="W269" s="9">
        <v>496.2</v>
      </c>
      <c r="X269" s="9">
        <v>857.15530000000012</v>
      </c>
      <c r="Y269" s="9">
        <v>1622.9606000000001</v>
      </c>
      <c r="Z269" s="9" t="s">
        <v>2081</v>
      </c>
      <c r="AA269" t="s">
        <v>2065</v>
      </c>
      <c r="AB269" s="11">
        <v>0</v>
      </c>
      <c r="AC269" t="s">
        <v>2065</v>
      </c>
      <c r="AD269" s="13">
        <v>14</v>
      </c>
      <c r="AE269" s="9">
        <v>6946.8</v>
      </c>
      <c r="AF269" s="9">
        <v>7370.8600000000006</v>
      </c>
      <c r="AG269" s="9">
        <v>-424.0600000000004</v>
      </c>
      <c r="AH269" s="11">
        <v>-6.1043933897621985E-2</v>
      </c>
      <c r="AI269" s="9">
        <f>SUMIFS(AD269:AD900, R269:R900, S269)</f>
        <v>0</v>
      </c>
      <c r="AJ269" s="11" t="e">
        <f>SUMIFS(AD269:AD900, R269:R900, S269, AD269:AD900, "&gt;" &amp; AE269) / AI269</f>
        <v>#DIV/0!</v>
      </c>
      <c r="AK269" s="7" t="e">
        <f>IF(AJ269&lt;=0.8,"A",IF(Table2[[#This Row],[Cumulative rev]]&lt;=0.95,"B","C"))</f>
        <v>#DIV/0!</v>
      </c>
    </row>
    <row r="270" spans="1:37" x14ac:dyDescent="0.3">
      <c r="A270" t="s">
        <v>283</v>
      </c>
      <c r="B270" s="4">
        <v>45301</v>
      </c>
      <c r="C270" s="4" t="s">
        <v>2098</v>
      </c>
      <c r="D270" s="4" t="s">
        <v>2080</v>
      </c>
      <c r="E270" s="4">
        <v>45314</v>
      </c>
      <c r="F270" t="s">
        <v>2064</v>
      </c>
      <c r="G270" s="4">
        <v>45314</v>
      </c>
      <c r="H270" s="4">
        <f>_xlfn.MINIFS(B270:B901, N270:N901, N270)</f>
        <v>44936</v>
      </c>
      <c r="I270" s="4" t="str">
        <f t="shared" si="8"/>
        <v>Jan-2023</v>
      </c>
      <c r="J270" s="13">
        <f t="shared" si="9"/>
        <v>13</v>
      </c>
      <c r="K270" s="13">
        <v>13</v>
      </c>
      <c r="L270" s="30" t="str">
        <f>IF(Table2[[#This Row],[LeadTimeDays]]&lt;7,"1","0")</f>
        <v>0</v>
      </c>
      <c r="M270" s="7" t="s">
        <v>649</v>
      </c>
      <c r="N270" s="7" t="s">
        <v>657</v>
      </c>
      <c r="O270" s="7" t="s">
        <v>673</v>
      </c>
      <c r="P270" s="7" t="s">
        <v>701</v>
      </c>
      <c r="Q270" s="7" t="s">
        <v>711</v>
      </c>
      <c r="R270" s="7" t="s">
        <v>720</v>
      </c>
      <c r="S270" s="7" t="s">
        <v>728</v>
      </c>
      <c r="T270" s="7" t="s">
        <v>1696</v>
      </c>
      <c r="U270" s="9">
        <v>720</v>
      </c>
      <c r="V270" s="9">
        <v>907.59</v>
      </c>
      <c r="W270" s="9">
        <v>907.59</v>
      </c>
      <c r="X270" s="9">
        <v>864.59160000000008</v>
      </c>
      <c r="Y270" s="9">
        <v>1624.3444000000002</v>
      </c>
      <c r="Z270" s="9" t="s">
        <v>2092</v>
      </c>
      <c r="AA270" t="s">
        <v>2065</v>
      </c>
      <c r="AB270" s="11">
        <v>0.154</v>
      </c>
      <c r="AC270" t="s">
        <v>2065</v>
      </c>
      <c r="AD270" s="13">
        <v>10</v>
      </c>
      <c r="AE270" s="9">
        <v>7678.2113999999992</v>
      </c>
      <c r="AF270" s="9">
        <v>7200</v>
      </c>
      <c r="AG270" s="9">
        <v>478.21139999999923</v>
      </c>
      <c r="AH270" s="11">
        <v>6.2281614179052078E-2</v>
      </c>
      <c r="AI270" s="9">
        <f>SUMIFS(AD270:AD901, R270:R901, S270)</f>
        <v>0</v>
      </c>
      <c r="AJ270" s="11" t="e">
        <f>SUMIFS(AD270:AD901, R270:R901, S270, AD270:AD901, "&gt;" &amp; AE270) / AI270</f>
        <v>#DIV/0!</v>
      </c>
      <c r="AK270" s="7" t="e">
        <f>IF(AJ270&lt;=0.8,"A",IF(Table2[[#This Row],[Cumulative rev]]&lt;=0.95,"B","C"))</f>
        <v>#DIV/0!</v>
      </c>
    </row>
    <row r="271" spans="1:37" x14ac:dyDescent="0.3">
      <c r="A271" t="s">
        <v>284</v>
      </c>
      <c r="B271" s="4">
        <v>45141</v>
      </c>
      <c r="C271" s="4" t="s">
        <v>2118</v>
      </c>
      <c r="D271" s="4" t="s">
        <v>2117</v>
      </c>
      <c r="E271" s="4">
        <v>45152</v>
      </c>
      <c r="F271" t="s">
        <v>2064</v>
      </c>
      <c r="G271" s="4">
        <v>45152</v>
      </c>
      <c r="H271" s="4">
        <f>_xlfn.MINIFS(B271:B902, N271:N902, N271)</f>
        <v>44955</v>
      </c>
      <c r="I271" s="4" t="str">
        <f t="shared" si="8"/>
        <v>Jan-2023</v>
      </c>
      <c r="J271" s="13">
        <f t="shared" si="9"/>
        <v>7</v>
      </c>
      <c r="K271" s="13">
        <v>11</v>
      </c>
      <c r="L271" s="30" t="str">
        <f>IF(Table2[[#This Row],[LeadTimeDays]]&lt;7,"1","0")</f>
        <v>0</v>
      </c>
      <c r="M271" s="7" t="s">
        <v>648</v>
      </c>
      <c r="N271" s="7" t="s">
        <v>655</v>
      </c>
      <c r="O271" s="7" t="s">
        <v>672</v>
      </c>
      <c r="P271" s="7" t="s">
        <v>701</v>
      </c>
      <c r="Q271" s="7" t="s">
        <v>711</v>
      </c>
      <c r="R271" s="7" t="s">
        <v>713</v>
      </c>
      <c r="S271" s="7" t="s">
        <v>733</v>
      </c>
      <c r="T271" s="7" t="s">
        <v>1697</v>
      </c>
      <c r="U271" s="9">
        <v>232.73</v>
      </c>
      <c r="V271" s="9">
        <v>334.19</v>
      </c>
      <c r="W271" s="9">
        <v>334.19</v>
      </c>
      <c r="X271" s="9">
        <v>862.12980000000005</v>
      </c>
      <c r="Y271" s="9">
        <v>1624.865</v>
      </c>
      <c r="Z271" s="9" t="s">
        <v>2081</v>
      </c>
      <c r="AA271" t="s">
        <v>2065</v>
      </c>
      <c r="AB271" s="11">
        <v>0.13400000000000001</v>
      </c>
      <c r="AC271" t="s">
        <v>2065</v>
      </c>
      <c r="AD271" s="13">
        <v>25</v>
      </c>
      <c r="AE271" s="9">
        <v>7235.2134999999998</v>
      </c>
      <c r="AF271" s="9">
        <v>5818.25</v>
      </c>
      <c r="AG271" s="9">
        <v>1416.9634999999998</v>
      </c>
      <c r="AH271" s="11">
        <v>0.1958426658729559</v>
      </c>
      <c r="AI271" s="9">
        <f>SUMIFS(AD271:AD902, R271:R902, S271)</f>
        <v>0</v>
      </c>
      <c r="AJ271" s="11" t="e">
        <f>SUMIFS(AD271:AD902, R271:R902, S271, AD271:AD902, "&gt;" &amp; AE271) / AI271</f>
        <v>#DIV/0!</v>
      </c>
      <c r="AK271" s="7" t="e">
        <f>IF(AJ271&lt;=0.8,"A",IF(Table2[[#This Row],[Cumulative rev]]&lt;=0.95,"B","C"))</f>
        <v>#DIV/0!</v>
      </c>
    </row>
    <row r="272" spans="1:37" x14ac:dyDescent="0.3">
      <c r="A272" t="s">
        <v>285</v>
      </c>
      <c r="B272" s="4">
        <v>45707</v>
      </c>
      <c r="C272" s="4" t="s">
        <v>2119</v>
      </c>
      <c r="D272" s="4" t="s">
        <v>2087</v>
      </c>
      <c r="E272" s="4">
        <v>45725</v>
      </c>
      <c r="F272" t="s">
        <v>2064</v>
      </c>
      <c r="G272" s="4">
        <v>45725</v>
      </c>
      <c r="H272" s="4">
        <f>_xlfn.MINIFS(B272:B903, N272:N903, N272)</f>
        <v>45048</v>
      </c>
      <c r="I272" s="4" t="str">
        <f t="shared" si="8"/>
        <v>May-2023</v>
      </c>
      <c r="J272" s="13">
        <f t="shared" si="9"/>
        <v>22</v>
      </c>
      <c r="K272" s="13">
        <v>18</v>
      </c>
      <c r="L272" s="30" t="str">
        <f>IF(Table2[[#This Row],[LeadTimeDays]]&lt;7,"1","0")</f>
        <v>0</v>
      </c>
      <c r="M272" s="7" t="s">
        <v>647</v>
      </c>
      <c r="N272" s="7" t="s">
        <v>654</v>
      </c>
      <c r="O272" s="7" t="s">
        <v>680</v>
      </c>
      <c r="P272" s="7" t="s">
        <v>705</v>
      </c>
      <c r="Q272" s="7" t="s">
        <v>711</v>
      </c>
      <c r="R272" s="7" t="s">
        <v>719</v>
      </c>
      <c r="S272" s="7" t="s">
        <v>732</v>
      </c>
      <c r="T272" s="7" t="s">
        <v>1698</v>
      </c>
      <c r="U272" s="9">
        <v>325.87</v>
      </c>
      <c r="V272" s="9">
        <v>538.79</v>
      </c>
      <c r="W272" s="9">
        <v>538.79</v>
      </c>
      <c r="X272" s="9">
        <v>867.12800000000004</v>
      </c>
      <c r="Y272" s="9">
        <v>1625.1200000000001</v>
      </c>
      <c r="Z272" s="9" t="s">
        <v>2081</v>
      </c>
      <c r="AA272" t="s">
        <v>2065</v>
      </c>
      <c r="AB272" s="11">
        <v>0.17399999999999999</v>
      </c>
      <c r="AC272" t="s">
        <v>2065</v>
      </c>
      <c r="AD272" s="13">
        <v>16</v>
      </c>
      <c r="AE272" s="9">
        <v>7120.6486400000003</v>
      </c>
      <c r="AF272" s="9">
        <v>5213.92</v>
      </c>
      <c r="AG272" s="9">
        <v>1906.7286400000003</v>
      </c>
      <c r="AH272" s="11">
        <v>0.26777457172778013</v>
      </c>
      <c r="AI272" s="9">
        <f>SUMIFS(AD272:AD903, R272:R903, S272)</f>
        <v>0</v>
      </c>
      <c r="AJ272" s="11" t="e">
        <f>SUMIFS(AD272:AD903, R272:R903, S272, AD272:AD903, "&gt;" &amp; AE272) / AI272</f>
        <v>#DIV/0!</v>
      </c>
      <c r="AK272" s="7" t="e">
        <f>IF(AJ272&lt;=0.8,"A",IF(Table2[[#This Row],[Cumulative rev]]&lt;=0.95,"B","C"))</f>
        <v>#DIV/0!</v>
      </c>
    </row>
    <row r="273" spans="1:37" x14ac:dyDescent="0.3">
      <c r="A273" t="s">
        <v>286</v>
      </c>
      <c r="B273" s="4">
        <v>45382</v>
      </c>
      <c r="C273" s="4" t="s">
        <v>2079</v>
      </c>
      <c r="D273" s="4" t="s">
        <v>2080</v>
      </c>
      <c r="E273" s="4">
        <v>45399</v>
      </c>
      <c r="F273" t="s">
        <v>2064</v>
      </c>
      <c r="G273" s="4">
        <v>45399</v>
      </c>
      <c r="H273" s="4">
        <f>_xlfn.MINIFS(B273:B904, N273:N904, N273)</f>
        <v>44952</v>
      </c>
      <c r="I273" s="4" t="str">
        <f t="shared" si="8"/>
        <v>Jan-2023</v>
      </c>
      <c r="J273" s="13">
        <f t="shared" si="9"/>
        <v>15</v>
      </c>
      <c r="K273" s="13">
        <v>17</v>
      </c>
      <c r="L273" s="30" t="str">
        <f>IF(Table2[[#This Row],[LeadTimeDays]]&lt;7,"1","0")</f>
        <v>0</v>
      </c>
      <c r="M273" s="7" t="s">
        <v>649</v>
      </c>
      <c r="N273" s="7" t="s">
        <v>656</v>
      </c>
      <c r="O273" s="7" t="s">
        <v>698</v>
      </c>
      <c r="P273" s="7" t="s">
        <v>702</v>
      </c>
      <c r="Q273" s="7" t="s">
        <v>711</v>
      </c>
      <c r="R273" s="7" t="s">
        <v>722</v>
      </c>
      <c r="S273" s="7" t="s">
        <v>732</v>
      </c>
      <c r="T273" s="7" t="s">
        <v>1699</v>
      </c>
      <c r="U273" s="9">
        <v>1025.51</v>
      </c>
      <c r="V273" s="9">
        <v>1436.54</v>
      </c>
      <c r="W273" s="9">
        <v>1436.54</v>
      </c>
      <c r="X273" s="9">
        <v>872.46929999999998</v>
      </c>
      <c r="Y273" s="9">
        <v>1625.375</v>
      </c>
      <c r="Z273" s="9" t="s">
        <v>2092</v>
      </c>
      <c r="AA273" t="s">
        <v>2065</v>
      </c>
      <c r="AB273" s="11">
        <v>0.13900000000000001</v>
      </c>
      <c r="AC273" t="s">
        <v>2065</v>
      </c>
      <c r="AD273" s="13">
        <v>28</v>
      </c>
      <c r="AE273" s="9">
        <v>34632.106319999999</v>
      </c>
      <c r="AF273" s="9">
        <v>28714.28</v>
      </c>
      <c r="AG273" s="9">
        <v>5917.8263200000001</v>
      </c>
      <c r="AH273" s="11">
        <v>0.17087688127656453</v>
      </c>
      <c r="AI273" s="9">
        <f>SUMIFS(AD273:AD904, R273:R904, S273)</f>
        <v>0</v>
      </c>
      <c r="AJ273" s="11" t="e">
        <f>SUMIFS(AD273:AD904, R273:R904, S273, AD273:AD904, "&gt;" &amp; AE273) / AI273</f>
        <v>#DIV/0!</v>
      </c>
      <c r="AK273" s="7" t="e">
        <f>IF(AJ273&lt;=0.8,"A",IF(Table2[[#This Row],[Cumulative rev]]&lt;=0.95,"B","C"))</f>
        <v>#DIV/0!</v>
      </c>
    </row>
    <row r="274" spans="1:37" x14ac:dyDescent="0.3">
      <c r="A274" t="s">
        <v>287</v>
      </c>
      <c r="B274" s="4">
        <v>45131</v>
      </c>
      <c r="C274" s="4" t="s">
        <v>2116</v>
      </c>
      <c r="D274" s="4" t="s">
        <v>2117</v>
      </c>
      <c r="E274" s="4">
        <v>45151</v>
      </c>
      <c r="F274" t="s">
        <v>2064</v>
      </c>
      <c r="G274" s="4">
        <v>45151</v>
      </c>
      <c r="H274" s="4">
        <f>_xlfn.MINIFS(B274:B905, N274:N905, N274)</f>
        <v>45029</v>
      </c>
      <c r="I274" s="4" t="str">
        <f t="shared" si="8"/>
        <v>Apr-2023</v>
      </c>
      <c r="J274" s="13">
        <f t="shared" si="9"/>
        <v>4</v>
      </c>
      <c r="K274" s="13">
        <v>20</v>
      </c>
      <c r="L274" s="30" t="str">
        <f>IF(Table2[[#This Row],[LeadTimeDays]]&lt;7,"1","0")</f>
        <v>0</v>
      </c>
      <c r="M274" s="7" t="s">
        <v>648</v>
      </c>
      <c r="N274" s="7" t="s">
        <v>653</v>
      </c>
      <c r="O274" s="7" t="s">
        <v>681</v>
      </c>
      <c r="P274" s="7" t="s">
        <v>702</v>
      </c>
      <c r="Q274" s="7" t="s">
        <v>711</v>
      </c>
      <c r="R274" s="7" t="s">
        <v>712</v>
      </c>
      <c r="S274" s="7" t="s">
        <v>732</v>
      </c>
      <c r="T274" s="7" t="s">
        <v>1700</v>
      </c>
      <c r="U274" s="9">
        <v>1082.3800000000001</v>
      </c>
      <c r="V274" s="9">
        <v>1766.55</v>
      </c>
      <c r="W274" s="9">
        <v>1766.55</v>
      </c>
      <c r="X274" s="9">
        <v>869.76660000000004</v>
      </c>
      <c r="Y274" s="9">
        <v>1626.8116</v>
      </c>
      <c r="Z274" s="9" t="s">
        <v>2095</v>
      </c>
      <c r="AA274" t="s">
        <v>2065</v>
      </c>
      <c r="AB274" s="11">
        <v>0.16400000000000001</v>
      </c>
      <c r="AC274" t="s">
        <v>2065</v>
      </c>
      <c r="AD274" s="13">
        <v>20</v>
      </c>
      <c r="AE274" s="9">
        <v>29536.716</v>
      </c>
      <c r="AF274" s="9">
        <v>21647.600000000002</v>
      </c>
      <c r="AG274" s="9">
        <v>7889.1159999999982</v>
      </c>
      <c r="AH274" s="11">
        <v>0.26709523157550752</v>
      </c>
      <c r="AI274" s="9">
        <f>SUMIFS(AD274:AD905, R274:R905, S274)</f>
        <v>0</v>
      </c>
      <c r="AJ274" s="11" t="e">
        <f>SUMIFS(AD274:AD905, R274:R905, S274, AD274:AD905, "&gt;" &amp; AE274) / AI274</f>
        <v>#DIV/0!</v>
      </c>
      <c r="AK274" s="7" t="e">
        <f>IF(AJ274&lt;=0.8,"A",IF(Table2[[#This Row],[Cumulative rev]]&lt;=0.95,"B","C"))</f>
        <v>#DIV/0!</v>
      </c>
    </row>
    <row r="275" spans="1:37" x14ac:dyDescent="0.3">
      <c r="A275" t="s">
        <v>288</v>
      </c>
      <c r="B275" s="4">
        <v>45367</v>
      </c>
      <c r="C275" s="4" t="s">
        <v>2079</v>
      </c>
      <c r="D275" s="4" t="s">
        <v>2080</v>
      </c>
      <c r="E275" s="4">
        <v>45395</v>
      </c>
      <c r="F275" t="s">
        <v>2064</v>
      </c>
      <c r="G275" s="4">
        <v>45395</v>
      </c>
      <c r="H275" s="4">
        <f>_xlfn.MINIFS(B275:B906, N275:N906, N275)</f>
        <v>44936</v>
      </c>
      <c r="I275" s="4" t="str">
        <f t="shared" si="8"/>
        <v>Jan-2023</v>
      </c>
      <c r="J275" s="13">
        <f t="shared" si="9"/>
        <v>15</v>
      </c>
      <c r="K275" s="13">
        <v>28</v>
      </c>
      <c r="L275" s="30" t="str">
        <f>IF(Table2[[#This Row],[LeadTimeDays]]&lt;7,"1","0")</f>
        <v>0</v>
      </c>
      <c r="M275" s="7" t="s">
        <v>649</v>
      </c>
      <c r="N275" s="7" t="s">
        <v>657</v>
      </c>
      <c r="O275" s="7" t="s">
        <v>690</v>
      </c>
      <c r="P275" s="7" t="s">
        <v>705</v>
      </c>
      <c r="Q275" s="7" t="s">
        <v>708</v>
      </c>
      <c r="R275" s="7" t="s">
        <v>723</v>
      </c>
      <c r="S275" s="7" t="s">
        <v>728</v>
      </c>
      <c r="T275" s="7" t="s">
        <v>1701</v>
      </c>
      <c r="U275" s="9">
        <v>287.61</v>
      </c>
      <c r="V275" s="9">
        <v>628.54</v>
      </c>
      <c r="W275" s="9">
        <v>628.54</v>
      </c>
      <c r="X275" s="9">
        <v>867.20259999999996</v>
      </c>
      <c r="Y275" s="9">
        <v>1625.135</v>
      </c>
      <c r="Z275" s="9" t="s">
        <v>2081</v>
      </c>
      <c r="AA275" t="s">
        <v>2065</v>
      </c>
      <c r="AB275" s="11">
        <v>0.13500000000000001</v>
      </c>
      <c r="AC275" t="s">
        <v>2065</v>
      </c>
      <c r="AD275" s="13">
        <v>21</v>
      </c>
      <c r="AE275" s="9">
        <v>11417.429099999999</v>
      </c>
      <c r="AF275" s="9">
        <v>6039.81</v>
      </c>
      <c r="AG275" s="9">
        <v>5377.619099999999</v>
      </c>
      <c r="AH275" s="11">
        <v>0.47100087531964613</v>
      </c>
      <c r="AI275" s="9">
        <f>SUMIFS(AD275:AD906, R275:R906, S275)</f>
        <v>0</v>
      </c>
      <c r="AJ275" s="11" t="e">
        <f>SUMIFS(AD275:AD906, R275:R906, S275, AD275:AD906, "&gt;" &amp; AE275) / AI275</f>
        <v>#DIV/0!</v>
      </c>
      <c r="AK275" s="7" t="e">
        <f>IF(AJ275&lt;=0.8,"A",IF(Table2[[#This Row],[Cumulative rev]]&lt;=0.95,"B","C"))</f>
        <v>#DIV/0!</v>
      </c>
    </row>
    <row r="276" spans="1:37" x14ac:dyDescent="0.3">
      <c r="A276" t="s">
        <v>289</v>
      </c>
      <c r="B276" s="4">
        <v>45316</v>
      </c>
      <c r="C276" s="4" t="s">
        <v>2098</v>
      </c>
      <c r="D276" s="4" t="s">
        <v>2080</v>
      </c>
      <c r="E276" s="4">
        <v>45318</v>
      </c>
      <c r="F276" t="s">
        <v>2064</v>
      </c>
      <c r="G276" s="4">
        <v>45318</v>
      </c>
      <c r="H276" s="4">
        <f>_xlfn.MINIFS(B276:B907, N276:N907, N276)</f>
        <v>44955</v>
      </c>
      <c r="I276" s="4" t="str">
        <f t="shared" si="8"/>
        <v>Jan-2023</v>
      </c>
      <c r="J276" s="13">
        <f t="shared" si="9"/>
        <v>12</v>
      </c>
      <c r="K276" s="13">
        <v>2</v>
      </c>
      <c r="L276" s="30" t="str">
        <f>IF(Table2[[#This Row],[LeadTimeDays]]&lt;7,"1","0")</f>
        <v>1</v>
      </c>
      <c r="M276" s="7" t="s">
        <v>648</v>
      </c>
      <c r="N276" s="7" t="s">
        <v>655</v>
      </c>
      <c r="O276" s="7" t="s">
        <v>670</v>
      </c>
      <c r="P276" s="7" t="s">
        <v>703</v>
      </c>
      <c r="Q276" s="7" t="s">
        <v>709</v>
      </c>
      <c r="R276" s="7" t="s">
        <v>725</v>
      </c>
      <c r="S276" s="7" t="s">
        <v>731</v>
      </c>
      <c r="T276" s="7" t="s">
        <v>1702</v>
      </c>
      <c r="U276" s="9">
        <v>1410.97</v>
      </c>
      <c r="V276" s="9">
        <v>1650.75</v>
      </c>
      <c r="W276" s="9">
        <v>1650.75</v>
      </c>
      <c r="X276" s="9">
        <v>872.55119999999999</v>
      </c>
      <c r="Y276" s="9">
        <v>1625.39</v>
      </c>
      <c r="Z276" s="9" t="s">
        <v>2095</v>
      </c>
      <c r="AA276" t="s">
        <v>2065</v>
      </c>
      <c r="AB276" s="11">
        <v>0.13500000000000001</v>
      </c>
      <c r="AC276" t="s">
        <v>2065</v>
      </c>
      <c r="AD276" s="13">
        <v>6</v>
      </c>
      <c r="AE276" s="9">
        <v>8567.3924999999999</v>
      </c>
      <c r="AF276" s="9">
        <v>8465.82</v>
      </c>
      <c r="AG276" s="9">
        <v>101.57250000000022</v>
      </c>
      <c r="AH276" s="11">
        <v>1.1855707556295596E-2</v>
      </c>
      <c r="AI276" s="9">
        <f>SUMIFS(AD276:AD907, R276:R907, S276)</f>
        <v>0</v>
      </c>
      <c r="AJ276" s="11" t="e">
        <f>SUMIFS(AD276:AD907, R276:R907, S276, AD276:AD907, "&gt;" &amp; AE276) / AI276</f>
        <v>#DIV/0!</v>
      </c>
      <c r="AK276" s="7" t="e">
        <f>IF(AJ276&lt;=0.8,"A",IF(Table2[[#This Row],[Cumulative rev]]&lt;=0.95,"B","C"))</f>
        <v>#DIV/0!</v>
      </c>
    </row>
    <row r="277" spans="1:37" x14ac:dyDescent="0.3">
      <c r="A277" t="s">
        <v>290</v>
      </c>
      <c r="B277" s="4">
        <v>45378</v>
      </c>
      <c r="C277" s="4" t="s">
        <v>2079</v>
      </c>
      <c r="D277" s="4" t="s">
        <v>2080</v>
      </c>
      <c r="E277" s="4">
        <v>45393</v>
      </c>
      <c r="F277" t="s">
        <v>2064</v>
      </c>
      <c r="G277" s="4">
        <v>45393</v>
      </c>
      <c r="H277" s="4">
        <f>_xlfn.MINIFS(B277:B908, N277:N908, N277)</f>
        <v>44962</v>
      </c>
      <c r="I277" s="4" t="str">
        <f t="shared" si="8"/>
        <v>Feb-2023</v>
      </c>
      <c r="J277" s="13">
        <f t="shared" si="9"/>
        <v>14</v>
      </c>
      <c r="K277" s="13">
        <v>15</v>
      </c>
      <c r="L277" s="30" t="str">
        <f>IF(Table2[[#This Row],[LeadTimeDays]]&lt;7,"1","0")</f>
        <v>0</v>
      </c>
      <c r="M277" s="7" t="s">
        <v>648</v>
      </c>
      <c r="N277" s="7" t="s">
        <v>1425</v>
      </c>
      <c r="O277" s="7" t="s">
        <v>686</v>
      </c>
      <c r="P277" s="7" t="s">
        <v>705</v>
      </c>
      <c r="Q277" s="7" t="s">
        <v>711</v>
      </c>
      <c r="R277" s="7" t="s">
        <v>719</v>
      </c>
      <c r="S277" s="7" t="s">
        <v>729</v>
      </c>
      <c r="T277" s="7" t="s">
        <v>1703</v>
      </c>
      <c r="U277" s="9">
        <v>1338.35</v>
      </c>
      <c r="V277" s="9">
        <v>2247.14</v>
      </c>
      <c r="W277" s="9">
        <v>2247.14</v>
      </c>
      <c r="X277" s="9">
        <v>869.84850000000006</v>
      </c>
      <c r="Y277" s="9">
        <v>1624.895</v>
      </c>
      <c r="Z277" s="9" t="s">
        <v>2095</v>
      </c>
      <c r="AA277" t="s">
        <v>2065</v>
      </c>
      <c r="AB277" s="11">
        <v>0.115</v>
      </c>
      <c r="AC277" t="s">
        <v>2065</v>
      </c>
      <c r="AD277" s="13">
        <v>40</v>
      </c>
      <c r="AE277" s="9">
        <v>79548.755999999994</v>
      </c>
      <c r="AF277" s="9">
        <v>53534</v>
      </c>
      <c r="AG277" s="9">
        <v>26014.755999999994</v>
      </c>
      <c r="AH277" s="11">
        <v>0.32702907384246205</v>
      </c>
      <c r="AI277" s="9">
        <f>SUMIFS(AD277:AD908, R277:R908, S277)</f>
        <v>0</v>
      </c>
      <c r="AJ277" s="11" t="e">
        <f>SUMIFS(AD277:AD908, R277:R908, S277, AD277:AD908, "&gt;" &amp; AE277) / AI277</f>
        <v>#DIV/0!</v>
      </c>
      <c r="AK277" s="7" t="e">
        <f>IF(AJ277&lt;=0.8,"A",IF(Table2[[#This Row],[Cumulative rev]]&lt;=0.95,"B","C"))</f>
        <v>#DIV/0!</v>
      </c>
    </row>
    <row r="278" spans="1:37" x14ac:dyDescent="0.3">
      <c r="A278" t="s">
        <v>291</v>
      </c>
      <c r="B278" s="4">
        <v>45832</v>
      </c>
      <c r="C278" s="4" t="s">
        <v>2108</v>
      </c>
      <c r="D278" s="4" t="s">
        <v>2097</v>
      </c>
      <c r="E278" s="4">
        <v>45852</v>
      </c>
      <c r="F278" t="s">
        <v>2064</v>
      </c>
      <c r="G278" s="4">
        <v>45852</v>
      </c>
      <c r="H278" s="4">
        <f>_xlfn.MINIFS(B278:B909, N278:N909, N278)</f>
        <v>44952</v>
      </c>
      <c r="I278" s="4" t="str">
        <f t="shared" si="8"/>
        <v>Jan-2023</v>
      </c>
      <c r="J278" s="13">
        <f t="shared" si="9"/>
        <v>29</v>
      </c>
      <c r="K278" s="13">
        <v>20</v>
      </c>
      <c r="L278" s="30" t="str">
        <f>IF(Table2[[#This Row],[LeadTimeDays]]&lt;7,"1","0")</f>
        <v>0</v>
      </c>
      <c r="M278" s="7" t="s">
        <v>649</v>
      </c>
      <c r="N278" s="7" t="s">
        <v>656</v>
      </c>
      <c r="O278" s="7" t="s">
        <v>671</v>
      </c>
      <c r="P278" s="7" t="s">
        <v>701</v>
      </c>
      <c r="Q278" s="7" t="s">
        <v>711</v>
      </c>
      <c r="R278" s="7" t="s">
        <v>719</v>
      </c>
      <c r="S278" s="7" t="s">
        <v>733</v>
      </c>
      <c r="T278" s="7" t="s">
        <v>1704</v>
      </c>
      <c r="U278" s="9">
        <v>385.08</v>
      </c>
      <c r="V278" s="9">
        <v>893.19</v>
      </c>
      <c r="W278" s="9">
        <v>893.19</v>
      </c>
      <c r="X278" s="9">
        <v>867.27720000000011</v>
      </c>
      <c r="Y278" s="9">
        <v>1623.2048</v>
      </c>
      <c r="Z278" s="9" t="s">
        <v>2092</v>
      </c>
      <c r="AA278" t="s">
        <v>2065</v>
      </c>
      <c r="AB278" s="11">
        <v>0.151</v>
      </c>
      <c r="AC278" t="s">
        <v>2065</v>
      </c>
      <c r="AD278" s="13">
        <v>8</v>
      </c>
      <c r="AE278" s="9">
        <v>6066.54648</v>
      </c>
      <c r="AF278" s="9">
        <v>3080.64</v>
      </c>
      <c r="AG278" s="9">
        <v>2985.9064800000001</v>
      </c>
      <c r="AH278" s="11">
        <v>0.49219213762621666</v>
      </c>
      <c r="AI278" s="9">
        <f>SUMIFS(AD278:AD909, R278:R909, S278)</f>
        <v>0</v>
      </c>
      <c r="AJ278" s="11" t="e">
        <f>SUMIFS(AD278:AD909, R278:R909, S278, AD278:AD909, "&gt;" &amp; AE278) / AI278</f>
        <v>#DIV/0!</v>
      </c>
      <c r="AK278" s="7" t="e">
        <f>IF(AJ278&lt;=0.8,"A",IF(Table2[[#This Row],[Cumulative rev]]&lt;=0.95,"B","C"))</f>
        <v>#DIV/0!</v>
      </c>
    </row>
    <row r="279" spans="1:37" x14ac:dyDescent="0.3">
      <c r="A279" t="s">
        <v>292</v>
      </c>
      <c r="B279" s="4">
        <v>45459</v>
      </c>
      <c r="C279" s="4" t="s">
        <v>2109</v>
      </c>
      <c r="D279" s="4" t="s">
        <v>2094</v>
      </c>
      <c r="E279" s="4">
        <v>45476</v>
      </c>
      <c r="F279" t="s">
        <v>2064</v>
      </c>
      <c r="G279" s="4">
        <v>45476</v>
      </c>
      <c r="H279" s="4">
        <f>_xlfn.MINIFS(B279:B910, N279:N910, N279)</f>
        <v>44933</v>
      </c>
      <c r="I279" s="4" t="str">
        <f t="shared" si="8"/>
        <v>Jan-2023</v>
      </c>
      <c r="J279" s="13">
        <f t="shared" si="9"/>
        <v>18</v>
      </c>
      <c r="K279" s="13">
        <v>17</v>
      </c>
      <c r="L279" s="30" t="str">
        <f>IF(Table2[[#This Row],[LeadTimeDays]]&lt;7,"1","0")</f>
        <v>0</v>
      </c>
      <c r="M279" s="7" t="s">
        <v>646</v>
      </c>
      <c r="N279" s="7" t="s">
        <v>661</v>
      </c>
      <c r="O279" s="7" t="s">
        <v>682</v>
      </c>
      <c r="P279" s="7" t="s">
        <v>706</v>
      </c>
      <c r="Q279" s="7" t="s">
        <v>709</v>
      </c>
      <c r="R279" s="7" t="s">
        <v>721</v>
      </c>
      <c r="S279" s="7" t="s">
        <v>730</v>
      </c>
      <c r="T279" s="7" t="s">
        <v>1705</v>
      </c>
      <c r="U279" s="9">
        <v>1173.83</v>
      </c>
      <c r="V279" s="9">
        <v>2328.9</v>
      </c>
      <c r="W279" s="9">
        <v>2328.9</v>
      </c>
      <c r="X279" s="9">
        <v>864.81540000000007</v>
      </c>
      <c r="Y279" s="9">
        <v>1624.5886</v>
      </c>
      <c r="Z279" s="9" t="s">
        <v>2095</v>
      </c>
      <c r="AA279" t="s">
        <v>2065</v>
      </c>
      <c r="AB279" s="11">
        <v>0.12</v>
      </c>
      <c r="AC279" t="s">
        <v>2065</v>
      </c>
      <c r="AD279" s="13">
        <v>17</v>
      </c>
      <c r="AE279" s="9">
        <v>34840.344000000005</v>
      </c>
      <c r="AF279" s="9">
        <v>19955.11</v>
      </c>
      <c r="AG279" s="9">
        <v>14885.234000000004</v>
      </c>
      <c r="AH279" s="11">
        <v>0.42724130393201637</v>
      </c>
      <c r="AI279" s="9">
        <f>SUMIFS(AD279:AD910, R279:R910, S279)</f>
        <v>0</v>
      </c>
      <c r="AJ279" s="11" t="e">
        <f>SUMIFS(AD279:AD910, R279:R910, S279, AD279:AD910, "&gt;" &amp; AE279) / AI279</f>
        <v>#DIV/0!</v>
      </c>
      <c r="AK279" s="7" t="e">
        <f>IF(AJ279&lt;=0.8,"A",IF(Table2[[#This Row],[Cumulative rev]]&lt;=0.95,"B","C"))</f>
        <v>#DIV/0!</v>
      </c>
    </row>
    <row r="280" spans="1:37" x14ac:dyDescent="0.3">
      <c r="A280" t="s">
        <v>293</v>
      </c>
      <c r="B280" s="4">
        <v>45229</v>
      </c>
      <c r="C280" s="4" t="s">
        <v>2125</v>
      </c>
      <c r="D280" s="4" t="s">
        <v>2089</v>
      </c>
      <c r="E280" s="4">
        <v>45244</v>
      </c>
      <c r="F280" t="s">
        <v>2064</v>
      </c>
      <c r="G280" s="4">
        <v>45244</v>
      </c>
      <c r="H280" s="4">
        <f>_xlfn.MINIFS(B280:B911, N280:N911, N280)</f>
        <v>45048</v>
      </c>
      <c r="I280" s="4" t="str">
        <f t="shared" si="8"/>
        <v>May-2023</v>
      </c>
      <c r="J280" s="13">
        <f t="shared" si="9"/>
        <v>6</v>
      </c>
      <c r="K280" s="13">
        <v>15</v>
      </c>
      <c r="L280" s="30" t="str">
        <f>IF(Table2[[#This Row],[LeadTimeDays]]&lt;7,"1","0")</f>
        <v>0</v>
      </c>
      <c r="M280" s="7" t="s">
        <v>647</v>
      </c>
      <c r="N280" s="7" t="s">
        <v>654</v>
      </c>
      <c r="O280" s="7" t="s">
        <v>668</v>
      </c>
      <c r="P280" s="7" t="s">
        <v>701</v>
      </c>
      <c r="Q280" s="7" t="s">
        <v>708</v>
      </c>
      <c r="R280" s="7" t="s">
        <v>721</v>
      </c>
      <c r="S280" s="7" t="s">
        <v>731</v>
      </c>
      <c r="T280" s="7" t="s">
        <v>1706</v>
      </c>
      <c r="U280" s="9">
        <v>953.46</v>
      </c>
      <c r="V280" s="9">
        <v>2066.75</v>
      </c>
      <c r="W280" s="9">
        <v>2066.75</v>
      </c>
      <c r="X280" s="9">
        <v>862.35360000000003</v>
      </c>
      <c r="Y280" s="9">
        <v>1621.9023999999999</v>
      </c>
      <c r="Z280" s="9" t="s">
        <v>2095</v>
      </c>
      <c r="AA280" t="s">
        <v>2065</v>
      </c>
      <c r="AB280" s="11">
        <v>0.13800000000000001</v>
      </c>
      <c r="AC280" t="s">
        <v>2065</v>
      </c>
      <c r="AD280" s="13">
        <v>5</v>
      </c>
      <c r="AE280" s="9">
        <v>8907.6924999999992</v>
      </c>
      <c r="AF280" s="9">
        <v>4767.3</v>
      </c>
      <c r="AG280" s="9">
        <v>4140.392499999999</v>
      </c>
      <c r="AH280" s="11">
        <v>0.46481089238318446</v>
      </c>
      <c r="AI280" s="9">
        <f>SUMIFS(AD280:AD911, R280:R911, S280)</f>
        <v>0</v>
      </c>
      <c r="AJ280" s="11" t="e">
        <f>SUMIFS(AD280:AD911, R280:R911, S280, AD280:AD911, "&gt;" &amp; AE280) / AI280</f>
        <v>#DIV/0!</v>
      </c>
      <c r="AK280" s="7" t="e">
        <f>IF(AJ280&lt;=0.8,"A",IF(Table2[[#This Row],[Cumulative rev]]&lt;=0.95,"B","C"))</f>
        <v>#DIV/0!</v>
      </c>
    </row>
    <row r="281" spans="1:37" x14ac:dyDescent="0.3">
      <c r="A281" t="s">
        <v>294</v>
      </c>
      <c r="B281" s="4">
        <v>45092</v>
      </c>
      <c r="C281" s="4" t="s">
        <v>2115</v>
      </c>
      <c r="D281" s="4" t="s">
        <v>2103</v>
      </c>
      <c r="E281" s="4">
        <v>45100</v>
      </c>
      <c r="F281" t="s">
        <v>2064</v>
      </c>
      <c r="G281" s="4">
        <v>45100</v>
      </c>
      <c r="H281" s="4">
        <f>_xlfn.MINIFS(B281:B912, N281:N912, N281)</f>
        <v>44962</v>
      </c>
      <c r="I281" s="4" t="str">
        <f t="shared" si="8"/>
        <v>Feb-2023</v>
      </c>
      <c r="J281" s="13">
        <f t="shared" si="9"/>
        <v>5</v>
      </c>
      <c r="K281" s="13">
        <v>8</v>
      </c>
      <c r="L281" s="30" t="str">
        <f>IF(Table2[[#This Row],[LeadTimeDays]]&lt;7,"1","0")</f>
        <v>0</v>
      </c>
      <c r="M281" s="7" t="s">
        <v>648</v>
      </c>
      <c r="N281" s="7" t="s">
        <v>1425</v>
      </c>
      <c r="O281" s="7" t="s">
        <v>686</v>
      </c>
      <c r="P281" s="7" t="s">
        <v>704</v>
      </c>
      <c r="Q281" s="7" t="s">
        <v>710</v>
      </c>
      <c r="R281" s="7" t="s">
        <v>719</v>
      </c>
      <c r="S281" s="7" t="s">
        <v>732</v>
      </c>
      <c r="T281" s="7" t="s">
        <v>1707</v>
      </c>
      <c r="U281" s="9">
        <v>1097.0899999999999</v>
      </c>
      <c r="V281" s="9">
        <v>2182.31</v>
      </c>
      <c r="W281" s="9">
        <v>2182.31</v>
      </c>
      <c r="X281" s="9">
        <v>857.91810000000021</v>
      </c>
      <c r="Y281" s="9">
        <v>1619.665</v>
      </c>
      <c r="Z281" s="9" t="s">
        <v>2095</v>
      </c>
      <c r="AA281" t="s">
        <v>2065</v>
      </c>
      <c r="AB281" s="11">
        <v>0.112</v>
      </c>
      <c r="AC281" t="s">
        <v>2065</v>
      </c>
      <c r="AD281" s="13">
        <v>9</v>
      </c>
      <c r="AE281" s="9">
        <v>17441.021520000002</v>
      </c>
      <c r="AF281" s="9">
        <v>9873.81</v>
      </c>
      <c r="AG281" s="9">
        <v>7567.2115200000026</v>
      </c>
      <c r="AH281" s="11">
        <v>0.43387432962699546</v>
      </c>
      <c r="AI281" s="9">
        <f>SUMIFS(AD281:AD912, R281:R912, S281)</f>
        <v>0</v>
      </c>
      <c r="AJ281" s="11" t="e">
        <f>SUMIFS(AD281:AD912, R281:R912, S281, AD281:AD912, "&gt;" &amp; AE281) / AI281</f>
        <v>#DIV/0!</v>
      </c>
      <c r="AK281" s="7" t="e">
        <f>IF(AJ281&lt;=0.8,"A",IF(Table2[[#This Row],[Cumulative rev]]&lt;=0.95,"B","C"))</f>
        <v>#DIV/0!</v>
      </c>
    </row>
    <row r="282" spans="1:37" x14ac:dyDescent="0.3">
      <c r="A282" t="s">
        <v>295</v>
      </c>
      <c r="B282" s="4">
        <v>45730</v>
      </c>
      <c r="C282" s="4" t="s">
        <v>2086</v>
      </c>
      <c r="D282" s="4" t="s">
        <v>2087</v>
      </c>
      <c r="E282" s="4">
        <v>45745</v>
      </c>
      <c r="F282" t="s">
        <v>2064</v>
      </c>
      <c r="G282" s="4">
        <v>45745</v>
      </c>
      <c r="H282" s="4">
        <f>_xlfn.MINIFS(B282:B913, N282:N913, N282)</f>
        <v>44988</v>
      </c>
      <c r="I282" s="4" t="str">
        <f t="shared" si="8"/>
        <v>Mar-2023</v>
      </c>
      <c r="J282" s="13">
        <f t="shared" si="9"/>
        <v>25</v>
      </c>
      <c r="K282" s="13">
        <v>15</v>
      </c>
      <c r="L282" s="30" t="str">
        <f>IF(Table2[[#This Row],[LeadTimeDays]]&lt;7,"1","0")</f>
        <v>0</v>
      </c>
      <c r="M282" s="7" t="s">
        <v>647</v>
      </c>
      <c r="N282" s="7" t="s">
        <v>652</v>
      </c>
      <c r="O282" s="7" t="s">
        <v>689</v>
      </c>
      <c r="P282" s="7" t="s">
        <v>703</v>
      </c>
      <c r="Q282" s="7" t="s">
        <v>711</v>
      </c>
      <c r="R282" s="7" t="s">
        <v>722</v>
      </c>
      <c r="S282" s="7" t="s">
        <v>729</v>
      </c>
      <c r="T282" s="7" t="s">
        <v>1708</v>
      </c>
      <c r="U282" s="9">
        <v>1106.96</v>
      </c>
      <c r="V282" s="9">
        <v>2726.62</v>
      </c>
      <c r="W282" s="9">
        <v>2726.62</v>
      </c>
      <c r="X282" s="9">
        <v>851.625</v>
      </c>
      <c r="Y282" s="9">
        <v>1617.85</v>
      </c>
      <c r="Z282" s="9" t="s">
        <v>2095</v>
      </c>
      <c r="AA282" t="s">
        <v>2065</v>
      </c>
      <c r="AB282" s="11">
        <v>0.317</v>
      </c>
      <c r="AC282" t="s">
        <v>2067</v>
      </c>
      <c r="AD282" s="13">
        <v>7</v>
      </c>
      <c r="AE282" s="9">
        <v>13035.970220000001</v>
      </c>
      <c r="AF282" s="9">
        <v>7748.72</v>
      </c>
      <c r="AG282" s="9">
        <v>5287.2502200000008</v>
      </c>
      <c r="AH282" s="11">
        <v>0.40558931408789306</v>
      </c>
      <c r="AI282" s="9">
        <f>SUMIFS(AD282:AD913, R282:R913, S282)</f>
        <v>0</v>
      </c>
      <c r="AJ282" s="11" t="e">
        <f>SUMIFS(AD282:AD913, R282:R913, S282, AD282:AD913, "&gt;" &amp; AE282) / AI282</f>
        <v>#DIV/0!</v>
      </c>
      <c r="AK282" s="7" t="e">
        <f>IF(AJ282&lt;=0.8,"A",IF(Table2[[#This Row],[Cumulative rev]]&lt;=0.95,"B","C"))</f>
        <v>#DIV/0!</v>
      </c>
    </row>
    <row r="283" spans="1:37" x14ac:dyDescent="0.3">
      <c r="A283" t="s">
        <v>296</v>
      </c>
      <c r="B283" s="4">
        <v>45153</v>
      </c>
      <c r="C283" s="4" t="s">
        <v>2118</v>
      </c>
      <c r="D283" s="4" t="s">
        <v>2117</v>
      </c>
      <c r="E283" s="4">
        <v>45163</v>
      </c>
      <c r="F283" t="s">
        <v>2064</v>
      </c>
      <c r="G283" s="4">
        <v>45163</v>
      </c>
      <c r="H283" s="4">
        <f>_xlfn.MINIFS(B283:B914, N283:N914, N283)</f>
        <v>44978</v>
      </c>
      <c r="I283" s="4" t="str">
        <f t="shared" si="8"/>
        <v>Feb-2023</v>
      </c>
      <c r="J283" s="13">
        <f t="shared" si="9"/>
        <v>6</v>
      </c>
      <c r="K283" s="13">
        <v>10</v>
      </c>
      <c r="L283" s="30" t="str">
        <f>IF(Table2[[#This Row],[LeadTimeDays]]&lt;7,"1","0")</f>
        <v>0</v>
      </c>
      <c r="M283" s="7" t="s">
        <v>646</v>
      </c>
      <c r="N283" s="7" t="s">
        <v>650</v>
      </c>
      <c r="O283" s="7" t="s">
        <v>664</v>
      </c>
      <c r="P283" s="7" t="s">
        <v>705</v>
      </c>
      <c r="Q283" s="7" t="s">
        <v>707</v>
      </c>
      <c r="R283" s="7" t="s">
        <v>725</v>
      </c>
      <c r="S283" s="7" t="s">
        <v>730</v>
      </c>
      <c r="T283" s="7" t="s">
        <v>1709</v>
      </c>
      <c r="U283" s="9">
        <v>91.85</v>
      </c>
      <c r="V283" s="9">
        <v>111.29</v>
      </c>
      <c r="W283" s="9">
        <v>111.29</v>
      </c>
      <c r="X283" s="9">
        <v>845.33190000000002</v>
      </c>
      <c r="Y283" s="9">
        <v>1603.1122</v>
      </c>
      <c r="Z283" s="9" t="s">
        <v>2081</v>
      </c>
      <c r="AA283" t="s">
        <v>2065</v>
      </c>
      <c r="AB283" s="11">
        <v>0</v>
      </c>
      <c r="AC283" t="s">
        <v>2065</v>
      </c>
      <c r="AD283" s="13">
        <v>6</v>
      </c>
      <c r="AE283" s="9">
        <v>667.74</v>
      </c>
      <c r="AF283" s="9">
        <v>551.09999999999991</v>
      </c>
      <c r="AG283" s="9">
        <v>116.6400000000001</v>
      </c>
      <c r="AH283" s="11">
        <v>0.17467876718483258</v>
      </c>
      <c r="AI283" s="9">
        <f>SUMIFS(AD283:AD914, R283:R914, S283)</f>
        <v>0</v>
      </c>
      <c r="AJ283" s="11" t="e">
        <f>SUMIFS(AD283:AD914, R283:R914, S283, AD283:AD914, "&gt;" &amp; AE283) / AI283</f>
        <v>#DIV/0!</v>
      </c>
      <c r="AK283" s="7" t="e">
        <f>IF(AJ283&lt;=0.8,"A",IF(Table2[[#This Row],[Cumulative rev]]&lt;=0.95,"B","C"))</f>
        <v>#DIV/0!</v>
      </c>
    </row>
    <row r="284" spans="1:37" x14ac:dyDescent="0.3">
      <c r="A284" t="s">
        <v>297</v>
      </c>
      <c r="B284" s="4">
        <v>45794</v>
      </c>
      <c r="C284" s="4" t="s">
        <v>2096</v>
      </c>
      <c r="D284" s="4" t="s">
        <v>2097</v>
      </c>
      <c r="E284" s="4">
        <v>45805</v>
      </c>
      <c r="F284" t="s">
        <v>2064</v>
      </c>
      <c r="G284" s="4">
        <v>45805</v>
      </c>
      <c r="H284" s="4">
        <f>_xlfn.MINIFS(B284:B915, N284:N915, N284)</f>
        <v>45048</v>
      </c>
      <c r="I284" s="4" t="str">
        <f t="shared" si="8"/>
        <v>May-2023</v>
      </c>
      <c r="J284" s="13">
        <f t="shared" si="9"/>
        <v>25</v>
      </c>
      <c r="K284" s="13">
        <v>11</v>
      </c>
      <c r="L284" s="30" t="str">
        <f>IF(Table2[[#This Row],[LeadTimeDays]]&lt;7,"1","0")</f>
        <v>0</v>
      </c>
      <c r="M284" s="7" t="s">
        <v>647</v>
      </c>
      <c r="N284" s="7" t="s">
        <v>654</v>
      </c>
      <c r="O284" s="7" t="s">
        <v>668</v>
      </c>
      <c r="P284" s="7" t="s">
        <v>701</v>
      </c>
      <c r="Q284" s="7" t="s">
        <v>710</v>
      </c>
      <c r="R284" s="7" t="s">
        <v>717</v>
      </c>
      <c r="S284" s="7" t="s">
        <v>731</v>
      </c>
      <c r="T284" s="7" t="s">
        <v>1710</v>
      </c>
      <c r="U284" s="9">
        <v>623.4</v>
      </c>
      <c r="V284" s="9">
        <v>1100.0899999999999</v>
      </c>
      <c r="W284" s="9">
        <v>1100.0899999999999</v>
      </c>
      <c r="X284" s="9">
        <v>858.10880000000009</v>
      </c>
      <c r="Y284" s="9">
        <v>1610.7044000000001</v>
      </c>
      <c r="Z284" s="9" t="s">
        <v>2092</v>
      </c>
      <c r="AA284" t="s">
        <v>2065</v>
      </c>
      <c r="AB284" s="11">
        <v>0.114</v>
      </c>
      <c r="AC284" t="s">
        <v>2065</v>
      </c>
      <c r="AD284" s="13">
        <v>12</v>
      </c>
      <c r="AE284" s="9">
        <v>11696.156879999999</v>
      </c>
      <c r="AF284" s="9">
        <v>7480.7999999999993</v>
      </c>
      <c r="AG284" s="9">
        <v>4215.3568799999994</v>
      </c>
      <c r="AH284" s="11">
        <v>0.36040529579490388</v>
      </c>
      <c r="AI284" s="9">
        <f>SUMIFS(AD284:AD915, R284:R915, S284)</f>
        <v>0</v>
      </c>
      <c r="AJ284" s="11" t="e">
        <f>SUMIFS(AD284:AD915, R284:R915, S284, AD284:AD915, "&gt;" &amp; AE284) / AI284</f>
        <v>#DIV/0!</v>
      </c>
      <c r="AK284" s="7" t="e">
        <f>IF(AJ284&lt;=0.8,"A",IF(Table2[[#This Row],[Cumulative rev]]&lt;=0.95,"B","C"))</f>
        <v>#DIV/0!</v>
      </c>
    </row>
    <row r="285" spans="1:37" x14ac:dyDescent="0.3">
      <c r="A285" t="s">
        <v>298</v>
      </c>
      <c r="B285" s="4">
        <v>45304</v>
      </c>
      <c r="C285" s="4" t="s">
        <v>2098</v>
      </c>
      <c r="D285" s="4" t="s">
        <v>2080</v>
      </c>
      <c r="E285" s="4">
        <v>45327</v>
      </c>
      <c r="F285" t="s">
        <v>2064</v>
      </c>
      <c r="G285" s="4">
        <v>45327</v>
      </c>
      <c r="H285" s="4">
        <f>_xlfn.MINIFS(B285:B916, N285:N916, N285)</f>
        <v>44952</v>
      </c>
      <c r="I285" s="4" t="str">
        <f t="shared" si="8"/>
        <v>Jan-2023</v>
      </c>
      <c r="J285" s="13">
        <f t="shared" si="9"/>
        <v>12</v>
      </c>
      <c r="K285" s="13">
        <v>23</v>
      </c>
      <c r="L285" s="30" t="str">
        <f>IF(Table2[[#This Row],[LeadTimeDays]]&lt;7,"1","0")</f>
        <v>0</v>
      </c>
      <c r="M285" s="7" t="s">
        <v>649</v>
      </c>
      <c r="N285" s="7" t="s">
        <v>656</v>
      </c>
      <c r="O285" s="7" t="s">
        <v>698</v>
      </c>
      <c r="P285" s="7" t="s">
        <v>702</v>
      </c>
      <c r="Q285" s="7" t="s">
        <v>711</v>
      </c>
      <c r="R285" s="7" t="s">
        <v>717</v>
      </c>
      <c r="S285" s="7" t="s">
        <v>731</v>
      </c>
      <c r="T285" s="7" t="s">
        <v>1711</v>
      </c>
      <c r="U285" s="9">
        <v>1017.93</v>
      </c>
      <c r="V285" s="9">
        <v>1529.14</v>
      </c>
      <c r="W285" s="9">
        <v>1529.14</v>
      </c>
      <c r="X285" s="9">
        <v>851.81570000000011</v>
      </c>
      <c r="Y285" s="9">
        <v>1617.905</v>
      </c>
      <c r="Z285" s="9" t="s">
        <v>2092</v>
      </c>
      <c r="AA285" t="s">
        <v>2065</v>
      </c>
      <c r="AB285" s="11">
        <v>0.155</v>
      </c>
      <c r="AC285" t="s">
        <v>2065</v>
      </c>
      <c r="AD285" s="13">
        <v>12</v>
      </c>
      <c r="AE285" s="9">
        <v>15505.479600000001</v>
      </c>
      <c r="AF285" s="9">
        <v>12215.16</v>
      </c>
      <c r="AG285" s="9">
        <v>3290.3196000000007</v>
      </c>
      <c r="AH285" s="11">
        <v>0.21220366508366503</v>
      </c>
      <c r="AI285" s="9">
        <f>SUMIFS(AD285:AD916, R285:R916, S285)</f>
        <v>0</v>
      </c>
      <c r="AJ285" s="11" t="e">
        <f>SUMIFS(AD285:AD916, R285:R916, S285, AD285:AD916, "&gt;" &amp; AE285) / AI285</f>
        <v>#DIV/0!</v>
      </c>
      <c r="AK285" s="7" t="e">
        <f>IF(AJ285&lt;=0.8,"A",IF(Table2[[#This Row],[Cumulative rev]]&lt;=0.95,"B","C"))</f>
        <v>#DIV/0!</v>
      </c>
    </row>
    <row r="286" spans="1:37" x14ac:dyDescent="0.3">
      <c r="A286" t="s">
        <v>299</v>
      </c>
      <c r="B286" s="4">
        <v>45101</v>
      </c>
      <c r="C286" s="4" t="s">
        <v>2115</v>
      </c>
      <c r="D286" s="4" t="s">
        <v>2103</v>
      </c>
      <c r="E286" s="4">
        <v>45128</v>
      </c>
      <c r="F286" t="s">
        <v>2064</v>
      </c>
      <c r="G286" s="4">
        <v>45128</v>
      </c>
      <c r="H286" s="4">
        <f>_xlfn.MINIFS(B286:B917, N286:N917, N286)</f>
        <v>44988</v>
      </c>
      <c r="I286" s="4" t="str">
        <f t="shared" si="8"/>
        <v>Mar-2023</v>
      </c>
      <c r="J286" s="13">
        <f t="shared" si="9"/>
        <v>4</v>
      </c>
      <c r="K286" s="13">
        <v>27</v>
      </c>
      <c r="L286" s="30" t="str">
        <f>IF(Table2[[#This Row],[LeadTimeDays]]&lt;7,"1","0")</f>
        <v>0</v>
      </c>
      <c r="M286" s="7" t="s">
        <v>647</v>
      </c>
      <c r="N286" s="7" t="s">
        <v>652</v>
      </c>
      <c r="O286" s="7" t="s">
        <v>694</v>
      </c>
      <c r="P286" s="7" t="s">
        <v>704</v>
      </c>
      <c r="Q286" s="7" t="s">
        <v>709</v>
      </c>
      <c r="R286" s="7" t="s">
        <v>713</v>
      </c>
      <c r="S286" s="7" t="s">
        <v>730</v>
      </c>
      <c r="T286" s="7" t="s">
        <v>1712</v>
      </c>
      <c r="U286" s="9">
        <v>554.76</v>
      </c>
      <c r="V286" s="9">
        <v>728.69</v>
      </c>
      <c r="W286" s="9">
        <v>728.69</v>
      </c>
      <c r="X286" s="9">
        <v>845.52260000000012</v>
      </c>
      <c r="Y286" s="9">
        <v>1618.84</v>
      </c>
      <c r="Z286" s="9" t="s">
        <v>2081</v>
      </c>
      <c r="AA286" t="s">
        <v>2065</v>
      </c>
      <c r="AB286" s="11">
        <v>0.22</v>
      </c>
      <c r="AC286" t="s">
        <v>2065</v>
      </c>
      <c r="AD286" s="13">
        <v>7</v>
      </c>
      <c r="AE286" s="9">
        <v>3978.6474000000003</v>
      </c>
      <c r="AF286" s="9">
        <v>3883.3199999999997</v>
      </c>
      <c r="AG286" s="9">
        <v>95.32740000000058</v>
      </c>
      <c r="AH286" s="11">
        <v>2.395975074343119E-2</v>
      </c>
      <c r="AI286" s="9">
        <f>SUMIFS(AD286:AD917, R286:R917, S286)</f>
        <v>0</v>
      </c>
      <c r="AJ286" s="11" t="e">
        <f>SUMIFS(AD286:AD917, R286:R917, S286, AD286:AD917, "&gt;" &amp; AE286) / AI286</f>
        <v>#DIV/0!</v>
      </c>
      <c r="AK286" s="7" t="e">
        <f>IF(AJ286&lt;=0.8,"A",IF(Table2[[#This Row],[Cumulative rev]]&lt;=0.95,"B","C"))</f>
        <v>#DIV/0!</v>
      </c>
    </row>
    <row r="287" spans="1:37" x14ac:dyDescent="0.3">
      <c r="A287" t="s">
        <v>300</v>
      </c>
      <c r="B287" s="4">
        <v>45751</v>
      </c>
      <c r="C287" s="4" t="s">
        <v>2111</v>
      </c>
      <c r="D287" s="4" t="s">
        <v>2097</v>
      </c>
      <c r="E287" s="4">
        <v>45760</v>
      </c>
      <c r="F287" t="s">
        <v>2064</v>
      </c>
      <c r="G287" s="4">
        <v>45760</v>
      </c>
      <c r="H287" s="4">
        <f>_xlfn.MINIFS(B287:B918, N287:N918, N287)</f>
        <v>44952</v>
      </c>
      <c r="I287" s="4" t="str">
        <f t="shared" si="8"/>
        <v>Jan-2023</v>
      </c>
      <c r="J287" s="13">
        <f t="shared" si="9"/>
        <v>27</v>
      </c>
      <c r="K287" s="13">
        <v>9</v>
      </c>
      <c r="L287" s="30" t="str">
        <f>IF(Table2[[#This Row],[LeadTimeDays]]&lt;7,"1","0")</f>
        <v>0</v>
      </c>
      <c r="M287" s="7" t="s">
        <v>649</v>
      </c>
      <c r="N287" s="7" t="s">
        <v>656</v>
      </c>
      <c r="O287" s="7" t="s">
        <v>684</v>
      </c>
      <c r="P287" s="7" t="s">
        <v>704</v>
      </c>
      <c r="Q287" s="7" t="s">
        <v>709</v>
      </c>
      <c r="R287" s="7" t="s">
        <v>721</v>
      </c>
      <c r="S287" s="7" t="s">
        <v>730</v>
      </c>
      <c r="T287" s="7" t="s">
        <v>1713</v>
      </c>
      <c r="U287" s="9">
        <v>7.02</v>
      </c>
      <c r="V287" s="9">
        <v>6.28</v>
      </c>
      <c r="W287" s="9">
        <v>6.28</v>
      </c>
      <c r="X287" s="9">
        <v>858.29950000000019</v>
      </c>
      <c r="Y287" s="9">
        <v>1619.7749999999999</v>
      </c>
      <c r="Z287" s="9" t="s">
        <v>2081</v>
      </c>
      <c r="AA287" t="s">
        <v>2065</v>
      </c>
      <c r="AB287" s="11">
        <v>0.13400000000000001</v>
      </c>
      <c r="AC287" t="s">
        <v>2065</v>
      </c>
      <c r="AD287" s="13">
        <v>14</v>
      </c>
      <c r="AE287" s="9">
        <v>76.138720000000006</v>
      </c>
      <c r="AF287" s="9">
        <v>98.28</v>
      </c>
      <c r="AG287" s="9">
        <v>-22.141279999999995</v>
      </c>
      <c r="AH287" s="11">
        <v>-0.29080184169106066</v>
      </c>
      <c r="AI287" s="9">
        <f>SUMIFS(AD287:AD918, R287:R918, S287)</f>
        <v>0</v>
      </c>
      <c r="AJ287" s="11" t="e">
        <f>SUMIFS(AD287:AD918, R287:R918, S287, AD287:AD918, "&gt;" &amp; AE287) / AI287</f>
        <v>#DIV/0!</v>
      </c>
      <c r="AK287" s="7" t="e">
        <f>IF(AJ287&lt;=0.8,"A",IF(Table2[[#This Row],[Cumulative rev]]&lt;=0.95,"B","C"))</f>
        <v>#DIV/0!</v>
      </c>
    </row>
    <row r="288" spans="1:37" x14ac:dyDescent="0.3">
      <c r="A288" t="s">
        <v>301</v>
      </c>
      <c r="B288" s="4">
        <v>45542</v>
      </c>
      <c r="C288" s="4" t="s">
        <v>2122</v>
      </c>
      <c r="D288" s="4" t="s">
        <v>2106</v>
      </c>
      <c r="E288" s="4">
        <v>45542</v>
      </c>
      <c r="F288" t="s">
        <v>2064</v>
      </c>
      <c r="G288" s="4">
        <v>45542</v>
      </c>
      <c r="H288" s="4">
        <f>_xlfn.MINIFS(B288:B919, N288:N919, N288)</f>
        <v>45048</v>
      </c>
      <c r="I288" s="4" t="str">
        <f t="shared" si="8"/>
        <v>May-2023</v>
      </c>
      <c r="J288" s="13">
        <f t="shared" si="9"/>
        <v>17</v>
      </c>
      <c r="K288" s="13">
        <v>0</v>
      </c>
      <c r="L288" s="30" t="str">
        <f>IF(Table2[[#This Row],[LeadTimeDays]]&lt;7,"1","0")</f>
        <v>1</v>
      </c>
      <c r="M288" s="7" t="s">
        <v>647</v>
      </c>
      <c r="N288" s="7" t="s">
        <v>654</v>
      </c>
      <c r="O288" s="7" t="s">
        <v>691</v>
      </c>
      <c r="P288" s="7" t="s">
        <v>702</v>
      </c>
      <c r="Q288" s="7" t="s">
        <v>710</v>
      </c>
      <c r="R288" s="7" t="s">
        <v>717</v>
      </c>
      <c r="S288" s="7" t="s">
        <v>729</v>
      </c>
      <c r="T288" s="7" t="s">
        <v>1714</v>
      </c>
      <c r="U288" s="9">
        <v>1066.6500000000001</v>
      </c>
      <c r="V288" s="9">
        <v>2569.77</v>
      </c>
      <c r="W288" s="9">
        <v>2569.77</v>
      </c>
      <c r="X288" s="9">
        <v>865.03920000000005</v>
      </c>
      <c r="Y288" s="9">
        <v>1620.7628</v>
      </c>
      <c r="Z288" s="9" t="s">
        <v>2095</v>
      </c>
      <c r="AA288" t="s">
        <v>2065</v>
      </c>
      <c r="AB288" s="11">
        <v>0.13400000000000001</v>
      </c>
      <c r="AC288" t="s">
        <v>2065</v>
      </c>
      <c r="AD288" s="13">
        <v>9</v>
      </c>
      <c r="AE288" s="9">
        <v>20028.787380000002</v>
      </c>
      <c r="AF288" s="9">
        <v>9599.85</v>
      </c>
      <c r="AG288" s="9">
        <v>10428.937380000001</v>
      </c>
      <c r="AH288" s="11">
        <v>0.52069739331368348</v>
      </c>
      <c r="AI288" s="9">
        <f>SUMIFS(AD288:AD919, R288:R919, S288)</f>
        <v>0</v>
      </c>
      <c r="AJ288" s="11" t="e">
        <f>SUMIFS(AD288:AD919, R288:R919, S288, AD288:AD919, "&gt;" &amp; AE288) / AI288</f>
        <v>#DIV/0!</v>
      </c>
      <c r="AK288" s="7" t="e">
        <f>IF(AJ288&lt;=0.8,"A",IF(Table2[[#This Row],[Cumulative rev]]&lt;=0.95,"B","C"))</f>
        <v>#DIV/0!</v>
      </c>
    </row>
    <row r="289" spans="1:37" x14ac:dyDescent="0.3">
      <c r="A289" t="s">
        <v>302</v>
      </c>
      <c r="B289" s="4">
        <v>45319</v>
      </c>
      <c r="C289" s="4" t="s">
        <v>2098</v>
      </c>
      <c r="D289" s="4" t="s">
        <v>2080</v>
      </c>
      <c r="E289" s="4">
        <v>45321</v>
      </c>
      <c r="F289" t="s">
        <v>2064</v>
      </c>
      <c r="G289" s="4">
        <v>45321</v>
      </c>
      <c r="H289" s="4">
        <f>_xlfn.MINIFS(B289:B920, N289:N920, N289)</f>
        <v>44933</v>
      </c>
      <c r="I289" s="4" t="str">
        <f t="shared" si="8"/>
        <v>Jan-2023</v>
      </c>
      <c r="J289" s="13">
        <f t="shared" si="9"/>
        <v>13</v>
      </c>
      <c r="K289" s="13">
        <v>2</v>
      </c>
      <c r="L289" s="30" t="str">
        <f>IF(Table2[[#This Row],[LeadTimeDays]]&lt;7,"1","0")</f>
        <v>1</v>
      </c>
      <c r="M289" s="7" t="s">
        <v>646</v>
      </c>
      <c r="N289" s="7" t="s">
        <v>661</v>
      </c>
      <c r="O289" s="7" t="s">
        <v>695</v>
      </c>
      <c r="P289" s="7" t="s">
        <v>704</v>
      </c>
      <c r="Q289" s="7" t="s">
        <v>711</v>
      </c>
      <c r="R289" s="7" t="s">
        <v>721</v>
      </c>
      <c r="S289" s="7" t="s">
        <v>733</v>
      </c>
      <c r="T289" s="7" t="s">
        <v>1715</v>
      </c>
      <c r="U289" s="9">
        <v>798.45</v>
      </c>
      <c r="V289" s="9">
        <v>1592.02</v>
      </c>
      <c r="W289" s="9">
        <v>1592.02</v>
      </c>
      <c r="X289" s="9">
        <v>862.57740000000001</v>
      </c>
      <c r="Y289" s="9">
        <v>1618.895</v>
      </c>
      <c r="Z289" s="9" t="s">
        <v>2092</v>
      </c>
      <c r="AA289" t="s">
        <v>2065</v>
      </c>
      <c r="AB289" s="11">
        <v>6.6000000000000003E-2</v>
      </c>
      <c r="AC289" t="s">
        <v>2065</v>
      </c>
      <c r="AD289" s="13">
        <v>18</v>
      </c>
      <c r="AE289" s="9">
        <v>26765.040239999998</v>
      </c>
      <c r="AF289" s="9">
        <v>14372.1</v>
      </c>
      <c r="AG289" s="9">
        <v>12392.940239999998</v>
      </c>
      <c r="AH289" s="11">
        <v>0.46302714768494585</v>
      </c>
      <c r="AI289" s="9">
        <f>SUMIFS(AD289:AD920, R289:R920, S289)</f>
        <v>0</v>
      </c>
      <c r="AJ289" s="11" t="e">
        <f>SUMIFS(AD289:AD920, R289:R920, S289, AD289:AD920, "&gt;" &amp; AE289) / AI289</f>
        <v>#DIV/0!</v>
      </c>
      <c r="AK289" s="7" t="e">
        <f>IF(AJ289&lt;=0.8,"A",IF(Table2[[#This Row],[Cumulative rev]]&lt;=0.95,"B","C"))</f>
        <v>#DIV/0!</v>
      </c>
    </row>
    <row r="290" spans="1:37" x14ac:dyDescent="0.3">
      <c r="A290" t="s">
        <v>303</v>
      </c>
      <c r="B290" s="4">
        <v>45125</v>
      </c>
      <c r="C290" s="4" t="s">
        <v>2116</v>
      </c>
      <c r="D290" s="4" t="s">
        <v>2117</v>
      </c>
      <c r="E290" s="4">
        <v>45148</v>
      </c>
      <c r="F290" t="s">
        <v>2064</v>
      </c>
      <c r="G290" s="4">
        <v>45148</v>
      </c>
      <c r="H290" s="4">
        <f>_xlfn.MINIFS(B290:B921, N290:N921, N290)</f>
        <v>44933</v>
      </c>
      <c r="I290" s="4" t="str">
        <f t="shared" si="8"/>
        <v>Jan-2023</v>
      </c>
      <c r="J290" s="13">
        <f t="shared" si="9"/>
        <v>7</v>
      </c>
      <c r="K290" s="13">
        <v>23</v>
      </c>
      <c r="L290" s="30" t="str">
        <f>IF(Table2[[#This Row],[LeadTimeDays]]&lt;7,"1","0")</f>
        <v>0</v>
      </c>
      <c r="M290" s="7" t="s">
        <v>646</v>
      </c>
      <c r="N290" s="7" t="s">
        <v>661</v>
      </c>
      <c r="O290" s="7" t="s">
        <v>682</v>
      </c>
      <c r="P290" s="7" t="s">
        <v>705</v>
      </c>
      <c r="Q290" s="7" t="s">
        <v>707</v>
      </c>
      <c r="R290" s="7" t="s">
        <v>716</v>
      </c>
      <c r="S290" s="7" t="s">
        <v>727</v>
      </c>
      <c r="T290" s="7" t="s">
        <v>1716</v>
      </c>
      <c r="U290" s="9">
        <v>1271.56</v>
      </c>
      <c r="V290" s="9">
        <v>995.47</v>
      </c>
      <c r="W290" s="9">
        <v>995.47</v>
      </c>
      <c r="X290" s="9">
        <v>858.49019999999996</v>
      </c>
      <c r="Y290" s="9">
        <v>1619.83</v>
      </c>
      <c r="Z290" s="9" t="s">
        <v>2092</v>
      </c>
      <c r="AA290" t="s">
        <v>2065</v>
      </c>
      <c r="AB290" s="11">
        <v>0.192</v>
      </c>
      <c r="AC290" t="s">
        <v>2065</v>
      </c>
      <c r="AD290" s="13">
        <v>13</v>
      </c>
      <c r="AE290" s="9">
        <v>10456.416880000001</v>
      </c>
      <c r="AF290" s="9">
        <v>16530.28</v>
      </c>
      <c r="AG290" s="9">
        <v>-6073.8631199999982</v>
      </c>
      <c r="AH290" s="11">
        <v>-0.58087423155607754</v>
      </c>
      <c r="AI290" s="9">
        <f>SUMIFS(AD290:AD921, R290:R921, S290)</f>
        <v>0</v>
      </c>
      <c r="AJ290" s="11" t="e">
        <f>SUMIFS(AD290:AD921, R290:R921, S290, AD290:AD921, "&gt;" &amp; AE290) / AI290</f>
        <v>#DIV/0!</v>
      </c>
      <c r="AK290" s="7" t="e">
        <f>IF(AJ290&lt;=0.8,"A",IF(Table2[[#This Row],[Cumulative rev]]&lt;=0.95,"B","C"))</f>
        <v>#DIV/0!</v>
      </c>
    </row>
    <row r="291" spans="1:37" x14ac:dyDescent="0.3">
      <c r="A291" t="s">
        <v>304</v>
      </c>
      <c r="B291" s="4">
        <v>45897</v>
      </c>
      <c r="C291" s="4" t="s">
        <v>2121</v>
      </c>
      <c r="D291" s="4" t="s">
        <v>2101</v>
      </c>
      <c r="E291" s="4">
        <v>45895</v>
      </c>
      <c r="F291" t="s">
        <v>2066</v>
      </c>
      <c r="G291" s="4">
        <v>45897</v>
      </c>
      <c r="H291" s="4">
        <f>_xlfn.MINIFS(B291:B922, N291:N922, N291)</f>
        <v>44968</v>
      </c>
      <c r="I291" s="4" t="str">
        <f t="shared" si="8"/>
        <v>Feb-2023</v>
      </c>
      <c r="J291" s="13">
        <f t="shared" si="9"/>
        <v>31</v>
      </c>
      <c r="K291" s="13">
        <v>0</v>
      </c>
      <c r="L291" s="30" t="str">
        <f>IF(Table2[[#This Row],[LeadTimeDays]]&lt;7,"1","0")</f>
        <v>1</v>
      </c>
      <c r="M291" s="7" t="s">
        <v>646</v>
      </c>
      <c r="N291" s="7" t="s">
        <v>651</v>
      </c>
      <c r="O291" s="7" t="s">
        <v>663</v>
      </c>
      <c r="P291" s="7" t="s">
        <v>705</v>
      </c>
      <c r="Q291" s="7" t="s">
        <v>707</v>
      </c>
      <c r="R291" s="7" t="s">
        <v>720</v>
      </c>
      <c r="S291" s="7" t="s">
        <v>733</v>
      </c>
      <c r="T291" s="7" t="s">
        <v>1717</v>
      </c>
      <c r="U291" s="9">
        <v>521.05999999999995</v>
      </c>
      <c r="V291" s="9">
        <v>1240.31</v>
      </c>
      <c r="W291" s="9">
        <v>1240.31</v>
      </c>
      <c r="X291" s="9">
        <v>852.19709999999998</v>
      </c>
      <c r="Y291" s="9">
        <v>1620.8442</v>
      </c>
      <c r="Z291" s="9" t="s">
        <v>2092</v>
      </c>
      <c r="AA291" t="s">
        <v>2065</v>
      </c>
      <c r="AB291" s="11">
        <v>0.14599999999999999</v>
      </c>
      <c r="AC291" t="s">
        <v>2065</v>
      </c>
      <c r="AD291" s="13">
        <v>18</v>
      </c>
      <c r="AE291" s="9">
        <v>19066.045319999997</v>
      </c>
      <c r="AF291" s="9">
        <v>9379.0799999999981</v>
      </c>
      <c r="AG291" s="9">
        <v>9686.9653199999993</v>
      </c>
      <c r="AH291" s="11">
        <v>0.50807417885650974</v>
      </c>
      <c r="AI291" s="9">
        <f>SUMIFS(AD291:AD922, R291:R922, S291)</f>
        <v>0</v>
      </c>
      <c r="AJ291" s="11" t="e">
        <f>SUMIFS(AD291:AD922, R291:R922, S291, AD291:AD922, "&gt;" &amp; AE291) / AI291</f>
        <v>#DIV/0!</v>
      </c>
      <c r="AK291" s="7" t="e">
        <f>IF(AJ291&lt;=0.8,"A",IF(Table2[[#This Row],[Cumulative rev]]&lt;=0.95,"B","C"))</f>
        <v>#DIV/0!</v>
      </c>
    </row>
    <row r="292" spans="1:37" x14ac:dyDescent="0.3">
      <c r="A292" t="s">
        <v>305</v>
      </c>
      <c r="B292" s="4">
        <v>45746</v>
      </c>
      <c r="C292" s="4" t="s">
        <v>2086</v>
      </c>
      <c r="D292" s="4" t="s">
        <v>2087</v>
      </c>
      <c r="E292" s="4">
        <v>45754</v>
      </c>
      <c r="F292" t="s">
        <v>2064</v>
      </c>
      <c r="G292" s="4">
        <v>45754</v>
      </c>
      <c r="H292" s="4">
        <f>_xlfn.MINIFS(B292:B923, N292:N923, N292)</f>
        <v>44955</v>
      </c>
      <c r="I292" s="4" t="str">
        <f t="shared" si="8"/>
        <v>Jan-2023</v>
      </c>
      <c r="J292" s="13">
        <f t="shared" si="9"/>
        <v>27</v>
      </c>
      <c r="K292" s="13">
        <v>8</v>
      </c>
      <c r="L292" s="30" t="str">
        <f>IF(Table2[[#This Row],[LeadTimeDays]]&lt;7,"1","0")</f>
        <v>0</v>
      </c>
      <c r="M292" s="7" t="s">
        <v>648</v>
      </c>
      <c r="N292" s="7" t="s">
        <v>655</v>
      </c>
      <c r="O292" s="7" t="s">
        <v>670</v>
      </c>
      <c r="P292" s="7" t="s">
        <v>703</v>
      </c>
      <c r="Q292" s="7" t="s">
        <v>711</v>
      </c>
      <c r="R292" s="7" t="s">
        <v>716</v>
      </c>
      <c r="S292" s="7" t="s">
        <v>728</v>
      </c>
      <c r="T292" s="7" t="s">
        <v>1718</v>
      </c>
      <c r="U292" s="9">
        <v>71.62</v>
      </c>
      <c r="V292" s="9">
        <v>118.37</v>
      </c>
      <c r="W292" s="9">
        <v>118.37</v>
      </c>
      <c r="X292" s="9">
        <v>845.90400000000011</v>
      </c>
      <c r="Y292" s="9">
        <v>1622.2280000000001</v>
      </c>
      <c r="Z292" s="9" t="s">
        <v>2081</v>
      </c>
      <c r="AA292" t="s">
        <v>2065</v>
      </c>
      <c r="AB292" s="11">
        <v>0.156</v>
      </c>
      <c r="AC292" t="s">
        <v>2065</v>
      </c>
      <c r="AD292" s="13">
        <v>11</v>
      </c>
      <c r="AE292" s="9">
        <v>1098.9470800000001</v>
      </c>
      <c r="AF292" s="9">
        <v>787.82</v>
      </c>
      <c r="AG292" s="9">
        <v>311.12708000000009</v>
      </c>
      <c r="AH292" s="11">
        <v>0.28311379652603474</v>
      </c>
      <c r="AI292" s="9">
        <f>SUMIFS(AD292:AD923, R292:R923, S292)</f>
        <v>0</v>
      </c>
      <c r="AJ292" s="11" t="e">
        <f>SUMIFS(AD292:AD923, R292:R923, S292, AD292:AD923, "&gt;" &amp; AE292) / AI292</f>
        <v>#DIV/0!</v>
      </c>
      <c r="AK292" s="7" t="e">
        <f>IF(AJ292&lt;=0.8,"A",IF(Table2[[#This Row],[Cumulative rev]]&lt;=0.95,"B","C"))</f>
        <v>#DIV/0!</v>
      </c>
    </row>
    <row r="293" spans="1:37" x14ac:dyDescent="0.3">
      <c r="A293" t="s">
        <v>306</v>
      </c>
      <c r="B293" s="4">
        <v>45220</v>
      </c>
      <c r="C293" s="4" t="s">
        <v>2125</v>
      </c>
      <c r="D293" s="4" t="s">
        <v>2089</v>
      </c>
      <c r="E293" s="4">
        <v>45239</v>
      </c>
      <c r="F293" t="s">
        <v>2064</v>
      </c>
      <c r="G293" s="4">
        <v>45239</v>
      </c>
      <c r="H293" s="4">
        <f>_xlfn.MINIFS(B293:B924, N293:N924, N293)</f>
        <v>44945</v>
      </c>
      <c r="I293" s="4" t="str">
        <f t="shared" si="8"/>
        <v>Jan-2023</v>
      </c>
      <c r="J293" s="13">
        <f t="shared" si="9"/>
        <v>10</v>
      </c>
      <c r="K293" s="13">
        <v>19</v>
      </c>
      <c r="L293" s="30" t="str">
        <f>IF(Table2[[#This Row],[LeadTimeDays]]&lt;7,"1","0")</f>
        <v>0</v>
      </c>
      <c r="M293" s="7" t="s">
        <v>649</v>
      </c>
      <c r="N293" s="7" t="s">
        <v>658</v>
      </c>
      <c r="O293" s="7" t="s">
        <v>683</v>
      </c>
      <c r="P293" s="7" t="s">
        <v>703</v>
      </c>
      <c r="Q293" s="7" t="s">
        <v>711</v>
      </c>
      <c r="R293" s="7" t="s">
        <v>720</v>
      </c>
      <c r="S293" s="7" t="s">
        <v>733</v>
      </c>
      <c r="T293" s="7" t="s">
        <v>1719</v>
      </c>
      <c r="U293" s="9">
        <v>1142.48</v>
      </c>
      <c r="V293" s="9">
        <v>2105.5300000000002</v>
      </c>
      <c r="W293" s="9">
        <v>2105.5300000000002</v>
      </c>
      <c r="X293" s="9">
        <v>858.68090000000007</v>
      </c>
      <c r="Y293" s="9">
        <v>1623.6118000000001</v>
      </c>
      <c r="Z293" s="9" t="s">
        <v>2095</v>
      </c>
      <c r="AA293" t="s">
        <v>2065</v>
      </c>
      <c r="AB293" s="11">
        <v>0.20699999999999999</v>
      </c>
      <c r="AC293" t="s">
        <v>2065</v>
      </c>
      <c r="AD293" s="13">
        <v>14</v>
      </c>
      <c r="AE293" s="9">
        <v>23375.594060000003</v>
      </c>
      <c r="AF293" s="9">
        <v>15994.720000000001</v>
      </c>
      <c r="AG293" s="9">
        <v>7380.8740600000019</v>
      </c>
      <c r="AH293" s="11">
        <v>0.31575129346680658</v>
      </c>
      <c r="AI293" s="9">
        <f>SUMIFS(AD293:AD924, R293:R924, S293)</f>
        <v>0</v>
      </c>
      <c r="AJ293" s="11" t="e">
        <f>SUMIFS(AD293:AD924, R293:R924, S293, AD293:AD924, "&gt;" &amp; AE293) / AI293</f>
        <v>#DIV/0!</v>
      </c>
      <c r="AK293" s="7" t="e">
        <f>IF(AJ293&lt;=0.8,"A",IF(Table2[[#This Row],[Cumulative rev]]&lt;=0.95,"B","C"))</f>
        <v>#DIV/0!</v>
      </c>
    </row>
    <row r="294" spans="1:37" x14ac:dyDescent="0.3">
      <c r="A294" t="s">
        <v>307</v>
      </c>
      <c r="B294" s="4">
        <v>45161</v>
      </c>
      <c r="C294" s="4" t="s">
        <v>2118</v>
      </c>
      <c r="D294" s="4" t="s">
        <v>2117</v>
      </c>
      <c r="E294" s="4">
        <v>45191</v>
      </c>
      <c r="F294" t="s">
        <v>2064</v>
      </c>
      <c r="G294" s="4">
        <v>45191</v>
      </c>
      <c r="H294" s="4">
        <f>_xlfn.MINIFS(B294:B925, N294:N925, N294)</f>
        <v>44945</v>
      </c>
      <c r="I294" s="4" t="str">
        <f t="shared" si="8"/>
        <v>Jan-2023</v>
      </c>
      <c r="J294" s="13">
        <f t="shared" si="9"/>
        <v>8</v>
      </c>
      <c r="K294" s="13">
        <v>30</v>
      </c>
      <c r="L294" s="30" t="str">
        <f>IF(Table2[[#This Row],[LeadTimeDays]]&lt;7,"1","0")</f>
        <v>0</v>
      </c>
      <c r="M294" s="7" t="s">
        <v>649</v>
      </c>
      <c r="N294" s="7" t="s">
        <v>658</v>
      </c>
      <c r="O294" s="7" t="s">
        <v>683</v>
      </c>
      <c r="P294" s="7" t="s">
        <v>704</v>
      </c>
      <c r="Q294" s="7" t="s">
        <v>710</v>
      </c>
      <c r="R294" s="7" t="s">
        <v>719</v>
      </c>
      <c r="S294" s="7" t="s">
        <v>733</v>
      </c>
      <c r="T294" s="7" t="s">
        <v>1720</v>
      </c>
      <c r="U294" s="9">
        <v>209.81</v>
      </c>
      <c r="V294" s="9">
        <v>523</v>
      </c>
      <c r="W294" s="9">
        <v>523</v>
      </c>
      <c r="X294" s="9">
        <v>852.38780000000008</v>
      </c>
      <c r="Y294" s="9">
        <v>1620.9256</v>
      </c>
      <c r="Z294" s="9" t="s">
        <v>2081</v>
      </c>
      <c r="AA294" t="s">
        <v>2065</v>
      </c>
      <c r="AB294" s="11">
        <v>5.8999999999999997E-2</v>
      </c>
      <c r="AC294" t="s">
        <v>2065</v>
      </c>
      <c r="AD294" s="13">
        <v>15</v>
      </c>
      <c r="AE294" s="9">
        <v>7382.1450000000004</v>
      </c>
      <c r="AF294" s="9">
        <v>3147.15</v>
      </c>
      <c r="AG294" s="9">
        <v>4234.9950000000008</v>
      </c>
      <c r="AH294" s="11">
        <v>0.57368082041195356</v>
      </c>
      <c r="AI294" s="9">
        <f>SUMIFS(AD294:AD925, R294:R925, S294)</f>
        <v>0</v>
      </c>
      <c r="AJ294" s="11" t="e">
        <f>SUMIFS(AD294:AD925, R294:R925, S294, AD294:AD925, "&gt;" &amp; AE294) / AI294</f>
        <v>#DIV/0!</v>
      </c>
      <c r="AK294" s="7" t="e">
        <f>IF(AJ294&lt;=0.8,"A",IF(Table2[[#This Row],[Cumulative rev]]&lt;=0.95,"B","C"))</f>
        <v>#DIV/0!</v>
      </c>
    </row>
    <row r="295" spans="1:37" x14ac:dyDescent="0.3">
      <c r="A295" t="s">
        <v>308</v>
      </c>
      <c r="B295" s="4">
        <v>45758</v>
      </c>
      <c r="C295" s="4" t="s">
        <v>2111</v>
      </c>
      <c r="D295" s="4" t="s">
        <v>2097</v>
      </c>
      <c r="E295" s="4">
        <v>45781</v>
      </c>
      <c r="F295" t="s">
        <v>2064</v>
      </c>
      <c r="G295" s="4">
        <v>45781</v>
      </c>
      <c r="H295" s="4">
        <f>_xlfn.MINIFS(B295:B926, N295:N926, N295)</f>
        <v>44988</v>
      </c>
      <c r="I295" s="4" t="str">
        <f t="shared" si="8"/>
        <v>Mar-2023</v>
      </c>
      <c r="J295" s="13">
        <f t="shared" si="9"/>
        <v>26</v>
      </c>
      <c r="K295" s="13">
        <v>23</v>
      </c>
      <c r="L295" s="30" t="str">
        <f>IF(Table2[[#This Row],[LeadTimeDays]]&lt;7,"1","0")</f>
        <v>0</v>
      </c>
      <c r="M295" s="7" t="s">
        <v>647</v>
      </c>
      <c r="N295" s="7" t="s">
        <v>652</v>
      </c>
      <c r="O295" s="7" t="s">
        <v>666</v>
      </c>
      <c r="P295" s="7" t="s">
        <v>705</v>
      </c>
      <c r="Q295" s="7" t="s">
        <v>708</v>
      </c>
      <c r="R295" s="7" t="s">
        <v>724</v>
      </c>
      <c r="S295" s="7" t="s">
        <v>727</v>
      </c>
      <c r="T295" s="7" t="s">
        <v>1721</v>
      </c>
      <c r="U295" s="9">
        <v>786.2</v>
      </c>
      <c r="V295" s="9">
        <v>1075.3</v>
      </c>
      <c r="W295" s="9">
        <v>1075.3</v>
      </c>
      <c r="X295" s="9">
        <v>862.72660000000008</v>
      </c>
      <c r="Y295" s="9">
        <v>1622.3094000000001</v>
      </c>
      <c r="Z295" s="9" t="s">
        <v>2092</v>
      </c>
      <c r="AA295" t="s">
        <v>2065</v>
      </c>
      <c r="AB295" s="11">
        <v>0.08</v>
      </c>
      <c r="AC295" t="s">
        <v>2065</v>
      </c>
      <c r="AD295" s="13">
        <v>9</v>
      </c>
      <c r="AE295" s="9">
        <v>8903.4839999999986</v>
      </c>
      <c r="AF295" s="9">
        <v>7075.8</v>
      </c>
      <c r="AG295" s="9">
        <v>1827.6839999999984</v>
      </c>
      <c r="AH295" s="11">
        <v>0.20527739478163815</v>
      </c>
      <c r="AI295" s="9">
        <f>SUMIFS(AD295:AD926, R295:R926, S295)</f>
        <v>0</v>
      </c>
      <c r="AJ295" s="11" t="e">
        <f>SUMIFS(AD295:AD926, R295:R926, S295, AD295:AD926, "&gt;" &amp; AE295) / AI295</f>
        <v>#DIV/0!</v>
      </c>
      <c r="AK295" s="7" t="e">
        <f>IF(AJ295&lt;=0.8,"A",IF(Table2[[#This Row],[Cumulative rev]]&lt;=0.95,"B","C"))</f>
        <v>#DIV/0!</v>
      </c>
    </row>
    <row r="296" spans="1:37" x14ac:dyDescent="0.3">
      <c r="A296" t="s">
        <v>309</v>
      </c>
      <c r="B296" s="4">
        <v>45809</v>
      </c>
      <c r="C296" s="4" t="s">
        <v>2108</v>
      </c>
      <c r="D296" s="4" t="s">
        <v>2097</v>
      </c>
      <c r="E296" s="4">
        <v>45835</v>
      </c>
      <c r="F296" t="s">
        <v>2064</v>
      </c>
      <c r="G296" s="4">
        <v>45835</v>
      </c>
      <c r="H296" s="4">
        <f>_xlfn.MINIFS(B296:B927, N296:N927, N296)</f>
        <v>44952</v>
      </c>
      <c r="I296" s="4" t="str">
        <f t="shared" si="8"/>
        <v>Jan-2023</v>
      </c>
      <c r="J296" s="13">
        <f t="shared" si="9"/>
        <v>29</v>
      </c>
      <c r="K296" s="13">
        <v>26</v>
      </c>
      <c r="L296" s="30" t="str">
        <f>IF(Table2[[#This Row],[LeadTimeDays]]&lt;7,"1","0")</f>
        <v>0</v>
      </c>
      <c r="M296" s="7" t="s">
        <v>649</v>
      </c>
      <c r="N296" s="7" t="s">
        <v>656</v>
      </c>
      <c r="O296" s="7" t="s">
        <v>684</v>
      </c>
      <c r="P296" s="7" t="s">
        <v>704</v>
      </c>
      <c r="Q296" s="7" t="s">
        <v>710</v>
      </c>
      <c r="R296" s="7" t="s">
        <v>718</v>
      </c>
      <c r="S296" s="7" t="s">
        <v>731</v>
      </c>
      <c r="T296" s="7" t="s">
        <v>1722</v>
      </c>
      <c r="U296" s="9">
        <v>1362.31</v>
      </c>
      <c r="V296" s="9">
        <v>3294.57</v>
      </c>
      <c r="W296" s="9">
        <v>3294.57</v>
      </c>
      <c r="X296" s="9">
        <v>858.87160000000017</v>
      </c>
      <c r="Y296" s="9">
        <v>1623.6932000000002</v>
      </c>
      <c r="Z296" s="9" t="s">
        <v>2095</v>
      </c>
      <c r="AA296" t="s">
        <v>2065</v>
      </c>
      <c r="AB296" s="11">
        <v>0.113</v>
      </c>
      <c r="AC296" t="s">
        <v>2065</v>
      </c>
      <c r="AD296" s="13">
        <v>7</v>
      </c>
      <c r="AE296" s="9">
        <v>20455.985130000001</v>
      </c>
      <c r="AF296" s="9">
        <v>9536.17</v>
      </c>
      <c r="AG296" s="9">
        <v>10919.815130000001</v>
      </c>
      <c r="AH296" s="11">
        <v>0.5338200561157721</v>
      </c>
      <c r="AI296" s="9">
        <f>SUMIFS(AD296:AD927, R296:R927, S296)</f>
        <v>0</v>
      </c>
      <c r="AJ296" s="11" t="e">
        <f>SUMIFS(AD296:AD927, R296:R927, S296, AD296:AD927, "&gt;" &amp; AE296) / AI296</f>
        <v>#DIV/0!</v>
      </c>
      <c r="AK296" s="7" t="e">
        <f>IF(AJ296&lt;=0.8,"A",IF(Table2[[#This Row],[Cumulative rev]]&lt;=0.95,"B","C"))</f>
        <v>#DIV/0!</v>
      </c>
    </row>
    <row r="297" spans="1:37" x14ac:dyDescent="0.3">
      <c r="A297" t="s">
        <v>310</v>
      </c>
      <c r="B297" s="4">
        <v>45353</v>
      </c>
      <c r="C297" s="4" t="s">
        <v>2079</v>
      </c>
      <c r="D297" s="4" t="s">
        <v>2080</v>
      </c>
      <c r="E297" s="4">
        <v>45367</v>
      </c>
      <c r="F297" t="s">
        <v>2064</v>
      </c>
      <c r="G297" s="4">
        <v>45367</v>
      </c>
      <c r="H297" s="4">
        <f>_xlfn.MINIFS(B297:B928, N297:N928, N297)</f>
        <v>45029</v>
      </c>
      <c r="I297" s="4" t="str">
        <f t="shared" si="8"/>
        <v>Apr-2023</v>
      </c>
      <c r="J297" s="13">
        <f t="shared" si="9"/>
        <v>11</v>
      </c>
      <c r="K297" s="13">
        <v>14</v>
      </c>
      <c r="L297" s="30" t="str">
        <f>IF(Table2[[#This Row],[LeadTimeDays]]&lt;7,"1","0")</f>
        <v>0</v>
      </c>
      <c r="M297" s="7" t="s">
        <v>648</v>
      </c>
      <c r="N297" s="7" t="s">
        <v>653</v>
      </c>
      <c r="O297" s="7" t="s">
        <v>688</v>
      </c>
      <c r="P297" s="7" t="s">
        <v>703</v>
      </c>
      <c r="Q297" s="7" t="s">
        <v>711</v>
      </c>
      <c r="R297" s="7" t="s">
        <v>719</v>
      </c>
      <c r="S297" s="7" t="s">
        <v>728</v>
      </c>
      <c r="T297" s="7" t="s">
        <v>1723</v>
      </c>
      <c r="U297" s="9">
        <v>248.24</v>
      </c>
      <c r="V297" s="9">
        <v>464.05</v>
      </c>
      <c r="W297" s="9">
        <v>464.05</v>
      </c>
      <c r="X297" s="9">
        <v>852.57850000000019</v>
      </c>
      <c r="Y297" s="9">
        <v>1621.0070000000001</v>
      </c>
      <c r="Z297" s="9" t="s">
        <v>2081</v>
      </c>
      <c r="AA297" t="s">
        <v>2065</v>
      </c>
      <c r="AB297" s="11">
        <v>0.16900000000000001</v>
      </c>
      <c r="AC297" t="s">
        <v>2065</v>
      </c>
      <c r="AD297" s="13">
        <v>11</v>
      </c>
      <c r="AE297" s="9">
        <v>4241.88105</v>
      </c>
      <c r="AF297" s="9">
        <v>2730.6400000000003</v>
      </c>
      <c r="AG297" s="9">
        <v>1511.2410499999996</v>
      </c>
      <c r="AH297" s="11">
        <v>0.3562667203975462</v>
      </c>
      <c r="AI297" s="9">
        <f>SUMIFS(AD297:AD928, R297:R928, S297)</f>
        <v>0</v>
      </c>
      <c r="AJ297" s="11" t="e">
        <f>SUMIFS(AD297:AD928, R297:R928, S297, AD297:AD928, "&gt;" &amp; AE297) / AI297</f>
        <v>#DIV/0!</v>
      </c>
      <c r="AK297" s="7" t="e">
        <f>IF(AJ297&lt;=0.8,"A",IF(Table2[[#This Row],[Cumulative rev]]&lt;=0.95,"B","C"))</f>
        <v>#DIV/0!</v>
      </c>
    </row>
    <row r="298" spans="1:37" x14ac:dyDescent="0.3">
      <c r="A298" t="s">
        <v>311</v>
      </c>
      <c r="B298" s="4">
        <v>45097</v>
      </c>
      <c r="C298" s="4" t="s">
        <v>2115</v>
      </c>
      <c r="D298" s="4" t="s">
        <v>2103</v>
      </c>
      <c r="E298" s="4">
        <v>45115</v>
      </c>
      <c r="F298" t="s">
        <v>2064</v>
      </c>
      <c r="G298" s="4">
        <v>45115</v>
      </c>
      <c r="H298" s="4">
        <f>_xlfn.MINIFS(B298:B929, N298:N929, N298)</f>
        <v>44962</v>
      </c>
      <c r="I298" s="4" t="str">
        <f t="shared" si="8"/>
        <v>Feb-2023</v>
      </c>
      <c r="J298" s="13">
        <f t="shared" si="9"/>
        <v>5</v>
      </c>
      <c r="K298" s="13">
        <v>18</v>
      </c>
      <c r="L298" s="30" t="str">
        <f>IF(Table2[[#This Row],[LeadTimeDays]]&lt;7,"1","0")</f>
        <v>0</v>
      </c>
      <c r="M298" s="7" t="s">
        <v>648</v>
      </c>
      <c r="N298" s="7" t="s">
        <v>1425</v>
      </c>
      <c r="O298" s="7" t="s">
        <v>697</v>
      </c>
      <c r="P298" s="7" t="s">
        <v>703</v>
      </c>
      <c r="Q298" s="7" t="s">
        <v>711</v>
      </c>
      <c r="R298" s="7" t="s">
        <v>721</v>
      </c>
      <c r="S298" s="7" t="s">
        <v>732</v>
      </c>
      <c r="T298" s="7" t="s">
        <v>1724</v>
      </c>
      <c r="U298" s="9">
        <v>337</v>
      </c>
      <c r="V298" s="9">
        <v>511.03</v>
      </c>
      <c r="W298" s="9">
        <v>511.03</v>
      </c>
      <c r="X298" s="9">
        <v>862.80119999999999</v>
      </c>
      <c r="Y298" s="9">
        <v>1622.3907999999999</v>
      </c>
      <c r="Z298" s="9" t="s">
        <v>2081</v>
      </c>
      <c r="AA298" t="s">
        <v>2065</v>
      </c>
      <c r="AB298" s="11">
        <v>0.108</v>
      </c>
      <c r="AC298" t="s">
        <v>2065</v>
      </c>
      <c r="AD298" s="13">
        <v>7</v>
      </c>
      <c r="AE298" s="9">
        <v>3190.8713200000002</v>
      </c>
      <c r="AF298" s="9">
        <v>2359</v>
      </c>
      <c r="AG298" s="9">
        <v>831.8713200000002</v>
      </c>
      <c r="AH298" s="11">
        <v>0.26070349963219458</v>
      </c>
      <c r="AI298" s="9">
        <f>SUMIFS(AD298:AD929, R298:R929, S298)</f>
        <v>0</v>
      </c>
      <c r="AJ298" s="11" t="e">
        <f>SUMIFS(AD298:AD929, R298:R929, S298, AD298:AD929, "&gt;" &amp; AE298) / AI298</f>
        <v>#DIV/0!</v>
      </c>
      <c r="AK298" s="7" t="e">
        <f>IF(AJ298&lt;=0.8,"A",IF(Table2[[#This Row],[Cumulative rev]]&lt;=0.95,"B","C"))</f>
        <v>#DIV/0!</v>
      </c>
    </row>
    <row r="299" spans="1:37" x14ac:dyDescent="0.3">
      <c r="A299" t="s">
        <v>312</v>
      </c>
      <c r="B299" s="4">
        <v>45377</v>
      </c>
      <c r="C299" s="4" t="s">
        <v>2079</v>
      </c>
      <c r="D299" s="4" t="s">
        <v>2080</v>
      </c>
      <c r="E299" s="4">
        <v>45387</v>
      </c>
      <c r="F299" t="s">
        <v>2064</v>
      </c>
      <c r="G299" s="4">
        <v>45387</v>
      </c>
      <c r="H299" s="4">
        <f>_xlfn.MINIFS(B299:B930, N299:N930, N299)</f>
        <v>44962</v>
      </c>
      <c r="I299" s="4" t="str">
        <f t="shared" si="8"/>
        <v>Feb-2023</v>
      </c>
      <c r="J299" s="13">
        <f t="shared" si="9"/>
        <v>14</v>
      </c>
      <c r="K299" s="13">
        <v>10</v>
      </c>
      <c r="L299" s="30" t="str">
        <f>IF(Table2[[#This Row],[LeadTimeDays]]&lt;7,"1","0")</f>
        <v>0</v>
      </c>
      <c r="M299" s="7" t="s">
        <v>648</v>
      </c>
      <c r="N299" s="7" t="s">
        <v>1425</v>
      </c>
      <c r="O299" s="7" t="s">
        <v>697</v>
      </c>
      <c r="P299" s="7" t="s">
        <v>704</v>
      </c>
      <c r="Q299" s="7" t="s">
        <v>711</v>
      </c>
      <c r="R299" s="7" t="s">
        <v>713</v>
      </c>
      <c r="S299" s="7" t="s">
        <v>732</v>
      </c>
      <c r="T299" s="7" t="s">
        <v>1725</v>
      </c>
      <c r="U299" s="9">
        <v>5.66</v>
      </c>
      <c r="V299" s="9">
        <v>4.22</v>
      </c>
      <c r="W299" s="9">
        <v>4.22</v>
      </c>
      <c r="X299" s="9">
        <v>867.79939999999999</v>
      </c>
      <c r="Y299" s="9">
        <v>1623.7746</v>
      </c>
      <c r="Z299" s="9" t="s">
        <v>2081</v>
      </c>
      <c r="AA299" t="s">
        <v>2065</v>
      </c>
      <c r="AB299" s="11">
        <v>0.11899999999999999</v>
      </c>
      <c r="AC299" t="s">
        <v>2065</v>
      </c>
      <c r="AD299" s="13">
        <v>18</v>
      </c>
      <c r="AE299" s="9">
        <v>66.920760000000001</v>
      </c>
      <c r="AF299" s="9">
        <v>101.88</v>
      </c>
      <c r="AG299" s="9">
        <v>-34.959239999999994</v>
      </c>
      <c r="AH299" s="11">
        <v>-0.52239753403876454</v>
      </c>
      <c r="AI299" s="9">
        <f>SUMIFS(AD299:AD930, R299:R930, S299)</f>
        <v>0</v>
      </c>
      <c r="AJ299" s="11" t="e">
        <f>SUMIFS(AD299:AD930, R299:R930, S299, AD299:AD930, "&gt;" &amp; AE299) / AI299</f>
        <v>#DIV/0!</v>
      </c>
      <c r="AK299" s="7" t="e">
        <f>IF(AJ299&lt;=0.8,"A",IF(Table2[[#This Row],[Cumulative rev]]&lt;=0.95,"B","C"))</f>
        <v>#DIV/0!</v>
      </c>
    </row>
    <row r="300" spans="1:37" x14ac:dyDescent="0.3">
      <c r="A300" t="s">
        <v>313</v>
      </c>
      <c r="B300" s="4">
        <v>45679</v>
      </c>
      <c r="C300" s="4" t="s">
        <v>2099</v>
      </c>
      <c r="D300" s="4" t="s">
        <v>2087</v>
      </c>
      <c r="E300" s="4">
        <v>45679</v>
      </c>
      <c r="F300" t="s">
        <v>2064</v>
      </c>
      <c r="G300" s="4">
        <v>45679</v>
      </c>
      <c r="H300" s="4">
        <f>_xlfn.MINIFS(B300:B931, N300:N931, N300)</f>
        <v>44936</v>
      </c>
      <c r="I300" s="4" t="str">
        <f t="shared" si="8"/>
        <v>Jan-2023</v>
      </c>
      <c r="J300" s="13">
        <f t="shared" si="9"/>
        <v>25</v>
      </c>
      <c r="K300" s="13">
        <v>0</v>
      </c>
      <c r="L300" s="30" t="str">
        <f>IF(Table2[[#This Row],[LeadTimeDays]]&lt;7,"1","0")</f>
        <v>1</v>
      </c>
      <c r="M300" s="7" t="s">
        <v>649</v>
      </c>
      <c r="N300" s="7" t="s">
        <v>657</v>
      </c>
      <c r="O300" s="7" t="s">
        <v>679</v>
      </c>
      <c r="P300" s="7" t="s">
        <v>705</v>
      </c>
      <c r="Q300" s="7" t="s">
        <v>708</v>
      </c>
      <c r="R300" s="7" t="s">
        <v>717</v>
      </c>
      <c r="S300" s="7" t="s">
        <v>733</v>
      </c>
      <c r="T300" s="7" t="s">
        <v>1726</v>
      </c>
      <c r="U300" s="9">
        <v>591.72</v>
      </c>
      <c r="V300" s="9">
        <v>577.24</v>
      </c>
      <c r="W300" s="9">
        <v>577.24</v>
      </c>
      <c r="X300" s="9">
        <v>873.20640000000003</v>
      </c>
      <c r="Y300" s="9">
        <v>1624.76</v>
      </c>
      <c r="Z300" s="9" t="s">
        <v>2081</v>
      </c>
      <c r="AA300" t="s">
        <v>2065</v>
      </c>
      <c r="AB300" s="11">
        <v>0</v>
      </c>
      <c r="AC300" t="s">
        <v>2065</v>
      </c>
      <c r="AD300" s="13">
        <v>22</v>
      </c>
      <c r="AE300" s="9">
        <v>12699.28</v>
      </c>
      <c r="AF300" s="9">
        <v>13017.84</v>
      </c>
      <c r="AG300" s="9">
        <v>-318.55999999999949</v>
      </c>
      <c r="AH300" s="11">
        <v>-2.5084886702238195E-2</v>
      </c>
      <c r="AI300" s="9">
        <f>SUMIFS(AD300:AD931, R300:R931, S300)</f>
        <v>0</v>
      </c>
      <c r="AJ300" s="11" t="e">
        <f>SUMIFS(AD300:AD931, R300:R931, S300, AD300:AD931, "&gt;" &amp; AE300) / AI300</f>
        <v>#DIV/0!</v>
      </c>
      <c r="AK300" s="7" t="e">
        <f>IF(AJ300&lt;=0.8,"A",IF(Table2[[#This Row],[Cumulative rev]]&lt;=0.95,"B","C"))</f>
        <v>#DIV/0!</v>
      </c>
    </row>
    <row r="301" spans="1:37" x14ac:dyDescent="0.3">
      <c r="A301" t="s">
        <v>314</v>
      </c>
      <c r="B301" s="4">
        <v>45787</v>
      </c>
      <c r="C301" s="4" t="s">
        <v>2096</v>
      </c>
      <c r="D301" s="4" t="s">
        <v>2097</v>
      </c>
      <c r="E301" s="4">
        <v>45804</v>
      </c>
      <c r="F301" t="s">
        <v>2064</v>
      </c>
      <c r="G301" s="4">
        <v>45804</v>
      </c>
      <c r="H301" s="4">
        <f>_xlfn.MINIFS(B301:B932, N301:N932, N301)</f>
        <v>45029</v>
      </c>
      <c r="I301" s="4" t="str">
        <f t="shared" si="8"/>
        <v>Apr-2023</v>
      </c>
      <c r="J301" s="13">
        <f t="shared" si="9"/>
        <v>25</v>
      </c>
      <c r="K301" s="13">
        <v>17</v>
      </c>
      <c r="L301" s="30" t="str">
        <f>IF(Table2[[#This Row],[LeadTimeDays]]&lt;7,"1","0")</f>
        <v>0</v>
      </c>
      <c r="M301" s="7" t="s">
        <v>648</v>
      </c>
      <c r="N301" s="7" t="s">
        <v>653</v>
      </c>
      <c r="O301" s="7" t="s">
        <v>688</v>
      </c>
      <c r="P301" s="7" t="s">
        <v>702</v>
      </c>
      <c r="Q301" s="7" t="s">
        <v>711</v>
      </c>
      <c r="R301" s="7" t="s">
        <v>712</v>
      </c>
      <c r="S301" s="7" t="s">
        <v>727</v>
      </c>
      <c r="T301" s="7" t="s">
        <v>1727</v>
      </c>
      <c r="U301" s="9">
        <v>862.89</v>
      </c>
      <c r="V301" s="9">
        <v>1426.03</v>
      </c>
      <c r="W301" s="9">
        <v>1426.03</v>
      </c>
      <c r="X301" s="9">
        <v>877.25159999999994</v>
      </c>
      <c r="Y301" s="9">
        <v>1625.0150000000001</v>
      </c>
      <c r="Z301" s="9" t="s">
        <v>2092</v>
      </c>
      <c r="AA301" t="s">
        <v>2065</v>
      </c>
      <c r="AB301" s="11">
        <v>5.6000000000000001E-2</v>
      </c>
      <c r="AC301" t="s">
        <v>2065</v>
      </c>
      <c r="AD301" s="13">
        <v>19</v>
      </c>
      <c r="AE301" s="9">
        <v>25577.274079999999</v>
      </c>
      <c r="AF301" s="9">
        <v>16394.91</v>
      </c>
      <c r="AG301" s="9">
        <v>9182.3640799999994</v>
      </c>
      <c r="AH301" s="11">
        <v>0.35900479665188778</v>
      </c>
      <c r="AI301" s="9">
        <f>SUMIFS(AD301:AD932, R301:R932, S301)</f>
        <v>0</v>
      </c>
      <c r="AJ301" s="11" t="e">
        <f>SUMIFS(AD301:AD932, R301:R932, S301, AD301:AD932, "&gt;" &amp; AE301) / AI301</f>
        <v>#DIV/0!</v>
      </c>
      <c r="AK301" s="7" t="e">
        <f>IF(AJ301&lt;=0.8,"A",IF(Table2[[#This Row],[Cumulative rev]]&lt;=0.95,"B","C"))</f>
        <v>#DIV/0!</v>
      </c>
    </row>
    <row r="302" spans="1:37" x14ac:dyDescent="0.3">
      <c r="A302" t="s">
        <v>315</v>
      </c>
      <c r="B302" s="4">
        <v>45204</v>
      </c>
      <c r="C302" s="4" t="s">
        <v>2125</v>
      </c>
      <c r="D302" s="4" t="s">
        <v>2089</v>
      </c>
      <c r="E302" s="4">
        <v>45230</v>
      </c>
      <c r="F302" t="s">
        <v>2064</v>
      </c>
      <c r="G302" s="4">
        <v>45230</v>
      </c>
      <c r="H302" s="4">
        <f>_xlfn.MINIFS(B302:B933, N302:N933, N302)</f>
        <v>44938</v>
      </c>
      <c r="I302" s="4" t="str">
        <f t="shared" si="8"/>
        <v>Jan-2023</v>
      </c>
      <c r="J302" s="13">
        <f t="shared" si="9"/>
        <v>9</v>
      </c>
      <c r="K302" s="13">
        <v>26</v>
      </c>
      <c r="L302" s="30" t="str">
        <f>IF(Table2[[#This Row],[LeadTimeDays]]&lt;7,"1","0")</f>
        <v>0</v>
      </c>
      <c r="M302" s="7" t="s">
        <v>647</v>
      </c>
      <c r="N302" s="7" t="s">
        <v>659</v>
      </c>
      <c r="O302" s="7" t="s">
        <v>685</v>
      </c>
      <c r="P302" s="7" t="s">
        <v>704</v>
      </c>
      <c r="Q302" s="7" t="s">
        <v>2057</v>
      </c>
      <c r="R302" s="7" t="s">
        <v>713</v>
      </c>
      <c r="S302" s="7" t="s">
        <v>728</v>
      </c>
      <c r="T302" s="7" t="s">
        <v>1728</v>
      </c>
      <c r="U302" s="9">
        <v>649.91</v>
      </c>
      <c r="V302" s="9">
        <v>1360.12</v>
      </c>
      <c r="W302" s="9">
        <v>1360.12</v>
      </c>
      <c r="X302" s="9">
        <v>875.99099999999999</v>
      </c>
      <c r="Y302" s="9">
        <v>1625.27</v>
      </c>
      <c r="Z302" s="9" t="s">
        <v>2092</v>
      </c>
      <c r="AA302" t="s">
        <v>2065</v>
      </c>
      <c r="AB302" s="11">
        <v>0.19400000000000001</v>
      </c>
      <c r="AC302" t="s">
        <v>2065</v>
      </c>
      <c r="AD302" s="13">
        <v>9</v>
      </c>
      <c r="AE302" s="9">
        <v>9866.3104799999983</v>
      </c>
      <c r="AF302" s="9">
        <v>5849.19</v>
      </c>
      <c r="AG302" s="9">
        <v>4017.1204799999987</v>
      </c>
      <c r="AH302" s="11">
        <v>0.40715528749506769</v>
      </c>
      <c r="AI302" s="9">
        <f>SUMIFS(AD302:AD933, R302:R933, S302)</f>
        <v>0</v>
      </c>
      <c r="AJ302" s="11" t="e">
        <f>SUMIFS(AD302:AD933, R302:R933, S302, AD302:AD933, "&gt;" &amp; AE302) / AI302</f>
        <v>#DIV/0!</v>
      </c>
      <c r="AK302" s="7" t="e">
        <f>IF(AJ302&lt;=0.8,"A",IF(Table2[[#This Row],[Cumulative rev]]&lt;=0.95,"B","C"))</f>
        <v>#DIV/0!</v>
      </c>
    </row>
    <row r="303" spans="1:37" x14ac:dyDescent="0.3">
      <c r="A303" t="s">
        <v>316</v>
      </c>
      <c r="B303" s="4">
        <v>45125</v>
      </c>
      <c r="C303" s="4" t="s">
        <v>2116</v>
      </c>
      <c r="D303" s="4" t="s">
        <v>2117</v>
      </c>
      <c r="E303" s="4">
        <v>45129</v>
      </c>
      <c r="F303" t="s">
        <v>2064</v>
      </c>
      <c r="G303" s="4">
        <v>45129</v>
      </c>
      <c r="H303" s="4">
        <f>_xlfn.MINIFS(B303:B934, N303:N934, N303)</f>
        <v>44955</v>
      </c>
      <c r="I303" s="4" t="str">
        <f t="shared" si="8"/>
        <v>Jan-2023</v>
      </c>
      <c r="J303" s="13">
        <f t="shared" si="9"/>
        <v>6</v>
      </c>
      <c r="K303" s="13">
        <v>4</v>
      </c>
      <c r="L303" s="30" t="str">
        <f>IF(Table2[[#This Row],[LeadTimeDays]]&lt;7,"1","0")</f>
        <v>1</v>
      </c>
      <c r="M303" s="7" t="s">
        <v>648</v>
      </c>
      <c r="N303" s="7" t="s">
        <v>655</v>
      </c>
      <c r="O303" s="7" t="s">
        <v>670</v>
      </c>
      <c r="P303" s="7" t="s">
        <v>704</v>
      </c>
      <c r="Q303" s="7" t="s">
        <v>711</v>
      </c>
      <c r="R303" s="7" t="s">
        <v>721</v>
      </c>
      <c r="S303" s="7" t="s">
        <v>729</v>
      </c>
      <c r="T303" s="7" t="s">
        <v>1729</v>
      </c>
      <c r="U303" s="9">
        <v>1269.55</v>
      </c>
      <c r="V303" s="9">
        <v>2071.1</v>
      </c>
      <c r="W303" s="9">
        <v>2071.1</v>
      </c>
      <c r="X303" s="9">
        <v>873.28830000000005</v>
      </c>
      <c r="Y303" s="9">
        <v>1626.1158000000003</v>
      </c>
      <c r="Z303" s="9" t="s">
        <v>2095</v>
      </c>
      <c r="AA303" t="s">
        <v>2065</v>
      </c>
      <c r="AB303" s="11">
        <v>0.129</v>
      </c>
      <c r="AC303" t="s">
        <v>2065</v>
      </c>
      <c r="AD303" s="13">
        <v>22</v>
      </c>
      <c r="AE303" s="9">
        <v>39686.4182</v>
      </c>
      <c r="AF303" s="9">
        <v>27930.1</v>
      </c>
      <c r="AG303" s="9">
        <v>11756.318200000002</v>
      </c>
      <c r="AH303" s="11">
        <v>0.29623026549672354</v>
      </c>
      <c r="AI303" s="9">
        <f>SUMIFS(AD303:AD934, R303:R934, S303)</f>
        <v>0</v>
      </c>
      <c r="AJ303" s="11" t="e">
        <f>SUMIFS(AD303:AD934, R303:R934, S303, AD303:AD934, "&gt;" &amp; AE303) / AI303</f>
        <v>#DIV/0!</v>
      </c>
      <c r="AK303" s="7" t="e">
        <f>IF(AJ303&lt;=0.8,"A",IF(Table2[[#This Row],[Cumulative rev]]&lt;=0.95,"B","C"))</f>
        <v>#DIV/0!</v>
      </c>
    </row>
    <row r="304" spans="1:37" x14ac:dyDescent="0.3">
      <c r="A304" t="s">
        <v>317</v>
      </c>
      <c r="B304" s="4">
        <v>45830</v>
      </c>
      <c r="C304" s="4" t="s">
        <v>2108</v>
      </c>
      <c r="D304" s="4" t="s">
        <v>2097</v>
      </c>
      <c r="E304" s="4">
        <v>45846</v>
      </c>
      <c r="F304" t="s">
        <v>2064</v>
      </c>
      <c r="G304" s="4">
        <v>45846</v>
      </c>
      <c r="H304" s="4">
        <f>_xlfn.MINIFS(B304:B935, N304:N935, N304)</f>
        <v>44945</v>
      </c>
      <c r="I304" s="4" t="str">
        <f t="shared" si="8"/>
        <v>Jan-2023</v>
      </c>
      <c r="J304" s="13">
        <f t="shared" si="9"/>
        <v>30</v>
      </c>
      <c r="K304" s="13">
        <v>16</v>
      </c>
      <c r="L304" s="30" t="str">
        <f>IF(Table2[[#This Row],[LeadTimeDays]]&lt;7,"1","0")</f>
        <v>0</v>
      </c>
      <c r="M304" s="7" t="s">
        <v>649</v>
      </c>
      <c r="N304" s="7" t="s">
        <v>658</v>
      </c>
      <c r="O304" s="7" t="s">
        <v>683</v>
      </c>
      <c r="P304" s="7" t="s">
        <v>702</v>
      </c>
      <c r="Q304" s="7" t="s">
        <v>711</v>
      </c>
      <c r="R304" s="7" t="s">
        <v>720</v>
      </c>
      <c r="S304" s="7" t="s">
        <v>730</v>
      </c>
      <c r="T304" s="7" t="s">
        <v>1730</v>
      </c>
      <c r="U304" s="9">
        <v>892.73</v>
      </c>
      <c r="V304" s="9">
        <v>979.84</v>
      </c>
      <c r="W304" s="9">
        <v>979.84</v>
      </c>
      <c r="X304" s="9">
        <v>870.58560000000011</v>
      </c>
      <c r="Y304" s="9">
        <v>1625.0300000000002</v>
      </c>
      <c r="Z304" s="9" t="s">
        <v>2092</v>
      </c>
      <c r="AA304" t="s">
        <v>2065</v>
      </c>
      <c r="AB304" s="11">
        <v>0.17399999999999999</v>
      </c>
      <c r="AC304" t="s">
        <v>2065</v>
      </c>
      <c r="AD304" s="13">
        <v>10</v>
      </c>
      <c r="AE304" s="9">
        <v>8093.4784</v>
      </c>
      <c r="AF304" s="9">
        <v>8927.2999999999993</v>
      </c>
      <c r="AG304" s="9">
        <v>-833.82159999999931</v>
      </c>
      <c r="AH304" s="11">
        <v>-0.10302388649112838</v>
      </c>
      <c r="AI304" s="9">
        <f>SUMIFS(AD304:AD935, R304:R935, S304)</f>
        <v>0</v>
      </c>
      <c r="AJ304" s="11" t="e">
        <f>SUMIFS(AD304:AD935, R304:R935, S304, AD304:AD935, "&gt;" &amp; AE304) / AI304</f>
        <v>#DIV/0!</v>
      </c>
      <c r="AK304" s="7" t="e">
        <f>IF(AJ304&lt;=0.8,"A",IF(Table2[[#This Row],[Cumulative rev]]&lt;=0.95,"B","C"))</f>
        <v>#DIV/0!</v>
      </c>
    </row>
    <row r="305" spans="1:37" x14ac:dyDescent="0.3">
      <c r="A305" t="s">
        <v>318</v>
      </c>
      <c r="B305" s="4">
        <v>45462</v>
      </c>
      <c r="C305" s="4" t="s">
        <v>2109</v>
      </c>
      <c r="D305" s="4" t="s">
        <v>2094</v>
      </c>
      <c r="E305" s="4">
        <v>45463</v>
      </c>
      <c r="F305" t="s">
        <v>2064</v>
      </c>
      <c r="G305" s="4">
        <v>45463</v>
      </c>
      <c r="H305" s="4">
        <f>_xlfn.MINIFS(B305:B936, N305:N936, N305)</f>
        <v>44978</v>
      </c>
      <c r="I305" s="4" t="str">
        <f t="shared" si="8"/>
        <v>Feb-2023</v>
      </c>
      <c r="J305" s="13">
        <f t="shared" si="9"/>
        <v>16</v>
      </c>
      <c r="K305" s="13">
        <v>1</v>
      </c>
      <c r="L305" s="30" t="str">
        <f>IF(Table2[[#This Row],[LeadTimeDays]]&lt;7,"1","0")</f>
        <v>1</v>
      </c>
      <c r="M305" s="7" t="s">
        <v>646</v>
      </c>
      <c r="N305" s="7" t="s">
        <v>650</v>
      </c>
      <c r="O305" s="7" t="s">
        <v>662</v>
      </c>
      <c r="P305" s="7" t="s">
        <v>705</v>
      </c>
      <c r="Q305" s="7" t="s">
        <v>711</v>
      </c>
      <c r="R305" s="7" t="s">
        <v>713</v>
      </c>
      <c r="S305" s="7" t="s">
        <v>731</v>
      </c>
      <c r="T305" s="7" t="s">
        <v>1731</v>
      </c>
      <c r="U305" s="9">
        <v>231.63</v>
      </c>
      <c r="V305" s="9">
        <v>537.39</v>
      </c>
      <c r="W305" s="9">
        <v>537.39</v>
      </c>
      <c r="X305" s="9">
        <v>867.94860000000006</v>
      </c>
      <c r="Y305" s="9">
        <v>1625.2850000000001</v>
      </c>
      <c r="Z305" s="9" t="s">
        <v>2081</v>
      </c>
      <c r="AA305" t="s">
        <v>2065</v>
      </c>
      <c r="AB305" s="11">
        <v>0.08</v>
      </c>
      <c r="AC305" t="s">
        <v>2065</v>
      </c>
      <c r="AD305" s="13">
        <v>12</v>
      </c>
      <c r="AE305" s="9">
        <v>5932.7856000000002</v>
      </c>
      <c r="AF305" s="9">
        <v>2779.56</v>
      </c>
      <c r="AG305" s="9">
        <v>3153.2256000000002</v>
      </c>
      <c r="AH305" s="11">
        <v>0.53149158129024587</v>
      </c>
      <c r="AI305" s="9">
        <f>SUMIFS(AD305:AD936, R305:R936, S305)</f>
        <v>0</v>
      </c>
      <c r="AJ305" s="11" t="e">
        <f>SUMIFS(AD305:AD936, R305:R936, S305, AD305:AD936, "&gt;" &amp; AE305) / AI305</f>
        <v>#DIV/0!</v>
      </c>
      <c r="AK305" s="7" t="e">
        <f>IF(AJ305&lt;=0.8,"A",IF(Table2[[#This Row],[Cumulative rev]]&lt;=0.95,"B","C"))</f>
        <v>#DIV/0!</v>
      </c>
    </row>
    <row r="306" spans="1:37" x14ac:dyDescent="0.3">
      <c r="A306" t="s">
        <v>319</v>
      </c>
      <c r="B306" s="4">
        <v>45756</v>
      </c>
      <c r="C306" s="4" t="s">
        <v>2111</v>
      </c>
      <c r="D306" s="4" t="s">
        <v>2097</v>
      </c>
      <c r="E306" s="4">
        <v>45759</v>
      </c>
      <c r="F306" t="s">
        <v>2064</v>
      </c>
      <c r="G306" s="4">
        <v>45759</v>
      </c>
      <c r="H306" s="4">
        <f>_xlfn.MINIFS(B306:B937, N306:N937, N306)</f>
        <v>44936</v>
      </c>
      <c r="I306" s="4" t="str">
        <f t="shared" si="8"/>
        <v>Jan-2023</v>
      </c>
      <c r="J306" s="13">
        <f t="shared" si="9"/>
        <v>27</v>
      </c>
      <c r="K306" s="13">
        <v>3</v>
      </c>
      <c r="L306" s="30" t="str">
        <f>IF(Table2[[#This Row],[LeadTimeDays]]&lt;7,"1","0")</f>
        <v>1</v>
      </c>
      <c r="M306" s="7" t="s">
        <v>649</v>
      </c>
      <c r="N306" s="7" t="s">
        <v>657</v>
      </c>
      <c r="O306" s="7" t="s">
        <v>679</v>
      </c>
      <c r="P306" s="7" t="s">
        <v>705</v>
      </c>
      <c r="Q306" s="7" t="s">
        <v>710</v>
      </c>
      <c r="R306" s="7" t="s">
        <v>722</v>
      </c>
      <c r="S306" s="7" t="s">
        <v>732</v>
      </c>
      <c r="T306" s="7" t="s">
        <v>1732</v>
      </c>
      <c r="U306" s="9">
        <v>86.68</v>
      </c>
      <c r="V306" s="9">
        <v>213.32</v>
      </c>
      <c r="W306" s="9">
        <v>213.32</v>
      </c>
      <c r="X306" s="9">
        <v>873.37019999999995</v>
      </c>
      <c r="Y306" s="9">
        <v>1626.2152000000001</v>
      </c>
      <c r="Z306" s="9" t="s">
        <v>2081</v>
      </c>
      <c r="AA306" t="s">
        <v>2065</v>
      </c>
      <c r="AB306" s="11">
        <v>3.7999999999999999E-2</v>
      </c>
      <c r="AC306" t="s">
        <v>2065</v>
      </c>
      <c r="AD306" s="13">
        <v>8</v>
      </c>
      <c r="AE306" s="9">
        <v>1641.7107199999998</v>
      </c>
      <c r="AF306" s="9">
        <v>693.44</v>
      </c>
      <c r="AG306" s="9">
        <v>948.27071999999976</v>
      </c>
      <c r="AH306" s="11">
        <v>0.57761133459614611</v>
      </c>
      <c r="AI306" s="9">
        <f>SUMIFS(AD306:AD937, R306:R937, S306)</f>
        <v>0</v>
      </c>
      <c r="AJ306" s="11" t="e">
        <f>SUMIFS(AD306:AD937, R306:R937, S306, AD306:AD937, "&gt;" &amp; AE306) / AI306</f>
        <v>#DIV/0!</v>
      </c>
      <c r="AK306" s="7" t="e">
        <f>IF(AJ306&lt;=0.8,"A",IF(Table2[[#This Row],[Cumulative rev]]&lt;=0.95,"B","C"))</f>
        <v>#DIV/0!</v>
      </c>
    </row>
    <row r="307" spans="1:37" x14ac:dyDescent="0.3">
      <c r="A307" t="s">
        <v>320</v>
      </c>
      <c r="B307" s="4">
        <v>45741</v>
      </c>
      <c r="C307" s="4" t="s">
        <v>2086</v>
      </c>
      <c r="D307" s="4" t="s">
        <v>2087</v>
      </c>
      <c r="E307" s="4">
        <v>45742</v>
      </c>
      <c r="F307" t="s">
        <v>2064</v>
      </c>
      <c r="G307" s="4">
        <v>45742</v>
      </c>
      <c r="H307" s="4">
        <f>_xlfn.MINIFS(B307:B938, N307:N938, N307)</f>
        <v>44968</v>
      </c>
      <c r="I307" s="4" t="str">
        <f t="shared" si="8"/>
        <v>Feb-2023</v>
      </c>
      <c r="J307" s="13">
        <f t="shared" si="9"/>
        <v>26</v>
      </c>
      <c r="K307" s="13">
        <v>1</v>
      </c>
      <c r="L307" s="30" t="str">
        <f>IF(Table2[[#This Row],[LeadTimeDays]]&lt;7,"1","0")</f>
        <v>1</v>
      </c>
      <c r="M307" s="7" t="s">
        <v>646</v>
      </c>
      <c r="N307" s="7" t="s">
        <v>651</v>
      </c>
      <c r="O307" s="7" t="s">
        <v>665</v>
      </c>
      <c r="P307" s="7" t="s">
        <v>702</v>
      </c>
      <c r="Q307" s="7" t="s">
        <v>710</v>
      </c>
      <c r="R307" s="7" t="s">
        <v>715</v>
      </c>
      <c r="S307" s="7" t="s">
        <v>733</v>
      </c>
      <c r="T307" s="7" t="s">
        <v>1733</v>
      </c>
      <c r="U307" s="9">
        <v>1450.43</v>
      </c>
      <c r="V307" s="9">
        <v>1994.67</v>
      </c>
      <c r="W307" s="9">
        <v>1994.67</v>
      </c>
      <c r="X307" s="9">
        <v>877.29</v>
      </c>
      <c r="Y307" s="9">
        <v>1627.9050000000002</v>
      </c>
      <c r="Z307" s="9" t="s">
        <v>2095</v>
      </c>
      <c r="AA307" t="s">
        <v>2065</v>
      </c>
      <c r="AB307" s="11">
        <v>0.1</v>
      </c>
      <c r="AC307" t="s">
        <v>2065</v>
      </c>
      <c r="AD307" s="13">
        <v>24</v>
      </c>
      <c r="AE307" s="9">
        <v>43084.872000000003</v>
      </c>
      <c r="AF307" s="9">
        <v>34810.32</v>
      </c>
      <c r="AG307" s="9">
        <v>8274.5520000000033</v>
      </c>
      <c r="AH307" s="11">
        <v>0.19205237513529116</v>
      </c>
      <c r="AI307" s="9">
        <f>SUMIFS(AD307:AD938, R307:R938, S307)</f>
        <v>0</v>
      </c>
      <c r="AJ307" s="11" t="e">
        <f>SUMIFS(AD307:AD938, R307:R938, S307, AD307:AD938, "&gt;" &amp; AE307) / AI307</f>
        <v>#DIV/0!</v>
      </c>
      <c r="AK307" s="7" t="e">
        <f>IF(AJ307&lt;=0.8,"A",IF(Table2[[#This Row],[Cumulative rev]]&lt;=0.95,"B","C"))</f>
        <v>#DIV/0!</v>
      </c>
    </row>
    <row r="308" spans="1:37" x14ac:dyDescent="0.3">
      <c r="A308" t="s">
        <v>321</v>
      </c>
      <c r="B308" s="4">
        <v>45795</v>
      </c>
      <c r="C308" s="4" t="s">
        <v>2096</v>
      </c>
      <c r="D308" s="4" t="s">
        <v>2097</v>
      </c>
      <c r="E308" s="4">
        <v>45817</v>
      </c>
      <c r="F308" t="s">
        <v>2064</v>
      </c>
      <c r="G308" s="4">
        <v>45817</v>
      </c>
      <c r="H308" s="4">
        <f>_xlfn.MINIFS(B308:B939, N308:N939, N308)</f>
        <v>44962</v>
      </c>
      <c r="I308" s="4" t="str">
        <f t="shared" si="8"/>
        <v>Feb-2023</v>
      </c>
      <c r="J308" s="13">
        <f t="shared" si="9"/>
        <v>28</v>
      </c>
      <c r="K308" s="13">
        <v>22</v>
      </c>
      <c r="L308" s="30" t="str">
        <f>IF(Table2[[#This Row],[LeadTimeDays]]&lt;7,"1","0")</f>
        <v>0</v>
      </c>
      <c r="M308" s="7" t="s">
        <v>648</v>
      </c>
      <c r="N308" s="7" t="s">
        <v>1425</v>
      </c>
      <c r="O308" s="7" t="s">
        <v>700</v>
      </c>
      <c r="P308" s="7" t="s">
        <v>704</v>
      </c>
      <c r="Q308" s="7" t="s">
        <v>707</v>
      </c>
      <c r="R308" s="7" t="s">
        <v>722</v>
      </c>
      <c r="S308" s="7" t="s">
        <v>729</v>
      </c>
      <c r="T308" s="7" t="s">
        <v>1734</v>
      </c>
      <c r="U308" s="9">
        <v>382.96</v>
      </c>
      <c r="V308" s="9">
        <v>552.84</v>
      </c>
      <c r="W308" s="9">
        <v>552.84</v>
      </c>
      <c r="X308" s="9">
        <v>876.15479999999991</v>
      </c>
      <c r="Y308" s="9">
        <v>1625.3000000000002</v>
      </c>
      <c r="Z308" s="9" t="s">
        <v>2081</v>
      </c>
      <c r="AA308" t="s">
        <v>2065</v>
      </c>
      <c r="AB308" s="11">
        <v>0.17599999999999999</v>
      </c>
      <c r="AC308" t="s">
        <v>2065</v>
      </c>
      <c r="AD308" s="13">
        <v>8</v>
      </c>
      <c r="AE308" s="9">
        <v>3644.3212800000006</v>
      </c>
      <c r="AF308" s="9">
        <v>3063.68</v>
      </c>
      <c r="AG308" s="9">
        <v>580.64128000000073</v>
      </c>
      <c r="AH308" s="11">
        <v>0.15932768693763483</v>
      </c>
      <c r="AI308" s="9">
        <f>SUMIFS(AD308:AD939, R308:R939, S308)</f>
        <v>0</v>
      </c>
      <c r="AJ308" s="11" t="e">
        <f>SUMIFS(AD308:AD939, R308:R939, S308, AD308:AD939, "&gt;" &amp; AE308) / AI308</f>
        <v>#DIV/0!</v>
      </c>
      <c r="AK308" s="7" t="e">
        <f>IF(AJ308&lt;=0.8,"A",IF(Table2[[#This Row],[Cumulative rev]]&lt;=0.95,"B","C"))</f>
        <v>#DIV/0!</v>
      </c>
    </row>
    <row r="309" spans="1:37" x14ac:dyDescent="0.3">
      <c r="A309" t="s">
        <v>322</v>
      </c>
      <c r="B309" s="4">
        <v>45679</v>
      </c>
      <c r="C309" s="4" t="s">
        <v>2099</v>
      </c>
      <c r="D309" s="4" t="s">
        <v>2087</v>
      </c>
      <c r="E309" s="4">
        <v>45692</v>
      </c>
      <c r="F309" t="s">
        <v>2064</v>
      </c>
      <c r="G309" s="4">
        <v>45692</v>
      </c>
      <c r="H309" s="4">
        <f>_xlfn.MINIFS(B309:B940, N309:N940, N309)</f>
        <v>44988</v>
      </c>
      <c r="I309" s="4" t="str">
        <f t="shared" si="8"/>
        <v>Mar-2023</v>
      </c>
      <c r="J309" s="13">
        <f t="shared" si="9"/>
        <v>23</v>
      </c>
      <c r="K309" s="13">
        <v>13</v>
      </c>
      <c r="L309" s="30" t="str">
        <f>IF(Table2[[#This Row],[LeadTimeDays]]&lt;7,"1","0")</f>
        <v>0</v>
      </c>
      <c r="M309" s="7" t="s">
        <v>647</v>
      </c>
      <c r="N309" s="7" t="s">
        <v>652</v>
      </c>
      <c r="O309" s="7" t="s">
        <v>689</v>
      </c>
      <c r="P309" s="7" t="s">
        <v>705</v>
      </c>
      <c r="Q309" s="7" t="s">
        <v>710</v>
      </c>
      <c r="R309" s="7" t="s">
        <v>716</v>
      </c>
      <c r="S309" s="7" t="s">
        <v>728</v>
      </c>
      <c r="T309" s="7" t="s">
        <v>1735</v>
      </c>
      <c r="U309" s="9">
        <v>122.29</v>
      </c>
      <c r="V309" s="9">
        <v>224.95</v>
      </c>
      <c r="W309" s="9">
        <v>224.95</v>
      </c>
      <c r="X309" s="9">
        <v>877.94280000000003</v>
      </c>
      <c r="Y309" s="9">
        <v>1626.3146000000002</v>
      </c>
      <c r="Z309" s="9" t="s">
        <v>2081</v>
      </c>
      <c r="AA309" t="s">
        <v>2065</v>
      </c>
      <c r="AB309" s="11">
        <v>0.153</v>
      </c>
      <c r="AC309" t="s">
        <v>2065</v>
      </c>
      <c r="AD309" s="13">
        <v>28</v>
      </c>
      <c r="AE309" s="9">
        <v>5334.9141999999993</v>
      </c>
      <c r="AF309" s="9">
        <v>3424.1200000000003</v>
      </c>
      <c r="AG309" s="9">
        <v>1910.7941999999989</v>
      </c>
      <c r="AH309" s="11">
        <v>0.3581677471026618</v>
      </c>
      <c r="AI309" s="9">
        <f>SUMIFS(AD309:AD940, R309:R940, S309)</f>
        <v>0</v>
      </c>
      <c r="AJ309" s="11" t="e">
        <f>SUMIFS(AD309:AD940, R309:R940, S309, AD309:AD940, "&gt;" &amp; AE309) / AI309</f>
        <v>#DIV/0!</v>
      </c>
      <c r="AK309" s="7" t="e">
        <f>IF(AJ309&lt;=0.8,"A",IF(Table2[[#This Row],[Cumulative rev]]&lt;=0.95,"B","C"))</f>
        <v>#DIV/0!</v>
      </c>
    </row>
    <row r="310" spans="1:37" x14ac:dyDescent="0.3">
      <c r="A310" t="s">
        <v>323</v>
      </c>
      <c r="B310" s="4">
        <v>44936</v>
      </c>
      <c r="C310" s="4" t="s">
        <v>2090</v>
      </c>
      <c r="D310" s="4" t="s">
        <v>2085</v>
      </c>
      <c r="E310" s="4">
        <v>44955</v>
      </c>
      <c r="F310" t="s">
        <v>2064</v>
      </c>
      <c r="G310" s="4">
        <v>44955</v>
      </c>
      <c r="H310" s="4">
        <f>_xlfn.MINIFS(B310:B941, N310:N941, N310)</f>
        <v>44936</v>
      </c>
      <c r="I310" s="4" t="str">
        <f t="shared" si="8"/>
        <v>Jan-2023</v>
      </c>
      <c r="J310" s="13">
        <f t="shared" si="9"/>
        <v>1</v>
      </c>
      <c r="K310" s="13">
        <v>19</v>
      </c>
      <c r="L310" s="30" t="str">
        <f>IF(Table2[[#This Row],[LeadTimeDays]]&lt;7,"1","0")</f>
        <v>0</v>
      </c>
      <c r="M310" s="7" t="s">
        <v>649</v>
      </c>
      <c r="N310" s="7" t="s">
        <v>657</v>
      </c>
      <c r="O310" s="7" t="s">
        <v>679</v>
      </c>
      <c r="P310" s="7" t="s">
        <v>703</v>
      </c>
      <c r="Q310" s="7" t="s">
        <v>711</v>
      </c>
      <c r="R310" s="7" t="s">
        <v>726</v>
      </c>
      <c r="S310" s="7" t="s">
        <v>731</v>
      </c>
      <c r="T310" s="7" t="s">
        <v>1736</v>
      </c>
      <c r="U310" s="9">
        <v>401.66</v>
      </c>
      <c r="V310" s="9">
        <v>772.09</v>
      </c>
      <c r="W310" s="9">
        <v>772.09</v>
      </c>
      <c r="X310" s="9">
        <v>879.31760000000008</v>
      </c>
      <c r="Y310" s="9">
        <v>1628.0044</v>
      </c>
      <c r="Z310" s="9" t="s">
        <v>2081</v>
      </c>
      <c r="AA310" t="s">
        <v>2065</v>
      </c>
      <c r="AB310" s="11">
        <v>8.8999999999999996E-2</v>
      </c>
      <c r="AC310" t="s">
        <v>2065</v>
      </c>
      <c r="AD310" s="13">
        <v>14</v>
      </c>
      <c r="AE310" s="9">
        <v>9847.2358600000007</v>
      </c>
      <c r="AF310" s="9">
        <v>5623.2400000000007</v>
      </c>
      <c r="AG310" s="9">
        <v>4223.99586</v>
      </c>
      <c r="AH310" s="11">
        <v>0.42895244107619046</v>
      </c>
      <c r="AI310" s="9">
        <f>SUMIFS(AD310:AD941, R310:R941, S310)</f>
        <v>0</v>
      </c>
      <c r="AJ310" s="11" t="e">
        <f>SUMIFS(AD310:AD941, R310:R941, S310, AD310:AD941, "&gt;" &amp; AE310) / AI310</f>
        <v>#DIV/0!</v>
      </c>
      <c r="AK310" s="7" t="e">
        <f>IF(AJ310&lt;=0.8,"A",IF(Table2[[#This Row],[Cumulative rev]]&lt;=0.95,"B","C"))</f>
        <v>#DIV/0!</v>
      </c>
    </row>
    <row r="311" spans="1:37" x14ac:dyDescent="0.3">
      <c r="A311" t="s">
        <v>324</v>
      </c>
      <c r="B311" s="4">
        <v>45655</v>
      </c>
      <c r="C311" s="4" t="s">
        <v>2091</v>
      </c>
      <c r="D311" s="4" t="s">
        <v>2083</v>
      </c>
      <c r="E311" s="4">
        <v>45669</v>
      </c>
      <c r="F311" t="s">
        <v>2064</v>
      </c>
      <c r="G311" s="4">
        <v>45669</v>
      </c>
      <c r="H311" s="4">
        <f>_xlfn.MINIFS(B311:B942, N311:N942, N311)</f>
        <v>44945</v>
      </c>
      <c r="I311" s="4" t="str">
        <f t="shared" si="8"/>
        <v>Jan-2023</v>
      </c>
      <c r="J311" s="13">
        <f t="shared" si="9"/>
        <v>24</v>
      </c>
      <c r="K311" s="13">
        <v>14</v>
      </c>
      <c r="L311" s="30" t="str">
        <f>IF(Table2[[#This Row],[LeadTimeDays]]&lt;7,"1","0")</f>
        <v>0</v>
      </c>
      <c r="M311" s="7" t="s">
        <v>649</v>
      </c>
      <c r="N311" s="7" t="s">
        <v>658</v>
      </c>
      <c r="O311" s="7" t="s">
        <v>693</v>
      </c>
      <c r="P311" s="7" t="s">
        <v>701</v>
      </c>
      <c r="Q311" s="7" t="s">
        <v>711</v>
      </c>
      <c r="R311" s="7" t="s">
        <v>717</v>
      </c>
      <c r="S311" s="7" t="s">
        <v>732</v>
      </c>
      <c r="T311" s="7" t="s">
        <v>1737</v>
      </c>
      <c r="U311" s="9">
        <v>1399.72</v>
      </c>
      <c r="V311" s="9">
        <v>3149.21</v>
      </c>
      <c r="W311" s="9">
        <v>3149.21</v>
      </c>
      <c r="X311" s="9">
        <v>880.83180000000004</v>
      </c>
      <c r="Y311" s="9">
        <v>1629.6942000000001</v>
      </c>
      <c r="Z311" s="9" t="s">
        <v>2095</v>
      </c>
      <c r="AA311" t="s">
        <v>2065</v>
      </c>
      <c r="AB311" s="11">
        <v>0.185</v>
      </c>
      <c r="AC311" t="s">
        <v>2065</v>
      </c>
      <c r="AD311" s="13">
        <v>12</v>
      </c>
      <c r="AE311" s="9">
        <v>30799.273800000003</v>
      </c>
      <c r="AF311" s="9">
        <v>16796.64</v>
      </c>
      <c r="AG311" s="9">
        <v>14002.633800000003</v>
      </c>
      <c r="AH311" s="11">
        <v>0.45464168703873797</v>
      </c>
      <c r="AI311" s="9">
        <f>SUMIFS(AD311:AD942, R311:R942, S311)</f>
        <v>0</v>
      </c>
      <c r="AJ311" s="11" t="e">
        <f>SUMIFS(AD311:AD942, R311:R942, S311, AD311:AD942, "&gt;" &amp; AE311) / AI311</f>
        <v>#DIV/0!</v>
      </c>
      <c r="AK311" s="7" t="e">
        <f>IF(AJ311&lt;=0.8,"A",IF(Table2[[#This Row],[Cumulative rev]]&lt;=0.95,"B","C"))</f>
        <v>#DIV/0!</v>
      </c>
    </row>
    <row r="312" spans="1:37" x14ac:dyDescent="0.3">
      <c r="A312" t="s">
        <v>325</v>
      </c>
      <c r="B312" s="4">
        <v>45435</v>
      </c>
      <c r="C312" s="4" t="s">
        <v>2093</v>
      </c>
      <c r="D312" s="4" t="s">
        <v>2094</v>
      </c>
      <c r="E312" s="4">
        <v>45449</v>
      </c>
      <c r="F312" t="s">
        <v>2064</v>
      </c>
      <c r="G312" s="4">
        <v>45449</v>
      </c>
      <c r="H312" s="4">
        <f>_xlfn.MINIFS(B312:B943, N312:N943, N312)</f>
        <v>44955</v>
      </c>
      <c r="I312" s="4" t="str">
        <f t="shared" si="8"/>
        <v>Jan-2023</v>
      </c>
      <c r="J312" s="13">
        <f t="shared" si="9"/>
        <v>16</v>
      </c>
      <c r="K312" s="13">
        <v>14</v>
      </c>
      <c r="L312" s="30" t="str">
        <f>IF(Table2[[#This Row],[LeadTimeDays]]&lt;7,"1","0")</f>
        <v>0</v>
      </c>
      <c r="M312" s="7" t="s">
        <v>648</v>
      </c>
      <c r="N312" s="7" t="s">
        <v>655</v>
      </c>
      <c r="O312" s="7" t="s">
        <v>1426</v>
      </c>
      <c r="P312" s="7" t="s">
        <v>703</v>
      </c>
      <c r="Q312" s="7" t="s">
        <v>708</v>
      </c>
      <c r="R312" s="7" t="s">
        <v>714</v>
      </c>
      <c r="S312" s="7" t="s">
        <v>729</v>
      </c>
      <c r="T312" s="7" t="s">
        <v>1738</v>
      </c>
      <c r="U312" s="9">
        <v>51.13</v>
      </c>
      <c r="V312" s="9">
        <v>57.53</v>
      </c>
      <c r="W312" s="9">
        <v>57.53</v>
      </c>
      <c r="X312" s="9">
        <v>880.08600000000001</v>
      </c>
      <c r="Y312" s="9">
        <v>1626.4140000000002</v>
      </c>
      <c r="Z312" s="9" t="s">
        <v>2081</v>
      </c>
      <c r="AA312" t="s">
        <v>2065</v>
      </c>
      <c r="AB312" s="11">
        <v>4.4999999999999998E-2</v>
      </c>
      <c r="AC312" t="s">
        <v>2065</v>
      </c>
      <c r="AD312" s="13">
        <v>16</v>
      </c>
      <c r="AE312" s="9">
        <v>879.05840000000001</v>
      </c>
      <c r="AF312" s="9">
        <v>818.08</v>
      </c>
      <c r="AG312" s="9">
        <v>60.978399999999965</v>
      </c>
      <c r="AH312" s="11">
        <v>6.9367859973808302E-2</v>
      </c>
      <c r="AI312" s="9">
        <f>SUMIFS(AD312:AD943, R312:R943, S312)</f>
        <v>0</v>
      </c>
      <c r="AJ312" s="11" t="e">
        <f>SUMIFS(AD312:AD943, R312:R943, S312, AD312:AD943, "&gt;" &amp; AE312) / AI312</f>
        <v>#DIV/0!</v>
      </c>
      <c r="AK312" s="7" t="e">
        <f>IF(AJ312&lt;=0.8,"A",IF(Table2[[#This Row],[Cumulative rev]]&lt;=0.95,"B","C"))</f>
        <v>#DIV/0!</v>
      </c>
    </row>
    <row r="313" spans="1:37" x14ac:dyDescent="0.3">
      <c r="A313" t="s">
        <v>326</v>
      </c>
      <c r="B313" s="4">
        <v>45101</v>
      </c>
      <c r="C313" s="4" t="s">
        <v>2115</v>
      </c>
      <c r="D313" s="4" t="s">
        <v>2103</v>
      </c>
      <c r="E313" s="4">
        <v>45099</v>
      </c>
      <c r="F313" t="s">
        <v>2066</v>
      </c>
      <c r="G313" s="4">
        <v>45101</v>
      </c>
      <c r="H313" s="4">
        <f>_xlfn.MINIFS(B313:B944, N313:N944, N313)</f>
        <v>45029</v>
      </c>
      <c r="I313" s="4" t="str">
        <f t="shared" si="8"/>
        <v>Apr-2023</v>
      </c>
      <c r="J313" s="13">
        <f t="shared" si="9"/>
        <v>3</v>
      </c>
      <c r="K313" s="13">
        <v>0</v>
      </c>
      <c r="L313" s="30" t="str">
        <f>IF(Table2[[#This Row],[LeadTimeDays]]&lt;7,"1","0")</f>
        <v>1</v>
      </c>
      <c r="M313" s="7" t="s">
        <v>648</v>
      </c>
      <c r="N313" s="7" t="s">
        <v>653</v>
      </c>
      <c r="O313" s="7" t="s">
        <v>667</v>
      </c>
      <c r="P313" s="7" t="s">
        <v>703</v>
      </c>
      <c r="Q313" s="7" t="s">
        <v>707</v>
      </c>
      <c r="R313" s="7" t="s">
        <v>724</v>
      </c>
      <c r="S313" s="7" t="s">
        <v>733</v>
      </c>
      <c r="T313" s="7" t="s">
        <v>1739</v>
      </c>
      <c r="U313" s="9">
        <v>471.42</v>
      </c>
      <c r="V313" s="9">
        <v>824.81</v>
      </c>
      <c r="W313" s="9">
        <v>824.81</v>
      </c>
      <c r="X313" s="9">
        <v>882.3211</v>
      </c>
      <c r="Y313" s="9">
        <v>1628.1038000000001</v>
      </c>
      <c r="Z313" s="9" t="s">
        <v>2081</v>
      </c>
      <c r="AA313" t="s">
        <v>2065</v>
      </c>
      <c r="AB313" s="11">
        <v>8.7999999999999995E-2</v>
      </c>
      <c r="AC313" t="s">
        <v>2065</v>
      </c>
      <c r="AD313" s="13">
        <v>15</v>
      </c>
      <c r="AE313" s="9">
        <v>11283.400799999999</v>
      </c>
      <c r="AF313" s="9">
        <v>7071.3</v>
      </c>
      <c r="AG313" s="9">
        <v>4212.1007999999993</v>
      </c>
      <c r="AH313" s="11">
        <v>0.37330064531608231</v>
      </c>
      <c r="AI313" s="9">
        <f>SUMIFS(AD313:AD944, R313:R944, S313)</f>
        <v>0</v>
      </c>
      <c r="AJ313" s="11" t="e">
        <f>SUMIFS(AD313:AD944, R313:R944, S313, AD313:AD944, "&gt;" &amp; AE313) / AI313</f>
        <v>#DIV/0!</v>
      </c>
      <c r="AK313" s="7" t="e">
        <f>IF(AJ313&lt;=0.8,"A",IF(Table2[[#This Row],[Cumulative rev]]&lt;=0.95,"B","C"))</f>
        <v>#DIV/0!</v>
      </c>
    </row>
    <row r="314" spans="1:37" x14ac:dyDescent="0.3">
      <c r="A314" t="s">
        <v>327</v>
      </c>
      <c r="B314" s="4">
        <v>45600</v>
      </c>
      <c r="C314" s="4" t="s">
        <v>2110</v>
      </c>
      <c r="D314" s="4" t="s">
        <v>2083</v>
      </c>
      <c r="E314" s="4">
        <v>45601</v>
      </c>
      <c r="F314" t="s">
        <v>2064</v>
      </c>
      <c r="G314" s="4">
        <v>45601</v>
      </c>
      <c r="H314" s="4">
        <f>_xlfn.MINIFS(B314:B945, N314:N945, N314)</f>
        <v>44945</v>
      </c>
      <c r="I314" s="4" t="str">
        <f t="shared" si="8"/>
        <v>Jan-2023</v>
      </c>
      <c r="J314" s="13">
        <f t="shared" si="9"/>
        <v>22</v>
      </c>
      <c r="K314" s="13">
        <v>1</v>
      </c>
      <c r="L314" s="30" t="str">
        <f>IF(Table2[[#This Row],[LeadTimeDays]]&lt;7,"1","0")</f>
        <v>1</v>
      </c>
      <c r="M314" s="7" t="s">
        <v>649</v>
      </c>
      <c r="N314" s="7" t="s">
        <v>658</v>
      </c>
      <c r="O314" s="7" t="s">
        <v>683</v>
      </c>
      <c r="P314" s="7" t="s">
        <v>701</v>
      </c>
      <c r="Q314" s="7" t="s">
        <v>707</v>
      </c>
      <c r="R314" s="7" t="s">
        <v>724</v>
      </c>
      <c r="S314" s="7" t="s">
        <v>728</v>
      </c>
      <c r="T314" s="7" t="s">
        <v>1740</v>
      </c>
      <c r="U314" s="9">
        <v>840.68</v>
      </c>
      <c r="V314" s="9">
        <v>1493.53</v>
      </c>
      <c r="W314" s="9">
        <v>1493.53</v>
      </c>
      <c r="X314" s="9">
        <v>885.62419999999997</v>
      </c>
      <c r="Y314" s="9">
        <v>1629.7936000000002</v>
      </c>
      <c r="Z314" s="9" t="s">
        <v>2092</v>
      </c>
      <c r="AA314" t="s">
        <v>2065</v>
      </c>
      <c r="AB314" s="11">
        <v>0</v>
      </c>
      <c r="AC314" t="s">
        <v>2065</v>
      </c>
      <c r="AD314" s="13">
        <v>27</v>
      </c>
      <c r="AE314" s="9">
        <v>40325.31</v>
      </c>
      <c r="AF314" s="9">
        <v>22698.359999999997</v>
      </c>
      <c r="AG314" s="9">
        <v>17626.95</v>
      </c>
      <c r="AH314" s="11">
        <v>0.43711877230454027</v>
      </c>
      <c r="AI314" s="9">
        <f>SUMIFS(AD314:AD945, R314:R945, S314)</f>
        <v>0</v>
      </c>
      <c r="AJ314" s="11" t="e">
        <f>SUMIFS(AD314:AD945, R314:R945, S314, AD314:AD945, "&gt;" &amp; AE314) / AI314</f>
        <v>#DIV/0!</v>
      </c>
      <c r="AK314" s="7" t="e">
        <f>IF(AJ314&lt;=0.8,"A",IF(Table2[[#This Row],[Cumulative rev]]&lt;=0.95,"B","C"))</f>
        <v>#DIV/0!</v>
      </c>
    </row>
    <row r="315" spans="1:37" x14ac:dyDescent="0.3">
      <c r="A315" t="s">
        <v>328</v>
      </c>
      <c r="B315" s="4">
        <v>45451</v>
      </c>
      <c r="C315" s="4" t="s">
        <v>2109</v>
      </c>
      <c r="D315" s="4" t="s">
        <v>2094</v>
      </c>
      <c r="E315" s="4">
        <v>45467</v>
      </c>
      <c r="F315" t="s">
        <v>2064</v>
      </c>
      <c r="G315" s="4">
        <v>45467</v>
      </c>
      <c r="H315" s="4">
        <f>_xlfn.MINIFS(B315:B946, N315:N946, N315)</f>
        <v>44933</v>
      </c>
      <c r="I315" s="4" t="str">
        <f t="shared" si="8"/>
        <v>Jan-2023</v>
      </c>
      <c r="J315" s="13">
        <f t="shared" si="9"/>
        <v>18</v>
      </c>
      <c r="K315" s="13">
        <v>16</v>
      </c>
      <c r="L315" s="30" t="str">
        <f>IF(Table2[[#This Row],[LeadTimeDays]]&lt;7,"1","0")</f>
        <v>0</v>
      </c>
      <c r="M315" s="7" t="s">
        <v>646</v>
      </c>
      <c r="N315" s="7" t="s">
        <v>661</v>
      </c>
      <c r="O315" s="7" t="s">
        <v>687</v>
      </c>
      <c r="P315" s="7" t="s">
        <v>702</v>
      </c>
      <c r="Q315" s="7" t="s">
        <v>710</v>
      </c>
      <c r="R315" s="7" t="s">
        <v>722</v>
      </c>
      <c r="S315" s="7" t="s">
        <v>732</v>
      </c>
      <c r="T315" s="7" t="s">
        <v>1741</v>
      </c>
      <c r="U315" s="9">
        <v>597.85</v>
      </c>
      <c r="V315" s="9">
        <v>741.92</v>
      </c>
      <c r="W315" s="9">
        <v>741.92</v>
      </c>
      <c r="X315" s="9">
        <v>883.9973</v>
      </c>
      <c r="Y315" s="9">
        <v>1631.3733999999999</v>
      </c>
      <c r="Z315" s="9" t="s">
        <v>2081</v>
      </c>
      <c r="AA315" t="s">
        <v>2065</v>
      </c>
      <c r="AB315" s="11">
        <v>3.1E-2</v>
      </c>
      <c r="AC315" t="s">
        <v>2065</v>
      </c>
      <c r="AD315" s="13">
        <v>7</v>
      </c>
      <c r="AE315" s="9">
        <v>5032.4433599999993</v>
      </c>
      <c r="AF315" s="9">
        <v>4184.95</v>
      </c>
      <c r="AG315" s="9">
        <v>847.49335999999948</v>
      </c>
      <c r="AH315" s="11">
        <v>0.16840594108544515</v>
      </c>
      <c r="AI315" s="9">
        <f>SUMIFS(AD315:AD946, R315:R946, S315)</f>
        <v>0</v>
      </c>
      <c r="AJ315" s="11" t="e">
        <f>SUMIFS(AD315:AD946, R315:R946, S315, AD315:AD946, "&gt;" &amp; AE315) / AI315</f>
        <v>#DIV/0!</v>
      </c>
      <c r="AK315" s="7" t="e">
        <f>IF(AJ315&lt;=0.8,"A",IF(Table2[[#This Row],[Cumulative rev]]&lt;=0.95,"B","C"))</f>
        <v>#DIV/0!</v>
      </c>
    </row>
    <row r="316" spans="1:37" x14ac:dyDescent="0.3">
      <c r="A316" t="s">
        <v>329</v>
      </c>
      <c r="B316" s="4">
        <v>45809</v>
      </c>
      <c r="C316" s="4" t="s">
        <v>2108</v>
      </c>
      <c r="D316" s="4" t="s">
        <v>2097</v>
      </c>
      <c r="E316" s="4">
        <v>45814</v>
      </c>
      <c r="F316" t="s">
        <v>2064</v>
      </c>
      <c r="G316" s="4">
        <v>45814</v>
      </c>
      <c r="H316" s="4">
        <f>_xlfn.MINIFS(B316:B947, N316:N947, N316)</f>
        <v>44985</v>
      </c>
      <c r="I316" s="4" t="str">
        <f t="shared" si="8"/>
        <v>Feb-2023</v>
      </c>
      <c r="J316" s="13">
        <f t="shared" si="9"/>
        <v>28</v>
      </c>
      <c r="K316" s="13">
        <v>5</v>
      </c>
      <c r="L316" s="30" t="str">
        <f>IF(Table2[[#This Row],[LeadTimeDays]]&lt;7,"1","0")</f>
        <v>1</v>
      </c>
      <c r="M316" s="7" t="s">
        <v>649</v>
      </c>
      <c r="N316" s="7" t="s">
        <v>657</v>
      </c>
      <c r="O316" s="7" t="s">
        <v>690</v>
      </c>
      <c r="P316" s="7" t="s">
        <v>704</v>
      </c>
      <c r="Q316" s="7" t="s">
        <v>710</v>
      </c>
      <c r="R316" s="7" t="s">
        <v>715</v>
      </c>
      <c r="S316" s="7" t="s">
        <v>727</v>
      </c>
      <c r="T316" s="7" t="s">
        <v>1742</v>
      </c>
      <c r="U316" s="9">
        <v>379.45</v>
      </c>
      <c r="V316" s="9">
        <v>742.23</v>
      </c>
      <c r="W316" s="9">
        <v>742.23</v>
      </c>
      <c r="X316" s="9">
        <v>887.54679999999996</v>
      </c>
      <c r="Y316" s="9">
        <v>1632.8932</v>
      </c>
      <c r="Z316" s="9" t="s">
        <v>2081</v>
      </c>
      <c r="AA316" t="s">
        <v>2065</v>
      </c>
      <c r="AB316" s="11">
        <v>0.09</v>
      </c>
      <c r="AC316" t="s">
        <v>2065</v>
      </c>
      <c r="AD316" s="13">
        <v>13</v>
      </c>
      <c r="AE316" s="9">
        <v>8780.5809000000008</v>
      </c>
      <c r="AF316" s="9">
        <v>4932.8499999999995</v>
      </c>
      <c r="AG316" s="9">
        <v>3847.7309000000014</v>
      </c>
      <c r="AH316" s="11">
        <v>0.43820915083192286</v>
      </c>
      <c r="AI316" s="9">
        <f>SUMIFS(AD316:AD947, R316:R947, S316)</f>
        <v>0</v>
      </c>
      <c r="AJ316" s="11" t="e">
        <f>SUMIFS(AD316:AD947, R316:R947, S316, AD316:AD947, "&gt;" &amp; AE316) / AI316</f>
        <v>#DIV/0!</v>
      </c>
      <c r="AK316" s="7" t="e">
        <f>IF(AJ316&lt;=0.8,"A",IF(Table2[[#This Row],[Cumulative rev]]&lt;=0.95,"B","C"))</f>
        <v>#DIV/0!</v>
      </c>
    </row>
    <row r="317" spans="1:37" x14ac:dyDescent="0.3">
      <c r="A317" t="s">
        <v>330</v>
      </c>
      <c r="B317" s="4">
        <v>45052</v>
      </c>
      <c r="C317" s="4" t="s">
        <v>2107</v>
      </c>
      <c r="D317" s="4" t="s">
        <v>2103</v>
      </c>
      <c r="E317" s="4">
        <v>45060</v>
      </c>
      <c r="F317" t="s">
        <v>2064</v>
      </c>
      <c r="G317" s="4">
        <v>45060</v>
      </c>
      <c r="H317" s="4">
        <f>_xlfn.MINIFS(B317:B948, N317:N948, N317)</f>
        <v>44988</v>
      </c>
      <c r="I317" s="4" t="str">
        <f t="shared" si="8"/>
        <v>Mar-2023</v>
      </c>
      <c r="J317" s="13">
        <f t="shared" si="9"/>
        <v>3</v>
      </c>
      <c r="K317" s="13">
        <v>8</v>
      </c>
      <c r="L317" s="30" t="str">
        <f>IF(Table2[[#This Row],[LeadTimeDays]]&lt;7,"1","0")</f>
        <v>0</v>
      </c>
      <c r="M317" s="7" t="s">
        <v>647</v>
      </c>
      <c r="N317" s="7" t="s">
        <v>652</v>
      </c>
      <c r="O317" s="7" t="s">
        <v>666</v>
      </c>
      <c r="P317" s="7" t="s">
        <v>706</v>
      </c>
      <c r="Q317" s="7" t="s">
        <v>709</v>
      </c>
      <c r="R317" s="7" t="s">
        <v>717</v>
      </c>
      <c r="S317" s="7" t="s">
        <v>730</v>
      </c>
      <c r="T317" s="7" t="s">
        <v>1743</v>
      </c>
      <c r="U317" s="9">
        <v>291.18</v>
      </c>
      <c r="V317" s="9">
        <v>479.54</v>
      </c>
      <c r="W317" s="9">
        <v>479.54</v>
      </c>
      <c r="X317" s="9">
        <v>891.43950000000007</v>
      </c>
      <c r="Y317" s="9">
        <v>1634.413</v>
      </c>
      <c r="Z317" s="9" t="s">
        <v>2081</v>
      </c>
      <c r="AA317" t="s">
        <v>2065</v>
      </c>
      <c r="AB317" s="11">
        <v>0.14099999999999999</v>
      </c>
      <c r="AC317" t="s">
        <v>2065</v>
      </c>
      <c r="AD317" s="13">
        <v>22</v>
      </c>
      <c r="AE317" s="9">
        <v>9062.34692</v>
      </c>
      <c r="AF317" s="9">
        <v>6405.96</v>
      </c>
      <c r="AG317" s="9">
        <v>2656.3869199999999</v>
      </c>
      <c r="AH317" s="11">
        <v>0.29312350801066001</v>
      </c>
      <c r="AI317" s="9">
        <f>SUMIFS(AD317:AD948, R317:R948, S317)</f>
        <v>0</v>
      </c>
      <c r="AJ317" s="11" t="e">
        <f>SUMIFS(AD317:AD948, R317:R948, S317, AD317:AD948, "&gt;" &amp; AE317) / AI317</f>
        <v>#DIV/0!</v>
      </c>
      <c r="AK317" s="7" t="e">
        <f>IF(AJ317&lt;=0.8,"A",IF(Table2[[#This Row],[Cumulative rev]]&lt;=0.95,"B","C"))</f>
        <v>#DIV/0!</v>
      </c>
    </row>
    <row r="318" spans="1:37" x14ac:dyDescent="0.3">
      <c r="A318" t="s">
        <v>331</v>
      </c>
      <c r="B318" s="4">
        <v>45244</v>
      </c>
      <c r="C318" s="4" t="s">
        <v>2123</v>
      </c>
      <c r="D318" s="4" t="s">
        <v>2089</v>
      </c>
      <c r="E318" s="4">
        <v>45260</v>
      </c>
      <c r="F318" t="s">
        <v>2064</v>
      </c>
      <c r="G318" s="4">
        <v>45260</v>
      </c>
      <c r="H318" s="4">
        <f>_xlfn.MINIFS(B318:B949, N318:N949, N318)</f>
        <v>44955</v>
      </c>
      <c r="I318" s="4" t="str">
        <f t="shared" si="8"/>
        <v>Jan-2023</v>
      </c>
      <c r="J318" s="13">
        <f t="shared" si="9"/>
        <v>10</v>
      </c>
      <c r="K318" s="13">
        <v>16</v>
      </c>
      <c r="L318" s="30" t="str">
        <f>IF(Table2[[#This Row],[LeadTimeDays]]&lt;7,"1","0")</f>
        <v>0</v>
      </c>
      <c r="M318" s="7" t="s">
        <v>648</v>
      </c>
      <c r="N318" s="7" t="s">
        <v>655</v>
      </c>
      <c r="O318" s="7" t="s">
        <v>670</v>
      </c>
      <c r="P318" s="7" t="s">
        <v>706</v>
      </c>
      <c r="Q318" s="7" t="s">
        <v>711</v>
      </c>
      <c r="R318" s="7" t="s">
        <v>723</v>
      </c>
      <c r="S318" s="7" t="s">
        <v>729</v>
      </c>
      <c r="T318" s="7" t="s">
        <v>1744</v>
      </c>
      <c r="U318" s="9">
        <v>1017.92</v>
      </c>
      <c r="V318" s="9">
        <v>1175.25</v>
      </c>
      <c r="W318" s="9">
        <v>1175.25</v>
      </c>
      <c r="X318" s="9">
        <v>896.75200000000007</v>
      </c>
      <c r="Y318" s="9">
        <v>1636.48</v>
      </c>
      <c r="Z318" s="9" t="s">
        <v>2092</v>
      </c>
      <c r="AA318" t="s">
        <v>2065</v>
      </c>
      <c r="AB318" s="11">
        <v>7.4999999999999997E-2</v>
      </c>
      <c r="AC318" t="s">
        <v>2065</v>
      </c>
      <c r="AD318" s="13">
        <v>15</v>
      </c>
      <c r="AE318" s="9">
        <v>16306.59375</v>
      </c>
      <c r="AF318" s="9">
        <v>15268.8</v>
      </c>
      <c r="AG318" s="9">
        <v>1037.7937500000007</v>
      </c>
      <c r="AH318" s="11">
        <v>6.3642583234159542E-2</v>
      </c>
      <c r="AI318" s="9">
        <f>SUMIFS(AD318:AD949, R318:R949, S318)</f>
        <v>0</v>
      </c>
      <c r="AJ318" s="11" t="e">
        <f>SUMIFS(AD318:AD949, R318:R949, S318, AD318:AD949, "&gt;" &amp; AE318) / AI318</f>
        <v>#DIV/0!</v>
      </c>
      <c r="AK318" s="7" t="e">
        <f>IF(AJ318&lt;=0.8,"A",IF(Table2[[#This Row],[Cumulative rev]]&lt;=0.95,"B","C"))</f>
        <v>#DIV/0!</v>
      </c>
    </row>
    <row r="319" spans="1:37" x14ac:dyDescent="0.3">
      <c r="A319" t="s">
        <v>332</v>
      </c>
      <c r="B319" s="4">
        <v>45748</v>
      </c>
      <c r="C319" s="4" t="s">
        <v>2111</v>
      </c>
      <c r="D319" s="4" t="s">
        <v>2097</v>
      </c>
      <c r="E319" s="4">
        <v>45774</v>
      </c>
      <c r="F319" t="s">
        <v>2064</v>
      </c>
      <c r="G319" s="4">
        <v>45774</v>
      </c>
      <c r="H319" s="4">
        <f>_xlfn.MINIFS(B319:B950, N319:N950, N319)</f>
        <v>44962</v>
      </c>
      <c r="I319" s="4" t="str">
        <f t="shared" si="8"/>
        <v>Feb-2023</v>
      </c>
      <c r="J319" s="13">
        <f t="shared" si="9"/>
        <v>26</v>
      </c>
      <c r="K319" s="13">
        <v>26</v>
      </c>
      <c r="L319" s="30" t="str">
        <f>IF(Table2[[#This Row],[LeadTimeDays]]&lt;7,"1","0")</f>
        <v>0</v>
      </c>
      <c r="M319" s="7" t="s">
        <v>648</v>
      </c>
      <c r="N319" s="7" t="s">
        <v>1425</v>
      </c>
      <c r="O319" s="7" t="s">
        <v>686</v>
      </c>
      <c r="P319" s="7" t="s">
        <v>701</v>
      </c>
      <c r="Q319" s="7" t="s">
        <v>711</v>
      </c>
      <c r="R319" s="7" t="s">
        <v>714</v>
      </c>
      <c r="S319" s="7" t="s">
        <v>732</v>
      </c>
      <c r="T319" s="7" t="s">
        <v>1745</v>
      </c>
      <c r="U319" s="9">
        <v>156.55000000000001</v>
      </c>
      <c r="V319" s="9">
        <v>227.45</v>
      </c>
      <c r="W319" s="9">
        <v>227.45</v>
      </c>
      <c r="X319" s="9">
        <v>894.07900000000006</v>
      </c>
      <c r="Y319" s="9">
        <v>1638.7750000000001</v>
      </c>
      <c r="Z319" s="9" t="s">
        <v>2081</v>
      </c>
      <c r="AA319" t="s">
        <v>2065</v>
      </c>
      <c r="AB319" s="11">
        <v>1.4E-2</v>
      </c>
      <c r="AC319" t="s">
        <v>2065</v>
      </c>
      <c r="AD319" s="13">
        <v>13</v>
      </c>
      <c r="AE319" s="9">
        <v>2915.4540999999999</v>
      </c>
      <c r="AF319" s="9">
        <v>2035.15</v>
      </c>
      <c r="AG319" s="9">
        <v>880.30409999999983</v>
      </c>
      <c r="AH319" s="11">
        <v>0.3019440779396938</v>
      </c>
      <c r="AI319" s="9">
        <f>SUMIFS(AD319:AD950, R319:R950, S319)</f>
        <v>0</v>
      </c>
      <c r="AJ319" s="11" t="e">
        <f>SUMIFS(AD319:AD950, R319:R950, S319, AD319:AD950, "&gt;" &amp; AE319) / AI319</f>
        <v>#DIV/0!</v>
      </c>
      <c r="AK319" s="7" t="e">
        <f>IF(AJ319&lt;=0.8,"A",IF(Table2[[#This Row],[Cumulative rev]]&lt;=0.95,"B","C"))</f>
        <v>#DIV/0!</v>
      </c>
    </row>
    <row r="320" spans="1:37" x14ac:dyDescent="0.3">
      <c r="A320" t="s">
        <v>333</v>
      </c>
      <c r="B320" s="4">
        <v>45008</v>
      </c>
      <c r="C320" s="4" t="s">
        <v>2114</v>
      </c>
      <c r="D320" s="4" t="s">
        <v>2085</v>
      </c>
      <c r="E320" s="4">
        <v>45031</v>
      </c>
      <c r="F320" t="s">
        <v>2064</v>
      </c>
      <c r="G320" s="4">
        <v>45031</v>
      </c>
      <c r="H320" s="4">
        <f>_xlfn.MINIFS(B320:B951, N320:N951, N320)</f>
        <v>44978</v>
      </c>
      <c r="I320" s="4" t="str">
        <f t="shared" si="8"/>
        <v>Feb-2023</v>
      </c>
      <c r="J320" s="13">
        <f t="shared" si="9"/>
        <v>2</v>
      </c>
      <c r="K320" s="13">
        <v>23</v>
      </c>
      <c r="L320" s="30" t="str">
        <f>IF(Table2[[#This Row],[LeadTimeDays]]&lt;7,"1","0")</f>
        <v>0</v>
      </c>
      <c r="M320" s="7" t="s">
        <v>646</v>
      </c>
      <c r="N320" s="7" t="s">
        <v>650</v>
      </c>
      <c r="O320" s="7" t="s">
        <v>675</v>
      </c>
      <c r="P320" s="7" t="s">
        <v>705</v>
      </c>
      <c r="Q320" s="7" t="s">
        <v>707</v>
      </c>
      <c r="R320" s="7" t="s">
        <v>712</v>
      </c>
      <c r="S320" s="7" t="s">
        <v>733</v>
      </c>
      <c r="T320" s="7" t="s">
        <v>1746</v>
      </c>
      <c r="U320" s="9">
        <v>875.36</v>
      </c>
      <c r="V320" s="9">
        <v>1178.6199999999999</v>
      </c>
      <c r="W320" s="9">
        <v>1178.6199999999999</v>
      </c>
      <c r="X320" s="9">
        <v>899.50600000000009</v>
      </c>
      <c r="Y320" s="9">
        <v>1641.07</v>
      </c>
      <c r="Z320" s="9" t="s">
        <v>2092</v>
      </c>
      <c r="AA320" t="s">
        <v>2065</v>
      </c>
      <c r="AB320" s="11">
        <v>0.151</v>
      </c>
      <c r="AC320" t="s">
        <v>2065</v>
      </c>
      <c r="AD320" s="13">
        <v>53</v>
      </c>
      <c r="AE320" s="9">
        <v>53034.364139999991</v>
      </c>
      <c r="AF320" s="9">
        <v>46394.080000000002</v>
      </c>
      <c r="AG320" s="9">
        <v>6640.2841399999888</v>
      </c>
      <c r="AH320" s="11">
        <v>0.12520719815685888</v>
      </c>
      <c r="AI320" s="9">
        <f>SUMIFS(AD320:AD951, R320:R951, S320)</f>
        <v>0</v>
      </c>
      <c r="AJ320" s="11" t="e">
        <f>SUMIFS(AD320:AD951, R320:R951, S320, AD320:AD951, "&gt;" &amp; AE320) / AI320</f>
        <v>#DIV/0!</v>
      </c>
      <c r="AK320" s="7" t="e">
        <f>IF(AJ320&lt;=0.8,"A",IF(Table2[[#This Row],[Cumulative rev]]&lt;=0.95,"B","C"))</f>
        <v>#DIV/0!</v>
      </c>
    </row>
    <row r="321" spans="1:37" x14ac:dyDescent="0.3">
      <c r="A321" t="s">
        <v>334</v>
      </c>
      <c r="B321" s="4">
        <v>45440</v>
      </c>
      <c r="C321" s="4" t="s">
        <v>2093</v>
      </c>
      <c r="D321" s="4" t="s">
        <v>2094</v>
      </c>
      <c r="E321" s="4">
        <v>45461</v>
      </c>
      <c r="F321" t="s">
        <v>2064</v>
      </c>
      <c r="G321" s="4">
        <v>45461</v>
      </c>
      <c r="H321" s="4">
        <f>_xlfn.MINIFS(B321:B952, N321:N952, N321)</f>
        <v>44952</v>
      </c>
      <c r="I321" s="4" t="str">
        <f t="shared" si="8"/>
        <v>Jan-2023</v>
      </c>
      <c r="J321" s="13">
        <f t="shared" si="9"/>
        <v>17</v>
      </c>
      <c r="K321" s="13">
        <v>21</v>
      </c>
      <c r="L321" s="30" t="str">
        <f>IF(Table2[[#This Row],[LeadTimeDays]]&lt;7,"1","0")</f>
        <v>0</v>
      </c>
      <c r="M321" s="7" t="s">
        <v>649</v>
      </c>
      <c r="N321" s="7" t="s">
        <v>656</v>
      </c>
      <c r="O321" s="7" t="s">
        <v>698</v>
      </c>
      <c r="P321" s="7" t="s">
        <v>705</v>
      </c>
      <c r="Q321" s="7" t="s">
        <v>708</v>
      </c>
      <c r="R321" s="7" t="s">
        <v>718</v>
      </c>
      <c r="S321" s="7" t="s">
        <v>730</v>
      </c>
      <c r="T321" s="7" t="s">
        <v>1747</v>
      </c>
      <c r="U321" s="9">
        <v>986.85</v>
      </c>
      <c r="V321" s="9">
        <v>2422.1</v>
      </c>
      <c r="W321" s="9">
        <v>2422.1</v>
      </c>
      <c r="X321" s="9">
        <v>896.83300000000008</v>
      </c>
      <c r="Y321" s="9">
        <v>1642.6161999999999</v>
      </c>
      <c r="Z321" s="9" t="s">
        <v>2095</v>
      </c>
      <c r="AA321" t="s">
        <v>2065</v>
      </c>
      <c r="AB321" s="11">
        <v>7.5999999999999998E-2</v>
      </c>
      <c r="AC321" t="s">
        <v>2065</v>
      </c>
      <c r="AD321" s="13">
        <v>10</v>
      </c>
      <c r="AE321" s="9">
        <v>22380.204000000002</v>
      </c>
      <c r="AF321" s="9">
        <v>9868.5</v>
      </c>
      <c r="AG321" s="9">
        <v>12511.704000000002</v>
      </c>
      <c r="AH321" s="11">
        <v>0.55905227673527913</v>
      </c>
      <c r="AI321" s="9">
        <f>SUMIFS(AD321:AD952, R321:R952, S321)</f>
        <v>0</v>
      </c>
      <c r="AJ321" s="11" t="e">
        <f>SUMIFS(AD321:AD952, R321:R952, S321, AD321:AD952, "&gt;" &amp; AE321) / AI321</f>
        <v>#DIV/0!</v>
      </c>
      <c r="AK321" s="7" t="e">
        <f>IF(AJ321&lt;=0.8,"A",IF(Table2[[#This Row],[Cumulative rev]]&lt;=0.95,"B","C"))</f>
        <v>#DIV/0!</v>
      </c>
    </row>
    <row r="322" spans="1:37" x14ac:dyDescent="0.3">
      <c r="A322" t="s">
        <v>335</v>
      </c>
      <c r="B322" s="4">
        <v>45293</v>
      </c>
      <c r="C322" s="4" t="s">
        <v>2098</v>
      </c>
      <c r="D322" s="4" t="s">
        <v>2080</v>
      </c>
      <c r="E322" s="4">
        <v>45292</v>
      </c>
      <c r="F322" t="s">
        <v>2066</v>
      </c>
      <c r="G322" s="4">
        <v>45293</v>
      </c>
      <c r="H322" s="4">
        <f>_xlfn.MINIFS(B322:B953, N322:N953, N322)</f>
        <v>44962</v>
      </c>
      <c r="I322" s="4" t="str">
        <f t="shared" si="8"/>
        <v>Feb-2023</v>
      </c>
      <c r="J322" s="13">
        <f t="shared" si="9"/>
        <v>11</v>
      </c>
      <c r="K322" s="13">
        <v>0</v>
      </c>
      <c r="L322" s="30" t="str">
        <f>IF(Table2[[#This Row],[LeadTimeDays]]&lt;7,"1","0")</f>
        <v>1</v>
      </c>
      <c r="M322" s="7" t="s">
        <v>648</v>
      </c>
      <c r="N322" s="7" t="s">
        <v>1425</v>
      </c>
      <c r="O322" s="7" t="s">
        <v>677</v>
      </c>
      <c r="P322" s="7" t="s">
        <v>702</v>
      </c>
      <c r="Q322" s="7" t="s">
        <v>709</v>
      </c>
      <c r="R322" s="7" t="s">
        <v>717</v>
      </c>
      <c r="S322" s="7" t="s">
        <v>729</v>
      </c>
      <c r="T322" s="7" t="s">
        <v>1748</v>
      </c>
      <c r="U322" s="9">
        <v>404.77</v>
      </c>
      <c r="V322" s="9">
        <v>433.88</v>
      </c>
      <c r="W322" s="9">
        <v>433.88</v>
      </c>
      <c r="X322" s="9">
        <v>894.16000000000008</v>
      </c>
      <c r="Y322" s="9">
        <v>1638.91</v>
      </c>
      <c r="Z322" s="9" t="s">
        <v>2081</v>
      </c>
      <c r="AA322" t="s">
        <v>2065</v>
      </c>
      <c r="AB322" s="11">
        <v>0.215</v>
      </c>
      <c r="AC322" t="s">
        <v>2065</v>
      </c>
      <c r="AD322" s="13">
        <v>22</v>
      </c>
      <c r="AE322" s="9">
        <v>7493.1076000000012</v>
      </c>
      <c r="AF322" s="9">
        <v>8904.9399999999987</v>
      </c>
      <c r="AG322" s="9">
        <v>-1411.8323999999975</v>
      </c>
      <c r="AH322" s="11">
        <v>-0.18841747314558746</v>
      </c>
      <c r="AI322" s="9">
        <f>SUMIFS(AD322:AD953, R322:R953, S322)</f>
        <v>0</v>
      </c>
      <c r="AJ322" s="11" t="e">
        <f>SUMIFS(AD322:AD953, R322:R953, S322, AD322:AD953, "&gt;" &amp; AE322) / AI322</f>
        <v>#DIV/0!</v>
      </c>
      <c r="AK322" s="7" t="e">
        <f>IF(AJ322&lt;=0.8,"A",IF(Table2[[#This Row],[Cumulative rev]]&lt;=0.95,"B","C"))</f>
        <v>#DIV/0!</v>
      </c>
    </row>
    <row r="323" spans="1:37" x14ac:dyDescent="0.3">
      <c r="A323" t="s">
        <v>336</v>
      </c>
      <c r="B323" s="4">
        <v>44985</v>
      </c>
      <c r="C323" s="4" t="s">
        <v>2084</v>
      </c>
      <c r="D323" s="4" t="s">
        <v>2085</v>
      </c>
      <c r="E323" s="4">
        <v>44984</v>
      </c>
      <c r="F323" t="s">
        <v>2066</v>
      </c>
      <c r="G323" s="4">
        <v>44985</v>
      </c>
      <c r="H323" s="4">
        <f>_xlfn.MINIFS(B323:B954, N323:N954, N323)</f>
        <v>44985</v>
      </c>
      <c r="I323" s="4" t="str">
        <f t="shared" ref="I323:I386" si="10">TEXT(H323,"mmm-yyyy")</f>
        <v>Feb-2023</v>
      </c>
      <c r="J323" s="13">
        <f t="shared" ref="J323:J386" si="11">DATEDIF(H323, B323, "m") + 1</f>
        <v>1</v>
      </c>
      <c r="K323" s="13">
        <v>0</v>
      </c>
      <c r="L323" s="30" t="str">
        <f>IF(Table2[[#This Row],[LeadTimeDays]]&lt;7,"1","0")</f>
        <v>1</v>
      </c>
      <c r="M323" s="7" t="s">
        <v>649</v>
      </c>
      <c r="N323" s="7" t="s">
        <v>657</v>
      </c>
      <c r="O323" s="7" t="s">
        <v>673</v>
      </c>
      <c r="P323" s="7" t="s">
        <v>701</v>
      </c>
      <c r="Q323" s="7" t="s">
        <v>707</v>
      </c>
      <c r="R323" s="7" t="s">
        <v>723</v>
      </c>
      <c r="S323" s="7" t="s">
        <v>729</v>
      </c>
      <c r="T323" s="7" t="s">
        <v>1749</v>
      </c>
      <c r="U323" s="9">
        <v>1299.81</v>
      </c>
      <c r="V323" s="9">
        <v>3149.13</v>
      </c>
      <c r="W323" s="9">
        <v>3149.13</v>
      </c>
      <c r="X323" s="9">
        <v>899.58699999999999</v>
      </c>
      <c r="Y323" s="9">
        <v>1641.2049999999999</v>
      </c>
      <c r="Z323" s="9" t="s">
        <v>2095</v>
      </c>
      <c r="AA323" t="s">
        <v>2065</v>
      </c>
      <c r="AB323" s="11">
        <v>0.10299999999999999</v>
      </c>
      <c r="AC323" t="s">
        <v>2065</v>
      </c>
      <c r="AD323" s="13">
        <v>14</v>
      </c>
      <c r="AE323" s="9">
        <v>39546.774539999999</v>
      </c>
      <c r="AF323" s="9">
        <v>18197.34</v>
      </c>
      <c r="AG323" s="9">
        <v>21349.434539999998</v>
      </c>
      <c r="AH323" s="11">
        <v>0.53985273864511729</v>
      </c>
      <c r="AI323" s="9">
        <f>SUMIFS(AD323:AD954, R323:R954, S323)</f>
        <v>0</v>
      </c>
      <c r="AJ323" s="11" t="e">
        <f>SUMIFS(AD323:AD954, R323:R954, S323, AD323:AD954, "&gt;" &amp; AE323) / AI323</f>
        <v>#DIV/0!</v>
      </c>
      <c r="AK323" s="7" t="e">
        <f>IF(AJ323&lt;=0.8,"A",IF(Table2[[#This Row],[Cumulative rev]]&lt;=0.95,"B","C"))</f>
        <v>#DIV/0!</v>
      </c>
    </row>
    <row r="324" spans="1:37" x14ac:dyDescent="0.3">
      <c r="A324" t="s">
        <v>337</v>
      </c>
      <c r="B324" s="4">
        <v>45340</v>
      </c>
      <c r="C324" s="4" t="s">
        <v>2124</v>
      </c>
      <c r="D324" s="4" t="s">
        <v>2080</v>
      </c>
      <c r="E324" s="4">
        <v>45362</v>
      </c>
      <c r="F324" t="s">
        <v>2064</v>
      </c>
      <c r="G324" s="4">
        <v>45362</v>
      </c>
      <c r="H324" s="4">
        <f>_xlfn.MINIFS(B324:B955, N324:N955, N324)</f>
        <v>44955</v>
      </c>
      <c r="I324" s="4" t="str">
        <f t="shared" si="10"/>
        <v>Jan-2023</v>
      </c>
      <c r="J324" s="13">
        <f t="shared" si="11"/>
        <v>13</v>
      </c>
      <c r="K324" s="13">
        <v>22</v>
      </c>
      <c r="L324" s="30" t="str">
        <f>IF(Table2[[#This Row],[LeadTimeDays]]&lt;7,"1","0")</f>
        <v>0</v>
      </c>
      <c r="M324" s="7" t="s">
        <v>648</v>
      </c>
      <c r="N324" s="7" t="s">
        <v>655</v>
      </c>
      <c r="O324" s="7" t="s">
        <v>670</v>
      </c>
      <c r="P324" s="7" t="s">
        <v>704</v>
      </c>
      <c r="Q324" s="7" t="s">
        <v>708</v>
      </c>
      <c r="R324" s="7" t="s">
        <v>720</v>
      </c>
      <c r="S324" s="7" t="s">
        <v>727</v>
      </c>
      <c r="T324" s="7" t="s">
        <v>1750</v>
      </c>
      <c r="U324" s="9">
        <v>80.48</v>
      </c>
      <c r="V324" s="9">
        <v>65.650000000000006</v>
      </c>
      <c r="W324" s="9">
        <v>65.650000000000006</v>
      </c>
      <c r="X324" s="9">
        <v>896.91399999999999</v>
      </c>
      <c r="Y324" s="9">
        <v>1636.75</v>
      </c>
      <c r="Z324" s="9" t="s">
        <v>2081</v>
      </c>
      <c r="AA324" t="s">
        <v>2065</v>
      </c>
      <c r="AB324" s="11">
        <v>0.17599999999999999</v>
      </c>
      <c r="AC324" t="s">
        <v>2065</v>
      </c>
      <c r="AD324" s="13">
        <v>13</v>
      </c>
      <c r="AE324" s="9">
        <v>703.2428000000001</v>
      </c>
      <c r="AF324" s="9">
        <v>1046.24</v>
      </c>
      <c r="AG324" s="9">
        <v>-342.99719999999991</v>
      </c>
      <c r="AH324" s="11">
        <v>-0.48773652570634191</v>
      </c>
      <c r="AI324" s="9">
        <f>SUMIFS(AD324:AD955, R324:R955, S324)</f>
        <v>0</v>
      </c>
      <c r="AJ324" s="11" t="e">
        <f>SUMIFS(AD324:AD955, R324:R955, S324, AD324:AD955, "&gt;" &amp; AE324) / AI324</f>
        <v>#DIV/0!</v>
      </c>
      <c r="AK324" s="7" t="e">
        <f>IF(AJ324&lt;=0.8,"A",IF(Table2[[#This Row],[Cumulative rev]]&lt;=0.95,"B","C"))</f>
        <v>#DIV/0!</v>
      </c>
    </row>
    <row r="325" spans="1:37" x14ac:dyDescent="0.3">
      <c r="A325" t="s">
        <v>338</v>
      </c>
      <c r="B325" s="4">
        <v>45544</v>
      </c>
      <c r="C325" s="4" t="s">
        <v>2122</v>
      </c>
      <c r="D325" s="4" t="s">
        <v>2106</v>
      </c>
      <c r="E325" s="4">
        <v>45573</v>
      </c>
      <c r="F325" t="s">
        <v>2064</v>
      </c>
      <c r="G325" s="4">
        <v>45573</v>
      </c>
      <c r="H325" s="4">
        <f>_xlfn.MINIFS(B325:B956, N325:N956, N325)</f>
        <v>44955</v>
      </c>
      <c r="I325" s="4" t="str">
        <f t="shared" si="10"/>
        <v>Jan-2023</v>
      </c>
      <c r="J325" s="13">
        <f t="shared" si="11"/>
        <v>20</v>
      </c>
      <c r="K325" s="13">
        <v>29</v>
      </c>
      <c r="L325" s="30" t="str">
        <f>IF(Table2[[#This Row],[LeadTimeDays]]&lt;7,"1","0")</f>
        <v>0</v>
      </c>
      <c r="M325" s="7" t="s">
        <v>648</v>
      </c>
      <c r="N325" s="7" t="s">
        <v>655</v>
      </c>
      <c r="O325" s="7" t="s">
        <v>670</v>
      </c>
      <c r="P325" s="7" t="s">
        <v>702</v>
      </c>
      <c r="Q325" s="7" t="s">
        <v>711</v>
      </c>
      <c r="R325" s="7" t="s">
        <v>713</v>
      </c>
      <c r="S325" s="7" t="s">
        <v>727</v>
      </c>
      <c r="T325" s="7" t="s">
        <v>1751</v>
      </c>
      <c r="U325" s="9">
        <v>1010.33</v>
      </c>
      <c r="V325" s="9">
        <v>2492.14</v>
      </c>
      <c r="W325" s="9">
        <v>2492.14</v>
      </c>
      <c r="X325" s="9">
        <v>900.3415</v>
      </c>
      <c r="Y325" s="9">
        <v>1639.0449999999998</v>
      </c>
      <c r="Z325" s="9" t="s">
        <v>2095</v>
      </c>
      <c r="AA325" t="s">
        <v>2065</v>
      </c>
      <c r="AB325" s="11">
        <v>5.0999999999999997E-2</v>
      </c>
      <c r="AC325" t="s">
        <v>2065</v>
      </c>
      <c r="AD325" s="13">
        <v>11</v>
      </c>
      <c r="AE325" s="9">
        <v>26015.449459999996</v>
      </c>
      <c r="AF325" s="9">
        <v>11113.630000000001</v>
      </c>
      <c r="AG325" s="9">
        <v>14901.819459999995</v>
      </c>
      <c r="AH325" s="11">
        <v>0.57280653493656752</v>
      </c>
      <c r="AI325" s="9">
        <f>SUMIFS(AD325:AD956, R325:R956, S325)</f>
        <v>0</v>
      </c>
      <c r="AJ325" s="11" t="e">
        <f>SUMIFS(AD325:AD956, R325:R956, S325, AD325:AD956, "&gt;" &amp; AE325) / AI325</f>
        <v>#DIV/0!</v>
      </c>
      <c r="AK325" s="7" t="e">
        <f>IF(AJ325&lt;=0.8,"A",IF(Table2[[#This Row],[Cumulative rev]]&lt;=0.95,"B","C"))</f>
        <v>#DIV/0!</v>
      </c>
    </row>
    <row r="326" spans="1:37" x14ac:dyDescent="0.3">
      <c r="A326" t="s">
        <v>339</v>
      </c>
      <c r="B326" s="4">
        <v>45053</v>
      </c>
      <c r="C326" s="4" t="s">
        <v>2107</v>
      </c>
      <c r="D326" s="4" t="s">
        <v>2103</v>
      </c>
      <c r="E326" s="4">
        <v>45075</v>
      </c>
      <c r="F326" t="s">
        <v>2064</v>
      </c>
      <c r="G326" s="4">
        <v>45075</v>
      </c>
      <c r="H326" s="4">
        <f>_xlfn.MINIFS(B326:B957, N326:N957, N326)</f>
        <v>44933</v>
      </c>
      <c r="I326" s="4" t="str">
        <f t="shared" si="10"/>
        <v>Jan-2023</v>
      </c>
      <c r="J326" s="13">
        <f t="shared" si="11"/>
        <v>5</v>
      </c>
      <c r="K326" s="13">
        <v>22</v>
      </c>
      <c r="L326" s="30" t="str">
        <f>IF(Table2[[#This Row],[LeadTimeDays]]&lt;7,"1","0")</f>
        <v>0</v>
      </c>
      <c r="M326" s="7" t="s">
        <v>646</v>
      </c>
      <c r="N326" s="7" t="s">
        <v>661</v>
      </c>
      <c r="O326" s="7" t="s">
        <v>687</v>
      </c>
      <c r="P326" s="7" t="s">
        <v>702</v>
      </c>
      <c r="Q326" s="7" t="s">
        <v>710</v>
      </c>
      <c r="R326" s="7" t="s">
        <v>723</v>
      </c>
      <c r="S326" s="7" t="s">
        <v>733</v>
      </c>
      <c r="T326" s="7" t="s">
        <v>1752</v>
      </c>
      <c r="U326" s="9">
        <v>653.86</v>
      </c>
      <c r="V326" s="9">
        <v>931.84</v>
      </c>
      <c r="W326" s="9">
        <v>931.84</v>
      </c>
      <c r="X326" s="9">
        <v>899.66800000000012</v>
      </c>
      <c r="Y326" s="9">
        <v>1634.6812</v>
      </c>
      <c r="Z326" s="9" t="s">
        <v>2092</v>
      </c>
      <c r="AA326" t="s">
        <v>2065</v>
      </c>
      <c r="AB326" s="11">
        <v>0.121</v>
      </c>
      <c r="AC326" t="s">
        <v>2065</v>
      </c>
      <c r="AD326" s="13">
        <v>12</v>
      </c>
      <c r="AE326" s="9">
        <v>9829.0483199999999</v>
      </c>
      <c r="AF326" s="9">
        <v>7846.32</v>
      </c>
      <c r="AG326" s="9">
        <v>1982.7283200000002</v>
      </c>
      <c r="AH326" s="11">
        <v>0.20172129136506273</v>
      </c>
      <c r="AI326" s="9">
        <f>SUMIFS(AD326:AD957, R326:R957, S326)</f>
        <v>0</v>
      </c>
      <c r="AJ326" s="11" t="e">
        <f>SUMIFS(AD326:AD957, R326:R957, S326, AD326:AD957, "&gt;" &amp; AE326) / AI326</f>
        <v>#DIV/0!</v>
      </c>
      <c r="AK326" s="7" t="e">
        <f>IF(AJ326&lt;=0.8,"A",IF(Table2[[#This Row],[Cumulative rev]]&lt;=0.95,"B","C"))</f>
        <v>#DIV/0!</v>
      </c>
    </row>
    <row r="327" spans="1:37" x14ac:dyDescent="0.3">
      <c r="A327" t="s">
        <v>340</v>
      </c>
      <c r="B327" s="4">
        <v>45303</v>
      </c>
      <c r="C327" s="4" t="s">
        <v>2098</v>
      </c>
      <c r="D327" s="4" t="s">
        <v>2080</v>
      </c>
      <c r="E327" s="4">
        <v>45320</v>
      </c>
      <c r="F327" t="s">
        <v>2064</v>
      </c>
      <c r="G327" s="4">
        <v>45320</v>
      </c>
      <c r="H327" s="4">
        <f>_xlfn.MINIFS(B327:B958, N327:N958, N327)</f>
        <v>45048</v>
      </c>
      <c r="I327" s="4" t="str">
        <f t="shared" si="10"/>
        <v>May-2023</v>
      </c>
      <c r="J327" s="13">
        <f t="shared" si="11"/>
        <v>9</v>
      </c>
      <c r="K327" s="13">
        <v>17</v>
      </c>
      <c r="L327" s="30" t="str">
        <f>IF(Table2[[#This Row],[LeadTimeDays]]&lt;7,"1","0")</f>
        <v>0</v>
      </c>
      <c r="M327" s="7" t="s">
        <v>647</v>
      </c>
      <c r="N327" s="7" t="s">
        <v>654</v>
      </c>
      <c r="O327" s="7" t="s">
        <v>696</v>
      </c>
      <c r="P327" s="7" t="s">
        <v>705</v>
      </c>
      <c r="Q327" s="7" t="s">
        <v>711</v>
      </c>
      <c r="R327" s="7" t="s">
        <v>717</v>
      </c>
      <c r="S327" s="7" t="s">
        <v>727</v>
      </c>
      <c r="T327" s="7" t="s">
        <v>1753</v>
      </c>
      <c r="U327" s="9">
        <v>310.02</v>
      </c>
      <c r="V327" s="9">
        <v>619.51</v>
      </c>
      <c r="W327" s="9">
        <v>619.51</v>
      </c>
      <c r="X327" s="9">
        <v>896.99500000000012</v>
      </c>
      <c r="Y327" s="9">
        <v>1636.885</v>
      </c>
      <c r="Z327" s="9" t="s">
        <v>2081</v>
      </c>
      <c r="AA327" t="s">
        <v>2065</v>
      </c>
      <c r="AB327" s="11">
        <v>4.2000000000000003E-2</v>
      </c>
      <c r="AC327" t="s">
        <v>2065</v>
      </c>
      <c r="AD327" s="13">
        <v>4</v>
      </c>
      <c r="AE327" s="9">
        <v>2373.9623200000001</v>
      </c>
      <c r="AF327" s="9">
        <v>1240.08</v>
      </c>
      <c r="AG327" s="9">
        <v>1133.8823200000002</v>
      </c>
      <c r="AH327" s="11">
        <v>0.47763282106347843</v>
      </c>
      <c r="AI327" s="9">
        <f>SUMIFS(AD327:AD958, R327:R958, S327)</f>
        <v>0</v>
      </c>
      <c r="AJ327" s="11" t="e">
        <f>SUMIFS(AD327:AD958, R327:R958, S327, AD327:AD958, "&gt;" &amp; AE327) / AI327</f>
        <v>#DIV/0!</v>
      </c>
      <c r="AK327" s="7" t="e">
        <f>IF(AJ327&lt;=0.8,"A",IF(Table2[[#This Row],[Cumulative rev]]&lt;=0.95,"B","C"))</f>
        <v>#DIV/0!</v>
      </c>
    </row>
    <row r="328" spans="1:37" x14ac:dyDescent="0.3">
      <c r="A328" t="s">
        <v>341</v>
      </c>
      <c r="B328" s="4">
        <v>45087</v>
      </c>
      <c r="C328" s="4" t="s">
        <v>2115</v>
      </c>
      <c r="D328" s="4" t="s">
        <v>2103</v>
      </c>
      <c r="E328" s="4">
        <v>45095</v>
      </c>
      <c r="F328" t="s">
        <v>2064</v>
      </c>
      <c r="G328" s="4">
        <v>45095</v>
      </c>
      <c r="H328" s="4">
        <f>_xlfn.MINIFS(B328:B959, N328:N959, N328)</f>
        <v>44978</v>
      </c>
      <c r="I328" s="4" t="str">
        <f t="shared" si="10"/>
        <v>Feb-2023</v>
      </c>
      <c r="J328" s="13">
        <f t="shared" si="11"/>
        <v>4</v>
      </c>
      <c r="K328" s="13">
        <v>8</v>
      </c>
      <c r="L328" s="30" t="str">
        <f>IF(Table2[[#This Row],[LeadTimeDays]]&lt;7,"1","0")</f>
        <v>0</v>
      </c>
      <c r="M328" s="7" t="s">
        <v>646</v>
      </c>
      <c r="N328" s="7" t="s">
        <v>650</v>
      </c>
      <c r="O328" s="7" t="s">
        <v>678</v>
      </c>
      <c r="P328" s="7" t="s">
        <v>706</v>
      </c>
      <c r="Q328" s="7" t="s">
        <v>711</v>
      </c>
      <c r="R328" s="7" t="s">
        <v>722</v>
      </c>
      <c r="S328" s="7" t="s">
        <v>730</v>
      </c>
      <c r="T328" s="7" t="s">
        <v>1754</v>
      </c>
      <c r="U328" s="9">
        <v>894.23</v>
      </c>
      <c r="V328" s="9">
        <v>1421.55</v>
      </c>
      <c r="W328" s="9">
        <v>1421.55</v>
      </c>
      <c r="X328" s="9">
        <v>900.35800000000006</v>
      </c>
      <c r="Y328" s="9">
        <v>1639.18</v>
      </c>
      <c r="Z328" s="9" t="s">
        <v>2092</v>
      </c>
      <c r="AA328" t="s">
        <v>2065</v>
      </c>
      <c r="AB328" s="11">
        <v>0.109</v>
      </c>
      <c r="AC328" t="s">
        <v>2065</v>
      </c>
      <c r="AD328" s="13">
        <v>3</v>
      </c>
      <c r="AE328" s="9">
        <v>3799.8031499999997</v>
      </c>
      <c r="AF328" s="9">
        <v>2682.69</v>
      </c>
      <c r="AG328" s="9">
        <v>1117.1131499999997</v>
      </c>
      <c r="AH328" s="11">
        <v>0.29399237431549574</v>
      </c>
      <c r="AI328" s="9">
        <f>SUMIFS(AD328:AD959, R328:R959, S328)</f>
        <v>0</v>
      </c>
      <c r="AJ328" s="11" t="e">
        <f>SUMIFS(AD328:AD959, R328:R959, S328, AD328:AD959, "&gt;" &amp; AE328) / AI328</f>
        <v>#DIV/0!</v>
      </c>
      <c r="AK328" s="7" t="e">
        <f>IF(AJ328&lt;=0.8,"A",IF(Table2[[#This Row],[Cumulative rev]]&lt;=0.95,"B","C"))</f>
        <v>#DIV/0!</v>
      </c>
    </row>
    <row r="329" spans="1:37" x14ac:dyDescent="0.3">
      <c r="A329" t="s">
        <v>342</v>
      </c>
      <c r="B329" s="4">
        <v>45796</v>
      </c>
      <c r="C329" s="4" t="s">
        <v>2096</v>
      </c>
      <c r="D329" s="4" t="s">
        <v>2097</v>
      </c>
      <c r="E329" s="4">
        <v>45794</v>
      </c>
      <c r="F329" t="s">
        <v>2066</v>
      </c>
      <c r="G329" s="4">
        <v>45796</v>
      </c>
      <c r="H329" s="4">
        <f>_xlfn.MINIFS(B329:B960, N329:N960, N329)</f>
        <v>44955</v>
      </c>
      <c r="I329" s="4" t="str">
        <f t="shared" si="10"/>
        <v>Jan-2023</v>
      </c>
      <c r="J329" s="13">
        <f t="shared" si="11"/>
        <v>28</v>
      </c>
      <c r="K329" s="13">
        <v>0</v>
      </c>
      <c r="L329" s="30" t="str">
        <f>IF(Table2[[#This Row],[LeadTimeDays]]&lt;7,"1","0")</f>
        <v>1</v>
      </c>
      <c r="M329" s="7" t="s">
        <v>648</v>
      </c>
      <c r="N329" s="7" t="s">
        <v>655</v>
      </c>
      <c r="O329" s="7" t="s">
        <v>670</v>
      </c>
      <c r="P329" s="7" t="s">
        <v>705</v>
      </c>
      <c r="Q329" s="7" t="s">
        <v>710</v>
      </c>
      <c r="R329" s="7" t="s">
        <v>716</v>
      </c>
      <c r="S329" s="7" t="s">
        <v>732</v>
      </c>
      <c r="T329" s="7" t="s">
        <v>1755</v>
      </c>
      <c r="U329" s="9">
        <v>383.77</v>
      </c>
      <c r="V329" s="9">
        <v>952.56</v>
      </c>
      <c r="W329" s="9">
        <v>952.56</v>
      </c>
      <c r="X329" s="9">
        <v>899.74900000000014</v>
      </c>
      <c r="Y329" s="9">
        <v>1641.4749999999999</v>
      </c>
      <c r="Z329" s="9" t="s">
        <v>2092</v>
      </c>
      <c r="AA329" t="s">
        <v>2065</v>
      </c>
      <c r="AB329" s="11">
        <v>0.34599999999999997</v>
      </c>
      <c r="AC329" t="s">
        <v>2067</v>
      </c>
      <c r="AD329" s="13">
        <v>10</v>
      </c>
      <c r="AE329" s="9">
        <v>6229.7423999999992</v>
      </c>
      <c r="AF329" s="9">
        <v>3837.7</v>
      </c>
      <c r="AG329" s="9">
        <v>2392.0423999999994</v>
      </c>
      <c r="AH329" s="11">
        <v>0.38397131797937578</v>
      </c>
      <c r="AI329" s="9">
        <f>SUMIFS(AD329:AD960, R329:R960, S329)</f>
        <v>0</v>
      </c>
      <c r="AJ329" s="11" t="e">
        <f>SUMIFS(AD329:AD960, R329:R960, S329, AD329:AD960, "&gt;" &amp; AE329) / AI329</f>
        <v>#DIV/0!</v>
      </c>
      <c r="AK329" s="7" t="e">
        <f>IF(AJ329&lt;=0.8,"A",IF(Table2[[#This Row],[Cumulative rev]]&lt;=0.95,"B","C"))</f>
        <v>#DIV/0!</v>
      </c>
    </row>
    <row r="330" spans="1:37" x14ac:dyDescent="0.3">
      <c r="A330" t="s">
        <v>343</v>
      </c>
      <c r="B330" s="4">
        <v>45221</v>
      </c>
      <c r="C330" s="4" t="s">
        <v>2125</v>
      </c>
      <c r="D330" s="4" t="s">
        <v>2089</v>
      </c>
      <c r="E330" s="4">
        <v>45246</v>
      </c>
      <c r="F330" t="s">
        <v>2064</v>
      </c>
      <c r="G330" s="4">
        <v>45246</v>
      </c>
      <c r="H330" s="4">
        <f>_xlfn.MINIFS(B330:B961, N330:N961, N330)</f>
        <v>45029</v>
      </c>
      <c r="I330" s="4" t="str">
        <f t="shared" si="10"/>
        <v>Apr-2023</v>
      </c>
      <c r="J330" s="13">
        <f t="shared" si="11"/>
        <v>7</v>
      </c>
      <c r="K330" s="13">
        <v>25</v>
      </c>
      <c r="L330" s="30" t="str">
        <f>IF(Table2[[#This Row],[LeadTimeDays]]&lt;7,"1","0")</f>
        <v>0</v>
      </c>
      <c r="M330" s="7" t="s">
        <v>648</v>
      </c>
      <c r="N330" s="7" t="s">
        <v>653</v>
      </c>
      <c r="O330" s="7" t="s">
        <v>667</v>
      </c>
      <c r="P330" s="7" t="s">
        <v>705</v>
      </c>
      <c r="Q330" s="7" t="s">
        <v>709</v>
      </c>
      <c r="R330" s="7" t="s">
        <v>714</v>
      </c>
      <c r="S330" s="7" t="s">
        <v>731</v>
      </c>
      <c r="T330" s="7" t="s">
        <v>1756</v>
      </c>
      <c r="U330" s="9">
        <v>1373.31</v>
      </c>
      <c r="V330" s="9">
        <v>3154.14</v>
      </c>
      <c r="W330" s="9">
        <v>3154.14</v>
      </c>
      <c r="X330" s="9">
        <v>897.07600000000014</v>
      </c>
      <c r="Y330" s="9">
        <v>1642.8484000000001</v>
      </c>
      <c r="Z330" s="9" t="s">
        <v>2095</v>
      </c>
      <c r="AA330" t="s">
        <v>2065</v>
      </c>
      <c r="AB330" s="11">
        <v>0.2</v>
      </c>
      <c r="AC330" t="s">
        <v>2065</v>
      </c>
      <c r="AD330" s="13">
        <v>11</v>
      </c>
      <c r="AE330" s="9">
        <v>27756.432000000001</v>
      </c>
      <c r="AF330" s="9">
        <v>15106.41</v>
      </c>
      <c r="AG330" s="9">
        <v>12650.022000000001</v>
      </c>
      <c r="AH330" s="11">
        <v>0.45575101295440279</v>
      </c>
      <c r="AI330" s="9">
        <f>SUMIFS(AD330:AD961, R330:R961, S330)</f>
        <v>0</v>
      </c>
      <c r="AJ330" s="11" t="e">
        <f>SUMIFS(AD330:AD961, R330:R961, S330, AD330:AD961, "&gt;" &amp; AE330) / AI330</f>
        <v>#DIV/0!</v>
      </c>
      <c r="AK330" s="7" t="e">
        <f>IF(AJ330&lt;=0.8,"A",IF(Table2[[#This Row],[Cumulative rev]]&lt;=0.95,"B","C"))</f>
        <v>#DIV/0!</v>
      </c>
    </row>
    <row r="331" spans="1:37" x14ac:dyDescent="0.3">
      <c r="A331" t="s">
        <v>344</v>
      </c>
      <c r="B331" s="4">
        <v>45668</v>
      </c>
      <c r="C331" s="4" t="s">
        <v>2099</v>
      </c>
      <c r="D331" s="4" t="s">
        <v>2087</v>
      </c>
      <c r="E331" s="4">
        <v>45680</v>
      </c>
      <c r="F331" t="s">
        <v>2064</v>
      </c>
      <c r="G331" s="4">
        <v>45680</v>
      </c>
      <c r="H331" s="4">
        <f>_xlfn.MINIFS(B331:B962, N331:N962, N331)</f>
        <v>44962</v>
      </c>
      <c r="I331" s="4" t="str">
        <f t="shared" si="10"/>
        <v>Feb-2023</v>
      </c>
      <c r="J331" s="13">
        <f t="shared" si="11"/>
        <v>24</v>
      </c>
      <c r="K331" s="13">
        <v>12</v>
      </c>
      <c r="L331" s="30" t="str">
        <f>IF(Table2[[#This Row],[LeadTimeDays]]&lt;7,"1","0")</f>
        <v>0</v>
      </c>
      <c r="M331" s="7" t="s">
        <v>648</v>
      </c>
      <c r="N331" s="7" t="s">
        <v>1425</v>
      </c>
      <c r="O331" s="7" t="s">
        <v>697</v>
      </c>
      <c r="P331" s="7" t="s">
        <v>704</v>
      </c>
      <c r="Q331" s="7" t="s">
        <v>710</v>
      </c>
      <c r="R331" s="7" t="s">
        <v>722</v>
      </c>
      <c r="S331" s="7" t="s">
        <v>730</v>
      </c>
      <c r="T331" s="7" t="s">
        <v>1757</v>
      </c>
      <c r="U331" s="9">
        <v>100.69</v>
      </c>
      <c r="V331" s="9">
        <v>226.14</v>
      </c>
      <c r="W331" s="9">
        <v>226.14</v>
      </c>
      <c r="X331" s="9">
        <v>894.40300000000002</v>
      </c>
      <c r="Y331" s="9">
        <v>1639.3149999999998</v>
      </c>
      <c r="Z331" s="9" t="s">
        <v>2081</v>
      </c>
      <c r="AA331" t="s">
        <v>2065</v>
      </c>
      <c r="AB331" s="11">
        <v>6.5000000000000002E-2</v>
      </c>
      <c r="AC331" t="s">
        <v>2065</v>
      </c>
      <c r="AD331" s="13">
        <v>12</v>
      </c>
      <c r="AE331" s="9">
        <v>2537.2908000000002</v>
      </c>
      <c r="AF331" s="9">
        <v>1208.28</v>
      </c>
      <c r="AG331" s="9">
        <v>1329.0108000000002</v>
      </c>
      <c r="AH331" s="11">
        <v>0.52379128162999689</v>
      </c>
      <c r="AI331" s="9">
        <f>SUMIFS(AD331:AD962, R331:R962, S331)</f>
        <v>0</v>
      </c>
      <c r="AJ331" s="11" t="e">
        <f>SUMIFS(AD331:AD962, R331:R962, S331, AD331:AD962, "&gt;" &amp; AE331) / AI331</f>
        <v>#DIV/0!</v>
      </c>
      <c r="AK331" s="7" t="e">
        <f>IF(AJ331&lt;=0.8,"A",IF(Table2[[#This Row],[Cumulative rev]]&lt;=0.95,"B","C"))</f>
        <v>#DIV/0!</v>
      </c>
    </row>
    <row r="332" spans="1:37" x14ac:dyDescent="0.3">
      <c r="A332" t="s">
        <v>345</v>
      </c>
      <c r="B332" s="4">
        <v>45914</v>
      </c>
      <c r="C332" s="4" t="s">
        <v>2100</v>
      </c>
      <c r="D332" s="4" t="s">
        <v>2101</v>
      </c>
      <c r="E332" s="4">
        <v>45926</v>
      </c>
      <c r="F332" t="s">
        <v>2064</v>
      </c>
      <c r="G332" s="4">
        <v>45926</v>
      </c>
      <c r="H332" s="4">
        <f>_xlfn.MINIFS(B332:B963, N332:N963, N332)</f>
        <v>44945</v>
      </c>
      <c r="I332" s="4" t="str">
        <f t="shared" si="10"/>
        <v>Jan-2023</v>
      </c>
      <c r="J332" s="13">
        <f t="shared" si="11"/>
        <v>32</v>
      </c>
      <c r="K332" s="13">
        <v>12</v>
      </c>
      <c r="L332" s="30" t="str">
        <f>IF(Table2[[#This Row],[LeadTimeDays]]&lt;7,"1","0")</f>
        <v>0</v>
      </c>
      <c r="M332" s="7" t="s">
        <v>649</v>
      </c>
      <c r="N332" s="7" t="s">
        <v>658</v>
      </c>
      <c r="O332" s="7" t="s">
        <v>683</v>
      </c>
      <c r="P332" s="7" t="s">
        <v>705</v>
      </c>
      <c r="Q332" s="7" t="s">
        <v>711</v>
      </c>
      <c r="R332" s="7" t="s">
        <v>725</v>
      </c>
      <c r="S332" s="7" t="s">
        <v>729</v>
      </c>
      <c r="T332" s="7" t="s">
        <v>1758</v>
      </c>
      <c r="U332" s="9">
        <v>425.15</v>
      </c>
      <c r="V332" s="9">
        <v>885.92</v>
      </c>
      <c r="W332" s="9">
        <v>885.92</v>
      </c>
      <c r="X332" s="9">
        <v>899.83</v>
      </c>
      <c r="Y332" s="9">
        <v>1641.61</v>
      </c>
      <c r="Z332" s="9" t="s">
        <v>2081</v>
      </c>
      <c r="AA332" t="s">
        <v>2065</v>
      </c>
      <c r="AB332" s="11">
        <v>0.23899999999999999</v>
      </c>
      <c r="AC332" t="s">
        <v>2065</v>
      </c>
      <c r="AD332" s="13">
        <v>13</v>
      </c>
      <c r="AE332" s="9">
        <v>8764.4065599999994</v>
      </c>
      <c r="AF332" s="9">
        <v>5526.95</v>
      </c>
      <c r="AG332" s="9">
        <v>3237.4565599999996</v>
      </c>
      <c r="AH332" s="11">
        <v>0.3693868532725848</v>
      </c>
      <c r="AI332" s="9">
        <f>SUMIFS(AD332:AD963, R332:R963, S332)</f>
        <v>0</v>
      </c>
      <c r="AJ332" s="11" t="e">
        <f>SUMIFS(AD332:AD963, R332:R963, S332, AD332:AD963, "&gt;" &amp; AE332) / AI332</f>
        <v>#DIV/0!</v>
      </c>
      <c r="AK332" s="7" t="e">
        <f>IF(AJ332&lt;=0.8,"A",IF(Table2[[#This Row],[Cumulative rev]]&lt;=0.95,"B","C"))</f>
        <v>#DIV/0!</v>
      </c>
    </row>
    <row r="333" spans="1:37" x14ac:dyDescent="0.3">
      <c r="A333" t="s">
        <v>346</v>
      </c>
      <c r="B333" s="4">
        <v>45168</v>
      </c>
      <c r="C333" s="4" t="s">
        <v>2118</v>
      </c>
      <c r="D333" s="4" t="s">
        <v>2117</v>
      </c>
      <c r="E333" s="4">
        <v>45172</v>
      </c>
      <c r="F333" t="s">
        <v>2064</v>
      </c>
      <c r="G333" s="4">
        <v>45172</v>
      </c>
      <c r="H333" s="4">
        <f>_xlfn.MINIFS(B333:B964, N333:N964, N333)</f>
        <v>45048</v>
      </c>
      <c r="I333" s="4" t="str">
        <f t="shared" si="10"/>
        <v>May-2023</v>
      </c>
      <c r="J333" s="13">
        <f t="shared" si="11"/>
        <v>4</v>
      </c>
      <c r="K333" s="13">
        <v>4</v>
      </c>
      <c r="L333" s="30" t="str">
        <f>IF(Table2[[#This Row],[LeadTimeDays]]&lt;7,"1","0")</f>
        <v>1</v>
      </c>
      <c r="M333" s="7" t="s">
        <v>647</v>
      </c>
      <c r="N333" s="7" t="s">
        <v>654</v>
      </c>
      <c r="O333" s="7" t="s">
        <v>680</v>
      </c>
      <c r="P333" s="7" t="s">
        <v>705</v>
      </c>
      <c r="Q333" s="7" t="s">
        <v>709</v>
      </c>
      <c r="R333" s="7" t="s">
        <v>716</v>
      </c>
      <c r="S333" s="7" t="s">
        <v>733</v>
      </c>
      <c r="T333" s="7" t="s">
        <v>1759</v>
      </c>
      <c r="U333" s="9">
        <v>1082.25</v>
      </c>
      <c r="V333" s="9">
        <v>2433.34</v>
      </c>
      <c r="W333" s="9">
        <v>2433.34</v>
      </c>
      <c r="X333" s="9">
        <v>900.93550000000005</v>
      </c>
      <c r="Y333" s="9">
        <v>1642.9258</v>
      </c>
      <c r="Z333" s="9" t="s">
        <v>2095</v>
      </c>
      <c r="AA333" t="s">
        <v>2065</v>
      </c>
      <c r="AB333" s="11">
        <v>0.27</v>
      </c>
      <c r="AC333" t="s">
        <v>2065</v>
      </c>
      <c r="AD333" s="13">
        <v>4</v>
      </c>
      <c r="AE333" s="9">
        <v>7105.3528000000006</v>
      </c>
      <c r="AF333" s="9">
        <v>4329</v>
      </c>
      <c r="AG333" s="9">
        <v>2776.3528000000006</v>
      </c>
      <c r="AH333" s="11">
        <v>0.3907410199251472</v>
      </c>
      <c r="AI333" s="9">
        <f>SUMIFS(AD333:AD964, R333:R964, S333)</f>
        <v>0</v>
      </c>
      <c r="AJ333" s="11" t="e">
        <f>SUMIFS(AD333:AD964, R333:R964, S333, AD333:AD964, "&gt;" &amp; AE333) / AI333</f>
        <v>#DIV/0!</v>
      </c>
      <c r="AK333" s="7" t="e">
        <f>IF(AJ333&lt;=0.8,"A",IF(Table2[[#This Row],[Cumulative rev]]&lt;=0.95,"B","C"))</f>
        <v>#DIV/0!</v>
      </c>
    </row>
    <row r="334" spans="1:37" x14ac:dyDescent="0.3">
      <c r="A334" t="s">
        <v>347</v>
      </c>
      <c r="B334" s="4">
        <v>45245</v>
      </c>
      <c r="C334" s="4" t="s">
        <v>2123</v>
      </c>
      <c r="D334" s="4" t="s">
        <v>2089</v>
      </c>
      <c r="E334" s="4">
        <v>45266</v>
      </c>
      <c r="F334" t="s">
        <v>2064</v>
      </c>
      <c r="G334" s="4">
        <v>45266</v>
      </c>
      <c r="H334" s="4">
        <f>_xlfn.MINIFS(B334:B965, N334:N965, N334)</f>
        <v>44945</v>
      </c>
      <c r="I334" s="4" t="str">
        <f t="shared" si="10"/>
        <v>Jan-2023</v>
      </c>
      <c r="J334" s="13">
        <f t="shared" si="11"/>
        <v>10</v>
      </c>
      <c r="K334" s="13">
        <v>21</v>
      </c>
      <c r="L334" s="30" t="str">
        <f>IF(Table2[[#This Row],[LeadTimeDays]]&lt;7,"1","0")</f>
        <v>0</v>
      </c>
      <c r="M334" s="7" t="s">
        <v>649</v>
      </c>
      <c r="N334" s="7" t="s">
        <v>658</v>
      </c>
      <c r="O334" s="7" t="s">
        <v>693</v>
      </c>
      <c r="P334" s="7" t="s">
        <v>702</v>
      </c>
      <c r="Q334" s="7" t="s">
        <v>711</v>
      </c>
      <c r="R334" s="7" t="s">
        <v>722</v>
      </c>
      <c r="S334" s="7" t="s">
        <v>733</v>
      </c>
      <c r="T334" s="7" t="s">
        <v>1760</v>
      </c>
      <c r="U334" s="9">
        <v>1184.99</v>
      </c>
      <c r="V334" s="9">
        <v>1154.3399999999999</v>
      </c>
      <c r="W334" s="9">
        <v>1154.3399999999999</v>
      </c>
      <c r="X334" s="9">
        <v>900.39100000000008</v>
      </c>
      <c r="Y334" s="9">
        <v>1639.45</v>
      </c>
      <c r="Z334" s="9" t="s">
        <v>2092</v>
      </c>
      <c r="AA334" t="s">
        <v>2065</v>
      </c>
      <c r="AB334" s="11">
        <v>2.8000000000000001E-2</v>
      </c>
      <c r="AC334" t="s">
        <v>2065</v>
      </c>
      <c r="AD334" s="13">
        <v>5</v>
      </c>
      <c r="AE334" s="9">
        <v>5610.0923999999995</v>
      </c>
      <c r="AF334" s="9">
        <v>5924.95</v>
      </c>
      <c r="AG334" s="9">
        <v>-314.85760000000028</v>
      </c>
      <c r="AH334" s="11">
        <v>-5.6123424990290764E-2</v>
      </c>
      <c r="AI334" s="9">
        <f>SUMIFS(AD334:AD965, R334:R965, S334)</f>
        <v>0</v>
      </c>
      <c r="AJ334" s="11" t="e">
        <f>SUMIFS(AD334:AD965, R334:R965, S334, AD334:AD965, "&gt;" &amp; AE334) / AI334</f>
        <v>#DIV/0!</v>
      </c>
      <c r="AK334" s="7" t="e">
        <f>IF(AJ334&lt;=0.8,"A",IF(Table2[[#This Row],[Cumulative rev]]&lt;=0.95,"B","C"))</f>
        <v>#DIV/0!</v>
      </c>
    </row>
    <row r="335" spans="1:37" x14ac:dyDescent="0.3">
      <c r="A335" t="s">
        <v>348</v>
      </c>
      <c r="B335" s="4">
        <v>45774</v>
      </c>
      <c r="C335" s="4" t="s">
        <v>2111</v>
      </c>
      <c r="D335" s="4" t="s">
        <v>2097</v>
      </c>
      <c r="E335" s="4">
        <v>45804</v>
      </c>
      <c r="F335" t="s">
        <v>2064</v>
      </c>
      <c r="G335" s="4">
        <v>45804</v>
      </c>
      <c r="H335" s="4">
        <f>_xlfn.MINIFS(B335:B966, N335:N966, N335)</f>
        <v>45048</v>
      </c>
      <c r="I335" s="4" t="str">
        <f t="shared" si="10"/>
        <v>May-2023</v>
      </c>
      <c r="J335" s="13">
        <f t="shared" si="11"/>
        <v>24</v>
      </c>
      <c r="K335" s="13">
        <v>30</v>
      </c>
      <c r="L335" s="30" t="str">
        <f>IF(Table2[[#This Row],[LeadTimeDays]]&lt;7,"1","0")</f>
        <v>0</v>
      </c>
      <c r="M335" s="7" t="s">
        <v>647</v>
      </c>
      <c r="N335" s="7" t="s">
        <v>654</v>
      </c>
      <c r="O335" s="7" t="s">
        <v>2057</v>
      </c>
      <c r="P335" s="7" t="s">
        <v>706</v>
      </c>
      <c r="Q335" s="7" t="s">
        <v>709</v>
      </c>
      <c r="R335" s="7" t="s">
        <v>722</v>
      </c>
      <c r="S335" s="7" t="s">
        <v>730</v>
      </c>
      <c r="T335" s="7" t="s">
        <v>1761</v>
      </c>
      <c r="U335" s="9">
        <v>481.32</v>
      </c>
      <c r="V335" s="9">
        <v>1135.99</v>
      </c>
      <c r="W335" s="9">
        <v>1135.99</v>
      </c>
      <c r="X335" s="9">
        <v>899.84650000000011</v>
      </c>
      <c r="Y335" s="9">
        <v>1641.6874</v>
      </c>
      <c r="Z335" s="9" t="s">
        <v>2092</v>
      </c>
      <c r="AA335" t="s">
        <v>2065</v>
      </c>
      <c r="AB335" s="11">
        <v>0.14499999999999999</v>
      </c>
      <c r="AC335" t="s">
        <v>2065</v>
      </c>
      <c r="AD335" s="13">
        <v>5</v>
      </c>
      <c r="AE335" s="9">
        <v>4856.35725</v>
      </c>
      <c r="AF335" s="9">
        <v>2406.6</v>
      </c>
      <c r="AG335" s="9">
        <v>2449.7572500000001</v>
      </c>
      <c r="AH335" s="11">
        <v>0.50444337677175621</v>
      </c>
      <c r="AI335" s="9">
        <f>SUMIFS(AD335:AD966, R335:R966, S335)</f>
        <v>0</v>
      </c>
      <c r="AJ335" s="11" t="e">
        <f>SUMIFS(AD335:AD966, R335:R966, S335, AD335:AD966, "&gt;" &amp; AE335) / AI335</f>
        <v>#DIV/0!</v>
      </c>
      <c r="AK335" s="7" t="e">
        <f>IF(AJ335&lt;=0.8,"A",IF(Table2[[#This Row],[Cumulative rev]]&lt;=0.95,"B","C"))</f>
        <v>#DIV/0!</v>
      </c>
    </row>
    <row r="336" spans="1:37" x14ac:dyDescent="0.3">
      <c r="A336" t="s">
        <v>349</v>
      </c>
      <c r="B336" s="4">
        <v>45391</v>
      </c>
      <c r="C336" s="4" t="s">
        <v>2112</v>
      </c>
      <c r="D336" s="4" t="s">
        <v>2094</v>
      </c>
      <c r="E336" s="4">
        <v>45400</v>
      </c>
      <c r="F336" t="s">
        <v>2064</v>
      </c>
      <c r="G336" s="4">
        <v>45400</v>
      </c>
      <c r="H336" s="4">
        <f>_xlfn.MINIFS(B336:B967, N336:N967, N336)</f>
        <v>45019</v>
      </c>
      <c r="I336" s="4" t="str">
        <f t="shared" si="10"/>
        <v>Apr-2023</v>
      </c>
      <c r="J336" s="13">
        <f t="shared" si="11"/>
        <v>13</v>
      </c>
      <c r="K336" s="13">
        <v>9</v>
      </c>
      <c r="L336" s="30" t="str">
        <f>IF(Table2[[#This Row],[LeadTimeDays]]&lt;7,"1","0")</f>
        <v>0</v>
      </c>
      <c r="M336" s="7" t="s">
        <v>649</v>
      </c>
      <c r="N336" s="7" t="s">
        <v>657</v>
      </c>
      <c r="O336" s="7" t="s">
        <v>679</v>
      </c>
      <c r="P336" s="7" t="s">
        <v>704</v>
      </c>
      <c r="Q336" s="7" t="s">
        <v>708</v>
      </c>
      <c r="R336" s="7" t="s">
        <v>718</v>
      </c>
      <c r="S336" s="7" t="s">
        <v>728</v>
      </c>
      <c r="T336" s="7" t="s">
        <v>1762</v>
      </c>
      <c r="U336" s="9">
        <v>1288.8499999999999</v>
      </c>
      <c r="V336" s="9">
        <v>2751.84</v>
      </c>
      <c r="W336" s="9">
        <v>2751.84</v>
      </c>
      <c r="X336" s="9">
        <v>897.23800000000006</v>
      </c>
      <c r="Y336" s="9">
        <v>1643.0032000000001</v>
      </c>
      <c r="Z336" s="9" t="s">
        <v>2095</v>
      </c>
      <c r="AA336" t="s">
        <v>2065</v>
      </c>
      <c r="AB336" s="11">
        <v>0.158</v>
      </c>
      <c r="AC336" t="s">
        <v>2065</v>
      </c>
      <c r="AD336" s="13">
        <v>7</v>
      </c>
      <c r="AE336" s="9">
        <v>16219.34496</v>
      </c>
      <c r="AF336" s="9">
        <v>9021.9499999999989</v>
      </c>
      <c r="AG336" s="9">
        <v>7197.3949600000014</v>
      </c>
      <c r="AH336" s="11">
        <v>0.44375373837538756</v>
      </c>
      <c r="AI336" s="9">
        <f>SUMIFS(AD336:AD967, R336:R967, S336)</f>
        <v>0</v>
      </c>
      <c r="AJ336" s="11" t="e">
        <f>SUMIFS(AD336:AD967, R336:R967, S336, AD336:AD967, "&gt;" &amp; AE336) / AI336</f>
        <v>#DIV/0!</v>
      </c>
      <c r="AK336" s="7" t="e">
        <f>IF(AJ336&lt;=0.8,"A",IF(Table2[[#This Row],[Cumulative rev]]&lt;=0.95,"B","C"))</f>
        <v>#DIV/0!</v>
      </c>
    </row>
    <row r="337" spans="1:37" x14ac:dyDescent="0.3">
      <c r="A337" t="s">
        <v>350</v>
      </c>
      <c r="B337" s="4">
        <v>45484</v>
      </c>
      <c r="C337" s="4" t="s">
        <v>2105</v>
      </c>
      <c r="D337" s="4" t="s">
        <v>2106</v>
      </c>
      <c r="E337" s="4">
        <v>45504</v>
      </c>
      <c r="F337" t="s">
        <v>2064</v>
      </c>
      <c r="G337" s="4">
        <v>45504</v>
      </c>
      <c r="H337" s="4">
        <f>_xlfn.MINIFS(B337:B968, N337:N968, N337)</f>
        <v>44938</v>
      </c>
      <c r="I337" s="4" t="str">
        <f t="shared" si="10"/>
        <v>Jan-2023</v>
      </c>
      <c r="J337" s="13">
        <f t="shared" si="11"/>
        <v>18</v>
      </c>
      <c r="K337" s="13">
        <v>20</v>
      </c>
      <c r="L337" s="30" t="str">
        <f>IF(Table2[[#This Row],[LeadTimeDays]]&lt;7,"1","0")</f>
        <v>0</v>
      </c>
      <c r="M337" s="7" t="s">
        <v>647</v>
      </c>
      <c r="N337" s="7" t="s">
        <v>659</v>
      </c>
      <c r="O337" s="7" t="s">
        <v>676</v>
      </c>
      <c r="P337" s="7" t="s">
        <v>704</v>
      </c>
      <c r="Q337" s="7" t="s">
        <v>708</v>
      </c>
      <c r="R337" s="7" t="s">
        <v>715</v>
      </c>
      <c r="S337" s="7" t="s">
        <v>730</v>
      </c>
      <c r="T337" s="7" t="s">
        <v>1763</v>
      </c>
      <c r="U337" s="9">
        <v>647.26</v>
      </c>
      <c r="V337" s="9">
        <v>1374.72</v>
      </c>
      <c r="W337" s="9">
        <v>1374.72</v>
      </c>
      <c r="X337" s="9">
        <v>894.56500000000005</v>
      </c>
      <c r="Y337" s="9">
        <v>1639.585</v>
      </c>
      <c r="Z337" s="9" t="s">
        <v>2092</v>
      </c>
      <c r="AA337" t="s">
        <v>2065</v>
      </c>
      <c r="AB337" s="11">
        <v>6.6000000000000003E-2</v>
      </c>
      <c r="AC337" t="s">
        <v>2065</v>
      </c>
      <c r="AD337" s="13">
        <v>22</v>
      </c>
      <c r="AE337" s="9">
        <v>28247.74656</v>
      </c>
      <c r="AF337" s="9">
        <v>14239.72</v>
      </c>
      <c r="AG337" s="9">
        <v>14008.02656</v>
      </c>
      <c r="AH337" s="11">
        <v>0.49589890401508901</v>
      </c>
      <c r="AI337" s="9">
        <f>SUMIFS(AD337:AD968, R337:R968, S337)</f>
        <v>0</v>
      </c>
      <c r="AJ337" s="11" t="e">
        <f>SUMIFS(AD337:AD968, R337:R968, S337, AD337:AD968, "&gt;" &amp; AE337) / AI337</f>
        <v>#DIV/0!</v>
      </c>
      <c r="AK337" s="7" t="e">
        <f>IF(AJ337&lt;=0.8,"A",IF(Table2[[#This Row],[Cumulative rev]]&lt;=0.95,"B","C"))</f>
        <v>#DIV/0!</v>
      </c>
    </row>
    <row r="338" spans="1:37" x14ac:dyDescent="0.3">
      <c r="A338" t="s">
        <v>351</v>
      </c>
      <c r="B338" s="4">
        <v>45340</v>
      </c>
      <c r="C338" s="4" t="s">
        <v>2124</v>
      </c>
      <c r="D338" s="4" t="s">
        <v>2080</v>
      </c>
      <c r="E338" s="4">
        <v>45354</v>
      </c>
      <c r="F338" t="s">
        <v>2064</v>
      </c>
      <c r="G338" s="4">
        <v>45354</v>
      </c>
      <c r="H338" s="4">
        <f>_xlfn.MINIFS(B338:B969, N338:N969, N338)</f>
        <v>44955</v>
      </c>
      <c r="I338" s="4" t="str">
        <f t="shared" si="10"/>
        <v>Jan-2023</v>
      </c>
      <c r="J338" s="13">
        <f t="shared" si="11"/>
        <v>13</v>
      </c>
      <c r="K338" s="13">
        <v>14</v>
      </c>
      <c r="L338" s="30" t="str">
        <f>IF(Table2[[#This Row],[LeadTimeDays]]&lt;7,"1","0")</f>
        <v>0</v>
      </c>
      <c r="M338" s="7" t="s">
        <v>648</v>
      </c>
      <c r="N338" s="7" t="s">
        <v>655</v>
      </c>
      <c r="O338" s="7" t="s">
        <v>2057</v>
      </c>
      <c r="P338" s="7" t="s">
        <v>706</v>
      </c>
      <c r="Q338" s="7" t="s">
        <v>710</v>
      </c>
      <c r="R338" s="7" t="s">
        <v>720</v>
      </c>
      <c r="S338" s="7" t="s">
        <v>728</v>
      </c>
      <c r="T338" s="7" t="s">
        <v>1764</v>
      </c>
      <c r="U338" s="9">
        <v>624.23</v>
      </c>
      <c r="V338" s="9">
        <v>1318.37</v>
      </c>
      <c r="W338" s="9">
        <v>1318.37</v>
      </c>
      <c r="X338" s="9">
        <v>891.89200000000005</v>
      </c>
      <c r="Y338" s="9">
        <v>1641.7647999999999</v>
      </c>
      <c r="Z338" s="9" t="s">
        <v>2092</v>
      </c>
      <c r="AA338" t="s">
        <v>2065</v>
      </c>
      <c r="AB338" s="11">
        <v>0.21</v>
      </c>
      <c r="AC338" t="s">
        <v>2065</v>
      </c>
      <c r="AD338" s="13">
        <v>37</v>
      </c>
      <c r="AE338" s="9">
        <v>38535.955099999999</v>
      </c>
      <c r="AF338" s="9">
        <v>23096.510000000002</v>
      </c>
      <c r="AG338" s="9">
        <v>15439.445099999997</v>
      </c>
      <c r="AH338" s="11">
        <v>0.40065038118128793</v>
      </c>
      <c r="AI338" s="9">
        <f>SUMIFS(AD338:AD969, R338:R969, S338)</f>
        <v>0</v>
      </c>
      <c r="AJ338" s="11" t="e">
        <f>SUMIFS(AD338:AD969, R338:R969, S338, AD338:AD969, "&gt;" &amp; AE338) / AI338</f>
        <v>#DIV/0!</v>
      </c>
      <c r="AK338" s="7" t="e">
        <f>IF(AJ338&lt;=0.8,"A",IF(Table2[[#This Row],[Cumulative rev]]&lt;=0.95,"B","C"))</f>
        <v>#DIV/0!</v>
      </c>
    </row>
    <row r="339" spans="1:37" x14ac:dyDescent="0.3">
      <c r="A339" t="s">
        <v>352</v>
      </c>
      <c r="B339" s="4">
        <v>45132</v>
      </c>
      <c r="C339" s="4" t="s">
        <v>2116</v>
      </c>
      <c r="D339" s="4" t="s">
        <v>2117</v>
      </c>
      <c r="E339" s="4">
        <v>45148</v>
      </c>
      <c r="F339" t="s">
        <v>2064</v>
      </c>
      <c r="G339" s="4">
        <v>45148</v>
      </c>
      <c r="H339" s="4">
        <f>_xlfn.MINIFS(B339:B970, N339:N970, N339)</f>
        <v>44968</v>
      </c>
      <c r="I339" s="4" t="str">
        <f t="shared" si="10"/>
        <v>Feb-2023</v>
      </c>
      <c r="J339" s="13">
        <f t="shared" si="11"/>
        <v>6</v>
      </c>
      <c r="K339" s="13">
        <v>16</v>
      </c>
      <c r="L339" s="30" t="str">
        <f>IF(Table2[[#This Row],[LeadTimeDays]]&lt;7,"1","0")</f>
        <v>0</v>
      </c>
      <c r="M339" s="7" t="s">
        <v>646</v>
      </c>
      <c r="N339" s="7" t="s">
        <v>651</v>
      </c>
      <c r="O339" s="7" t="s">
        <v>663</v>
      </c>
      <c r="P339" s="7" t="s">
        <v>701</v>
      </c>
      <c r="Q339" s="7" t="s">
        <v>710</v>
      </c>
      <c r="R339" s="7" t="s">
        <v>714</v>
      </c>
      <c r="S339" s="7" t="s">
        <v>733</v>
      </c>
      <c r="T339" s="7" t="s">
        <v>1765</v>
      </c>
      <c r="U339" s="9">
        <v>506.83</v>
      </c>
      <c r="V339" s="9">
        <v>441.74</v>
      </c>
      <c r="W339" s="9">
        <v>441.74</v>
      </c>
      <c r="X339" s="9">
        <v>888.40059999999994</v>
      </c>
      <c r="Y339" s="9">
        <v>1643.0806</v>
      </c>
      <c r="Z339" s="9" t="s">
        <v>2081</v>
      </c>
      <c r="AA339" t="s">
        <v>2065</v>
      </c>
      <c r="AB339" s="11">
        <v>0.24</v>
      </c>
      <c r="AC339" t="s">
        <v>2065</v>
      </c>
      <c r="AD339" s="13">
        <v>9</v>
      </c>
      <c r="AE339" s="9">
        <v>3021.5016000000001</v>
      </c>
      <c r="AF339" s="9">
        <v>4561.47</v>
      </c>
      <c r="AG339" s="9">
        <v>-1539.9684000000002</v>
      </c>
      <c r="AH339" s="11">
        <v>-0.50966989393618067</v>
      </c>
      <c r="AI339" s="9">
        <f>SUMIFS(AD339:AD970, R339:R970, S339)</f>
        <v>0</v>
      </c>
      <c r="AJ339" s="11" t="e">
        <f>SUMIFS(AD339:AD970, R339:R970, S339, AD339:AD970, "&gt;" &amp; AE339) / AI339</f>
        <v>#DIV/0!</v>
      </c>
      <c r="AK339" s="7" t="e">
        <f>IF(AJ339&lt;=0.8,"A",IF(Table2[[#This Row],[Cumulative rev]]&lt;=0.95,"B","C"))</f>
        <v>#DIV/0!</v>
      </c>
    </row>
    <row r="340" spans="1:37" x14ac:dyDescent="0.3">
      <c r="A340" t="s">
        <v>353</v>
      </c>
      <c r="B340" s="4">
        <v>45121</v>
      </c>
      <c r="C340" s="4" t="s">
        <v>2116</v>
      </c>
      <c r="D340" s="4" t="s">
        <v>2117</v>
      </c>
      <c r="E340" s="4">
        <v>45128</v>
      </c>
      <c r="F340" t="s">
        <v>2064</v>
      </c>
      <c r="G340" s="4">
        <v>45128</v>
      </c>
      <c r="H340" s="4">
        <f>_xlfn.MINIFS(B340:B971, N340:N971, N340)</f>
        <v>44933</v>
      </c>
      <c r="I340" s="4" t="str">
        <f t="shared" si="10"/>
        <v>Jan-2023</v>
      </c>
      <c r="J340" s="13">
        <f t="shared" si="11"/>
        <v>7</v>
      </c>
      <c r="K340" s="13">
        <v>7</v>
      </c>
      <c r="L340" s="30" t="str">
        <f>IF(Table2[[#This Row],[LeadTimeDays]]&lt;7,"1","0")</f>
        <v>0</v>
      </c>
      <c r="M340" s="7" t="s">
        <v>646</v>
      </c>
      <c r="N340" s="7" t="s">
        <v>661</v>
      </c>
      <c r="O340" s="7" t="s">
        <v>687</v>
      </c>
      <c r="P340" s="7" t="s">
        <v>706</v>
      </c>
      <c r="Q340" s="7" t="s">
        <v>709</v>
      </c>
      <c r="R340" s="7" t="s">
        <v>2057</v>
      </c>
      <c r="S340" s="7" t="s">
        <v>732</v>
      </c>
      <c r="T340" s="7" t="s">
        <v>1766</v>
      </c>
      <c r="U340" s="9">
        <v>620.74</v>
      </c>
      <c r="V340" s="9">
        <v>1330.07</v>
      </c>
      <c r="W340" s="9">
        <v>1330.07</v>
      </c>
      <c r="X340" s="9">
        <v>894.64600000000007</v>
      </c>
      <c r="Y340" s="9">
        <v>1644.3964000000001</v>
      </c>
      <c r="Z340" s="9" t="s">
        <v>2092</v>
      </c>
      <c r="AA340" t="s">
        <v>2065</v>
      </c>
      <c r="AB340" s="11">
        <v>0.29899999999999999</v>
      </c>
      <c r="AC340" t="s">
        <v>2065</v>
      </c>
      <c r="AD340" s="13">
        <v>28</v>
      </c>
      <c r="AE340" s="9">
        <v>26106.613960000002</v>
      </c>
      <c r="AF340" s="9">
        <v>17380.72</v>
      </c>
      <c r="AG340" s="9">
        <v>8725.8939600000012</v>
      </c>
      <c r="AH340" s="11">
        <v>0.33424073965967516</v>
      </c>
      <c r="AI340" s="9">
        <f>SUMIFS(AD340:AD971, R340:R971, S340)</f>
        <v>0</v>
      </c>
      <c r="AJ340" s="11" t="e">
        <f>SUMIFS(AD340:AD971, R340:R971, S340, AD340:AD971, "&gt;" &amp; AE340) / AI340</f>
        <v>#DIV/0!</v>
      </c>
      <c r="AK340" s="7" t="e">
        <f>IF(AJ340&lt;=0.8,"A",IF(Table2[[#This Row],[Cumulative rev]]&lt;=0.95,"B","C"))</f>
        <v>#DIV/0!</v>
      </c>
    </row>
    <row r="341" spans="1:37" x14ac:dyDescent="0.3">
      <c r="A341" t="s">
        <v>354</v>
      </c>
      <c r="B341" s="4">
        <v>45131</v>
      </c>
      <c r="C341" s="4" t="s">
        <v>2116</v>
      </c>
      <c r="D341" s="4" t="s">
        <v>2117</v>
      </c>
      <c r="E341" s="4">
        <v>45157</v>
      </c>
      <c r="F341" t="s">
        <v>2064</v>
      </c>
      <c r="G341" s="4">
        <v>45157</v>
      </c>
      <c r="H341" s="4">
        <f>_xlfn.MINIFS(B341:B972, N341:N972, N341)</f>
        <v>44978</v>
      </c>
      <c r="I341" s="4" t="str">
        <f t="shared" si="10"/>
        <v>Feb-2023</v>
      </c>
      <c r="J341" s="13">
        <f t="shared" si="11"/>
        <v>6</v>
      </c>
      <c r="K341" s="13">
        <v>26</v>
      </c>
      <c r="L341" s="30" t="str">
        <f>IF(Table2[[#This Row],[LeadTimeDays]]&lt;7,"1","0")</f>
        <v>0</v>
      </c>
      <c r="M341" s="7" t="s">
        <v>646</v>
      </c>
      <c r="N341" s="7" t="s">
        <v>650</v>
      </c>
      <c r="O341" s="7" t="s">
        <v>664</v>
      </c>
      <c r="P341" s="7" t="s">
        <v>706</v>
      </c>
      <c r="Q341" s="7" t="s">
        <v>710</v>
      </c>
      <c r="R341" s="7" t="s">
        <v>724</v>
      </c>
      <c r="S341" s="7" t="s">
        <v>733</v>
      </c>
      <c r="T341" s="7" t="s">
        <v>1767</v>
      </c>
      <c r="U341" s="9">
        <v>661.45</v>
      </c>
      <c r="V341" s="9">
        <v>1634.86</v>
      </c>
      <c r="W341" s="9">
        <v>1634.86</v>
      </c>
      <c r="X341" s="9">
        <v>891.97300000000007</v>
      </c>
      <c r="Y341" s="9">
        <v>1645.537</v>
      </c>
      <c r="Z341" s="9" t="s">
        <v>2092</v>
      </c>
      <c r="AA341" t="s">
        <v>2065</v>
      </c>
      <c r="AB341" s="11">
        <v>0.56499999999999995</v>
      </c>
      <c r="AC341" t="s">
        <v>2067</v>
      </c>
      <c r="AD341" s="13">
        <v>24</v>
      </c>
      <c r="AE341" s="9">
        <v>17067.938400000003</v>
      </c>
      <c r="AF341" s="9">
        <v>15874.800000000001</v>
      </c>
      <c r="AG341" s="9">
        <v>1193.1384000000016</v>
      </c>
      <c r="AH341" s="11">
        <v>6.9905244092045793E-2</v>
      </c>
      <c r="AI341" s="9">
        <f>SUMIFS(AD341:AD972, R341:R972, S341)</f>
        <v>0</v>
      </c>
      <c r="AJ341" s="11" t="e">
        <f>SUMIFS(AD341:AD972, R341:R972, S341, AD341:AD972, "&gt;" &amp; AE341) / AI341</f>
        <v>#DIV/0!</v>
      </c>
      <c r="AK341" s="7" t="e">
        <f>IF(AJ341&lt;=0.8,"A",IF(Table2[[#This Row],[Cumulative rev]]&lt;=0.95,"B","C"))</f>
        <v>#DIV/0!</v>
      </c>
    </row>
    <row r="342" spans="1:37" x14ac:dyDescent="0.3">
      <c r="A342" t="s">
        <v>355</v>
      </c>
      <c r="B342" s="4">
        <v>45029</v>
      </c>
      <c r="C342" s="4" t="s">
        <v>2102</v>
      </c>
      <c r="D342" s="4" t="s">
        <v>2103</v>
      </c>
      <c r="E342" s="4">
        <v>45027</v>
      </c>
      <c r="F342" t="s">
        <v>2066</v>
      </c>
      <c r="G342" s="4">
        <v>45029</v>
      </c>
      <c r="H342" s="4">
        <f>_xlfn.MINIFS(B342:B973, N342:N973, N342)</f>
        <v>44962</v>
      </c>
      <c r="I342" s="4" t="str">
        <f t="shared" si="10"/>
        <v>Feb-2023</v>
      </c>
      <c r="J342" s="13">
        <f t="shared" si="11"/>
        <v>3</v>
      </c>
      <c r="K342" s="13">
        <v>0</v>
      </c>
      <c r="L342" s="30" t="str">
        <f>IF(Table2[[#This Row],[LeadTimeDays]]&lt;7,"1","0")</f>
        <v>1</v>
      </c>
      <c r="M342" s="7" t="s">
        <v>648</v>
      </c>
      <c r="N342" s="7" t="s">
        <v>1425</v>
      </c>
      <c r="O342" s="7" t="s">
        <v>686</v>
      </c>
      <c r="P342" s="7" t="s">
        <v>702</v>
      </c>
      <c r="Q342" s="7" t="s">
        <v>709</v>
      </c>
      <c r="R342" s="7" t="s">
        <v>715</v>
      </c>
      <c r="S342" s="7" t="s">
        <v>729</v>
      </c>
      <c r="T342" s="7" t="s">
        <v>1768</v>
      </c>
      <c r="U342" s="9">
        <v>32.1</v>
      </c>
      <c r="V342" s="9">
        <v>70.599999999999994</v>
      </c>
      <c r="W342" s="9">
        <v>70.599999999999994</v>
      </c>
      <c r="X342" s="9">
        <v>888.50800000000004</v>
      </c>
      <c r="Y342" s="9">
        <v>1645.8600000000001</v>
      </c>
      <c r="Z342" s="9" t="s">
        <v>2081</v>
      </c>
      <c r="AA342" t="s">
        <v>2065</v>
      </c>
      <c r="AB342" s="11">
        <v>0.28199999999999997</v>
      </c>
      <c r="AC342" t="s">
        <v>2065</v>
      </c>
      <c r="AD342" s="13">
        <v>22</v>
      </c>
      <c r="AE342" s="9">
        <v>1115.1975999999997</v>
      </c>
      <c r="AF342" s="9">
        <v>706.2</v>
      </c>
      <c r="AG342" s="9">
        <v>408.99759999999969</v>
      </c>
      <c r="AH342" s="11">
        <v>0.36674899587301818</v>
      </c>
      <c r="AI342" s="9">
        <f>SUMIFS(AD342:AD973, R342:R973, S342)</f>
        <v>0</v>
      </c>
      <c r="AJ342" s="11" t="e">
        <f>SUMIFS(AD342:AD973, R342:R973, S342, AD342:AD973, "&gt;" &amp; AE342) / AI342</f>
        <v>#DIV/0!</v>
      </c>
      <c r="AK342" s="7" t="e">
        <f>IF(AJ342&lt;=0.8,"A",IF(Table2[[#This Row],[Cumulative rev]]&lt;=0.95,"B","C"))</f>
        <v>#DIV/0!</v>
      </c>
    </row>
    <row r="343" spans="1:37" x14ac:dyDescent="0.3">
      <c r="A343" t="s">
        <v>356</v>
      </c>
      <c r="B343" s="4">
        <v>45594</v>
      </c>
      <c r="C343" s="4" t="s">
        <v>2082</v>
      </c>
      <c r="D343" s="4" t="s">
        <v>2083</v>
      </c>
      <c r="E343" s="4">
        <v>45600</v>
      </c>
      <c r="F343" t="s">
        <v>2064</v>
      </c>
      <c r="G343" s="4">
        <v>45600</v>
      </c>
      <c r="H343" s="4">
        <f>_xlfn.MINIFS(B343:B974, N343:N974, N343)</f>
        <v>44978</v>
      </c>
      <c r="I343" s="4" t="str">
        <f t="shared" si="10"/>
        <v>Feb-2023</v>
      </c>
      <c r="J343" s="13">
        <f t="shared" si="11"/>
        <v>21</v>
      </c>
      <c r="K343" s="13">
        <v>6</v>
      </c>
      <c r="L343" s="30" t="str">
        <f>IF(Table2[[#This Row],[LeadTimeDays]]&lt;7,"1","0")</f>
        <v>1</v>
      </c>
      <c r="M343" s="7" t="s">
        <v>646</v>
      </c>
      <c r="N343" s="7" t="s">
        <v>650</v>
      </c>
      <c r="O343" s="7" t="s">
        <v>664</v>
      </c>
      <c r="P343" s="7" t="s">
        <v>701</v>
      </c>
      <c r="Q343" s="7" t="s">
        <v>710</v>
      </c>
      <c r="R343" s="7" t="s">
        <v>724</v>
      </c>
      <c r="S343" s="7" t="s">
        <v>728</v>
      </c>
      <c r="T343" s="7" t="s">
        <v>1769</v>
      </c>
      <c r="U343" s="9">
        <v>805.81</v>
      </c>
      <c r="V343" s="9">
        <v>1823.04</v>
      </c>
      <c r="W343" s="9">
        <v>1823.04</v>
      </c>
      <c r="X343" s="9">
        <v>894.72700000000009</v>
      </c>
      <c r="Y343" s="9">
        <v>1646.183</v>
      </c>
      <c r="Z343" s="9" t="s">
        <v>2095</v>
      </c>
      <c r="AA343" t="s">
        <v>2065</v>
      </c>
      <c r="AB343" s="11">
        <v>0</v>
      </c>
      <c r="AC343" t="s">
        <v>2065</v>
      </c>
      <c r="AD343" s="13">
        <v>11</v>
      </c>
      <c r="AE343" s="9">
        <v>20053.439999999999</v>
      </c>
      <c r="AF343" s="9">
        <v>8863.91</v>
      </c>
      <c r="AG343" s="9">
        <v>11189.529999999999</v>
      </c>
      <c r="AH343" s="11">
        <v>0.55798556257679477</v>
      </c>
      <c r="AI343" s="9">
        <f>SUMIFS(AD343:AD974, R343:R974, S343)</f>
        <v>0</v>
      </c>
      <c r="AJ343" s="11" t="e">
        <f>SUMIFS(AD343:AD974, R343:R974, S343, AD343:AD974, "&gt;" &amp; AE343) / AI343</f>
        <v>#DIV/0!</v>
      </c>
      <c r="AK343" s="7" t="e">
        <f>IF(AJ343&lt;=0.8,"A",IF(Table2[[#This Row],[Cumulative rev]]&lt;=0.95,"B","C"))</f>
        <v>#DIV/0!</v>
      </c>
    </row>
    <row r="344" spans="1:37" x14ac:dyDescent="0.3">
      <c r="A344" t="s">
        <v>357</v>
      </c>
      <c r="B344" s="4">
        <v>45339</v>
      </c>
      <c r="C344" s="4" t="s">
        <v>2124</v>
      </c>
      <c r="D344" s="4" t="s">
        <v>2080</v>
      </c>
      <c r="E344" s="4">
        <v>45355</v>
      </c>
      <c r="F344" t="s">
        <v>2064</v>
      </c>
      <c r="G344" s="4">
        <v>45355</v>
      </c>
      <c r="H344" s="4">
        <f>_xlfn.MINIFS(B344:B975, N344:N975, N344)</f>
        <v>45048</v>
      </c>
      <c r="I344" s="4" t="str">
        <f t="shared" si="10"/>
        <v>May-2023</v>
      </c>
      <c r="J344" s="13">
        <f t="shared" si="11"/>
        <v>10</v>
      </c>
      <c r="K344" s="13">
        <v>16</v>
      </c>
      <c r="L344" s="30" t="str">
        <f>IF(Table2[[#This Row],[LeadTimeDays]]&lt;7,"1","0")</f>
        <v>0</v>
      </c>
      <c r="M344" s="7" t="s">
        <v>647</v>
      </c>
      <c r="N344" s="7" t="s">
        <v>654</v>
      </c>
      <c r="O344" s="7" t="s">
        <v>680</v>
      </c>
      <c r="P344" s="7" t="s">
        <v>705</v>
      </c>
      <c r="Q344" s="7" t="s">
        <v>709</v>
      </c>
      <c r="R344" s="7" t="s">
        <v>721</v>
      </c>
      <c r="S344" s="7" t="s">
        <v>730</v>
      </c>
      <c r="T344" s="7" t="s">
        <v>1770</v>
      </c>
      <c r="U344" s="9">
        <v>1231.8</v>
      </c>
      <c r="V344" s="9">
        <v>2015.99</v>
      </c>
      <c r="W344" s="9">
        <v>2015.99</v>
      </c>
      <c r="X344" s="9">
        <v>892.05400000000009</v>
      </c>
      <c r="Y344" s="9">
        <v>1645.556</v>
      </c>
      <c r="Z344" s="9" t="s">
        <v>2095</v>
      </c>
      <c r="AA344" t="s">
        <v>2065</v>
      </c>
      <c r="AB344" s="11">
        <v>0.26100000000000001</v>
      </c>
      <c r="AC344" t="s">
        <v>2065</v>
      </c>
      <c r="AD344" s="13">
        <v>6</v>
      </c>
      <c r="AE344" s="9">
        <v>8938.8996600000009</v>
      </c>
      <c r="AF344" s="9">
        <v>7390.7999999999993</v>
      </c>
      <c r="AG344" s="9">
        <v>1548.0996600000017</v>
      </c>
      <c r="AH344" s="11">
        <v>0.17318682599464391</v>
      </c>
      <c r="AI344" s="9">
        <f>SUMIFS(AD344:AD975, R344:R975, S344)</f>
        <v>0</v>
      </c>
      <c r="AJ344" s="11" t="e">
        <f>SUMIFS(AD344:AD975, R344:R975, S344, AD344:AD975, "&gt;" &amp; AE344) / AI344</f>
        <v>#DIV/0!</v>
      </c>
      <c r="AK344" s="7" t="e">
        <f>IF(AJ344&lt;=0.8,"A",IF(Table2[[#This Row],[Cumulative rev]]&lt;=0.95,"B","C"))</f>
        <v>#DIV/0!</v>
      </c>
    </row>
    <row r="345" spans="1:37" x14ac:dyDescent="0.3">
      <c r="A345" t="s">
        <v>358</v>
      </c>
      <c r="B345" s="4">
        <v>45486</v>
      </c>
      <c r="C345" s="4" t="s">
        <v>2105</v>
      </c>
      <c r="D345" s="4" t="s">
        <v>2106</v>
      </c>
      <c r="E345" s="4">
        <v>45485</v>
      </c>
      <c r="F345" t="s">
        <v>2066</v>
      </c>
      <c r="G345" s="4">
        <v>45486</v>
      </c>
      <c r="H345" s="4">
        <f>_xlfn.MINIFS(B345:B976, N345:N976, N345)</f>
        <v>44988</v>
      </c>
      <c r="I345" s="4" t="str">
        <f t="shared" si="10"/>
        <v>Mar-2023</v>
      </c>
      <c r="J345" s="13">
        <f t="shared" si="11"/>
        <v>17</v>
      </c>
      <c r="K345" s="13">
        <v>0</v>
      </c>
      <c r="L345" s="30" t="str">
        <f>IF(Table2[[#This Row],[LeadTimeDays]]&lt;7,"1","0")</f>
        <v>1</v>
      </c>
      <c r="M345" s="7" t="s">
        <v>647</v>
      </c>
      <c r="N345" s="7" t="s">
        <v>652</v>
      </c>
      <c r="O345" s="7" t="s">
        <v>694</v>
      </c>
      <c r="P345" s="7" t="s">
        <v>705</v>
      </c>
      <c r="Q345" s="7" t="s">
        <v>709</v>
      </c>
      <c r="R345" s="7" t="s">
        <v>721</v>
      </c>
      <c r="S345" s="7" t="s">
        <v>729</v>
      </c>
      <c r="T345" s="7" t="s">
        <v>1771</v>
      </c>
      <c r="U345" s="9">
        <v>105.13</v>
      </c>
      <c r="V345" s="9">
        <v>244.13</v>
      </c>
      <c r="W345" s="9">
        <v>244.13</v>
      </c>
      <c r="X345" s="9">
        <v>888.61540000000014</v>
      </c>
      <c r="Y345" s="9">
        <v>1643.2354</v>
      </c>
      <c r="Z345" s="9" t="s">
        <v>2081</v>
      </c>
      <c r="AA345" t="s">
        <v>2065</v>
      </c>
      <c r="AB345" s="11">
        <v>7.0999999999999994E-2</v>
      </c>
      <c r="AC345" t="s">
        <v>2065</v>
      </c>
      <c r="AD345" s="13">
        <v>14</v>
      </c>
      <c r="AE345" s="9">
        <v>3175.1547799999998</v>
      </c>
      <c r="AF345" s="9">
        <v>1471.82</v>
      </c>
      <c r="AG345" s="9">
        <v>1703.3347799999999</v>
      </c>
      <c r="AH345" s="11">
        <v>0.53645724319618837</v>
      </c>
      <c r="AI345" s="9">
        <f>SUMIFS(AD345:AD976, R345:R976, S345)</f>
        <v>0</v>
      </c>
      <c r="AJ345" s="11" t="e">
        <f>SUMIFS(AD345:AD976, R345:R976, S345, AD345:AD976, "&gt;" &amp; AE345) / AI345</f>
        <v>#DIV/0!</v>
      </c>
      <c r="AK345" s="7" t="e">
        <f>IF(AJ345&lt;=0.8,"A",IF(Table2[[#This Row],[Cumulative rev]]&lt;=0.95,"B","C"))</f>
        <v>#DIV/0!</v>
      </c>
    </row>
    <row r="346" spans="1:37" x14ac:dyDescent="0.3">
      <c r="A346" t="s">
        <v>359</v>
      </c>
      <c r="B346" s="4">
        <v>45261</v>
      </c>
      <c r="C346" s="4" t="s">
        <v>2088</v>
      </c>
      <c r="D346" s="4" t="s">
        <v>2089</v>
      </c>
      <c r="E346" s="4">
        <v>45278</v>
      </c>
      <c r="F346" t="s">
        <v>2064</v>
      </c>
      <c r="G346" s="4">
        <v>45278</v>
      </c>
      <c r="H346" s="4">
        <f>_xlfn.MINIFS(B346:B977, N346:N977, N346)</f>
        <v>44988</v>
      </c>
      <c r="I346" s="4" t="str">
        <f t="shared" si="10"/>
        <v>Mar-2023</v>
      </c>
      <c r="J346" s="13">
        <f t="shared" si="11"/>
        <v>9</v>
      </c>
      <c r="K346" s="13">
        <v>17</v>
      </c>
      <c r="L346" s="30" t="str">
        <f>IF(Table2[[#This Row],[LeadTimeDays]]&lt;7,"1","0")</f>
        <v>0</v>
      </c>
      <c r="M346" s="7" t="s">
        <v>647</v>
      </c>
      <c r="N346" s="7" t="s">
        <v>652</v>
      </c>
      <c r="O346" s="7" t="s">
        <v>694</v>
      </c>
      <c r="P346" s="7" t="s">
        <v>705</v>
      </c>
      <c r="Q346" s="7" t="s">
        <v>711</v>
      </c>
      <c r="R346" s="7" t="s">
        <v>725</v>
      </c>
      <c r="S346" s="7" t="s">
        <v>731</v>
      </c>
      <c r="T346" s="7" t="s">
        <v>1772</v>
      </c>
      <c r="U346" s="9">
        <v>1495.79</v>
      </c>
      <c r="V346" s="9">
        <v>2783.12</v>
      </c>
      <c r="W346" s="9">
        <v>2783.12</v>
      </c>
      <c r="X346" s="9">
        <v>894.80800000000011</v>
      </c>
      <c r="Y346" s="9">
        <v>1644.5512000000001</v>
      </c>
      <c r="Z346" s="9" t="s">
        <v>2095</v>
      </c>
      <c r="AA346" t="s">
        <v>2065</v>
      </c>
      <c r="AB346" s="11">
        <v>0.02</v>
      </c>
      <c r="AC346" t="s">
        <v>2065</v>
      </c>
      <c r="AD346" s="13">
        <v>5</v>
      </c>
      <c r="AE346" s="9">
        <v>13637.287999999999</v>
      </c>
      <c r="AF346" s="9">
        <v>7478.95</v>
      </c>
      <c r="AG346" s="9">
        <v>6158.3379999999988</v>
      </c>
      <c r="AH346" s="11">
        <v>0.45158084217331185</v>
      </c>
      <c r="AI346" s="9">
        <f>SUMIFS(AD346:AD977, R346:R977, S346)</f>
        <v>0</v>
      </c>
      <c r="AJ346" s="11" t="e">
        <f>SUMIFS(AD346:AD977, R346:R977, S346, AD346:AD977, "&gt;" &amp; AE346) / AI346</f>
        <v>#DIV/0!</v>
      </c>
      <c r="AK346" s="7" t="e">
        <f>IF(AJ346&lt;=0.8,"A",IF(Table2[[#This Row],[Cumulative rev]]&lt;=0.95,"B","C"))</f>
        <v>#DIV/0!</v>
      </c>
    </row>
    <row r="347" spans="1:37" x14ac:dyDescent="0.3">
      <c r="A347" t="s">
        <v>360</v>
      </c>
      <c r="B347" s="4">
        <v>45498</v>
      </c>
      <c r="C347" s="4" t="s">
        <v>2105</v>
      </c>
      <c r="D347" s="4" t="s">
        <v>2106</v>
      </c>
      <c r="E347" s="4">
        <v>45506</v>
      </c>
      <c r="F347" t="s">
        <v>2064</v>
      </c>
      <c r="G347" s="4">
        <v>45506</v>
      </c>
      <c r="H347" s="4">
        <f>_xlfn.MINIFS(B347:B978, N347:N978, N347)</f>
        <v>45029</v>
      </c>
      <c r="I347" s="4" t="str">
        <f t="shared" si="10"/>
        <v>Apr-2023</v>
      </c>
      <c r="J347" s="13">
        <f t="shared" si="11"/>
        <v>16</v>
      </c>
      <c r="K347" s="13">
        <v>8</v>
      </c>
      <c r="L347" s="30" t="str">
        <f>IF(Table2[[#This Row],[LeadTimeDays]]&lt;7,"1","0")</f>
        <v>0</v>
      </c>
      <c r="M347" s="7" t="s">
        <v>648</v>
      </c>
      <c r="N347" s="7" t="s">
        <v>653</v>
      </c>
      <c r="O347" s="7" t="s">
        <v>681</v>
      </c>
      <c r="P347" s="7" t="s">
        <v>704</v>
      </c>
      <c r="Q347" s="7" t="s">
        <v>711</v>
      </c>
      <c r="R347" s="7" t="s">
        <v>713</v>
      </c>
      <c r="S347" s="7" t="s">
        <v>733</v>
      </c>
      <c r="T347" s="7" t="s">
        <v>1773</v>
      </c>
      <c r="U347" s="9">
        <v>986.81</v>
      </c>
      <c r="V347" s="9">
        <v>2050.31</v>
      </c>
      <c r="W347" s="9">
        <v>2050.31</v>
      </c>
      <c r="X347" s="9">
        <v>892.1350000000001</v>
      </c>
      <c r="Y347" s="9">
        <v>1641.9970000000001</v>
      </c>
      <c r="Z347" s="9" t="s">
        <v>2095</v>
      </c>
      <c r="AA347" t="s">
        <v>2065</v>
      </c>
      <c r="AB347" s="11">
        <v>0.10299999999999999</v>
      </c>
      <c r="AC347" t="s">
        <v>2065</v>
      </c>
      <c r="AD347" s="13">
        <v>43</v>
      </c>
      <c r="AE347" s="9">
        <v>79082.507010000001</v>
      </c>
      <c r="AF347" s="9">
        <v>42432.829999999994</v>
      </c>
      <c r="AG347" s="9">
        <v>36649.677010000007</v>
      </c>
      <c r="AH347" s="11">
        <v>0.46343595310358138</v>
      </c>
      <c r="AI347" s="9">
        <f>SUMIFS(AD347:AD978, R347:R978, S347)</f>
        <v>0</v>
      </c>
      <c r="AJ347" s="11" t="e">
        <f>SUMIFS(AD347:AD978, R347:R978, S347, AD347:AD978, "&gt;" &amp; AE347) / AI347</f>
        <v>#DIV/0!</v>
      </c>
      <c r="AK347" s="7" t="e">
        <f>IF(AJ347&lt;=0.8,"A",IF(Table2[[#This Row],[Cumulative rev]]&lt;=0.95,"B","C"))</f>
        <v>#DIV/0!</v>
      </c>
    </row>
    <row r="348" spans="1:37" x14ac:dyDescent="0.3">
      <c r="A348" t="s">
        <v>361</v>
      </c>
      <c r="B348" s="4">
        <v>45050</v>
      </c>
      <c r="C348" s="4" t="s">
        <v>2107</v>
      </c>
      <c r="D348" s="4" t="s">
        <v>2103</v>
      </c>
      <c r="E348" s="4">
        <v>45062</v>
      </c>
      <c r="F348" t="s">
        <v>2064</v>
      </c>
      <c r="G348" s="4">
        <v>45062</v>
      </c>
      <c r="H348" s="4">
        <f>_xlfn.MINIFS(B348:B979, N348:N979, N348)</f>
        <v>44968</v>
      </c>
      <c r="I348" s="4" t="str">
        <f t="shared" si="10"/>
        <v>Feb-2023</v>
      </c>
      <c r="J348" s="13">
        <f t="shared" si="11"/>
        <v>3</v>
      </c>
      <c r="K348" s="13">
        <v>12</v>
      </c>
      <c r="L348" s="30" t="str">
        <f>IF(Table2[[#This Row],[LeadTimeDays]]&lt;7,"1","0")</f>
        <v>0</v>
      </c>
      <c r="M348" s="7" t="s">
        <v>646</v>
      </c>
      <c r="N348" s="7" t="s">
        <v>651</v>
      </c>
      <c r="O348" s="7" t="s">
        <v>669</v>
      </c>
      <c r="P348" s="7" t="s">
        <v>705</v>
      </c>
      <c r="Q348" s="7" t="s">
        <v>709</v>
      </c>
      <c r="R348" s="7" t="s">
        <v>713</v>
      </c>
      <c r="S348" s="7" t="s">
        <v>730</v>
      </c>
      <c r="T348" s="7" t="s">
        <v>1774</v>
      </c>
      <c r="U348" s="9">
        <v>77.739999999999995</v>
      </c>
      <c r="V348" s="9">
        <v>147.12</v>
      </c>
      <c r="W348" s="9">
        <v>147.12</v>
      </c>
      <c r="X348" s="9">
        <v>888.72280000000001</v>
      </c>
      <c r="Y348" s="9">
        <v>1635.3268</v>
      </c>
      <c r="Z348" s="9" t="s">
        <v>2081</v>
      </c>
      <c r="AA348" t="s">
        <v>2065</v>
      </c>
      <c r="AB348" s="11">
        <v>0</v>
      </c>
      <c r="AC348" t="s">
        <v>2065</v>
      </c>
      <c r="AD348" s="13">
        <v>15</v>
      </c>
      <c r="AE348" s="9">
        <v>2206.8000000000002</v>
      </c>
      <c r="AF348" s="9">
        <v>1166.0999999999999</v>
      </c>
      <c r="AG348" s="9">
        <v>1040.7000000000003</v>
      </c>
      <c r="AH348" s="11">
        <v>0.47158781946710177</v>
      </c>
      <c r="AI348" s="9">
        <f>SUMIFS(AD348:AD979, R348:R979, S348)</f>
        <v>0</v>
      </c>
      <c r="AJ348" s="11" t="e">
        <f>SUMIFS(AD348:AD979, R348:R979, S348, AD348:AD979, "&gt;" &amp; AE348) / AI348</f>
        <v>#DIV/0!</v>
      </c>
      <c r="AK348" s="7" t="e">
        <f>IF(AJ348&lt;=0.8,"A",IF(Table2[[#This Row],[Cumulative rev]]&lt;=0.95,"B","C"))</f>
        <v>#DIV/0!</v>
      </c>
    </row>
    <row r="349" spans="1:37" x14ac:dyDescent="0.3">
      <c r="A349" t="s">
        <v>362</v>
      </c>
      <c r="B349" s="4">
        <v>45281</v>
      </c>
      <c r="C349" s="4" t="s">
        <v>2088</v>
      </c>
      <c r="D349" s="4" t="s">
        <v>2089</v>
      </c>
      <c r="E349" s="4">
        <v>45297</v>
      </c>
      <c r="F349" t="s">
        <v>2064</v>
      </c>
      <c r="G349" s="4">
        <v>45297</v>
      </c>
      <c r="H349" s="4">
        <f>_xlfn.MINIFS(B349:B980, N349:N980, N349)</f>
        <v>44968</v>
      </c>
      <c r="I349" s="4" t="str">
        <f t="shared" si="10"/>
        <v>Feb-2023</v>
      </c>
      <c r="J349" s="13">
        <f t="shared" si="11"/>
        <v>11</v>
      </c>
      <c r="K349" s="13">
        <v>16</v>
      </c>
      <c r="L349" s="30" t="str">
        <f>IF(Table2[[#This Row],[LeadTimeDays]]&lt;7,"1","0")</f>
        <v>0</v>
      </c>
      <c r="M349" s="7" t="s">
        <v>646</v>
      </c>
      <c r="N349" s="7" t="s">
        <v>651</v>
      </c>
      <c r="O349" s="7" t="s">
        <v>2057</v>
      </c>
      <c r="P349" s="7" t="s">
        <v>701</v>
      </c>
      <c r="Q349" s="7" t="s">
        <v>709</v>
      </c>
      <c r="R349" s="7" t="s">
        <v>723</v>
      </c>
      <c r="S349" s="7" t="s">
        <v>727</v>
      </c>
      <c r="T349" s="7" t="s">
        <v>1775</v>
      </c>
      <c r="U349" s="9">
        <v>932.61</v>
      </c>
      <c r="V349" s="9">
        <v>1982.98</v>
      </c>
      <c r="W349" s="9">
        <v>1982.98</v>
      </c>
      <c r="X349" s="9">
        <v>894.88900000000001</v>
      </c>
      <c r="Y349" s="9">
        <v>1639.1415999999999</v>
      </c>
      <c r="Z349" s="9" t="s">
        <v>2095</v>
      </c>
      <c r="AA349" t="s">
        <v>2065</v>
      </c>
      <c r="AB349" s="11">
        <v>0.14399999999999999</v>
      </c>
      <c r="AC349" t="s">
        <v>2065</v>
      </c>
      <c r="AD349" s="13">
        <v>16</v>
      </c>
      <c r="AE349" s="9">
        <v>27158.894079999998</v>
      </c>
      <c r="AF349" s="9">
        <v>14921.76</v>
      </c>
      <c r="AG349" s="9">
        <v>12237.134079999998</v>
      </c>
      <c r="AH349" s="11">
        <v>0.45057556629345635</v>
      </c>
      <c r="AI349" s="9">
        <f>SUMIFS(AD349:AD980, R349:R980, S349)</f>
        <v>0</v>
      </c>
      <c r="AJ349" s="11" t="e">
        <f>SUMIFS(AD349:AD980, R349:R980, S349, AD349:AD980, "&gt;" &amp; AE349) / AI349</f>
        <v>#DIV/0!</v>
      </c>
      <c r="AK349" s="7" t="e">
        <f>IF(AJ349&lt;=0.8,"A",IF(Table2[[#This Row],[Cumulative rev]]&lt;=0.95,"B","C"))</f>
        <v>#DIV/0!</v>
      </c>
    </row>
    <row r="350" spans="1:37" x14ac:dyDescent="0.3">
      <c r="A350" t="s">
        <v>363</v>
      </c>
      <c r="B350" s="4">
        <v>45825</v>
      </c>
      <c r="C350" s="4" t="s">
        <v>2108</v>
      </c>
      <c r="D350" s="4" t="s">
        <v>2097</v>
      </c>
      <c r="E350" s="4">
        <v>45843</v>
      </c>
      <c r="F350" t="s">
        <v>2064</v>
      </c>
      <c r="G350" s="4">
        <v>45843</v>
      </c>
      <c r="H350" s="4">
        <f>_xlfn.MINIFS(B350:B981, N350:N981, N350)</f>
        <v>45048</v>
      </c>
      <c r="I350" s="4" t="str">
        <f t="shared" si="10"/>
        <v>May-2023</v>
      </c>
      <c r="J350" s="13">
        <f t="shared" si="11"/>
        <v>26</v>
      </c>
      <c r="K350" s="13">
        <v>18</v>
      </c>
      <c r="L350" s="30" t="str">
        <f>IF(Table2[[#This Row],[LeadTimeDays]]&lt;7,"1","0")</f>
        <v>0</v>
      </c>
      <c r="M350" s="7" t="s">
        <v>647</v>
      </c>
      <c r="N350" s="7" t="s">
        <v>654</v>
      </c>
      <c r="O350" s="7" t="s">
        <v>680</v>
      </c>
      <c r="P350" s="7" t="s">
        <v>704</v>
      </c>
      <c r="Q350" s="7" t="s">
        <v>709</v>
      </c>
      <c r="R350" s="7" t="s">
        <v>716</v>
      </c>
      <c r="S350" s="7" t="s">
        <v>731</v>
      </c>
      <c r="T350" s="7" t="s">
        <v>1776</v>
      </c>
      <c r="U350" s="9">
        <v>982.93</v>
      </c>
      <c r="V350" s="9">
        <v>2299.3000000000002</v>
      </c>
      <c r="W350" s="9">
        <v>2299.3000000000002</v>
      </c>
      <c r="X350" s="9">
        <v>892.21600000000001</v>
      </c>
      <c r="Y350" s="9">
        <v>1631.7364000000002</v>
      </c>
      <c r="Z350" s="9" t="s">
        <v>2095</v>
      </c>
      <c r="AA350" t="s">
        <v>2065</v>
      </c>
      <c r="AB350" s="11">
        <v>0.113</v>
      </c>
      <c r="AC350" t="s">
        <v>2065</v>
      </c>
      <c r="AD350" s="13">
        <v>6</v>
      </c>
      <c r="AE350" s="9">
        <v>12236.874600000001</v>
      </c>
      <c r="AF350" s="9">
        <v>5897.58</v>
      </c>
      <c r="AG350" s="9">
        <v>6339.2946000000011</v>
      </c>
      <c r="AH350" s="11">
        <v>0.51804850562087157</v>
      </c>
      <c r="AI350" s="9">
        <f>SUMIFS(AD350:AD981, R350:R981, S350)</f>
        <v>0</v>
      </c>
      <c r="AJ350" s="11" t="e">
        <f>SUMIFS(AD350:AD981, R350:R981, S350, AD350:AD981, "&gt;" &amp; AE350) / AI350</f>
        <v>#DIV/0!</v>
      </c>
      <c r="AK350" s="7" t="e">
        <f>IF(AJ350&lt;=0.8,"A",IF(Table2[[#This Row],[Cumulative rev]]&lt;=0.95,"B","C"))</f>
        <v>#DIV/0!</v>
      </c>
    </row>
    <row r="351" spans="1:37" x14ac:dyDescent="0.3">
      <c r="A351" t="s">
        <v>364</v>
      </c>
      <c r="B351" s="4">
        <v>44980</v>
      </c>
      <c r="C351" s="4" t="s">
        <v>2084</v>
      </c>
      <c r="D351" s="4" t="s">
        <v>2085</v>
      </c>
      <c r="E351" s="4">
        <v>44993</v>
      </c>
      <c r="F351" t="s">
        <v>2064</v>
      </c>
      <c r="G351" s="4">
        <v>44993</v>
      </c>
      <c r="H351" s="4">
        <f>_xlfn.MINIFS(B351:B982, N351:N982, N351)</f>
        <v>44945</v>
      </c>
      <c r="I351" s="4" t="str">
        <f t="shared" si="10"/>
        <v>Jan-2023</v>
      </c>
      <c r="J351" s="13">
        <f t="shared" si="11"/>
        <v>2</v>
      </c>
      <c r="K351" s="13">
        <v>13</v>
      </c>
      <c r="L351" s="30" t="str">
        <f>IF(Table2[[#This Row],[LeadTimeDays]]&lt;7,"1","0")</f>
        <v>0</v>
      </c>
      <c r="M351" s="7" t="s">
        <v>649</v>
      </c>
      <c r="N351" s="7" t="s">
        <v>658</v>
      </c>
      <c r="O351" s="7" t="s">
        <v>693</v>
      </c>
      <c r="P351" s="7" t="s">
        <v>705</v>
      </c>
      <c r="Q351" s="7" t="s">
        <v>711</v>
      </c>
      <c r="R351" s="7" t="s">
        <v>712</v>
      </c>
      <c r="S351" s="7" t="s">
        <v>728</v>
      </c>
      <c r="T351" s="7" t="s">
        <v>1777</v>
      </c>
      <c r="U351" s="9">
        <v>307.37</v>
      </c>
      <c r="V351" s="9">
        <v>462.61</v>
      </c>
      <c r="W351" s="9">
        <v>462.61</v>
      </c>
      <c r="X351" s="9">
        <v>888.8302000000001</v>
      </c>
      <c r="Y351" s="9">
        <v>1627.7062000000001</v>
      </c>
      <c r="Z351" s="9" t="s">
        <v>2081</v>
      </c>
      <c r="AA351" t="s">
        <v>2065</v>
      </c>
      <c r="AB351" s="11">
        <v>0.188</v>
      </c>
      <c r="AC351" t="s">
        <v>2065</v>
      </c>
      <c r="AD351" s="13">
        <v>11</v>
      </c>
      <c r="AE351" s="9">
        <v>4132.0325200000007</v>
      </c>
      <c r="AF351" s="9">
        <v>3381.07</v>
      </c>
      <c r="AG351" s="9">
        <v>750.9625200000005</v>
      </c>
      <c r="AH351" s="11">
        <v>0.18174167709599739</v>
      </c>
      <c r="AI351" s="9">
        <f>SUMIFS(AD351:AD982, R351:R982, S351)</f>
        <v>0</v>
      </c>
      <c r="AJ351" s="11" t="e">
        <f>SUMIFS(AD351:AD982, R351:R982, S351, AD351:AD982, "&gt;" &amp; AE351) / AI351</f>
        <v>#DIV/0!</v>
      </c>
      <c r="AK351" s="7" t="e">
        <f>IF(AJ351&lt;=0.8,"A",IF(Table2[[#This Row],[Cumulative rev]]&lt;=0.95,"B","C"))</f>
        <v>#DIV/0!</v>
      </c>
    </row>
    <row r="352" spans="1:37" x14ac:dyDescent="0.3">
      <c r="A352" t="s">
        <v>365</v>
      </c>
      <c r="B352" s="4">
        <v>45262</v>
      </c>
      <c r="C352" s="4" t="s">
        <v>2088</v>
      </c>
      <c r="D352" s="4" t="s">
        <v>2089</v>
      </c>
      <c r="E352" s="4">
        <v>45276</v>
      </c>
      <c r="F352" t="s">
        <v>2064</v>
      </c>
      <c r="G352" s="4">
        <v>45276</v>
      </c>
      <c r="H352" s="4">
        <f>_xlfn.MINIFS(B352:B983, N352:N983, N352)</f>
        <v>44952</v>
      </c>
      <c r="I352" s="4" t="str">
        <f t="shared" si="10"/>
        <v>Jan-2023</v>
      </c>
      <c r="J352" s="13">
        <f t="shared" si="11"/>
        <v>11</v>
      </c>
      <c r="K352" s="13">
        <v>14</v>
      </c>
      <c r="L352" s="30" t="str">
        <f>IF(Table2[[#This Row],[LeadTimeDays]]&lt;7,"1","0")</f>
        <v>0</v>
      </c>
      <c r="M352" s="7" t="s">
        <v>649</v>
      </c>
      <c r="N352" s="7" t="s">
        <v>656</v>
      </c>
      <c r="O352" s="7" t="s">
        <v>698</v>
      </c>
      <c r="P352" s="7" t="s">
        <v>702</v>
      </c>
      <c r="Q352" s="7" t="s">
        <v>711</v>
      </c>
      <c r="R352" s="7" t="s">
        <v>725</v>
      </c>
      <c r="S352" s="7" t="s">
        <v>732</v>
      </c>
      <c r="T352" s="7" t="s">
        <v>1778</v>
      </c>
      <c r="U352" s="9">
        <v>879.08</v>
      </c>
      <c r="V352" s="9">
        <v>1093.3900000000001</v>
      </c>
      <c r="W352" s="9">
        <v>1093.3900000000001</v>
      </c>
      <c r="X352" s="9">
        <v>894.97</v>
      </c>
      <c r="Y352" s="9">
        <v>1629.3960000000002</v>
      </c>
      <c r="Z352" s="9" t="s">
        <v>2092</v>
      </c>
      <c r="AA352" t="s">
        <v>2065</v>
      </c>
      <c r="AB352" s="11">
        <v>0.113</v>
      </c>
      <c r="AC352" t="s">
        <v>2065</v>
      </c>
      <c r="AD352" s="13">
        <v>17</v>
      </c>
      <c r="AE352" s="9">
        <v>16487.22781</v>
      </c>
      <c r="AF352" s="9">
        <v>14944.36</v>
      </c>
      <c r="AG352" s="9">
        <v>1542.8678099999997</v>
      </c>
      <c r="AH352" s="11">
        <v>9.3579577341935186E-2</v>
      </c>
      <c r="AI352" s="9">
        <f>SUMIFS(AD352:AD983, R352:R983, S352)</f>
        <v>0</v>
      </c>
      <c r="AJ352" s="11" t="e">
        <f>SUMIFS(AD352:AD983, R352:R983, S352, AD352:AD983, "&gt;" &amp; AE352) / AI352</f>
        <v>#DIV/0!</v>
      </c>
      <c r="AK352" s="7" t="e">
        <f>IF(AJ352&lt;=0.8,"A",IF(Table2[[#This Row],[Cumulative rev]]&lt;=0.95,"B","C"))</f>
        <v>#DIV/0!</v>
      </c>
    </row>
    <row r="353" spans="1:37" x14ac:dyDescent="0.3">
      <c r="A353" t="s">
        <v>366</v>
      </c>
      <c r="B353" s="4">
        <v>45121</v>
      </c>
      <c r="C353" s="4" t="s">
        <v>2116</v>
      </c>
      <c r="D353" s="4" t="s">
        <v>2117</v>
      </c>
      <c r="E353" s="4">
        <v>45121</v>
      </c>
      <c r="F353" t="s">
        <v>2064</v>
      </c>
      <c r="G353" s="4">
        <v>45121</v>
      </c>
      <c r="H353" s="4">
        <f>_xlfn.MINIFS(B353:B984, N353:N984, N353)</f>
        <v>44968</v>
      </c>
      <c r="I353" s="4" t="str">
        <f t="shared" si="10"/>
        <v>Feb-2023</v>
      </c>
      <c r="J353" s="13">
        <f t="shared" si="11"/>
        <v>6</v>
      </c>
      <c r="K353" s="13">
        <v>0</v>
      </c>
      <c r="L353" s="30" t="str">
        <f>IF(Table2[[#This Row],[LeadTimeDays]]&lt;7,"1","0")</f>
        <v>1</v>
      </c>
      <c r="M353" s="7" t="s">
        <v>646</v>
      </c>
      <c r="N353" s="7" t="s">
        <v>651</v>
      </c>
      <c r="O353" s="7" t="s">
        <v>665</v>
      </c>
      <c r="P353" s="7" t="s">
        <v>702</v>
      </c>
      <c r="Q353" s="7" t="s">
        <v>707</v>
      </c>
      <c r="R353" s="7" t="s">
        <v>714</v>
      </c>
      <c r="S353" s="7" t="s">
        <v>733</v>
      </c>
      <c r="T353" s="7" t="s">
        <v>1779</v>
      </c>
      <c r="U353" s="9">
        <v>956.38</v>
      </c>
      <c r="V353" s="9">
        <v>1454.22</v>
      </c>
      <c r="W353" s="9">
        <v>1454.22</v>
      </c>
      <c r="X353" s="9">
        <v>892.29700000000003</v>
      </c>
      <c r="Y353" s="9">
        <v>1631.9608000000003</v>
      </c>
      <c r="Z353" s="9" t="s">
        <v>2092</v>
      </c>
      <c r="AA353" t="s">
        <v>2065</v>
      </c>
      <c r="AB353" s="11">
        <v>3.9E-2</v>
      </c>
      <c r="AC353" t="s">
        <v>2065</v>
      </c>
      <c r="AD353" s="13">
        <v>19</v>
      </c>
      <c r="AE353" s="9">
        <v>26552.60298</v>
      </c>
      <c r="AF353" s="9">
        <v>18171.22</v>
      </c>
      <c r="AG353" s="9">
        <v>8381.3829799999985</v>
      </c>
      <c r="AH353" s="11">
        <v>0.31565202802576603</v>
      </c>
      <c r="AI353" s="9">
        <f>SUMIFS(AD353:AD984, R353:R984, S353)</f>
        <v>0</v>
      </c>
      <c r="AJ353" s="11" t="e">
        <f>SUMIFS(AD353:AD984, R353:R984, S353, AD353:AD984, "&gt;" &amp; AE353) / AI353</f>
        <v>#DIV/0!</v>
      </c>
      <c r="AK353" s="7" t="e">
        <f>IF(AJ353&lt;=0.8,"A",IF(Table2[[#This Row],[Cumulative rev]]&lt;=0.95,"B","C"))</f>
        <v>#DIV/0!</v>
      </c>
    </row>
    <row r="354" spans="1:37" x14ac:dyDescent="0.3">
      <c r="A354" t="s">
        <v>367</v>
      </c>
      <c r="B354" s="4">
        <v>45512</v>
      </c>
      <c r="C354" s="4" t="s">
        <v>2113</v>
      </c>
      <c r="D354" s="4" t="s">
        <v>2106</v>
      </c>
      <c r="E354" s="4">
        <v>45524</v>
      </c>
      <c r="F354" t="s">
        <v>2064</v>
      </c>
      <c r="G354" s="4">
        <v>45524</v>
      </c>
      <c r="H354" s="4">
        <f>_xlfn.MINIFS(B354:B985, N354:N985, N354)</f>
        <v>44988</v>
      </c>
      <c r="I354" s="4" t="str">
        <f t="shared" si="10"/>
        <v>Mar-2023</v>
      </c>
      <c r="J354" s="13">
        <f t="shared" si="11"/>
        <v>18</v>
      </c>
      <c r="K354" s="13">
        <v>12</v>
      </c>
      <c r="L354" s="30" t="str">
        <f>IF(Table2[[#This Row],[LeadTimeDays]]&lt;7,"1","0")</f>
        <v>0</v>
      </c>
      <c r="M354" s="7" t="s">
        <v>647</v>
      </c>
      <c r="N354" s="7" t="s">
        <v>652</v>
      </c>
      <c r="O354" s="7" t="s">
        <v>666</v>
      </c>
      <c r="P354" s="7" t="s">
        <v>705</v>
      </c>
      <c r="Q354" s="7" t="s">
        <v>707</v>
      </c>
      <c r="R354" s="7" t="s">
        <v>722</v>
      </c>
      <c r="S354" s="7" t="s">
        <v>729</v>
      </c>
      <c r="T354" s="7" t="s">
        <v>1780</v>
      </c>
      <c r="U354" s="9">
        <v>1233.3599999999999</v>
      </c>
      <c r="V354" s="9">
        <v>2120.4</v>
      </c>
      <c r="W354" s="9">
        <v>2120.4</v>
      </c>
      <c r="X354" s="9">
        <v>888.93760000000009</v>
      </c>
      <c r="Y354" s="9">
        <v>1635.7756000000002</v>
      </c>
      <c r="Z354" s="9" t="s">
        <v>2095</v>
      </c>
      <c r="AA354" t="s">
        <v>2065</v>
      </c>
      <c r="AB354" s="11">
        <v>0.17899999999999999</v>
      </c>
      <c r="AC354" t="s">
        <v>2065</v>
      </c>
      <c r="AD354" s="13">
        <v>20</v>
      </c>
      <c r="AE354" s="9">
        <v>34816.968000000001</v>
      </c>
      <c r="AF354" s="9">
        <v>24667.199999999997</v>
      </c>
      <c r="AG354" s="9">
        <v>10149.768000000004</v>
      </c>
      <c r="AH354" s="11">
        <v>0.29151785991244278</v>
      </c>
      <c r="AI354" s="9">
        <f>SUMIFS(AD354:AD985, R354:R985, S354)</f>
        <v>0</v>
      </c>
      <c r="AJ354" s="11" t="e">
        <f>SUMIFS(AD354:AD985, R354:R985, S354, AD354:AD985, "&gt;" &amp; AE354) / AI354</f>
        <v>#DIV/0!</v>
      </c>
      <c r="AK354" s="7" t="e">
        <f>IF(AJ354&lt;=0.8,"A",IF(Table2[[#This Row],[Cumulative rev]]&lt;=0.95,"B","C"))</f>
        <v>#DIV/0!</v>
      </c>
    </row>
    <row r="355" spans="1:37" x14ac:dyDescent="0.3">
      <c r="A355" t="s">
        <v>368</v>
      </c>
      <c r="B355" s="4">
        <v>45603</v>
      </c>
      <c r="C355" s="4" t="s">
        <v>2110</v>
      </c>
      <c r="D355" s="4" t="s">
        <v>2083</v>
      </c>
      <c r="E355" s="4">
        <v>45622</v>
      </c>
      <c r="F355" t="s">
        <v>2064</v>
      </c>
      <c r="G355" s="4">
        <v>45622</v>
      </c>
      <c r="H355" s="4">
        <f>_xlfn.MINIFS(B355:B986, N355:N986, N355)</f>
        <v>44955</v>
      </c>
      <c r="I355" s="4" t="str">
        <f t="shared" si="10"/>
        <v>Jan-2023</v>
      </c>
      <c r="J355" s="13">
        <f t="shared" si="11"/>
        <v>22</v>
      </c>
      <c r="K355" s="13">
        <v>19</v>
      </c>
      <c r="L355" s="30" t="str">
        <f>IF(Table2[[#This Row],[LeadTimeDays]]&lt;7,"1","0")</f>
        <v>0</v>
      </c>
      <c r="M355" s="7" t="s">
        <v>648</v>
      </c>
      <c r="N355" s="7" t="s">
        <v>655</v>
      </c>
      <c r="O355" s="7" t="s">
        <v>1426</v>
      </c>
      <c r="P355" s="7" t="s">
        <v>703</v>
      </c>
      <c r="Q355" s="7" t="s">
        <v>710</v>
      </c>
      <c r="R355" s="7" t="s">
        <v>713</v>
      </c>
      <c r="S355" s="7" t="s">
        <v>728</v>
      </c>
      <c r="T355" s="7" t="s">
        <v>1781</v>
      </c>
      <c r="U355" s="9">
        <v>55.35</v>
      </c>
      <c r="V355" s="9">
        <v>128.68</v>
      </c>
      <c r="W355" s="9">
        <v>128.68</v>
      </c>
      <c r="X355" s="9">
        <v>885.39340000000016</v>
      </c>
      <c r="Y355" s="9">
        <v>1629.4954000000002</v>
      </c>
      <c r="Z355" s="9" t="s">
        <v>2081</v>
      </c>
      <c r="AA355" t="s">
        <v>2065</v>
      </c>
      <c r="AB355" s="11">
        <v>0.128</v>
      </c>
      <c r="AC355" t="s">
        <v>2065</v>
      </c>
      <c r="AD355" s="13">
        <v>10</v>
      </c>
      <c r="AE355" s="9">
        <v>1122.0896000000002</v>
      </c>
      <c r="AF355" s="9">
        <v>553.5</v>
      </c>
      <c r="AG355" s="9">
        <v>568.58960000000025</v>
      </c>
      <c r="AH355" s="11">
        <v>0.50672388372550647</v>
      </c>
      <c r="AI355" s="9">
        <f>SUMIFS(AD355:AD986, R355:R986, S355)</f>
        <v>0</v>
      </c>
      <c r="AJ355" s="11" t="e">
        <f>SUMIFS(AD355:AD986, R355:R986, S355, AD355:AD986, "&gt;" &amp; AE355) / AI355</f>
        <v>#DIV/0!</v>
      </c>
      <c r="AK355" s="7" t="e">
        <f>IF(AJ355&lt;=0.8,"A",IF(Table2[[#This Row],[Cumulative rev]]&lt;=0.95,"B","C"))</f>
        <v>#DIV/0!</v>
      </c>
    </row>
    <row r="356" spans="1:37" x14ac:dyDescent="0.3">
      <c r="A356" t="s">
        <v>369</v>
      </c>
      <c r="B356" s="4">
        <v>45292</v>
      </c>
      <c r="C356" s="4" t="s">
        <v>2098</v>
      </c>
      <c r="D356" s="4" t="s">
        <v>2080</v>
      </c>
      <c r="E356" s="4">
        <v>45318</v>
      </c>
      <c r="F356" t="s">
        <v>2064</v>
      </c>
      <c r="G356" s="4">
        <v>45318</v>
      </c>
      <c r="H356" s="4">
        <f>_xlfn.MINIFS(B356:B987, N356:N987, N356)</f>
        <v>44945</v>
      </c>
      <c r="I356" s="4" t="str">
        <f t="shared" si="10"/>
        <v>Jan-2023</v>
      </c>
      <c r="J356" s="13">
        <f t="shared" si="11"/>
        <v>12</v>
      </c>
      <c r="K356" s="13">
        <v>26</v>
      </c>
      <c r="L356" s="30" t="str">
        <f>IF(Table2[[#This Row],[LeadTimeDays]]&lt;7,"1","0")</f>
        <v>0</v>
      </c>
      <c r="M356" s="7" t="s">
        <v>649</v>
      </c>
      <c r="N356" s="7" t="s">
        <v>658</v>
      </c>
      <c r="O356" s="7" t="s">
        <v>693</v>
      </c>
      <c r="P356" s="7" t="s">
        <v>702</v>
      </c>
      <c r="Q356" s="7" t="s">
        <v>710</v>
      </c>
      <c r="R356" s="7" t="s">
        <v>726</v>
      </c>
      <c r="S356" s="7" t="s">
        <v>733</v>
      </c>
      <c r="T356" s="7" t="s">
        <v>1782</v>
      </c>
      <c r="U356" s="9">
        <v>657.45</v>
      </c>
      <c r="V356" s="9">
        <v>1325.96</v>
      </c>
      <c r="W356" s="9">
        <v>1325.96</v>
      </c>
      <c r="X356" s="9">
        <v>892.37800000000004</v>
      </c>
      <c r="Y356" s="9">
        <v>1632.1852000000001</v>
      </c>
      <c r="Z356" s="9" t="s">
        <v>2092</v>
      </c>
      <c r="AA356" t="s">
        <v>2065</v>
      </c>
      <c r="AB356" s="11">
        <v>0.16700000000000001</v>
      </c>
      <c r="AC356" t="s">
        <v>2065</v>
      </c>
      <c r="AD356" s="13">
        <v>21</v>
      </c>
      <c r="AE356" s="9">
        <v>23195.01828</v>
      </c>
      <c r="AF356" s="9">
        <v>13806.45</v>
      </c>
      <c r="AG356" s="9">
        <v>9388.5682799999995</v>
      </c>
      <c r="AH356" s="11">
        <v>0.40476658249048808</v>
      </c>
      <c r="AI356" s="9">
        <f>SUMIFS(AD356:AD987, R356:R987, S356)</f>
        <v>0</v>
      </c>
      <c r="AJ356" s="11" t="e">
        <f>SUMIFS(AD356:AD987, R356:R987, S356, AD356:AD987, "&gt;" &amp; AE356) / AI356</f>
        <v>#DIV/0!</v>
      </c>
      <c r="AK356" s="7" t="e">
        <f>IF(AJ356&lt;=0.8,"A",IF(Table2[[#This Row],[Cumulative rev]]&lt;=0.95,"B","C"))</f>
        <v>#DIV/0!</v>
      </c>
    </row>
    <row r="357" spans="1:37" x14ac:dyDescent="0.3">
      <c r="A357" t="s">
        <v>370</v>
      </c>
      <c r="B357" s="4">
        <v>45883</v>
      </c>
      <c r="C357" s="4" t="s">
        <v>2121</v>
      </c>
      <c r="D357" s="4" t="s">
        <v>2101</v>
      </c>
      <c r="E357" s="4">
        <v>45911</v>
      </c>
      <c r="F357" t="s">
        <v>2064</v>
      </c>
      <c r="G357" s="4">
        <v>45911</v>
      </c>
      <c r="H357" s="4">
        <f>_xlfn.MINIFS(B357:B988, N357:N988, N357)</f>
        <v>44955</v>
      </c>
      <c r="I357" s="4" t="str">
        <f t="shared" si="10"/>
        <v>Jan-2023</v>
      </c>
      <c r="J357" s="13">
        <f t="shared" si="11"/>
        <v>31</v>
      </c>
      <c r="K357" s="13">
        <v>28</v>
      </c>
      <c r="L357" s="30" t="str">
        <f>IF(Table2[[#This Row],[LeadTimeDays]]&lt;7,"1","0")</f>
        <v>0</v>
      </c>
      <c r="M357" s="7" t="s">
        <v>648</v>
      </c>
      <c r="N357" s="7" t="s">
        <v>655</v>
      </c>
      <c r="O357" s="7" t="s">
        <v>670</v>
      </c>
      <c r="P357" s="7" t="s">
        <v>703</v>
      </c>
      <c r="Q357" s="7" t="s">
        <v>711</v>
      </c>
      <c r="R357" s="7" t="s">
        <v>721</v>
      </c>
      <c r="S357" s="7" t="s">
        <v>728</v>
      </c>
      <c r="T357" s="7" t="s">
        <v>1783</v>
      </c>
      <c r="U357" s="9">
        <v>1203.02</v>
      </c>
      <c r="V357" s="9">
        <v>2439.33</v>
      </c>
      <c r="W357" s="9">
        <v>2439.33</v>
      </c>
      <c r="X357" s="9">
        <v>889.04500000000007</v>
      </c>
      <c r="Y357" s="9">
        <v>1636</v>
      </c>
      <c r="Z357" s="9" t="s">
        <v>2095</v>
      </c>
      <c r="AA357" t="s">
        <v>2065</v>
      </c>
      <c r="AB357" s="11">
        <v>0</v>
      </c>
      <c r="AC357" t="s">
        <v>2065</v>
      </c>
      <c r="AD357" s="13">
        <v>18</v>
      </c>
      <c r="AE357" s="9">
        <v>43907.94</v>
      </c>
      <c r="AF357" s="9">
        <v>21654.36</v>
      </c>
      <c r="AG357" s="9">
        <v>22253.58</v>
      </c>
      <c r="AH357" s="11">
        <v>0.50682359500354612</v>
      </c>
      <c r="AI357" s="9">
        <f>SUMIFS(AD357:AD988, R357:R988, S357)</f>
        <v>0</v>
      </c>
      <c r="AJ357" s="11" t="e">
        <f>SUMIFS(AD357:AD988, R357:R988, S357, AD357:AD988, "&gt;" &amp; AE357) / AI357</f>
        <v>#DIV/0!</v>
      </c>
      <c r="AK357" s="7" t="e">
        <f>IF(AJ357&lt;=0.8,"A",IF(Table2[[#This Row],[Cumulative rev]]&lt;=0.95,"B","C"))</f>
        <v>#DIV/0!</v>
      </c>
    </row>
    <row r="358" spans="1:37" x14ac:dyDescent="0.3">
      <c r="A358" t="s">
        <v>371</v>
      </c>
      <c r="B358" s="4">
        <v>45385</v>
      </c>
      <c r="C358" s="4" t="s">
        <v>2112</v>
      </c>
      <c r="D358" s="4" t="s">
        <v>2094</v>
      </c>
      <c r="E358" s="4">
        <v>45403</v>
      </c>
      <c r="F358" t="s">
        <v>2064</v>
      </c>
      <c r="G358" s="4">
        <v>45403</v>
      </c>
      <c r="H358" s="4">
        <f>_xlfn.MINIFS(B358:B989, N358:N989, N358)</f>
        <v>44955</v>
      </c>
      <c r="I358" s="4" t="str">
        <f t="shared" si="10"/>
        <v>Jan-2023</v>
      </c>
      <c r="J358" s="13">
        <f t="shared" si="11"/>
        <v>15</v>
      </c>
      <c r="K358" s="13">
        <v>18</v>
      </c>
      <c r="L358" s="30" t="str">
        <f>IF(Table2[[#This Row],[LeadTimeDays]]&lt;7,"1","0")</f>
        <v>0</v>
      </c>
      <c r="M358" s="7" t="s">
        <v>648</v>
      </c>
      <c r="N358" s="7" t="s">
        <v>655</v>
      </c>
      <c r="O358" s="7" t="s">
        <v>672</v>
      </c>
      <c r="P358" s="7" t="s">
        <v>705</v>
      </c>
      <c r="Q358" s="7" t="s">
        <v>710</v>
      </c>
      <c r="R358" s="7" t="s">
        <v>717</v>
      </c>
      <c r="S358" s="7" t="s">
        <v>729</v>
      </c>
      <c r="T358" s="7" t="s">
        <v>1784</v>
      </c>
      <c r="U358" s="9">
        <v>1176.69</v>
      </c>
      <c r="V358" s="9">
        <v>2201.54</v>
      </c>
      <c r="W358" s="9">
        <v>2201.54</v>
      </c>
      <c r="X358" s="9">
        <v>885.50080000000003</v>
      </c>
      <c r="Y358" s="9">
        <v>1629.5948000000001</v>
      </c>
      <c r="Z358" s="9" t="s">
        <v>2095</v>
      </c>
      <c r="AA358" t="s">
        <v>2065</v>
      </c>
      <c r="AB358" s="11">
        <v>0.17</v>
      </c>
      <c r="AC358" t="s">
        <v>2065</v>
      </c>
      <c r="AD358" s="13">
        <v>27</v>
      </c>
      <c r="AE358" s="9">
        <v>49336.511399999996</v>
      </c>
      <c r="AF358" s="9">
        <v>31770.63</v>
      </c>
      <c r="AG358" s="9">
        <v>17565.881399999995</v>
      </c>
      <c r="AH358" s="11">
        <v>0.35604222717701106</v>
      </c>
      <c r="AI358" s="9">
        <f>SUMIFS(AD358:AD989, R358:R989, S358)</f>
        <v>0</v>
      </c>
      <c r="AJ358" s="11" t="e">
        <f>SUMIFS(AD358:AD989, R358:R989, S358, AD358:AD989, "&gt;" &amp; AE358) / AI358</f>
        <v>#DIV/0!</v>
      </c>
      <c r="AK358" s="7" t="e">
        <f>IF(AJ358&lt;=0.8,"A",IF(Table2[[#This Row],[Cumulative rev]]&lt;=0.95,"B","C"))</f>
        <v>#DIV/0!</v>
      </c>
    </row>
    <row r="359" spans="1:37" x14ac:dyDescent="0.3">
      <c r="A359" t="s">
        <v>372</v>
      </c>
      <c r="B359" s="4">
        <v>45621</v>
      </c>
      <c r="C359" s="4" t="s">
        <v>2110</v>
      </c>
      <c r="D359" s="4" t="s">
        <v>2083</v>
      </c>
      <c r="E359" s="4">
        <v>45633</v>
      </c>
      <c r="F359" t="s">
        <v>2064</v>
      </c>
      <c r="G359" s="4">
        <v>45633</v>
      </c>
      <c r="H359" s="4">
        <f>_xlfn.MINIFS(B359:B990, N359:N990, N359)</f>
        <v>44938</v>
      </c>
      <c r="I359" s="4" t="str">
        <f t="shared" si="10"/>
        <v>Jan-2023</v>
      </c>
      <c r="J359" s="13">
        <f t="shared" si="11"/>
        <v>23</v>
      </c>
      <c r="K359" s="13">
        <v>12</v>
      </c>
      <c r="L359" s="30" t="str">
        <f>IF(Table2[[#This Row],[LeadTimeDays]]&lt;7,"1","0")</f>
        <v>0</v>
      </c>
      <c r="M359" s="7" t="s">
        <v>647</v>
      </c>
      <c r="N359" s="7" t="s">
        <v>659</v>
      </c>
      <c r="O359" s="7" t="s">
        <v>685</v>
      </c>
      <c r="P359" s="7" t="s">
        <v>701</v>
      </c>
      <c r="Q359" s="7" t="s">
        <v>710</v>
      </c>
      <c r="R359" s="7" t="s">
        <v>720</v>
      </c>
      <c r="S359" s="7" t="s">
        <v>733</v>
      </c>
      <c r="T359" s="7" t="s">
        <v>1785</v>
      </c>
      <c r="U359" s="9">
        <v>769.9</v>
      </c>
      <c r="V359" s="9">
        <v>814.36</v>
      </c>
      <c r="W359" s="9">
        <v>814.36</v>
      </c>
      <c r="X359" s="9">
        <v>881.95660000000009</v>
      </c>
      <c r="Y359" s="9">
        <v>1626.3146000000002</v>
      </c>
      <c r="Z359" s="9" t="s">
        <v>2081</v>
      </c>
      <c r="AA359" t="s">
        <v>2065</v>
      </c>
      <c r="AB359" s="11">
        <v>0</v>
      </c>
      <c r="AC359" t="s">
        <v>2065</v>
      </c>
      <c r="AD359" s="13">
        <v>5</v>
      </c>
      <c r="AE359" s="9">
        <v>4071.8</v>
      </c>
      <c r="AF359" s="9">
        <v>3849.5</v>
      </c>
      <c r="AG359" s="9">
        <v>222.30000000000018</v>
      </c>
      <c r="AH359" s="11">
        <v>5.4595019401738831E-2</v>
      </c>
      <c r="AI359" s="9">
        <f>SUMIFS(AD359:AD990, R359:R990, S359)</f>
        <v>0</v>
      </c>
      <c r="AJ359" s="11" t="e">
        <f>SUMIFS(AD359:AD990, R359:R990, S359, AD359:AD990, "&gt;" &amp; AE359) / AI359</f>
        <v>#DIV/0!</v>
      </c>
      <c r="AK359" s="7" t="e">
        <f>IF(AJ359&lt;=0.8,"A",IF(Table2[[#This Row],[Cumulative rev]]&lt;=0.95,"B","C"))</f>
        <v>#DIV/0!</v>
      </c>
    </row>
    <row r="360" spans="1:37" x14ac:dyDescent="0.3">
      <c r="A360" t="s">
        <v>373</v>
      </c>
      <c r="B360" s="4">
        <v>45309</v>
      </c>
      <c r="C360" s="4" t="s">
        <v>2098</v>
      </c>
      <c r="D360" s="4" t="s">
        <v>2080</v>
      </c>
      <c r="E360" s="4">
        <v>45325</v>
      </c>
      <c r="F360" t="s">
        <v>2064</v>
      </c>
      <c r="G360" s="4">
        <v>45325</v>
      </c>
      <c r="H360" s="4">
        <f>_xlfn.MINIFS(B360:B991, N360:N991, N360)</f>
        <v>44933</v>
      </c>
      <c r="I360" s="4" t="str">
        <f t="shared" si="10"/>
        <v>Jan-2023</v>
      </c>
      <c r="J360" s="13">
        <f t="shared" si="11"/>
        <v>13</v>
      </c>
      <c r="K360" s="13">
        <v>16</v>
      </c>
      <c r="L360" s="30" t="str">
        <f>IF(Table2[[#This Row],[LeadTimeDays]]&lt;7,"1","0")</f>
        <v>0</v>
      </c>
      <c r="M360" s="7" t="s">
        <v>646</v>
      </c>
      <c r="N360" s="7" t="s">
        <v>661</v>
      </c>
      <c r="O360" s="7" t="s">
        <v>695</v>
      </c>
      <c r="P360" s="7" t="s">
        <v>703</v>
      </c>
      <c r="Q360" s="7" t="s">
        <v>710</v>
      </c>
      <c r="R360" s="7" t="s">
        <v>716</v>
      </c>
      <c r="S360" s="7" t="s">
        <v>728</v>
      </c>
      <c r="T360" s="7" t="s">
        <v>1786</v>
      </c>
      <c r="U360" s="9">
        <v>666.23</v>
      </c>
      <c r="V360" s="9">
        <v>1382.91</v>
      </c>
      <c r="W360" s="9">
        <v>1382.91</v>
      </c>
      <c r="X360" s="9">
        <v>889.15240000000006</v>
      </c>
      <c r="Y360" s="9">
        <v>1628.0044</v>
      </c>
      <c r="Z360" s="9" t="s">
        <v>2092</v>
      </c>
      <c r="AA360" t="s">
        <v>2065</v>
      </c>
      <c r="AB360" s="11">
        <v>0.17599999999999999</v>
      </c>
      <c r="AC360" t="s">
        <v>2065</v>
      </c>
      <c r="AD360" s="13">
        <v>13</v>
      </c>
      <c r="AE360" s="9">
        <v>14813.731920000002</v>
      </c>
      <c r="AF360" s="9">
        <v>8660.99</v>
      </c>
      <c r="AG360" s="9">
        <v>6152.7419200000022</v>
      </c>
      <c r="AH360" s="11">
        <v>0.41534043907553048</v>
      </c>
      <c r="AI360" s="9">
        <f>SUMIFS(AD360:AD991, R360:R991, S360)</f>
        <v>0</v>
      </c>
      <c r="AJ360" s="11" t="e">
        <f>SUMIFS(AD360:AD991, R360:R991, S360, AD360:AD991, "&gt;" &amp; AE360) / AI360</f>
        <v>#DIV/0!</v>
      </c>
      <c r="AK360" s="7" t="e">
        <f>IF(AJ360&lt;=0.8,"A",IF(Table2[[#This Row],[Cumulative rev]]&lt;=0.95,"B","C"))</f>
        <v>#DIV/0!</v>
      </c>
    </row>
    <row r="361" spans="1:37" x14ac:dyDescent="0.3">
      <c r="A361" t="s">
        <v>374</v>
      </c>
      <c r="B361" s="4">
        <v>45466</v>
      </c>
      <c r="C361" s="4" t="s">
        <v>2109</v>
      </c>
      <c r="D361" s="4" t="s">
        <v>2094</v>
      </c>
      <c r="E361" s="4">
        <v>45468</v>
      </c>
      <c r="F361" t="s">
        <v>2064</v>
      </c>
      <c r="G361" s="4">
        <v>45468</v>
      </c>
      <c r="H361" s="4">
        <f>_xlfn.MINIFS(B361:B992, N361:N992, N361)</f>
        <v>44945</v>
      </c>
      <c r="I361" s="4" t="str">
        <f t="shared" si="10"/>
        <v>Jan-2023</v>
      </c>
      <c r="J361" s="13">
        <f t="shared" si="11"/>
        <v>18</v>
      </c>
      <c r="K361" s="13">
        <v>2</v>
      </c>
      <c r="L361" s="30" t="str">
        <f>IF(Table2[[#This Row],[LeadTimeDays]]&lt;7,"1","0")</f>
        <v>1</v>
      </c>
      <c r="M361" s="7" t="s">
        <v>649</v>
      </c>
      <c r="N361" s="7" t="s">
        <v>658</v>
      </c>
      <c r="O361" s="7" t="s">
        <v>674</v>
      </c>
      <c r="P361" s="7" t="s">
        <v>705</v>
      </c>
      <c r="Q361" s="7" t="s">
        <v>709</v>
      </c>
      <c r="R361" s="7" t="s">
        <v>716</v>
      </c>
      <c r="S361" s="7" t="s">
        <v>733</v>
      </c>
      <c r="T361" s="7" t="s">
        <v>1787</v>
      </c>
      <c r="U361" s="9">
        <v>951.44</v>
      </c>
      <c r="V361" s="9">
        <v>1646.43</v>
      </c>
      <c r="W361" s="9">
        <v>1646.43</v>
      </c>
      <c r="X361" s="9">
        <v>885.60820000000012</v>
      </c>
      <c r="Y361" s="9">
        <v>1629.6942000000001</v>
      </c>
      <c r="Z361" s="9" t="s">
        <v>2095</v>
      </c>
      <c r="AA361" t="s">
        <v>2065</v>
      </c>
      <c r="AB361" s="11">
        <v>0.11</v>
      </c>
      <c r="AC361" t="s">
        <v>2065</v>
      </c>
      <c r="AD361" s="13">
        <v>24</v>
      </c>
      <c r="AE361" s="9">
        <v>35167.7448</v>
      </c>
      <c r="AF361" s="9">
        <v>22834.560000000001</v>
      </c>
      <c r="AG361" s="9">
        <v>12333.184799999999</v>
      </c>
      <c r="AH361" s="11">
        <v>0.35069592520473475</v>
      </c>
      <c r="AI361" s="9">
        <f>SUMIFS(AD361:AD992, R361:R992, S361)</f>
        <v>0</v>
      </c>
      <c r="AJ361" s="11" t="e">
        <f>SUMIFS(AD361:AD992, R361:R992, S361, AD361:AD992, "&gt;" &amp; AE361) / AI361</f>
        <v>#DIV/0!</v>
      </c>
      <c r="AK361" s="7" t="e">
        <f>IF(AJ361&lt;=0.8,"A",IF(Table2[[#This Row],[Cumulative rev]]&lt;=0.95,"B","C"))</f>
        <v>#DIV/0!</v>
      </c>
    </row>
    <row r="362" spans="1:37" x14ac:dyDescent="0.3">
      <c r="A362" t="s">
        <v>375</v>
      </c>
      <c r="B362" s="4">
        <v>45833</v>
      </c>
      <c r="C362" s="4" t="s">
        <v>2108</v>
      </c>
      <c r="D362" s="4" t="s">
        <v>2097</v>
      </c>
      <c r="E362" s="4">
        <v>45848</v>
      </c>
      <c r="F362" t="s">
        <v>2064</v>
      </c>
      <c r="G362" s="4">
        <v>45848</v>
      </c>
      <c r="H362" s="4">
        <f>_xlfn.MINIFS(B362:B993, N362:N993, N362)</f>
        <v>44945</v>
      </c>
      <c r="I362" s="4" t="str">
        <f t="shared" si="10"/>
        <v>Jan-2023</v>
      </c>
      <c r="J362" s="13">
        <f t="shared" si="11"/>
        <v>30</v>
      </c>
      <c r="K362" s="13">
        <v>15</v>
      </c>
      <c r="L362" s="30" t="str">
        <f>IF(Table2[[#This Row],[LeadTimeDays]]&lt;7,"1","0")</f>
        <v>0</v>
      </c>
      <c r="M362" s="7" t="s">
        <v>649</v>
      </c>
      <c r="N362" s="7" t="s">
        <v>658</v>
      </c>
      <c r="O362" s="7" t="s">
        <v>674</v>
      </c>
      <c r="P362" s="7" t="s">
        <v>703</v>
      </c>
      <c r="Q362" s="7" t="s">
        <v>709</v>
      </c>
      <c r="R362" s="7" t="s">
        <v>726</v>
      </c>
      <c r="S362" s="7" t="s">
        <v>730</v>
      </c>
      <c r="T362" s="7" t="s">
        <v>1788</v>
      </c>
      <c r="U362" s="9">
        <v>546.83000000000004</v>
      </c>
      <c r="V362" s="9">
        <v>400.84</v>
      </c>
      <c r="W362" s="9">
        <v>400.84</v>
      </c>
      <c r="X362" s="9">
        <v>882.06400000000008</v>
      </c>
      <c r="Y362" s="9">
        <v>1626.4140000000002</v>
      </c>
      <c r="Z362" s="9" t="s">
        <v>2081</v>
      </c>
      <c r="AA362" t="s">
        <v>2065</v>
      </c>
      <c r="AB362" s="11">
        <v>7.8E-2</v>
      </c>
      <c r="AC362" t="s">
        <v>2065</v>
      </c>
      <c r="AD362" s="13">
        <v>13</v>
      </c>
      <c r="AE362" s="9">
        <v>4804.4682400000002</v>
      </c>
      <c r="AF362" s="9">
        <v>7108.7900000000009</v>
      </c>
      <c r="AG362" s="9">
        <v>-2304.3217600000007</v>
      </c>
      <c r="AH362" s="11">
        <v>-0.47962056254533608</v>
      </c>
      <c r="AI362" s="9">
        <f>SUMIFS(AD362:AD993, R362:R993, S362)</f>
        <v>0</v>
      </c>
      <c r="AJ362" s="11" t="e">
        <f>SUMIFS(AD362:AD993, R362:R993, S362, AD362:AD993, "&gt;" &amp; AE362) / AI362</f>
        <v>#DIV/0!</v>
      </c>
      <c r="AK362" s="7" t="e">
        <f>IF(AJ362&lt;=0.8,"A",IF(Table2[[#This Row],[Cumulative rev]]&lt;=0.95,"B","C"))</f>
        <v>#DIV/0!</v>
      </c>
    </row>
    <row r="363" spans="1:37" x14ac:dyDescent="0.3">
      <c r="A363" t="s">
        <v>376</v>
      </c>
      <c r="B363" s="4">
        <v>45108</v>
      </c>
      <c r="C363" s="4" t="s">
        <v>2116</v>
      </c>
      <c r="D363" s="4" t="s">
        <v>2117</v>
      </c>
      <c r="E363" s="4">
        <v>45115</v>
      </c>
      <c r="F363" t="s">
        <v>2064</v>
      </c>
      <c r="G363" s="4">
        <v>45115</v>
      </c>
      <c r="H363" s="4">
        <f>_xlfn.MINIFS(B363:B994, N363:N994, N363)</f>
        <v>44968</v>
      </c>
      <c r="I363" s="4" t="str">
        <f t="shared" si="10"/>
        <v>Feb-2023</v>
      </c>
      <c r="J363" s="13">
        <f t="shared" si="11"/>
        <v>5</v>
      </c>
      <c r="K363" s="13">
        <v>7</v>
      </c>
      <c r="L363" s="30" t="str">
        <f>IF(Table2[[#This Row],[LeadTimeDays]]&lt;7,"1","0")</f>
        <v>0</v>
      </c>
      <c r="M363" s="7" t="s">
        <v>646</v>
      </c>
      <c r="N363" s="7" t="s">
        <v>651</v>
      </c>
      <c r="O363" s="7" t="s">
        <v>663</v>
      </c>
      <c r="P363" s="7" t="s">
        <v>701</v>
      </c>
      <c r="Q363" s="7" t="s">
        <v>707</v>
      </c>
      <c r="R363" s="7" t="s">
        <v>720</v>
      </c>
      <c r="S363" s="7" t="s">
        <v>731</v>
      </c>
      <c r="T363" s="7" t="s">
        <v>1789</v>
      </c>
      <c r="U363" s="9">
        <v>834.26</v>
      </c>
      <c r="V363" s="9">
        <v>1780.56</v>
      </c>
      <c r="W363" s="9">
        <v>1780.56</v>
      </c>
      <c r="X363" s="9">
        <v>889.25980000000015</v>
      </c>
      <c r="Y363" s="9">
        <v>1628.1038000000001</v>
      </c>
      <c r="Z363" s="9" t="s">
        <v>2095</v>
      </c>
      <c r="AA363" t="s">
        <v>2065</v>
      </c>
      <c r="AB363" s="11">
        <v>1.4E-2</v>
      </c>
      <c r="AC363" t="s">
        <v>2065</v>
      </c>
      <c r="AD363" s="13">
        <v>47</v>
      </c>
      <c r="AE363" s="9">
        <v>82514.711519999997</v>
      </c>
      <c r="AF363" s="9">
        <v>39210.22</v>
      </c>
      <c r="AG363" s="9">
        <v>43304.491519999996</v>
      </c>
      <c r="AH363" s="11">
        <v>0.5248093427497933</v>
      </c>
      <c r="AI363" s="9">
        <f>SUMIFS(AD363:AD994, R363:R994, S363)</f>
        <v>0</v>
      </c>
      <c r="AJ363" s="11" t="e">
        <f>SUMIFS(AD363:AD994, R363:R994, S363, AD363:AD994, "&gt;" &amp; AE363) / AI363</f>
        <v>#DIV/0!</v>
      </c>
      <c r="AK363" s="7" t="e">
        <f>IF(AJ363&lt;=0.8,"A",IF(Table2[[#This Row],[Cumulative rev]]&lt;=0.95,"B","C"))</f>
        <v>#DIV/0!</v>
      </c>
    </row>
    <row r="364" spans="1:37" x14ac:dyDescent="0.3">
      <c r="A364" t="s">
        <v>377</v>
      </c>
      <c r="B364" s="4">
        <v>45360</v>
      </c>
      <c r="C364" s="4" t="s">
        <v>2079</v>
      </c>
      <c r="D364" s="4" t="s">
        <v>2080</v>
      </c>
      <c r="E364" s="4">
        <v>45377</v>
      </c>
      <c r="F364" t="s">
        <v>2064</v>
      </c>
      <c r="G364" s="4">
        <v>45377</v>
      </c>
      <c r="H364" s="4">
        <f>_xlfn.MINIFS(B364:B995, N364:N995, N364)</f>
        <v>44938</v>
      </c>
      <c r="I364" s="4" t="str">
        <f t="shared" si="10"/>
        <v>Jan-2023</v>
      </c>
      <c r="J364" s="13">
        <f t="shared" si="11"/>
        <v>14</v>
      </c>
      <c r="K364" s="13">
        <v>17</v>
      </c>
      <c r="L364" s="30" t="str">
        <f>IF(Table2[[#This Row],[LeadTimeDays]]&lt;7,"1","0")</f>
        <v>0</v>
      </c>
      <c r="M364" s="7" t="s">
        <v>647</v>
      </c>
      <c r="N364" s="7" t="s">
        <v>659</v>
      </c>
      <c r="O364" s="7" t="s">
        <v>676</v>
      </c>
      <c r="P364" s="7" t="s">
        <v>706</v>
      </c>
      <c r="Q364" s="7" t="s">
        <v>708</v>
      </c>
      <c r="R364" s="7" t="s">
        <v>723</v>
      </c>
      <c r="S364" s="7" t="s">
        <v>732</v>
      </c>
      <c r="T364" s="7" t="s">
        <v>1790</v>
      </c>
      <c r="U364" s="9">
        <v>1029.67</v>
      </c>
      <c r="V364" s="9">
        <v>1118.43</v>
      </c>
      <c r="W364" s="9">
        <v>1118.43</v>
      </c>
      <c r="X364" s="9">
        <v>885.71559999999999</v>
      </c>
      <c r="Y364" s="9">
        <v>1625.3300000000002</v>
      </c>
      <c r="Z364" s="9" t="s">
        <v>2092</v>
      </c>
      <c r="AA364" t="s">
        <v>2065</v>
      </c>
      <c r="AB364" s="11">
        <v>0.27200000000000002</v>
      </c>
      <c r="AC364" t="s">
        <v>2065</v>
      </c>
      <c r="AD364" s="13">
        <v>9</v>
      </c>
      <c r="AE364" s="9">
        <v>7327.9533600000004</v>
      </c>
      <c r="AF364" s="9">
        <v>9267.0300000000007</v>
      </c>
      <c r="AG364" s="9">
        <v>-1939.0766400000002</v>
      </c>
      <c r="AH364" s="11">
        <v>-0.26461367106736061</v>
      </c>
      <c r="AI364" s="9">
        <f>SUMIFS(AD364:AD995, R364:R995, S364)</f>
        <v>0</v>
      </c>
      <c r="AJ364" s="11" t="e">
        <f>SUMIFS(AD364:AD995, R364:R995, S364, AD364:AD995, "&gt;" &amp; AE364) / AI364</f>
        <v>#DIV/0!</v>
      </c>
      <c r="AK364" s="7" t="e">
        <f>IF(AJ364&lt;=0.8,"A",IF(Table2[[#This Row],[Cumulative rev]]&lt;=0.95,"B","C"))</f>
        <v>#DIV/0!</v>
      </c>
    </row>
    <row r="365" spans="1:37" x14ac:dyDescent="0.3">
      <c r="A365" t="s">
        <v>378</v>
      </c>
      <c r="B365" s="4">
        <v>45082</v>
      </c>
      <c r="C365" s="4" t="s">
        <v>2115</v>
      </c>
      <c r="D365" s="4" t="s">
        <v>2103</v>
      </c>
      <c r="E365" s="4">
        <v>45105</v>
      </c>
      <c r="F365" t="s">
        <v>2064</v>
      </c>
      <c r="G365" s="4">
        <v>45105</v>
      </c>
      <c r="H365" s="4">
        <f>_xlfn.MINIFS(B365:B996, N365:N996, N365)</f>
        <v>44945</v>
      </c>
      <c r="I365" s="4" t="str">
        <f t="shared" si="10"/>
        <v>Jan-2023</v>
      </c>
      <c r="J365" s="13">
        <f t="shared" si="11"/>
        <v>5</v>
      </c>
      <c r="K365" s="13">
        <v>23</v>
      </c>
      <c r="L365" s="30" t="str">
        <f>IF(Table2[[#This Row],[LeadTimeDays]]&lt;7,"1","0")</f>
        <v>0</v>
      </c>
      <c r="M365" s="7" t="s">
        <v>649</v>
      </c>
      <c r="N365" s="7" t="s">
        <v>658</v>
      </c>
      <c r="O365" s="7" t="s">
        <v>674</v>
      </c>
      <c r="P365" s="7" t="s">
        <v>701</v>
      </c>
      <c r="Q365" s="7" t="s">
        <v>711</v>
      </c>
      <c r="R365" s="7" t="s">
        <v>723</v>
      </c>
      <c r="S365" s="7" t="s">
        <v>728</v>
      </c>
      <c r="T365" s="7" t="s">
        <v>1791</v>
      </c>
      <c r="U365" s="9">
        <v>605.82000000000005</v>
      </c>
      <c r="V365" s="9">
        <v>771.12</v>
      </c>
      <c r="W365" s="9">
        <v>771.12</v>
      </c>
      <c r="X365" s="9">
        <v>882.17139999999995</v>
      </c>
      <c r="Y365" s="9">
        <v>1626.5134</v>
      </c>
      <c r="Z365" s="9" t="s">
        <v>2081</v>
      </c>
      <c r="AA365" t="s">
        <v>2065</v>
      </c>
      <c r="AB365" s="11">
        <v>0.13200000000000001</v>
      </c>
      <c r="AC365" t="s">
        <v>2065</v>
      </c>
      <c r="AD365" s="13">
        <v>19</v>
      </c>
      <c r="AE365" s="9">
        <v>12717.311040000001</v>
      </c>
      <c r="AF365" s="9">
        <v>11510.580000000002</v>
      </c>
      <c r="AG365" s="9">
        <v>1206.7310399999988</v>
      </c>
      <c r="AH365" s="11">
        <v>9.4888851597986767E-2</v>
      </c>
      <c r="AI365" s="9">
        <f>SUMIFS(AD365:AD996, R365:R996, S365)</f>
        <v>0</v>
      </c>
      <c r="AJ365" s="11" t="e">
        <f>SUMIFS(AD365:AD996, R365:R996, S365, AD365:AD996, "&gt;" &amp; AE365) / AI365</f>
        <v>#DIV/0!</v>
      </c>
      <c r="AK365" s="7" t="e">
        <f>IF(AJ365&lt;=0.8,"A",IF(Table2[[#This Row],[Cumulative rev]]&lt;=0.95,"B","C"))</f>
        <v>#DIV/0!</v>
      </c>
    </row>
    <row r="366" spans="1:37" x14ac:dyDescent="0.3">
      <c r="A366" t="s">
        <v>379</v>
      </c>
      <c r="B366" s="4">
        <v>45737</v>
      </c>
      <c r="C366" s="4" t="s">
        <v>2086</v>
      </c>
      <c r="D366" s="4" t="s">
        <v>2087</v>
      </c>
      <c r="E366" s="4">
        <v>45756</v>
      </c>
      <c r="F366" t="s">
        <v>2064</v>
      </c>
      <c r="G366" s="4">
        <v>45756</v>
      </c>
      <c r="H366" s="4">
        <f>_xlfn.MINIFS(B366:B997, N366:N997, N366)</f>
        <v>44988</v>
      </c>
      <c r="I366" s="4" t="str">
        <f t="shared" si="10"/>
        <v>Mar-2023</v>
      </c>
      <c r="J366" s="13">
        <f t="shared" si="11"/>
        <v>25</v>
      </c>
      <c r="K366" s="13">
        <v>19</v>
      </c>
      <c r="L366" s="30" t="str">
        <f>IF(Table2[[#This Row],[LeadTimeDays]]&lt;7,"1","0")</f>
        <v>0</v>
      </c>
      <c r="M366" s="7" t="s">
        <v>647</v>
      </c>
      <c r="N366" s="7" t="s">
        <v>652</v>
      </c>
      <c r="O366" s="7" t="s">
        <v>689</v>
      </c>
      <c r="P366" s="7" t="s">
        <v>705</v>
      </c>
      <c r="Q366" s="7" t="s">
        <v>710</v>
      </c>
      <c r="R366" s="7" t="s">
        <v>718</v>
      </c>
      <c r="S366" s="7" t="s">
        <v>727</v>
      </c>
      <c r="T366" s="7" t="s">
        <v>1792</v>
      </c>
      <c r="U366" s="9">
        <v>1055.45</v>
      </c>
      <c r="V366" s="9">
        <v>1210.04</v>
      </c>
      <c r="W366" s="9">
        <v>1210.04</v>
      </c>
      <c r="X366" s="9">
        <v>889.36720000000003</v>
      </c>
      <c r="Y366" s="9">
        <v>1628.2032000000002</v>
      </c>
      <c r="Z366" s="9" t="s">
        <v>2092</v>
      </c>
      <c r="AA366" t="s">
        <v>2065</v>
      </c>
      <c r="AB366" s="11">
        <v>8.9999999999999993E-3</v>
      </c>
      <c r="AC366" t="s">
        <v>2065</v>
      </c>
      <c r="AD366" s="13">
        <v>18</v>
      </c>
      <c r="AE366" s="9">
        <v>21584.693520000001</v>
      </c>
      <c r="AF366" s="9">
        <v>18998.100000000002</v>
      </c>
      <c r="AG366" s="9">
        <v>2586.5935199999985</v>
      </c>
      <c r="AH366" s="11">
        <v>0.1198346188053727</v>
      </c>
      <c r="AI366" s="9">
        <f>SUMIFS(AD366:AD997, R366:R997, S366)</f>
        <v>0</v>
      </c>
      <c r="AJ366" s="11" t="e">
        <f>SUMIFS(AD366:AD997, R366:R997, S366, AD366:AD997, "&gt;" &amp; AE366) / AI366</f>
        <v>#DIV/0!</v>
      </c>
      <c r="AK366" s="7" t="e">
        <f>IF(AJ366&lt;=0.8,"A",IF(Table2[[#This Row],[Cumulative rev]]&lt;=0.95,"B","C"))</f>
        <v>#DIV/0!</v>
      </c>
    </row>
    <row r="367" spans="1:37" x14ac:dyDescent="0.3">
      <c r="A367" t="s">
        <v>380</v>
      </c>
      <c r="B367" s="4">
        <v>45445</v>
      </c>
      <c r="C367" s="4" t="s">
        <v>2109</v>
      </c>
      <c r="D367" s="4" t="s">
        <v>2094</v>
      </c>
      <c r="E367" s="4">
        <v>45458</v>
      </c>
      <c r="F367" t="s">
        <v>2064</v>
      </c>
      <c r="G367" s="4">
        <v>45458</v>
      </c>
      <c r="H367" s="4">
        <f>_xlfn.MINIFS(B367:B998, N367:N998, N367)</f>
        <v>44978</v>
      </c>
      <c r="I367" s="4" t="str">
        <f t="shared" si="10"/>
        <v>Feb-2023</v>
      </c>
      <c r="J367" s="13">
        <f t="shared" si="11"/>
        <v>16</v>
      </c>
      <c r="K367" s="13">
        <v>13</v>
      </c>
      <c r="L367" s="30" t="str">
        <f>IF(Table2[[#This Row],[LeadTimeDays]]&lt;7,"1","0")</f>
        <v>0</v>
      </c>
      <c r="M367" s="7" t="s">
        <v>646</v>
      </c>
      <c r="N367" s="7" t="s">
        <v>650</v>
      </c>
      <c r="O367" s="7" t="s">
        <v>675</v>
      </c>
      <c r="P367" s="7" t="s">
        <v>702</v>
      </c>
      <c r="Q367" s="7" t="s">
        <v>708</v>
      </c>
      <c r="R367" s="7" t="s">
        <v>719</v>
      </c>
      <c r="S367" s="7" t="s">
        <v>730</v>
      </c>
      <c r="T367" s="7" t="s">
        <v>1793</v>
      </c>
      <c r="U367" s="9">
        <v>1295.18</v>
      </c>
      <c r="V367" s="9">
        <v>3024.03</v>
      </c>
      <c r="W367" s="9">
        <v>3024.03</v>
      </c>
      <c r="X367" s="9">
        <v>885.82300000000009</v>
      </c>
      <c r="Y367" s="9">
        <v>1629.893</v>
      </c>
      <c r="Z367" s="9" t="s">
        <v>2095</v>
      </c>
      <c r="AA367" t="s">
        <v>2065</v>
      </c>
      <c r="AB367" s="11">
        <v>0.192</v>
      </c>
      <c r="AC367" t="s">
        <v>2065</v>
      </c>
      <c r="AD367" s="13">
        <v>8</v>
      </c>
      <c r="AE367" s="9">
        <v>19547.329920000004</v>
      </c>
      <c r="AF367" s="9">
        <v>10361.44</v>
      </c>
      <c r="AG367" s="9">
        <v>9185.8899200000033</v>
      </c>
      <c r="AH367" s="11">
        <v>0.46993067378483178</v>
      </c>
      <c r="AI367" s="9">
        <f>SUMIFS(AD367:AD998, R367:R998, S367)</f>
        <v>0</v>
      </c>
      <c r="AJ367" s="11" t="e">
        <f>SUMIFS(AD367:AD998, R367:R998, S367, AD367:AD998, "&gt;" &amp; AE367) / AI367</f>
        <v>#DIV/0!</v>
      </c>
      <c r="AK367" s="7" t="e">
        <f>IF(AJ367&lt;=0.8,"A",IF(Table2[[#This Row],[Cumulative rev]]&lt;=0.95,"B","C"))</f>
        <v>#DIV/0!</v>
      </c>
    </row>
    <row r="368" spans="1:37" x14ac:dyDescent="0.3">
      <c r="A368" t="s">
        <v>381</v>
      </c>
      <c r="B368" s="4">
        <v>45731</v>
      </c>
      <c r="C368" s="4" t="s">
        <v>2086</v>
      </c>
      <c r="D368" s="4" t="s">
        <v>2087</v>
      </c>
      <c r="E368" s="4">
        <v>45745</v>
      </c>
      <c r="F368" t="s">
        <v>2064</v>
      </c>
      <c r="G368" s="4">
        <v>45745</v>
      </c>
      <c r="H368" s="4">
        <f>_xlfn.MINIFS(B368:B999, N368:N999, N368)</f>
        <v>45048</v>
      </c>
      <c r="I368" s="4" t="str">
        <f t="shared" si="10"/>
        <v>May-2023</v>
      </c>
      <c r="J368" s="13">
        <f t="shared" si="11"/>
        <v>23</v>
      </c>
      <c r="K368" s="13">
        <v>14</v>
      </c>
      <c r="L368" s="30" t="str">
        <f>IF(Table2[[#This Row],[LeadTimeDays]]&lt;7,"1","0")</f>
        <v>0</v>
      </c>
      <c r="M368" s="7" t="s">
        <v>647</v>
      </c>
      <c r="N368" s="7" t="s">
        <v>654</v>
      </c>
      <c r="O368" s="7" t="s">
        <v>691</v>
      </c>
      <c r="P368" s="7" t="s">
        <v>706</v>
      </c>
      <c r="Q368" s="7" t="s">
        <v>711</v>
      </c>
      <c r="R368" s="7" t="s">
        <v>712</v>
      </c>
      <c r="S368" s="7" t="s">
        <v>727</v>
      </c>
      <c r="T368" s="7" t="s">
        <v>1794</v>
      </c>
      <c r="U368" s="9">
        <v>935.83</v>
      </c>
      <c r="V368" s="9">
        <v>2303.46</v>
      </c>
      <c r="W368" s="9">
        <v>2303.46</v>
      </c>
      <c r="X368" s="9">
        <v>882.27880000000005</v>
      </c>
      <c r="Y368" s="9">
        <v>1626.6128000000001</v>
      </c>
      <c r="Z368" s="9" t="s">
        <v>2095</v>
      </c>
      <c r="AA368" t="s">
        <v>2065</v>
      </c>
      <c r="AB368" s="11">
        <v>0.105</v>
      </c>
      <c r="AC368" t="s">
        <v>2065</v>
      </c>
      <c r="AD368" s="13">
        <v>9</v>
      </c>
      <c r="AE368" s="9">
        <v>18554.370299999999</v>
      </c>
      <c r="AF368" s="9">
        <v>8422.4700000000012</v>
      </c>
      <c r="AG368" s="9">
        <v>10131.900299999998</v>
      </c>
      <c r="AH368" s="11">
        <v>0.54606543559174292</v>
      </c>
      <c r="AI368" s="9">
        <f>SUMIFS(AD368:AD999, R368:R999, S368)</f>
        <v>0</v>
      </c>
      <c r="AJ368" s="11" t="e">
        <f>SUMIFS(AD368:AD999, R368:R999, S368, AD368:AD999, "&gt;" &amp; AE368) / AI368</f>
        <v>#DIV/0!</v>
      </c>
      <c r="AK368" s="7" t="e">
        <f>IF(AJ368&lt;=0.8,"A",IF(Table2[[#This Row],[Cumulative rev]]&lt;=0.95,"B","C"))</f>
        <v>#DIV/0!</v>
      </c>
    </row>
    <row r="369" spans="1:37" x14ac:dyDescent="0.3">
      <c r="A369" t="s">
        <v>382</v>
      </c>
      <c r="B369" s="4">
        <v>45194</v>
      </c>
      <c r="C369" s="4" t="s">
        <v>2120</v>
      </c>
      <c r="D369" s="4" t="s">
        <v>2117</v>
      </c>
      <c r="E369" s="4">
        <v>45208</v>
      </c>
      <c r="F369" t="s">
        <v>2064</v>
      </c>
      <c r="G369" s="4">
        <v>45208</v>
      </c>
      <c r="H369" s="4">
        <f>_xlfn.MINIFS(B369:B1000, N369:N1000, N369)</f>
        <v>44962</v>
      </c>
      <c r="I369" s="4" t="str">
        <f t="shared" si="10"/>
        <v>Feb-2023</v>
      </c>
      <c r="J369" s="13">
        <f t="shared" si="11"/>
        <v>8</v>
      </c>
      <c r="K369" s="13">
        <v>14</v>
      </c>
      <c r="L369" s="30" t="str">
        <f>IF(Table2[[#This Row],[LeadTimeDays]]&lt;7,"1","0")</f>
        <v>0</v>
      </c>
      <c r="M369" s="7" t="s">
        <v>648</v>
      </c>
      <c r="N369" s="7" t="s">
        <v>1425</v>
      </c>
      <c r="O369" s="7" t="s">
        <v>700</v>
      </c>
      <c r="P369" s="7" t="s">
        <v>705</v>
      </c>
      <c r="Q369" s="7" t="s">
        <v>709</v>
      </c>
      <c r="R369" s="7" t="s">
        <v>713</v>
      </c>
      <c r="S369" s="7" t="s">
        <v>731</v>
      </c>
      <c r="T369" s="7" t="s">
        <v>1795</v>
      </c>
      <c r="U369" s="9">
        <v>1279.56</v>
      </c>
      <c r="V369" s="9">
        <v>3083.8</v>
      </c>
      <c r="W369" s="9">
        <v>3083.8</v>
      </c>
      <c r="X369" s="9">
        <v>880.5154</v>
      </c>
      <c r="Y369" s="9">
        <v>1625.105</v>
      </c>
      <c r="Z369" s="9" t="s">
        <v>2095</v>
      </c>
      <c r="AA369" t="s">
        <v>2065</v>
      </c>
      <c r="AB369" s="11">
        <v>0.106</v>
      </c>
      <c r="AC369" t="s">
        <v>2065</v>
      </c>
      <c r="AD369" s="13">
        <v>5</v>
      </c>
      <c r="AE369" s="9">
        <v>13784.586000000001</v>
      </c>
      <c r="AF369" s="9">
        <v>6397.7999999999993</v>
      </c>
      <c r="AG369" s="9">
        <v>7386.7860000000019</v>
      </c>
      <c r="AH369" s="11">
        <v>0.53587289455047848</v>
      </c>
      <c r="AI369" s="9">
        <f>SUMIFS(AD369:AD1000, R369:R1000, S369)</f>
        <v>0</v>
      </c>
      <c r="AJ369" s="11" t="e">
        <f>SUMIFS(AD369:AD1000, R369:R1000, S369, AD369:AD1000, "&gt;" &amp; AE369) / AI369</f>
        <v>#DIV/0!</v>
      </c>
      <c r="AK369" s="7" t="e">
        <f>IF(AJ369&lt;=0.8,"A",IF(Table2[[#This Row],[Cumulative rev]]&lt;=0.95,"B","C"))</f>
        <v>#DIV/0!</v>
      </c>
    </row>
    <row r="370" spans="1:37" x14ac:dyDescent="0.3">
      <c r="A370" t="s">
        <v>383</v>
      </c>
      <c r="B370" s="4">
        <v>45832</v>
      </c>
      <c r="C370" s="4" t="s">
        <v>2108</v>
      </c>
      <c r="D370" s="4" t="s">
        <v>2097</v>
      </c>
      <c r="E370" s="4">
        <v>45861</v>
      </c>
      <c r="F370" t="s">
        <v>2064</v>
      </c>
      <c r="G370" s="4">
        <v>45861</v>
      </c>
      <c r="H370" s="4">
        <f>_xlfn.MINIFS(B370:B1001, N370:N1001, N370)</f>
        <v>45029</v>
      </c>
      <c r="I370" s="4" t="str">
        <f t="shared" si="10"/>
        <v>Apr-2023</v>
      </c>
      <c r="J370" s="13">
        <f t="shared" si="11"/>
        <v>27</v>
      </c>
      <c r="K370" s="13">
        <v>29</v>
      </c>
      <c r="L370" s="30" t="str">
        <f>IF(Table2[[#This Row],[LeadTimeDays]]&lt;7,"1","0")</f>
        <v>0</v>
      </c>
      <c r="M370" s="7" t="s">
        <v>648</v>
      </c>
      <c r="N370" s="7" t="s">
        <v>653</v>
      </c>
      <c r="O370" s="7" t="s">
        <v>688</v>
      </c>
      <c r="P370" s="7" t="s">
        <v>703</v>
      </c>
      <c r="Q370" s="7" t="s">
        <v>709</v>
      </c>
      <c r="R370" s="7" t="s">
        <v>714</v>
      </c>
      <c r="S370" s="7" t="s">
        <v>728</v>
      </c>
      <c r="T370" s="7" t="s">
        <v>1796</v>
      </c>
      <c r="U370" s="9">
        <v>255.4</v>
      </c>
      <c r="V370" s="9">
        <v>322.70999999999998</v>
      </c>
      <c r="W370" s="9">
        <v>322.70999999999998</v>
      </c>
      <c r="X370" s="9">
        <v>879.76960000000008</v>
      </c>
      <c r="Y370" s="9">
        <v>1624.3444000000002</v>
      </c>
      <c r="Z370" s="9" t="s">
        <v>2081</v>
      </c>
      <c r="AA370" t="s">
        <v>2065</v>
      </c>
      <c r="AB370" s="11">
        <v>0.115</v>
      </c>
      <c r="AC370" t="s">
        <v>2065</v>
      </c>
      <c r="AD370" s="13">
        <v>16</v>
      </c>
      <c r="AE370" s="9">
        <v>4569.5735999999997</v>
      </c>
      <c r="AF370" s="9">
        <v>4086.4</v>
      </c>
      <c r="AG370" s="9">
        <v>483.17359999999962</v>
      </c>
      <c r="AH370" s="11">
        <v>0.10573713048412212</v>
      </c>
      <c r="AI370" s="9">
        <f>SUMIFS(AD370:AD1001, R370:R1001, S370)</f>
        <v>0</v>
      </c>
      <c r="AJ370" s="11" t="e">
        <f>SUMIFS(AD370:AD1001, R370:R1001, S370, AD370:AD1001, "&gt;" &amp; AE370) / AI370</f>
        <v>#DIV/0!</v>
      </c>
      <c r="AK370" s="7" t="e">
        <f>IF(AJ370&lt;=0.8,"A",IF(Table2[[#This Row],[Cumulative rev]]&lt;=0.95,"B","C"))</f>
        <v>#DIV/0!</v>
      </c>
    </row>
    <row r="371" spans="1:37" x14ac:dyDescent="0.3">
      <c r="A371" t="s">
        <v>384</v>
      </c>
      <c r="B371" s="4">
        <v>45286</v>
      </c>
      <c r="C371" s="4" t="s">
        <v>2088</v>
      </c>
      <c r="D371" s="4" t="s">
        <v>2089</v>
      </c>
      <c r="E371" s="4">
        <v>45294</v>
      </c>
      <c r="F371" t="s">
        <v>2064</v>
      </c>
      <c r="G371" s="4">
        <v>45294</v>
      </c>
      <c r="H371" s="4">
        <f>_xlfn.MINIFS(B371:B1002, N371:N1002, N371)</f>
        <v>45019</v>
      </c>
      <c r="I371" s="4" t="str">
        <f t="shared" si="10"/>
        <v>Apr-2023</v>
      </c>
      <c r="J371" s="13">
        <f t="shared" si="11"/>
        <v>9</v>
      </c>
      <c r="K371" s="13">
        <v>8</v>
      </c>
      <c r="L371" s="30" t="str">
        <f>IF(Table2[[#This Row],[LeadTimeDays]]&lt;7,"1","0")</f>
        <v>0</v>
      </c>
      <c r="M371" s="7" t="s">
        <v>649</v>
      </c>
      <c r="N371" s="7" t="s">
        <v>657</v>
      </c>
      <c r="O371" s="7" t="s">
        <v>679</v>
      </c>
      <c r="P371" s="7" t="s">
        <v>705</v>
      </c>
      <c r="Q371" s="7" t="s">
        <v>707</v>
      </c>
      <c r="R371" s="7" t="s">
        <v>724</v>
      </c>
      <c r="S371" s="7" t="s">
        <v>731</v>
      </c>
      <c r="T371" s="7" t="s">
        <v>1797</v>
      </c>
      <c r="U371" s="9">
        <v>492.75</v>
      </c>
      <c r="V371" s="9">
        <v>731.29</v>
      </c>
      <c r="W371" s="9">
        <v>731.29</v>
      </c>
      <c r="X371" s="9">
        <v>882.38620000000014</v>
      </c>
      <c r="Y371" s="9">
        <v>1624.865</v>
      </c>
      <c r="Z371" s="9" t="s">
        <v>2081</v>
      </c>
      <c r="AA371" t="s">
        <v>2065</v>
      </c>
      <c r="AB371" s="11">
        <v>5.8000000000000003E-2</v>
      </c>
      <c r="AC371" t="s">
        <v>2065</v>
      </c>
      <c r="AD371" s="13">
        <v>6</v>
      </c>
      <c r="AE371" s="9">
        <v>4133.25108</v>
      </c>
      <c r="AF371" s="9">
        <v>2956.5</v>
      </c>
      <c r="AG371" s="9">
        <v>1176.75108</v>
      </c>
      <c r="AH371" s="11">
        <v>0.28470350753528384</v>
      </c>
      <c r="AI371" s="9">
        <f>SUMIFS(AD371:AD1002, R371:R1002, S371)</f>
        <v>0</v>
      </c>
      <c r="AJ371" s="11" t="e">
        <f>SUMIFS(AD371:AD1002, R371:R1002, S371, AD371:AD1002, "&gt;" &amp; AE371) / AI371</f>
        <v>#DIV/0!</v>
      </c>
      <c r="AK371" s="7" t="e">
        <f>IF(AJ371&lt;=0.8,"A",IF(Table2[[#This Row],[Cumulative rev]]&lt;=0.95,"B","C"))</f>
        <v>#DIV/0!</v>
      </c>
    </row>
    <row r="372" spans="1:37" x14ac:dyDescent="0.3">
      <c r="A372" t="s">
        <v>385</v>
      </c>
      <c r="B372" s="4">
        <v>44962</v>
      </c>
      <c r="C372" s="4" t="s">
        <v>2084</v>
      </c>
      <c r="D372" s="4" t="s">
        <v>2085</v>
      </c>
      <c r="E372" s="4">
        <v>44985</v>
      </c>
      <c r="F372" t="s">
        <v>2064</v>
      </c>
      <c r="G372" s="4">
        <v>44985</v>
      </c>
      <c r="H372" s="4">
        <f>_xlfn.MINIFS(B372:B1003, N372:N1003, N372)</f>
        <v>44962</v>
      </c>
      <c r="I372" s="4" t="str">
        <f t="shared" si="10"/>
        <v>Feb-2023</v>
      </c>
      <c r="J372" s="13">
        <f t="shared" si="11"/>
        <v>1</v>
      </c>
      <c r="K372" s="13">
        <v>23</v>
      </c>
      <c r="L372" s="30" t="str">
        <f>IF(Table2[[#This Row],[LeadTimeDays]]&lt;7,"1","0")</f>
        <v>0</v>
      </c>
      <c r="M372" s="7" t="s">
        <v>648</v>
      </c>
      <c r="N372" s="7" t="s">
        <v>1425</v>
      </c>
      <c r="O372" s="7" t="s">
        <v>697</v>
      </c>
      <c r="P372" s="7" t="s">
        <v>703</v>
      </c>
      <c r="Q372" s="7" t="s">
        <v>710</v>
      </c>
      <c r="R372" s="7" t="s">
        <v>716</v>
      </c>
      <c r="S372" s="7" t="s">
        <v>730</v>
      </c>
      <c r="T372" s="7" t="s">
        <v>1798</v>
      </c>
      <c r="U372" s="9">
        <v>1214.49</v>
      </c>
      <c r="V372" s="9">
        <v>1533.95</v>
      </c>
      <c r="W372" s="9">
        <v>1533.95</v>
      </c>
      <c r="X372" s="9">
        <v>889.58199999999999</v>
      </c>
      <c r="Y372" s="9">
        <v>1625.1200000000001</v>
      </c>
      <c r="Z372" s="9" t="s">
        <v>2092</v>
      </c>
      <c r="AA372" t="s">
        <v>2065</v>
      </c>
      <c r="AB372" s="11">
        <v>0</v>
      </c>
      <c r="AC372" t="s">
        <v>2065</v>
      </c>
      <c r="AD372" s="13">
        <v>11</v>
      </c>
      <c r="AE372" s="9">
        <v>16873.45</v>
      </c>
      <c r="AF372" s="9">
        <v>13359.39</v>
      </c>
      <c r="AG372" s="9">
        <v>3514.0600000000013</v>
      </c>
      <c r="AH372" s="11">
        <v>0.20825972163369086</v>
      </c>
      <c r="AI372" s="9">
        <f>SUMIFS(AD372:AD1003, R372:R1003, S372)</f>
        <v>0</v>
      </c>
      <c r="AJ372" s="11" t="e">
        <f>SUMIFS(AD372:AD1003, R372:R1003, S372, AD372:AD1003, "&gt;" &amp; AE372) / AI372</f>
        <v>#DIV/0!</v>
      </c>
      <c r="AK372" s="7" t="e">
        <f>IF(AJ372&lt;=0.8,"A",IF(Table2[[#This Row],[Cumulative rev]]&lt;=0.95,"B","C"))</f>
        <v>#DIV/0!</v>
      </c>
    </row>
    <row r="373" spans="1:37" x14ac:dyDescent="0.3">
      <c r="A373" t="s">
        <v>386</v>
      </c>
      <c r="B373" s="4">
        <v>45022</v>
      </c>
      <c r="C373" s="4" t="s">
        <v>2102</v>
      </c>
      <c r="D373" s="4" t="s">
        <v>2103</v>
      </c>
      <c r="E373" s="4">
        <v>45024</v>
      </c>
      <c r="F373" t="s">
        <v>2064</v>
      </c>
      <c r="G373" s="4">
        <v>45024</v>
      </c>
      <c r="H373" s="4">
        <f>_xlfn.MINIFS(B373:B1004, N373:N1004, N373)</f>
        <v>44968</v>
      </c>
      <c r="I373" s="4" t="str">
        <f t="shared" si="10"/>
        <v>Feb-2023</v>
      </c>
      <c r="J373" s="13">
        <f t="shared" si="11"/>
        <v>2</v>
      </c>
      <c r="K373" s="13">
        <v>2</v>
      </c>
      <c r="L373" s="30" t="str">
        <f>IF(Table2[[#This Row],[LeadTimeDays]]&lt;7,"1","0")</f>
        <v>1</v>
      </c>
      <c r="M373" s="7" t="s">
        <v>646</v>
      </c>
      <c r="N373" s="7" t="s">
        <v>651</v>
      </c>
      <c r="O373" s="7" t="s">
        <v>669</v>
      </c>
      <c r="P373" s="7" t="s">
        <v>705</v>
      </c>
      <c r="Q373" s="7" t="s">
        <v>709</v>
      </c>
      <c r="R373" s="7" t="s">
        <v>723</v>
      </c>
      <c r="S373" s="7" t="s">
        <v>732</v>
      </c>
      <c r="T373" s="7" t="s">
        <v>1799</v>
      </c>
      <c r="U373" s="9">
        <v>720.35</v>
      </c>
      <c r="V373" s="9">
        <v>1571.66</v>
      </c>
      <c r="W373" s="9">
        <v>1571.66</v>
      </c>
      <c r="X373" s="9">
        <v>886.03779999999995</v>
      </c>
      <c r="Y373" s="9">
        <v>1625.375</v>
      </c>
      <c r="Z373" s="9" t="s">
        <v>2092</v>
      </c>
      <c r="AA373" t="s">
        <v>2065</v>
      </c>
      <c r="AB373" s="11">
        <v>0.107</v>
      </c>
      <c r="AC373" t="s">
        <v>2065</v>
      </c>
      <c r="AD373" s="13">
        <v>23</v>
      </c>
      <c r="AE373" s="9">
        <v>32280.32474</v>
      </c>
      <c r="AF373" s="9">
        <v>16568.05</v>
      </c>
      <c r="AG373" s="9">
        <v>15712.274740000001</v>
      </c>
      <c r="AH373" s="11">
        <v>0.4867446305622265</v>
      </c>
      <c r="AI373" s="9">
        <f>SUMIFS(AD373:AD1004, R373:R1004, S373)</f>
        <v>0</v>
      </c>
      <c r="AJ373" s="11" t="e">
        <f>SUMIFS(AD373:AD1004, R373:R1004, S373, AD373:AD1004, "&gt;" &amp; AE373) / AI373</f>
        <v>#DIV/0!</v>
      </c>
      <c r="AK373" s="7" t="e">
        <f>IF(AJ373&lt;=0.8,"A",IF(Table2[[#This Row],[Cumulative rev]]&lt;=0.95,"B","C"))</f>
        <v>#DIV/0!</v>
      </c>
    </row>
    <row r="374" spans="1:37" x14ac:dyDescent="0.3">
      <c r="A374" t="s">
        <v>387</v>
      </c>
      <c r="B374" s="4">
        <v>45751</v>
      </c>
      <c r="C374" s="4" t="s">
        <v>2111</v>
      </c>
      <c r="D374" s="4" t="s">
        <v>2097</v>
      </c>
      <c r="E374" s="4">
        <v>45757</v>
      </c>
      <c r="F374" t="s">
        <v>2064</v>
      </c>
      <c r="G374" s="4">
        <v>45757</v>
      </c>
      <c r="H374" s="4">
        <f>_xlfn.MINIFS(B374:B1005, N374:N1005, N374)</f>
        <v>44945</v>
      </c>
      <c r="I374" s="4" t="str">
        <f t="shared" si="10"/>
        <v>Jan-2023</v>
      </c>
      <c r="J374" s="13">
        <f t="shared" si="11"/>
        <v>27</v>
      </c>
      <c r="K374" s="13">
        <v>6</v>
      </c>
      <c r="L374" s="30" t="str">
        <f>IF(Table2[[#This Row],[LeadTimeDays]]&lt;7,"1","0")</f>
        <v>1</v>
      </c>
      <c r="M374" s="7" t="s">
        <v>649</v>
      </c>
      <c r="N374" s="7" t="s">
        <v>658</v>
      </c>
      <c r="O374" s="7" t="s">
        <v>674</v>
      </c>
      <c r="P374" s="7" t="s">
        <v>703</v>
      </c>
      <c r="Q374" s="7" t="s">
        <v>711</v>
      </c>
      <c r="R374" s="7" t="s">
        <v>725</v>
      </c>
      <c r="S374" s="7" t="s">
        <v>728</v>
      </c>
      <c r="T374" s="7" t="s">
        <v>1800</v>
      </c>
      <c r="U374" s="9">
        <v>290.14</v>
      </c>
      <c r="V374" s="9">
        <v>250.73</v>
      </c>
      <c r="W374" s="9">
        <v>250.73</v>
      </c>
      <c r="X374" s="9">
        <v>882.49360000000001</v>
      </c>
      <c r="Y374" s="9">
        <v>1626.8116</v>
      </c>
      <c r="Z374" s="9" t="s">
        <v>2081</v>
      </c>
      <c r="AA374" t="s">
        <v>2065</v>
      </c>
      <c r="AB374" s="11">
        <v>3.4000000000000002E-2</v>
      </c>
      <c r="AC374" t="s">
        <v>2065</v>
      </c>
      <c r="AD374" s="13">
        <v>17</v>
      </c>
      <c r="AE374" s="9">
        <v>4117.4880599999997</v>
      </c>
      <c r="AF374" s="9">
        <v>4932.38</v>
      </c>
      <c r="AG374" s="9">
        <v>-814.89194000000043</v>
      </c>
      <c r="AH374" s="11">
        <v>-0.19790997038131072</v>
      </c>
      <c r="AI374" s="9">
        <f>SUMIFS(AD374:AD1005, R374:R1005, S374)</f>
        <v>0</v>
      </c>
      <c r="AJ374" s="11" t="e">
        <f>SUMIFS(AD374:AD1005, R374:R1005, S374, AD374:AD1005, "&gt;" &amp; AE374) / AI374</f>
        <v>#DIV/0!</v>
      </c>
      <c r="AK374" s="7" t="e">
        <f>IF(AJ374&lt;=0.8,"A",IF(Table2[[#This Row],[Cumulative rev]]&lt;=0.95,"B","C"))</f>
        <v>#DIV/0!</v>
      </c>
    </row>
    <row r="375" spans="1:37" x14ac:dyDescent="0.3">
      <c r="A375" t="s">
        <v>388</v>
      </c>
      <c r="B375" s="4">
        <v>45429</v>
      </c>
      <c r="C375" s="4" t="s">
        <v>2093</v>
      </c>
      <c r="D375" s="4" t="s">
        <v>2094</v>
      </c>
      <c r="E375" s="4">
        <v>45439</v>
      </c>
      <c r="F375" t="s">
        <v>2064</v>
      </c>
      <c r="G375" s="4">
        <v>45439</v>
      </c>
      <c r="H375" s="4">
        <f>_xlfn.MINIFS(B375:B1006, N375:N1006, N375)</f>
        <v>44984</v>
      </c>
      <c r="I375" s="4" t="str">
        <f t="shared" si="10"/>
        <v>Feb-2023</v>
      </c>
      <c r="J375" s="13">
        <f t="shared" si="11"/>
        <v>15</v>
      </c>
      <c r="K375" s="13">
        <v>10</v>
      </c>
      <c r="L375" s="30" t="str">
        <f>IF(Table2[[#This Row],[LeadTimeDays]]&lt;7,"1","0")</f>
        <v>0</v>
      </c>
      <c r="M375" s="7" t="s">
        <v>648</v>
      </c>
      <c r="N375" s="7" t="s">
        <v>1425</v>
      </c>
      <c r="O375" s="7" t="s">
        <v>697</v>
      </c>
      <c r="P375" s="7" t="s">
        <v>703</v>
      </c>
      <c r="Q375" s="7" t="s">
        <v>708</v>
      </c>
      <c r="R375" s="7" t="s">
        <v>712</v>
      </c>
      <c r="S375" s="7" t="s">
        <v>730</v>
      </c>
      <c r="T375" s="7" t="s">
        <v>1801</v>
      </c>
      <c r="U375" s="9">
        <v>1484.23</v>
      </c>
      <c r="V375" s="9">
        <v>3472.81</v>
      </c>
      <c r="W375" s="9">
        <v>3472.81</v>
      </c>
      <c r="X375" s="9">
        <v>889.68940000000009</v>
      </c>
      <c r="Y375" s="9">
        <v>1628.5014000000001</v>
      </c>
      <c r="Z375" s="9" t="s">
        <v>2095</v>
      </c>
      <c r="AA375" t="s">
        <v>2065</v>
      </c>
      <c r="AB375" s="11">
        <v>0.25600000000000001</v>
      </c>
      <c r="AC375" t="s">
        <v>2065</v>
      </c>
      <c r="AD375" s="13">
        <v>12</v>
      </c>
      <c r="AE375" s="9">
        <v>31005.24768</v>
      </c>
      <c r="AF375" s="9">
        <v>17810.760000000002</v>
      </c>
      <c r="AG375" s="9">
        <v>13194.487679999998</v>
      </c>
      <c r="AH375" s="11">
        <v>0.42555659661803413</v>
      </c>
      <c r="AI375" s="9">
        <f>SUMIFS(AD375:AD1006, R375:R1006, S375)</f>
        <v>0</v>
      </c>
      <c r="AJ375" s="11" t="e">
        <f>SUMIFS(AD375:AD1006, R375:R1006, S375, AD375:AD1006, "&gt;" &amp; AE375) / AI375</f>
        <v>#DIV/0!</v>
      </c>
      <c r="AK375" s="7" t="e">
        <f>IF(AJ375&lt;=0.8,"A",IF(Table2[[#This Row],[Cumulative rev]]&lt;=0.95,"B","C"))</f>
        <v>#DIV/0!</v>
      </c>
    </row>
    <row r="376" spans="1:37" x14ac:dyDescent="0.3">
      <c r="A376" t="s">
        <v>389</v>
      </c>
      <c r="B376" s="4">
        <v>45354</v>
      </c>
      <c r="C376" s="4" t="s">
        <v>2079</v>
      </c>
      <c r="D376" s="4" t="s">
        <v>2080</v>
      </c>
      <c r="E376" s="4">
        <v>45370</v>
      </c>
      <c r="F376" t="s">
        <v>2064</v>
      </c>
      <c r="G376" s="4">
        <v>45370</v>
      </c>
      <c r="H376" s="4">
        <f>_xlfn.MINIFS(B376:B1007, N376:N1007, N376)</f>
        <v>44938</v>
      </c>
      <c r="I376" s="4" t="str">
        <f t="shared" si="10"/>
        <v>Jan-2023</v>
      </c>
      <c r="J376" s="13">
        <f t="shared" si="11"/>
        <v>14</v>
      </c>
      <c r="K376" s="13">
        <v>16</v>
      </c>
      <c r="L376" s="30" t="str">
        <f>IF(Table2[[#This Row],[LeadTimeDays]]&lt;7,"1","0")</f>
        <v>0</v>
      </c>
      <c r="M376" s="7" t="s">
        <v>647</v>
      </c>
      <c r="N376" s="7" t="s">
        <v>659</v>
      </c>
      <c r="O376" s="7" t="s">
        <v>699</v>
      </c>
      <c r="P376" s="7" t="s">
        <v>704</v>
      </c>
      <c r="Q376" s="7" t="s">
        <v>710</v>
      </c>
      <c r="R376" s="7" t="s">
        <v>715</v>
      </c>
      <c r="S376" s="7" t="s">
        <v>730</v>
      </c>
      <c r="T376" s="7" t="s">
        <v>1802</v>
      </c>
      <c r="U376" s="9">
        <v>988.83</v>
      </c>
      <c r="V376" s="9">
        <v>1206.04</v>
      </c>
      <c r="W376" s="9">
        <v>1206.04</v>
      </c>
      <c r="X376" s="9">
        <v>886.14520000000005</v>
      </c>
      <c r="Y376" s="9">
        <v>1625.39</v>
      </c>
      <c r="Z376" s="9" t="s">
        <v>2092</v>
      </c>
      <c r="AA376" t="s">
        <v>2065</v>
      </c>
      <c r="AB376" s="11">
        <v>6.3E-2</v>
      </c>
      <c r="AC376" t="s">
        <v>2065</v>
      </c>
      <c r="AD376" s="13">
        <v>34</v>
      </c>
      <c r="AE376" s="9">
        <v>38422.022320000004</v>
      </c>
      <c r="AF376" s="9">
        <v>33620.22</v>
      </c>
      <c r="AG376" s="9">
        <v>4801.8023200000025</v>
      </c>
      <c r="AH376" s="11">
        <v>0.12497526236406606</v>
      </c>
      <c r="AI376" s="9">
        <f>SUMIFS(AD376:AD1007, R376:R1007, S376)</f>
        <v>0</v>
      </c>
      <c r="AJ376" s="11" t="e">
        <f>SUMIFS(AD376:AD1007, R376:R1007, S376, AD376:AD1007, "&gt;" &amp; AE376) / AI376</f>
        <v>#DIV/0!</v>
      </c>
      <c r="AK376" s="7" t="e">
        <f>IF(AJ376&lt;=0.8,"A",IF(Table2[[#This Row],[Cumulative rev]]&lt;=0.95,"B","C"))</f>
        <v>#DIV/0!</v>
      </c>
    </row>
    <row r="377" spans="1:37" x14ac:dyDescent="0.3">
      <c r="A377" t="s">
        <v>390</v>
      </c>
      <c r="B377" s="4">
        <v>45835</v>
      </c>
      <c r="C377" s="4" t="s">
        <v>2108</v>
      </c>
      <c r="D377" s="4" t="s">
        <v>2097</v>
      </c>
      <c r="E377" s="4">
        <v>45849</v>
      </c>
      <c r="F377" t="s">
        <v>2064</v>
      </c>
      <c r="G377" s="4">
        <v>45849</v>
      </c>
      <c r="H377" s="4">
        <f>_xlfn.MINIFS(B377:B1008, N377:N1008, N377)</f>
        <v>44938</v>
      </c>
      <c r="I377" s="4" t="str">
        <f t="shared" si="10"/>
        <v>Jan-2023</v>
      </c>
      <c r="J377" s="13">
        <f t="shared" si="11"/>
        <v>30</v>
      </c>
      <c r="K377" s="13">
        <v>14</v>
      </c>
      <c r="L377" s="30" t="str">
        <f>IF(Table2[[#This Row],[LeadTimeDays]]&lt;7,"1","0")</f>
        <v>0</v>
      </c>
      <c r="M377" s="7" t="s">
        <v>647</v>
      </c>
      <c r="N377" s="7" t="s">
        <v>659</v>
      </c>
      <c r="O377" s="7" t="s">
        <v>685</v>
      </c>
      <c r="P377" s="7" t="s">
        <v>705</v>
      </c>
      <c r="Q377" s="7" t="s">
        <v>709</v>
      </c>
      <c r="R377" s="7" t="s">
        <v>716</v>
      </c>
      <c r="S377" s="7" t="s">
        <v>729</v>
      </c>
      <c r="T377" s="7" t="s">
        <v>1803</v>
      </c>
      <c r="U377" s="9">
        <v>1227.7</v>
      </c>
      <c r="V377" s="9">
        <v>2197.23</v>
      </c>
      <c r="W377" s="9">
        <v>2197.23</v>
      </c>
      <c r="X377" s="9">
        <v>882.60100000000011</v>
      </c>
      <c r="Y377" s="9">
        <v>1626.9110000000001</v>
      </c>
      <c r="Z377" s="9" t="s">
        <v>2095</v>
      </c>
      <c r="AA377" t="s">
        <v>2065</v>
      </c>
      <c r="AB377" s="11">
        <v>9.9000000000000005E-2</v>
      </c>
      <c r="AC377" t="s">
        <v>2065</v>
      </c>
      <c r="AD377" s="13">
        <v>22</v>
      </c>
      <c r="AE377" s="9">
        <v>43553.493060000001</v>
      </c>
      <c r="AF377" s="9">
        <v>27009.4</v>
      </c>
      <c r="AG377" s="9">
        <v>16544.093059999999</v>
      </c>
      <c r="AH377" s="11">
        <v>0.37985685871873898</v>
      </c>
      <c r="AI377" s="9">
        <f>SUMIFS(AD377:AD1008, R377:R1008, S377)</f>
        <v>0</v>
      </c>
      <c r="AJ377" s="11" t="e">
        <f>SUMIFS(AD377:AD1008, R377:R1008, S377, AD377:AD1008, "&gt;" &amp; AE377) / AI377</f>
        <v>#DIV/0!</v>
      </c>
      <c r="AK377" s="7" t="e">
        <f>IF(AJ377&lt;=0.8,"A",IF(Table2[[#This Row],[Cumulative rev]]&lt;=0.95,"B","C"))</f>
        <v>#DIV/0!</v>
      </c>
    </row>
    <row r="378" spans="1:37" x14ac:dyDescent="0.3">
      <c r="A378" t="s">
        <v>391</v>
      </c>
      <c r="B378" s="4">
        <v>44998</v>
      </c>
      <c r="C378" s="4" t="s">
        <v>2114</v>
      </c>
      <c r="D378" s="4" t="s">
        <v>2085</v>
      </c>
      <c r="E378" s="4">
        <v>45020</v>
      </c>
      <c r="F378" t="s">
        <v>2064</v>
      </c>
      <c r="G378" s="4">
        <v>45020</v>
      </c>
      <c r="H378" s="4">
        <f>_xlfn.MINIFS(B378:B1009, N378:N1009, N378)</f>
        <v>44933</v>
      </c>
      <c r="I378" s="4" t="str">
        <f t="shared" si="10"/>
        <v>Jan-2023</v>
      </c>
      <c r="J378" s="13">
        <f t="shared" si="11"/>
        <v>3</v>
      </c>
      <c r="K378" s="13">
        <v>22</v>
      </c>
      <c r="L378" s="30" t="str">
        <f>IF(Table2[[#This Row],[LeadTimeDays]]&lt;7,"1","0")</f>
        <v>0</v>
      </c>
      <c r="M378" s="7" t="s">
        <v>646</v>
      </c>
      <c r="N378" s="7" t="s">
        <v>661</v>
      </c>
      <c r="O378" s="7" t="s">
        <v>687</v>
      </c>
      <c r="P378" s="7" t="s">
        <v>705</v>
      </c>
      <c r="Q378" s="7" t="s">
        <v>707</v>
      </c>
      <c r="R378" s="7" t="s">
        <v>720</v>
      </c>
      <c r="S378" s="7" t="s">
        <v>727</v>
      </c>
      <c r="T378" s="7" t="s">
        <v>1804</v>
      </c>
      <c r="U378" s="9">
        <v>1113.7</v>
      </c>
      <c r="V378" s="9">
        <v>1620.6</v>
      </c>
      <c r="W378" s="9">
        <v>1620.6</v>
      </c>
      <c r="X378" s="9">
        <v>880.58320000000003</v>
      </c>
      <c r="Y378" s="9">
        <v>1625.15</v>
      </c>
      <c r="Z378" s="9" t="s">
        <v>2092</v>
      </c>
      <c r="AA378" t="s">
        <v>2065</v>
      </c>
      <c r="AB378" s="11">
        <v>0.13900000000000001</v>
      </c>
      <c r="AC378" t="s">
        <v>2065</v>
      </c>
      <c r="AD378" s="13">
        <v>11</v>
      </c>
      <c r="AE378" s="9">
        <v>15348.702599999999</v>
      </c>
      <c r="AF378" s="9">
        <v>12250.7</v>
      </c>
      <c r="AG378" s="9">
        <v>3098.002599999998</v>
      </c>
      <c r="AH378" s="11">
        <v>0.20184133348182787</v>
      </c>
      <c r="AI378" s="9">
        <f>SUMIFS(AD378:AD1009, R378:R1009, S378)</f>
        <v>0</v>
      </c>
      <c r="AJ378" s="11" t="e">
        <f>SUMIFS(AD378:AD1009, R378:R1009, S378, AD378:AD1009, "&gt;" &amp; AE378) / AI378</f>
        <v>#DIV/0!</v>
      </c>
      <c r="AK378" s="7" t="e">
        <f>IF(AJ378&lt;=0.8,"A",IF(Table2[[#This Row],[Cumulative rev]]&lt;=0.95,"B","C"))</f>
        <v>#DIV/0!</v>
      </c>
    </row>
    <row r="379" spans="1:37" x14ac:dyDescent="0.3">
      <c r="A379" t="s">
        <v>392</v>
      </c>
      <c r="B379" s="4">
        <v>45664</v>
      </c>
      <c r="C379" s="4" t="s">
        <v>2099</v>
      </c>
      <c r="D379" s="4" t="s">
        <v>2087</v>
      </c>
      <c r="E379" s="4">
        <v>45677</v>
      </c>
      <c r="F379" t="s">
        <v>2064</v>
      </c>
      <c r="G379" s="4">
        <v>45677</v>
      </c>
      <c r="H379" s="4">
        <f>_xlfn.MINIFS(B379:B1010, N379:N1010, N379)</f>
        <v>44933</v>
      </c>
      <c r="I379" s="4" t="str">
        <f t="shared" si="10"/>
        <v>Jan-2023</v>
      </c>
      <c r="J379" s="13">
        <f t="shared" si="11"/>
        <v>25</v>
      </c>
      <c r="K379" s="13">
        <v>13</v>
      </c>
      <c r="L379" s="30" t="str">
        <f>IF(Table2[[#This Row],[LeadTimeDays]]&lt;7,"1","0")</f>
        <v>0</v>
      </c>
      <c r="M379" s="7" t="s">
        <v>646</v>
      </c>
      <c r="N379" s="7" t="s">
        <v>661</v>
      </c>
      <c r="O379" s="7" t="s">
        <v>695</v>
      </c>
      <c r="P379" s="7" t="s">
        <v>701</v>
      </c>
      <c r="Q379" s="7" t="s">
        <v>711</v>
      </c>
      <c r="R379" s="7" t="s">
        <v>723</v>
      </c>
      <c r="S379" s="7" t="s">
        <v>729</v>
      </c>
      <c r="T379" s="7" t="s">
        <v>1805</v>
      </c>
      <c r="U379" s="9">
        <v>432.13</v>
      </c>
      <c r="V379" s="9">
        <v>1034.6600000000001</v>
      </c>
      <c r="W379" s="9">
        <v>1034.6600000000001</v>
      </c>
      <c r="X379" s="9">
        <v>879.8374</v>
      </c>
      <c r="Y379" s="9">
        <v>1625.4050000000002</v>
      </c>
      <c r="Z379" s="9" t="s">
        <v>2092</v>
      </c>
      <c r="AA379" t="s">
        <v>2065</v>
      </c>
      <c r="AB379" s="11">
        <v>9.1999999999999998E-2</v>
      </c>
      <c r="AC379" t="s">
        <v>2065</v>
      </c>
      <c r="AD379" s="13">
        <v>7</v>
      </c>
      <c r="AE379" s="9">
        <v>6576.298960000001</v>
      </c>
      <c r="AF379" s="9">
        <v>3024.91</v>
      </c>
      <c r="AG379" s="9">
        <v>3551.3889600000011</v>
      </c>
      <c r="AH379" s="11">
        <v>0.54002851476204794</v>
      </c>
      <c r="AI379" s="9">
        <f>SUMIFS(AD379:AD1010, R379:R1010, S379)</f>
        <v>0</v>
      </c>
      <c r="AJ379" s="11" t="e">
        <f>SUMIFS(AD379:AD1010, R379:R1010, S379, AD379:AD1010, "&gt;" &amp; AE379) / AI379</f>
        <v>#DIV/0!</v>
      </c>
      <c r="AK379" s="7" t="e">
        <f>IF(AJ379&lt;=0.8,"A",IF(Table2[[#This Row],[Cumulative rev]]&lt;=0.95,"B","C"))</f>
        <v>#DIV/0!</v>
      </c>
    </row>
    <row r="380" spans="1:37" x14ac:dyDescent="0.3">
      <c r="A380" t="s">
        <v>393</v>
      </c>
      <c r="B380" s="4">
        <v>45694</v>
      </c>
      <c r="C380" s="4" t="s">
        <v>2119</v>
      </c>
      <c r="D380" s="4" t="s">
        <v>2087</v>
      </c>
      <c r="E380" s="4">
        <v>45703</v>
      </c>
      <c r="F380" t="s">
        <v>2064</v>
      </c>
      <c r="G380" s="4">
        <v>45703</v>
      </c>
      <c r="H380" s="4">
        <f>_xlfn.MINIFS(B380:B1011, N380:N1011, N380)</f>
        <v>44955</v>
      </c>
      <c r="I380" s="4" t="str">
        <f t="shared" si="10"/>
        <v>Jan-2023</v>
      </c>
      <c r="J380" s="13">
        <f t="shared" si="11"/>
        <v>25</v>
      </c>
      <c r="K380" s="13">
        <v>9</v>
      </c>
      <c r="L380" s="30" t="str">
        <f>IF(Table2[[#This Row],[LeadTimeDays]]&lt;7,"1","0")</f>
        <v>0</v>
      </c>
      <c r="M380" s="7" t="s">
        <v>648</v>
      </c>
      <c r="N380" s="7" t="s">
        <v>655</v>
      </c>
      <c r="O380" s="7" t="s">
        <v>670</v>
      </c>
      <c r="P380" s="7" t="s">
        <v>703</v>
      </c>
      <c r="Q380" s="7" t="s">
        <v>710</v>
      </c>
      <c r="R380" s="7" t="s">
        <v>721</v>
      </c>
      <c r="S380" s="7" t="s">
        <v>729</v>
      </c>
      <c r="T380" s="7" t="s">
        <v>1806</v>
      </c>
      <c r="U380" s="9">
        <v>837.39</v>
      </c>
      <c r="V380" s="9">
        <v>1905.42</v>
      </c>
      <c r="W380" s="9">
        <v>1905.42</v>
      </c>
      <c r="X380" s="9">
        <v>879.09160000000008</v>
      </c>
      <c r="Y380" s="9">
        <v>1627.0104000000001</v>
      </c>
      <c r="Z380" s="9" t="s">
        <v>2095</v>
      </c>
      <c r="AA380" t="s">
        <v>2065</v>
      </c>
      <c r="AB380" s="11">
        <v>3.2000000000000001E-2</v>
      </c>
      <c r="AC380" t="s">
        <v>2065</v>
      </c>
      <c r="AD380" s="13">
        <v>18</v>
      </c>
      <c r="AE380" s="9">
        <v>33200.038079999998</v>
      </c>
      <c r="AF380" s="9">
        <v>15073.02</v>
      </c>
      <c r="AG380" s="9">
        <v>18127.018079999998</v>
      </c>
      <c r="AH380" s="11">
        <v>0.54599389423350919</v>
      </c>
      <c r="AI380" s="9">
        <f>SUMIFS(AD380:AD1011, R380:R1011, S380)</f>
        <v>0</v>
      </c>
      <c r="AJ380" s="11" t="e">
        <f>SUMIFS(AD380:AD1011, R380:R1011, S380, AD380:AD1011, "&gt;" &amp; AE380) / AI380</f>
        <v>#DIV/0!</v>
      </c>
      <c r="AK380" s="7" t="e">
        <f>IF(AJ380&lt;=0.8,"A",IF(Table2[[#This Row],[Cumulative rev]]&lt;=0.95,"B","C"))</f>
        <v>#DIV/0!</v>
      </c>
    </row>
    <row r="381" spans="1:37" x14ac:dyDescent="0.3">
      <c r="A381" t="s">
        <v>394</v>
      </c>
      <c r="B381" s="4">
        <v>45688</v>
      </c>
      <c r="C381" s="4" t="s">
        <v>2099</v>
      </c>
      <c r="D381" s="4" t="s">
        <v>2087</v>
      </c>
      <c r="E381" s="4">
        <v>45705</v>
      </c>
      <c r="F381" t="s">
        <v>2064</v>
      </c>
      <c r="G381" s="4">
        <v>45705</v>
      </c>
      <c r="H381" s="4">
        <f>_xlfn.MINIFS(B381:B1012, N381:N1012, N381)</f>
        <v>44945</v>
      </c>
      <c r="I381" s="4" t="str">
        <f t="shared" si="10"/>
        <v>Jan-2023</v>
      </c>
      <c r="J381" s="13">
        <f t="shared" si="11"/>
        <v>25</v>
      </c>
      <c r="K381" s="13">
        <v>17</v>
      </c>
      <c r="L381" s="30" t="str">
        <f>IF(Table2[[#This Row],[LeadTimeDays]]&lt;7,"1","0")</f>
        <v>0</v>
      </c>
      <c r="M381" s="7" t="s">
        <v>649</v>
      </c>
      <c r="N381" s="7" t="s">
        <v>658</v>
      </c>
      <c r="O381" s="7" t="s">
        <v>683</v>
      </c>
      <c r="P381" s="7" t="s">
        <v>706</v>
      </c>
      <c r="Q381" s="7" t="s">
        <v>707</v>
      </c>
      <c r="R381" s="7" t="s">
        <v>722</v>
      </c>
      <c r="S381" s="7" t="s">
        <v>727</v>
      </c>
      <c r="T381" s="7" t="s">
        <v>1506</v>
      </c>
      <c r="U381" s="9">
        <v>378.26</v>
      </c>
      <c r="V381" s="9">
        <v>541.55999999999995</v>
      </c>
      <c r="W381" s="9">
        <v>541.55999999999995</v>
      </c>
      <c r="X381" s="9">
        <v>878.40359999999998</v>
      </c>
      <c r="Y381" s="9">
        <v>1625.165</v>
      </c>
      <c r="Z381" s="9" t="s">
        <v>2081</v>
      </c>
      <c r="AA381" t="s">
        <v>2065</v>
      </c>
      <c r="AB381" s="11">
        <v>0.16300000000000001</v>
      </c>
      <c r="AC381" t="s">
        <v>2065</v>
      </c>
      <c r="AD381" s="13">
        <v>25</v>
      </c>
      <c r="AE381" s="9">
        <v>11332.142999999998</v>
      </c>
      <c r="AF381" s="9">
        <v>9456.5</v>
      </c>
      <c r="AG381" s="9">
        <v>1875.6429999999982</v>
      </c>
      <c r="AH381" s="11">
        <v>0.16551529573885526</v>
      </c>
      <c r="AI381" s="9">
        <f>SUMIFS(AD381:AD1012, R381:R1012, S381)</f>
        <v>0</v>
      </c>
      <c r="AJ381" s="11" t="e">
        <f>SUMIFS(AD381:AD1012, R381:R1012, S381, AD381:AD1012, "&gt;" &amp; AE381) / AI381</f>
        <v>#DIV/0!</v>
      </c>
      <c r="AK381" s="7" t="e">
        <f>IF(AJ381&lt;=0.8,"A",IF(Table2[[#This Row],[Cumulative rev]]&lt;=0.95,"B","C"))</f>
        <v>#DIV/0!</v>
      </c>
    </row>
    <row r="382" spans="1:37" x14ac:dyDescent="0.3">
      <c r="A382" t="s">
        <v>395</v>
      </c>
      <c r="B382" s="4">
        <v>45876</v>
      </c>
      <c r="C382" s="4" t="s">
        <v>2121</v>
      </c>
      <c r="D382" s="4" t="s">
        <v>2101</v>
      </c>
      <c r="E382" s="4">
        <v>45906</v>
      </c>
      <c r="F382" t="s">
        <v>2064</v>
      </c>
      <c r="G382" s="4">
        <v>45906</v>
      </c>
      <c r="H382" s="4">
        <f>_xlfn.MINIFS(B382:B1013, N382:N1013, N382)</f>
        <v>45029</v>
      </c>
      <c r="I382" s="4" t="str">
        <f t="shared" si="10"/>
        <v>Apr-2023</v>
      </c>
      <c r="J382" s="13">
        <f t="shared" si="11"/>
        <v>28</v>
      </c>
      <c r="K382" s="13">
        <v>30</v>
      </c>
      <c r="L382" s="30" t="str">
        <f>IF(Table2[[#This Row],[LeadTimeDays]]&lt;7,"1","0")</f>
        <v>0</v>
      </c>
      <c r="M382" s="7" t="s">
        <v>648</v>
      </c>
      <c r="N382" s="7" t="s">
        <v>653</v>
      </c>
      <c r="O382" s="7" t="s">
        <v>681</v>
      </c>
      <c r="P382" s="7" t="s">
        <v>702</v>
      </c>
      <c r="Q382" s="7" t="s">
        <v>711</v>
      </c>
      <c r="R382" s="7" t="s">
        <v>724</v>
      </c>
      <c r="S382" s="7" t="s">
        <v>729</v>
      </c>
      <c r="T382" s="7" t="s">
        <v>1807</v>
      </c>
      <c r="U382" s="9">
        <v>833.73</v>
      </c>
      <c r="V382" s="9">
        <v>1116.5999999999999</v>
      </c>
      <c r="W382" s="9">
        <v>1116.5999999999999</v>
      </c>
      <c r="X382" s="9">
        <v>879.86</v>
      </c>
      <c r="Y382" s="9">
        <v>1625.42</v>
      </c>
      <c r="Z382" s="9" t="s">
        <v>2092</v>
      </c>
      <c r="AA382" t="s">
        <v>2065</v>
      </c>
      <c r="AB382" s="11">
        <v>0.17599999999999999</v>
      </c>
      <c r="AC382" t="s">
        <v>2065</v>
      </c>
      <c r="AD382" s="13">
        <v>14</v>
      </c>
      <c r="AE382" s="9">
        <v>12881.097599999999</v>
      </c>
      <c r="AF382" s="9">
        <v>11672.220000000001</v>
      </c>
      <c r="AG382" s="9">
        <v>1208.877599999998</v>
      </c>
      <c r="AH382" s="11">
        <v>9.3848958958279924E-2</v>
      </c>
      <c r="AI382" s="9">
        <f>SUMIFS(AD382:AD1013, R382:R1013, S382)</f>
        <v>0</v>
      </c>
      <c r="AJ382" s="11" t="e">
        <f>SUMIFS(AD382:AD1013, R382:R1013, S382, AD382:AD1013, "&gt;" &amp; AE382) / AI382</f>
        <v>#DIV/0!</v>
      </c>
      <c r="AK382" s="7" t="e">
        <f>IF(AJ382&lt;=0.8,"A",IF(Table2[[#This Row],[Cumulative rev]]&lt;=0.95,"B","C"))</f>
        <v>#DIV/0!</v>
      </c>
    </row>
    <row r="383" spans="1:37" x14ac:dyDescent="0.3">
      <c r="A383" t="s">
        <v>396</v>
      </c>
      <c r="B383" s="4">
        <v>45861</v>
      </c>
      <c r="C383" s="4" t="s">
        <v>2104</v>
      </c>
      <c r="D383" s="4" t="s">
        <v>2101</v>
      </c>
      <c r="E383" s="4">
        <v>45886</v>
      </c>
      <c r="F383" t="s">
        <v>2064</v>
      </c>
      <c r="G383" s="4">
        <v>45886</v>
      </c>
      <c r="H383" s="4">
        <f>_xlfn.MINIFS(B383:B1014, N383:N1014, N383)</f>
        <v>44945</v>
      </c>
      <c r="I383" s="4" t="str">
        <f t="shared" si="10"/>
        <v>Jan-2023</v>
      </c>
      <c r="J383" s="13">
        <f t="shared" si="11"/>
        <v>31</v>
      </c>
      <c r="K383" s="13">
        <v>25</v>
      </c>
      <c r="L383" s="30" t="str">
        <f>IF(Table2[[#This Row],[LeadTimeDays]]&lt;7,"1","0")</f>
        <v>0</v>
      </c>
      <c r="M383" s="7" t="s">
        <v>649</v>
      </c>
      <c r="N383" s="7" t="s">
        <v>658</v>
      </c>
      <c r="O383" s="7" t="s">
        <v>674</v>
      </c>
      <c r="P383" s="7" t="s">
        <v>702</v>
      </c>
      <c r="Q383" s="7" t="s">
        <v>708</v>
      </c>
      <c r="R383" s="7" t="s">
        <v>714</v>
      </c>
      <c r="S383" s="7" t="s">
        <v>728</v>
      </c>
      <c r="T383" s="7" t="s">
        <v>1808</v>
      </c>
      <c r="U383" s="9">
        <v>1142.06</v>
      </c>
      <c r="V383" s="9">
        <v>1455</v>
      </c>
      <c r="W383" s="9">
        <v>1455</v>
      </c>
      <c r="X383" s="9">
        <v>879.11419999999998</v>
      </c>
      <c r="Y383" s="9">
        <v>1627.1098000000002</v>
      </c>
      <c r="Z383" s="9" t="s">
        <v>2092</v>
      </c>
      <c r="AA383" t="s">
        <v>2065</v>
      </c>
      <c r="AB383" s="11">
        <v>7.8E-2</v>
      </c>
      <c r="AC383" t="s">
        <v>2065</v>
      </c>
      <c r="AD383" s="13">
        <v>28</v>
      </c>
      <c r="AE383" s="9">
        <v>37562.28</v>
      </c>
      <c r="AF383" s="9">
        <v>31977.68</v>
      </c>
      <c r="AG383" s="9">
        <v>5584.5999999999985</v>
      </c>
      <c r="AH383" s="11">
        <v>0.1486757459877302</v>
      </c>
      <c r="AI383" s="9">
        <f>SUMIFS(AD383:AD1014, R383:R1014, S383)</f>
        <v>0</v>
      </c>
      <c r="AJ383" s="11" t="e">
        <f>SUMIFS(AD383:AD1014, R383:R1014, S383, AD383:AD1014, "&gt;" &amp; AE383) / AI383</f>
        <v>#DIV/0!</v>
      </c>
      <c r="AK383" s="7" t="e">
        <f>IF(AJ383&lt;=0.8,"A",IF(Table2[[#This Row],[Cumulative rev]]&lt;=0.95,"B","C"))</f>
        <v>#DIV/0!</v>
      </c>
    </row>
    <row r="384" spans="1:37" x14ac:dyDescent="0.3">
      <c r="A384" t="s">
        <v>397</v>
      </c>
      <c r="B384" s="4">
        <v>45097</v>
      </c>
      <c r="C384" s="4" t="s">
        <v>2115</v>
      </c>
      <c r="D384" s="4" t="s">
        <v>2103</v>
      </c>
      <c r="E384" s="4">
        <v>45115</v>
      </c>
      <c r="F384" t="s">
        <v>2064</v>
      </c>
      <c r="G384" s="4">
        <v>45115</v>
      </c>
      <c r="H384" s="4">
        <f>_xlfn.MINIFS(B384:B1015, N384:N1015, N384)</f>
        <v>44984</v>
      </c>
      <c r="I384" s="4" t="str">
        <f t="shared" si="10"/>
        <v>Feb-2023</v>
      </c>
      <c r="J384" s="13">
        <f t="shared" si="11"/>
        <v>4</v>
      </c>
      <c r="K384" s="13">
        <v>18</v>
      </c>
      <c r="L384" s="30" t="str">
        <f>IF(Table2[[#This Row],[LeadTimeDays]]&lt;7,"1","0")</f>
        <v>0</v>
      </c>
      <c r="M384" s="7" t="s">
        <v>648</v>
      </c>
      <c r="N384" s="7" t="s">
        <v>1425</v>
      </c>
      <c r="O384" s="7" t="s">
        <v>700</v>
      </c>
      <c r="P384" s="7" t="s">
        <v>704</v>
      </c>
      <c r="Q384" s="7" t="s">
        <v>709</v>
      </c>
      <c r="R384" s="7" t="s">
        <v>719</v>
      </c>
      <c r="S384" s="7" t="s">
        <v>729</v>
      </c>
      <c r="T384" s="7" t="s">
        <v>1809</v>
      </c>
      <c r="U384" s="9">
        <v>1145.53</v>
      </c>
      <c r="V384" s="9">
        <v>1278.3</v>
      </c>
      <c r="W384" s="9">
        <v>1278.3</v>
      </c>
      <c r="X384" s="9">
        <v>878.42280000000005</v>
      </c>
      <c r="Y384" s="9">
        <v>1628.7996000000001</v>
      </c>
      <c r="Z384" s="9" t="s">
        <v>2092</v>
      </c>
      <c r="AA384" t="s">
        <v>2065</v>
      </c>
      <c r="AB384" s="11">
        <v>0.09</v>
      </c>
      <c r="AC384" t="s">
        <v>2065</v>
      </c>
      <c r="AD384" s="13">
        <v>41</v>
      </c>
      <c r="AE384" s="9">
        <v>47693.373</v>
      </c>
      <c r="AF384" s="9">
        <v>46966.729999999996</v>
      </c>
      <c r="AG384" s="9">
        <v>726.64300000000367</v>
      </c>
      <c r="AH384" s="11">
        <v>1.5235722581416158E-2</v>
      </c>
      <c r="AI384" s="9">
        <f>SUMIFS(AD384:AD1015, R384:R1015, S384)</f>
        <v>0</v>
      </c>
      <c r="AJ384" s="11" t="e">
        <f>SUMIFS(AD384:AD1015, R384:R1015, S384, AD384:AD1015, "&gt;" &amp; AE384) / AI384</f>
        <v>#DIV/0!</v>
      </c>
      <c r="AK384" s="7" t="e">
        <f>IF(AJ384&lt;=0.8,"A",IF(Table2[[#This Row],[Cumulative rev]]&lt;=0.95,"B","C"))</f>
        <v>#DIV/0!</v>
      </c>
    </row>
    <row r="385" spans="1:37" x14ac:dyDescent="0.3">
      <c r="A385" t="s">
        <v>398</v>
      </c>
      <c r="B385" s="4">
        <v>45491</v>
      </c>
      <c r="C385" s="4" t="s">
        <v>2105</v>
      </c>
      <c r="D385" s="4" t="s">
        <v>2106</v>
      </c>
      <c r="E385" s="4">
        <v>45511</v>
      </c>
      <c r="F385" t="s">
        <v>2064</v>
      </c>
      <c r="G385" s="4">
        <v>45511</v>
      </c>
      <c r="H385" s="4">
        <f>_xlfn.MINIFS(B385:B1016, N385:N1016, N385)</f>
        <v>45019</v>
      </c>
      <c r="I385" s="4" t="str">
        <f t="shared" si="10"/>
        <v>Apr-2023</v>
      </c>
      <c r="J385" s="13">
        <f t="shared" si="11"/>
        <v>16</v>
      </c>
      <c r="K385" s="13">
        <v>20</v>
      </c>
      <c r="L385" s="30" t="str">
        <f>IF(Table2[[#This Row],[LeadTimeDays]]&lt;7,"1","0")</f>
        <v>0</v>
      </c>
      <c r="M385" s="7" t="s">
        <v>649</v>
      </c>
      <c r="N385" s="7" t="s">
        <v>657</v>
      </c>
      <c r="O385" s="7" t="s">
        <v>673</v>
      </c>
      <c r="P385" s="7" t="s">
        <v>701</v>
      </c>
      <c r="Q385" s="7" t="s">
        <v>707</v>
      </c>
      <c r="R385" s="7" t="s">
        <v>721</v>
      </c>
      <c r="S385" s="7" t="s">
        <v>732</v>
      </c>
      <c r="T385" s="7" t="s">
        <v>1810</v>
      </c>
      <c r="U385" s="9">
        <v>941.35</v>
      </c>
      <c r="V385" s="9">
        <v>899.83</v>
      </c>
      <c r="W385" s="9">
        <v>899.83</v>
      </c>
      <c r="X385" s="9">
        <v>877.78919999999994</v>
      </c>
      <c r="Y385" s="9">
        <v>1630.6144000000002</v>
      </c>
      <c r="Z385" s="9" t="s">
        <v>2092</v>
      </c>
      <c r="AA385" t="s">
        <v>2065</v>
      </c>
      <c r="AB385" s="11">
        <v>5.8000000000000003E-2</v>
      </c>
      <c r="AC385" t="s">
        <v>2065</v>
      </c>
      <c r="AD385" s="13">
        <v>18</v>
      </c>
      <c r="AE385" s="9">
        <v>15257.51748</v>
      </c>
      <c r="AF385" s="9">
        <v>16944.3</v>
      </c>
      <c r="AG385" s="9">
        <v>-1686.7825199999988</v>
      </c>
      <c r="AH385" s="11">
        <v>-0.11055419220139073</v>
      </c>
      <c r="AI385" s="9">
        <f>SUMIFS(AD385:AD1016, R385:R1016, S385)</f>
        <v>0</v>
      </c>
      <c r="AJ385" s="11" t="e">
        <f>SUMIFS(AD385:AD1016, R385:R1016, S385, AD385:AD1016, "&gt;" &amp; AE385) / AI385</f>
        <v>#DIV/0!</v>
      </c>
      <c r="AK385" s="7" t="e">
        <f>IF(AJ385&lt;=0.8,"A",IF(Table2[[#This Row],[Cumulative rev]]&lt;=0.95,"B","C"))</f>
        <v>#DIV/0!</v>
      </c>
    </row>
    <row r="386" spans="1:37" x14ac:dyDescent="0.3">
      <c r="A386" t="s">
        <v>399</v>
      </c>
      <c r="B386" s="4">
        <v>45066</v>
      </c>
      <c r="C386" s="4" t="s">
        <v>2107</v>
      </c>
      <c r="D386" s="4" t="s">
        <v>2103</v>
      </c>
      <c r="E386" s="4">
        <v>45096</v>
      </c>
      <c r="F386" t="s">
        <v>2064</v>
      </c>
      <c r="G386" s="4">
        <v>45096</v>
      </c>
      <c r="H386" s="4">
        <f>_xlfn.MINIFS(B386:B1017, N386:N1017, N386)</f>
        <v>45048</v>
      </c>
      <c r="I386" s="4" t="str">
        <f t="shared" si="10"/>
        <v>May-2023</v>
      </c>
      <c r="J386" s="13">
        <f t="shared" si="11"/>
        <v>1</v>
      </c>
      <c r="K386" s="13">
        <v>30</v>
      </c>
      <c r="L386" s="30" t="str">
        <f>IF(Table2[[#This Row],[LeadTimeDays]]&lt;7,"1","0")</f>
        <v>0</v>
      </c>
      <c r="M386" s="7" t="s">
        <v>647</v>
      </c>
      <c r="N386" s="7" t="s">
        <v>654</v>
      </c>
      <c r="O386" s="7" t="s">
        <v>680</v>
      </c>
      <c r="P386" s="7" t="s">
        <v>703</v>
      </c>
      <c r="Q386" s="7" t="s">
        <v>709</v>
      </c>
      <c r="R386" s="7" t="s">
        <v>722</v>
      </c>
      <c r="S386" s="7" t="s">
        <v>731</v>
      </c>
      <c r="T386" s="7" t="s">
        <v>1811</v>
      </c>
      <c r="U386" s="9">
        <v>1161.2</v>
      </c>
      <c r="V386" s="9">
        <v>878.73</v>
      </c>
      <c r="W386" s="9">
        <v>878.73</v>
      </c>
      <c r="X386" s="9">
        <v>877.15559999999994</v>
      </c>
      <c r="Y386" s="9">
        <v>1634.4292000000003</v>
      </c>
      <c r="Z386" s="9" t="s">
        <v>2092</v>
      </c>
      <c r="AA386" t="s">
        <v>2065</v>
      </c>
      <c r="AB386" s="11">
        <v>0.19</v>
      </c>
      <c r="AC386" t="s">
        <v>2065</v>
      </c>
      <c r="AD386" s="13">
        <v>31</v>
      </c>
      <c r="AE386" s="9">
        <v>22064.910300000003</v>
      </c>
      <c r="AF386" s="9">
        <v>35997.200000000004</v>
      </c>
      <c r="AG386" s="9">
        <v>-13932.289700000001</v>
      </c>
      <c r="AH386" s="11">
        <v>-0.63142290227212028</v>
      </c>
      <c r="AI386" s="9">
        <f>SUMIFS(AD386:AD1017, R386:R1017, S386)</f>
        <v>0</v>
      </c>
      <c r="AJ386" s="11" t="e">
        <f>SUMIFS(AD386:AD1017, R386:R1017, S386, AD386:AD1017, "&gt;" &amp; AE386) / AI386</f>
        <v>#DIV/0!</v>
      </c>
      <c r="AK386" s="7" t="e">
        <f>IF(AJ386&lt;=0.8,"A",IF(Table2[[#This Row],[Cumulative rev]]&lt;=0.95,"B","C"))</f>
        <v>#DIV/0!</v>
      </c>
    </row>
    <row r="387" spans="1:37" x14ac:dyDescent="0.3">
      <c r="A387" t="s">
        <v>400</v>
      </c>
      <c r="B387" s="4">
        <v>45789</v>
      </c>
      <c r="C387" s="4" t="s">
        <v>2096</v>
      </c>
      <c r="D387" s="4" t="s">
        <v>2097</v>
      </c>
      <c r="E387" s="4">
        <v>45803</v>
      </c>
      <c r="F387" t="s">
        <v>2064</v>
      </c>
      <c r="G387" s="4">
        <v>45803</v>
      </c>
      <c r="H387" s="4">
        <f>_xlfn.MINIFS(B387:B1018, N387:N1018, N387)</f>
        <v>45048</v>
      </c>
      <c r="I387" s="4" t="str">
        <f t="shared" ref="I387:I450" si="12">TEXT(H387,"mmm-yyyy")</f>
        <v>May-2023</v>
      </c>
      <c r="J387" s="13">
        <f t="shared" ref="J387:J450" si="13">DATEDIF(H387, B387, "m") + 1</f>
        <v>25</v>
      </c>
      <c r="K387" s="13">
        <v>14</v>
      </c>
      <c r="L387" s="30" t="str">
        <f>IF(Table2[[#This Row],[LeadTimeDays]]&lt;7,"1","0")</f>
        <v>0</v>
      </c>
      <c r="M387" s="7" t="s">
        <v>647</v>
      </c>
      <c r="N387" s="7" t="s">
        <v>654</v>
      </c>
      <c r="O387" s="7" t="s">
        <v>696</v>
      </c>
      <c r="P387" s="7" t="s">
        <v>701</v>
      </c>
      <c r="Q387" s="7" t="s">
        <v>709</v>
      </c>
      <c r="R387" s="7" t="s">
        <v>715</v>
      </c>
      <c r="S387" s="7" t="s">
        <v>728</v>
      </c>
      <c r="T387" s="7" t="s">
        <v>1812</v>
      </c>
      <c r="U387" s="9">
        <v>320.12</v>
      </c>
      <c r="V387" s="9">
        <v>594.41999999999996</v>
      </c>
      <c r="W387" s="9">
        <v>594.41999999999996</v>
      </c>
      <c r="X387" s="9">
        <v>875.58150000000001</v>
      </c>
      <c r="Y387" s="9">
        <v>1638.2440000000001</v>
      </c>
      <c r="Z387" s="9" t="s">
        <v>2081</v>
      </c>
      <c r="AA387" t="s">
        <v>2065</v>
      </c>
      <c r="AB387" s="11">
        <v>0.104</v>
      </c>
      <c r="AC387" t="s">
        <v>2065</v>
      </c>
      <c r="AD387" s="13">
        <v>18</v>
      </c>
      <c r="AE387" s="9">
        <v>9586.8057599999993</v>
      </c>
      <c r="AF387" s="9">
        <v>5762.16</v>
      </c>
      <c r="AG387" s="9">
        <v>3824.6457599999994</v>
      </c>
      <c r="AH387" s="11">
        <v>0.39894891538931104</v>
      </c>
      <c r="AI387" s="9">
        <f>SUMIFS(AD387:AD1018, R387:R1018, S387)</f>
        <v>0</v>
      </c>
      <c r="AJ387" s="11" t="e">
        <f>SUMIFS(AD387:AD1018, R387:R1018, S387, AD387:AD1018, "&gt;" &amp; AE387) / AI387</f>
        <v>#DIV/0!</v>
      </c>
      <c r="AK387" s="7" t="e">
        <f>IF(AJ387&lt;=0.8,"A",IF(Table2[[#This Row],[Cumulative rev]]&lt;=0.95,"B","C"))</f>
        <v>#DIV/0!</v>
      </c>
    </row>
    <row r="388" spans="1:37" x14ac:dyDescent="0.3">
      <c r="A388" t="s">
        <v>401</v>
      </c>
      <c r="B388" s="4">
        <v>45419</v>
      </c>
      <c r="C388" s="4" t="s">
        <v>2093</v>
      </c>
      <c r="D388" s="4" t="s">
        <v>2094</v>
      </c>
      <c r="E388" s="4">
        <v>45424</v>
      </c>
      <c r="F388" t="s">
        <v>2064</v>
      </c>
      <c r="G388" s="4">
        <v>45424</v>
      </c>
      <c r="H388" s="4">
        <f>_xlfn.MINIFS(B388:B1019, N388:N1019, N388)</f>
        <v>44968</v>
      </c>
      <c r="I388" s="4" t="str">
        <f t="shared" si="12"/>
        <v>Feb-2023</v>
      </c>
      <c r="J388" s="13">
        <f t="shared" si="13"/>
        <v>15</v>
      </c>
      <c r="K388" s="13">
        <v>5</v>
      </c>
      <c r="L388" s="30" t="str">
        <f>IF(Table2[[#This Row],[LeadTimeDays]]&lt;7,"1","0")</f>
        <v>1</v>
      </c>
      <c r="M388" s="7" t="s">
        <v>646</v>
      </c>
      <c r="N388" s="7" t="s">
        <v>651</v>
      </c>
      <c r="O388" s="7" t="s">
        <v>669</v>
      </c>
      <c r="P388" s="7" t="s">
        <v>703</v>
      </c>
      <c r="Q388" s="7" t="s">
        <v>710</v>
      </c>
      <c r="R388" s="7" t="s">
        <v>716</v>
      </c>
      <c r="S388" s="7" t="s">
        <v>731</v>
      </c>
      <c r="T388" s="7" t="s">
        <v>1813</v>
      </c>
      <c r="U388" s="9">
        <v>1163.99</v>
      </c>
      <c r="V388" s="9">
        <v>1617.85</v>
      </c>
      <c r="W388" s="9">
        <v>1617.85</v>
      </c>
      <c r="X388" s="9">
        <v>878.98360000000002</v>
      </c>
      <c r="Y388" s="9">
        <v>1641.7647999999999</v>
      </c>
      <c r="Z388" s="9" t="s">
        <v>2092</v>
      </c>
      <c r="AA388" t="s">
        <v>2065</v>
      </c>
      <c r="AB388" s="11">
        <v>0.127</v>
      </c>
      <c r="AC388" t="s">
        <v>2065</v>
      </c>
      <c r="AD388" s="13">
        <v>14</v>
      </c>
      <c r="AE388" s="9">
        <v>19773.362699999998</v>
      </c>
      <c r="AF388" s="9">
        <v>16295.86</v>
      </c>
      <c r="AG388" s="9">
        <v>3477.5026999999973</v>
      </c>
      <c r="AH388" s="11">
        <v>0.17586804797749436</v>
      </c>
      <c r="AI388" s="9">
        <f>SUMIFS(AD388:AD1019, R388:R1019, S388)</f>
        <v>0</v>
      </c>
      <c r="AJ388" s="11" t="e">
        <f>SUMIFS(AD388:AD1019, R388:R1019, S388, AD388:AD1019, "&gt;" &amp; AE388) / AI388</f>
        <v>#DIV/0!</v>
      </c>
      <c r="AK388" s="7" t="e">
        <f>IF(AJ388&lt;=0.8,"A",IF(Table2[[#This Row],[Cumulative rev]]&lt;=0.95,"B","C"))</f>
        <v>#DIV/0!</v>
      </c>
    </row>
    <row r="389" spans="1:37" x14ac:dyDescent="0.3">
      <c r="A389" t="s">
        <v>402</v>
      </c>
      <c r="B389" s="4">
        <v>45199</v>
      </c>
      <c r="C389" s="4" t="s">
        <v>2120</v>
      </c>
      <c r="D389" s="4" t="s">
        <v>2117</v>
      </c>
      <c r="E389" s="4">
        <v>45202</v>
      </c>
      <c r="F389" t="s">
        <v>2064</v>
      </c>
      <c r="G389" s="4">
        <v>45202</v>
      </c>
      <c r="H389" s="4">
        <f>_xlfn.MINIFS(B389:B1020, N389:N1020, N389)</f>
        <v>44938</v>
      </c>
      <c r="I389" s="4" t="str">
        <f t="shared" si="12"/>
        <v>Jan-2023</v>
      </c>
      <c r="J389" s="13">
        <f t="shared" si="13"/>
        <v>9</v>
      </c>
      <c r="K389" s="13">
        <v>3</v>
      </c>
      <c r="L389" s="30" t="str">
        <f>IF(Table2[[#This Row],[LeadTimeDays]]&lt;7,"1","0")</f>
        <v>1</v>
      </c>
      <c r="M389" s="7" t="s">
        <v>647</v>
      </c>
      <c r="N389" s="7" t="s">
        <v>659</v>
      </c>
      <c r="O389" s="7" t="s">
        <v>699</v>
      </c>
      <c r="P389" s="7" t="s">
        <v>703</v>
      </c>
      <c r="Q389" s="7" t="s">
        <v>707</v>
      </c>
      <c r="R389" s="7" t="s">
        <v>713</v>
      </c>
      <c r="S389" s="7" t="s">
        <v>731</v>
      </c>
      <c r="T389" s="7" t="s">
        <v>1814</v>
      </c>
      <c r="U389" s="9">
        <v>1019.36</v>
      </c>
      <c r="V389" s="9">
        <v>972.91</v>
      </c>
      <c r="W389" s="9">
        <v>972.91</v>
      </c>
      <c r="X389" s="9">
        <v>877.60419999999999</v>
      </c>
      <c r="Y389" s="9">
        <v>1643.0806</v>
      </c>
      <c r="Z389" s="9" t="s">
        <v>2092</v>
      </c>
      <c r="AA389" t="s">
        <v>2065</v>
      </c>
      <c r="AB389" s="11">
        <v>0.14699999999999999</v>
      </c>
      <c r="AC389" t="s">
        <v>2065</v>
      </c>
      <c r="AD389" s="13">
        <v>17</v>
      </c>
      <c r="AE389" s="9">
        <v>14108.16791</v>
      </c>
      <c r="AF389" s="9">
        <v>17329.12</v>
      </c>
      <c r="AG389" s="9">
        <v>-3220.9520899999989</v>
      </c>
      <c r="AH389" s="11">
        <v>-0.22830406545678819</v>
      </c>
      <c r="AI389" s="9">
        <f>SUMIFS(AD389:AD1020, R389:R1020, S389)</f>
        <v>0</v>
      </c>
      <c r="AJ389" s="11" t="e">
        <f>SUMIFS(AD389:AD1020, R389:R1020, S389, AD389:AD1020, "&gt;" &amp; AE389) / AI389</f>
        <v>#DIV/0!</v>
      </c>
      <c r="AK389" s="7" t="e">
        <f>IF(AJ389&lt;=0.8,"A",IF(Table2[[#This Row],[Cumulative rev]]&lt;=0.95,"B","C"))</f>
        <v>#DIV/0!</v>
      </c>
    </row>
    <row r="390" spans="1:37" x14ac:dyDescent="0.3">
      <c r="A390" t="s">
        <v>403</v>
      </c>
      <c r="B390" s="4">
        <v>45225</v>
      </c>
      <c r="C390" s="4" t="s">
        <v>2125</v>
      </c>
      <c r="D390" s="4" t="s">
        <v>2089</v>
      </c>
      <c r="E390" s="4">
        <v>45235</v>
      </c>
      <c r="F390" t="s">
        <v>2064</v>
      </c>
      <c r="G390" s="4">
        <v>45235</v>
      </c>
      <c r="H390" s="4">
        <f>_xlfn.MINIFS(B390:B1021, N390:N1021, N390)</f>
        <v>44933</v>
      </c>
      <c r="I390" s="4" t="str">
        <f t="shared" si="12"/>
        <v>Jan-2023</v>
      </c>
      <c r="J390" s="13">
        <f t="shared" si="13"/>
        <v>10</v>
      </c>
      <c r="K390" s="13">
        <v>10</v>
      </c>
      <c r="L390" s="30" t="str">
        <f>IF(Table2[[#This Row],[LeadTimeDays]]&lt;7,"1","0")</f>
        <v>0</v>
      </c>
      <c r="M390" s="7" t="s">
        <v>646</v>
      </c>
      <c r="N390" s="7" t="s">
        <v>661</v>
      </c>
      <c r="O390" s="7" t="s">
        <v>695</v>
      </c>
      <c r="P390" s="7" t="s">
        <v>703</v>
      </c>
      <c r="Q390" s="7" t="s">
        <v>708</v>
      </c>
      <c r="R390" s="7" t="s">
        <v>714</v>
      </c>
      <c r="S390" s="7" t="s">
        <v>731</v>
      </c>
      <c r="T390" s="7" t="s">
        <v>1815</v>
      </c>
      <c r="U390" s="9">
        <v>20.38</v>
      </c>
      <c r="V390" s="9">
        <v>42.56</v>
      </c>
      <c r="W390" s="9">
        <v>42.56</v>
      </c>
      <c r="X390" s="9">
        <v>875.66339999999991</v>
      </c>
      <c r="Y390" s="9">
        <v>1644.3964000000001</v>
      </c>
      <c r="Z390" s="9" t="s">
        <v>2081</v>
      </c>
      <c r="AA390" t="s">
        <v>2065</v>
      </c>
      <c r="AB390" s="11">
        <v>7.1999999999999995E-2</v>
      </c>
      <c r="AC390" t="s">
        <v>2065</v>
      </c>
      <c r="AD390" s="13">
        <v>11</v>
      </c>
      <c r="AE390" s="9">
        <v>434.45248000000004</v>
      </c>
      <c r="AF390" s="9">
        <v>224.17999999999998</v>
      </c>
      <c r="AG390" s="9">
        <v>210.27248000000006</v>
      </c>
      <c r="AH390" s="11">
        <v>0.48399419885921713</v>
      </c>
      <c r="AI390" s="9">
        <f>SUMIFS(AD390:AD1021, R390:R1021, S390)</f>
        <v>0</v>
      </c>
      <c r="AJ390" s="11" t="e">
        <f>SUMIFS(AD390:AD1021, R390:R1021, S390, AD390:AD1021, "&gt;" &amp; AE390) / AI390</f>
        <v>#DIV/0!</v>
      </c>
      <c r="AK390" s="7" t="e">
        <f>IF(AJ390&lt;=0.8,"A",IF(Table2[[#This Row],[Cumulative rev]]&lt;=0.95,"B","C"))</f>
        <v>#DIV/0!</v>
      </c>
    </row>
    <row r="391" spans="1:37" x14ac:dyDescent="0.3">
      <c r="A391" t="s">
        <v>404</v>
      </c>
      <c r="B391" s="4">
        <v>45823</v>
      </c>
      <c r="C391" s="4" t="s">
        <v>2108</v>
      </c>
      <c r="D391" s="4" t="s">
        <v>2097</v>
      </c>
      <c r="E391" s="4">
        <v>45838</v>
      </c>
      <c r="F391" t="s">
        <v>2064</v>
      </c>
      <c r="G391" s="4">
        <v>45838</v>
      </c>
      <c r="H391" s="4">
        <f>_xlfn.MINIFS(B391:B1022, N391:N1022, N391)</f>
        <v>44933</v>
      </c>
      <c r="I391" s="4" t="str">
        <f t="shared" si="12"/>
        <v>Jan-2023</v>
      </c>
      <c r="J391" s="13">
        <f t="shared" si="13"/>
        <v>30</v>
      </c>
      <c r="K391" s="13">
        <v>15</v>
      </c>
      <c r="L391" s="30" t="str">
        <f>IF(Table2[[#This Row],[LeadTimeDays]]&lt;7,"1","0")</f>
        <v>0</v>
      </c>
      <c r="M391" s="7" t="s">
        <v>646</v>
      </c>
      <c r="N391" s="7" t="s">
        <v>661</v>
      </c>
      <c r="O391" s="7" t="s">
        <v>682</v>
      </c>
      <c r="P391" s="7" t="s">
        <v>705</v>
      </c>
      <c r="Q391" s="7" t="s">
        <v>711</v>
      </c>
      <c r="R391" s="7" t="s">
        <v>712</v>
      </c>
      <c r="S391" s="7" t="s">
        <v>732</v>
      </c>
      <c r="T391" s="7" t="s">
        <v>1816</v>
      </c>
      <c r="U391" s="9">
        <v>1487.59</v>
      </c>
      <c r="V391" s="9">
        <v>1480.83</v>
      </c>
      <c r="W391" s="9">
        <v>1480.83</v>
      </c>
      <c r="X391" s="9">
        <v>879.02539999999999</v>
      </c>
      <c r="Y391" s="9">
        <v>1646.2864</v>
      </c>
      <c r="Z391" s="9" t="s">
        <v>2092</v>
      </c>
      <c r="AA391" t="s">
        <v>2065</v>
      </c>
      <c r="AB391" s="11">
        <v>8.9999999999999993E-3</v>
      </c>
      <c r="AC391" t="s">
        <v>2065</v>
      </c>
      <c r="AD391" s="13">
        <v>11</v>
      </c>
      <c r="AE391" s="9">
        <v>16142.527829999999</v>
      </c>
      <c r="AF391" s="9">
        <v>16363.49</v>
      </c>
      <c r="AG391" s="9">
        <v>-220.9621700000007</v>
      </c>
      <c r="AH391" s="11">
        <v>-1.3688201273492908E-2</v>
      </c>
      <c r="AI391" s="9">
        <f>SUMIFS(AD391:AD1022, R391:R1022, S391)</f>
        <v>0</v>
      </c>
      <c r="AJ391" s="11" t="e">
        <f>SUMIFS(AD391:AD1022, R391:R1022, S391, AD391:AD1022, "&gt;" &amp; AE391) / AI391</f>
        <v>#DIV/0!</v>
      </c>
      <c r="AK391" s="7" t="e">
        <f>IF(AJ391&lt;=0.8,"A",IF(Table2[[#This Row],[Cumulative rev]]&lt;=0.95,"B","C"))</f>
        <v>#DIV/0!</v>
      </c>
    </row>
    <row r="392" spans="1:37" x14ac:dyDescent="0.3">
      <c r="A392" t="s">
        <v>405</v>
      </c>
      <c r="B392" s="4">
        <v>45514</v>
      </c>
      <c r="C392" s="4" t="s">
        <v>2113</v>
      </c>
      <c r="D392" s="4" t="s">
        <v>2106</v>
      </c>
      <c r="E392" s="4">
        <v>45542</v>
      </c>
      <c r="F392" t="s">
        <v>2064</v>
      </c>
      <c r="G392" s="4">
        <v>45542</v>
      </c>
      <c r="H392" s="4">
        <f>_xlfn.MINIFS(B392:B1023, N392:N1023, N392)</f>
        <v>45019</v>
      </c>
      <c r="I392" s="4" t="str">
        <f t="shared" si="12"/>
        <v>Apr-2023</v>
      </c>
      <c r="J392" s="13">
        <f t="shared" si="13"/>
        <v>17</v>
      </c>
      <c r="K392" s="13">
        <v>28</v>
      </c>
      <c r="L392" s="30" t="str">
        <f>IF(Table2[[#This Row],[LeadTimeDays]]&lt;7,"1","0")</f>
        <v>0</v>
      </c>
      <c r="M392" s="7" t="s">
        <v>649</v>
      </c>
      <c r="N392" s="7" t="s">
        <v>657</v>
      </c>
      <c r="O392" s="7" t="s">
        <v>673</v>
      </c>
      <c r="P392" s="7" t="s">
        <v>703</v>
      </c>
      <c r="Q392" s="7" t="s">
        <v>711</v>
      </c>
      <c r="R392" s="7" t="s">
        <v>721</v>
      </c>
      <c r="S392" s="7" t="s">
        <v>728</v>
      </c>
      <c r="T392" s="7" t="s">
        <v>1817</v>
      </c>
      <c r="U392" s="9">
        <v>229.96</v>
      </c>
      <c r="V392" s="9">
        <v>564.26</v>
      </c>
      <c r="W392" s="9">
        <v>564.26</v>
      </c>
      <c r="X392" s="9">
        <v>877.64599999999996</v>
      </c>
      <c r="Y392" s="9">
        <v>1650.8560000000002</v>
      </c>
      <c r="Z392" s="9" t="s">
        <v>2081</v>
      </c>
      <c r="AA392" t="s">
        <v>2065</v>
      </c>
      <c r="AB392" s="11">
        <v>0.105</v>
      </c>
      <c r="AC392" t="s">
        <v>2065</v>
      </c>
      <c r="AD392" s="13">
        <v>5</v>
      </c>
      <c r="AE392" s="9">
        <v>2525.0635000000002</v>
      </c>
      <c r="AF392" s="9">
        <v>1149.8</v>
      </c>
      <c r="AG392" s="9">
        <v>1375.2635000000002</v>
      </c>
      <c r="AH392" s="11">
        <v>0.54464511486542821</v>
      </c>
      <c r="AI392" s="9">
        <f>SUMIFS(AD392:AD1023, R392:R1023, S392)</f>
        <v>0</v>
      </c>
      <c r="AJ392" s="11" t="e">
        <f>SUMIFS(AD392:AD1023, R392:R1023, S392, AD392:AD1023, "&gt;" &amp; AE392) / AI392</f>
        <v>#DIV/0!</v>
      </c>
      <c r="AK392" s="7" t="e">
        <f>IF(AJ392&lt;=0.8,"A",IF(Table2[[#This Row],[Cumulative rev]]&lt;=0.95,"B","C"))</f>
        <v>#DIV/0!</v>
      </c>
    </row>
    <row r="393" spans="1:37" x14ac:dyDescent="0.3">
      <c r="A393" t="s">
        <v>406</v>
      </c>
      <c r="B393" s="4">
        <v>45208</v>
      </c>
      <c r="C393" s="4" t="s">
        <v>2125</v>
      </c>
      <c r="D393" s="4" t="s">
        <v>2089</v>
      </c>
      <c r="E393" s="4">
        <v>45225</v>
      </c>
      <c r="F393" t="s">
        <v>2064</v>
      </c>
      <c r="G393" s="4">
        <v>45225</v>
      </c>
      <c r="H393" s="4">
        <f>_xlfn.MINIFS(B393:B1024, N393:N1024, N393)</f>
        <v>44938</v>
      </c>
      <c r="I393" s="4" t="str">
        <f t="shared" si="12"/>
        <v>Jan-2023</v>
      </c>
      <c r="J393" s="13">
        <f t="shared" si="13"/>
        <v>9</v>
      </c>
      <c r="K393" s="13">
        <v>17</v>
      </c>
      <c r="L393" s="30" t="str">
        <f>IF(Table2[[#This Row],[LeadTimeDays]]&lt;7,"1","0")</f>
        <v>0</v>
      </c>
      <c r="M393" s="7" t="s">
        <v>647</v>
      </c>
      <c r="N393" s="7" t="s">
        <v>659</v>
      </c>
      <c r="O393" s="7" t="s">
        <v>685</v>
      </c>
      <c r="P393" s="7" t="s">
        <v>704</v>
      </c>
      <c r="Q393" s="7" t="s">
        <v>709</v>
      </c>
      <c r="R393" s="7" t="s">
        <v>712</v>
      </c>
      <c r="S393" s="7" t="s">
        <v>727</v>
      </c>
      <c r="T393" s="7" t="s">
        <v>1818</v>
      </c>
      <c r="U393" s="9">
        <v>1132.03</v>
      </c>
      <c r="V393" s="9">
        <v>2137.21</v>
      </c>
      <c r="W393" s="9">
        <v>2137.21</v>
      </c>
      <c r="X393" s="9">
        <v>880.44659999999999</v>
      </c>
      <c r="Y393" s="9">
        <v>1655.4256000000003</v>
      </c>
      <c r="Z393" s="9" t="s">
        <v>2095</v>
      </c>
      <c r="AA393" t="s">
        <v>2065</v>
      </c>
      <c r="AB393" s="11">
        <v>0.35699999999999998</v>
      </c>
      <c r="AC393" t="s">
        <v>2067</v>
      </c>
      <c r="AD393" s="13">
        <v>35</v>
      </c>
      <c r="AE393" s="9">
        <v>48097.911050000002</v>
      </c>
      <c r="AF393" s="9">
        <v>39621.049999999996</v>
      </c>
      <c r="AG393" s="9">
        <v>8476.8610500000068</v>
      </c>
      <c r="AH393" s="11">
        <v>0.17624177152284051</v>
      </c>
      <c r="AI393" s="9">
        <f>SUMIFS(AD393:AD1024, R393:R1024, S393)</f>
        <v>0</v>
      </c>
      <c r="AJ393" s="11" t="e">
        <f>SUMIFS(AD393:AD1024, R393:R1024, S393, AD393:AD1024, "&gt;" &amp; AE393) / AI393</f>
        <v>#DIV/0!</v>
      </c>
      <c r="AK393" s="7" t="e">
        <f>IF(AJ393&lt;=0.8,"A",IF(Table2[[#This Row],[Cumulative rev]]&lt;=0.95,"B","C"))</f>
        <v>#DIV/0!</v>
      </c>
    </row>
    <row r="394" spans="1:37" x14ac:dyDescent="0.3">
      <c r="A394" t="s">
        <v>407</v>
      </c>
      <c r="B394" s="4">
        <v>45360</v>
      </c>
      <c r="C394" s="4" t="s">
        <v>2079</v>
      </c>
      <c r="D394" s="4" t="s">
        <v>2080</v>
      </c>
      <c r="E394" s="4">
        <v>45377</v>
      </c>
      <c r="F394" t="s">
        <v>2064</v>
      </c>
      <c r="G394" s="4">
        <v>45377</v>
      </c>
      <c r="H394" s="4">
        <f>_xlfn.MINIFS(B394:B1025, N394:N1025, N394)</f>
        <v>44984</v>
      </c>
      <c r="I394" s="4" t="str">
        <f t="shared" si="12"/>
        <v>Feb-2023</v>
      </c>
      <c r="J394" s="13">
        <f t="shared" si="13"/>
        <v>13</v>
      </c>
      <c r="K394" s="13">
        <v>17</v>
      </c>
      <c r="L394" s="30" t="str">
        <f>IF(Table2[[#This Row],[LeadTimeDays]]&lt;7,"1","0")</f>
        <v>0</v>
      </c>
      <c r="M394" s="7" t="s">
        <v>648</v>
      </c>
      <c r="N394" s="7" t="s">
        <v>1425</v>
      </c>
      <c r="O394" s="7" t="s">
        <v>686</v>
      </c>
      <c r="P394" s="7" t="s">
        <v>702</v>
      </c>
      <c r="Q394" s="7" t="s">
        <v>711</v>
      </c>
      <c r="R394" s="7" t="s">
        <v>714</v>
      </c>
      <c r="S394" s="7" t="s">
        <v>730</v>
      </c>
      <c r="T394" s="7" t="s">
        <v>1819</v>
      </c>
      <c r="U394" s="9">
        <v>1137.4100000000001</v>
      </c>
      <c r="V394" s="9">
        <v>1680.93</v>
      </c>
      <c r="W394" s="9">
        <v>1680.93</v>
      </c>
      <c r="X394" s="9">
        <v>879.06719999999996</v>
      </c>
      <c r="Y394" s="9">
        <v>1646.5552000000002</v>
      </c>
      <c r="Z394" s="9" t="s">
        <v>2095</v>
      </c>
      <c r="AA394" t="s">
        <v>2065</v>
      </c>
      <c r="AB394" s="11">
        <v>0.254</v>
      </c>
      <c r="AC394" t="s">
        <v>2065</v>
      </c>
      <c r="AD394" s="13">
        <v>9</v>
      </c>
      <c r="AE394" s="9">
        <v>11285.764020000001</v>
      </c>
      <c r="AF394" s="9">
        <v>10236.69</v>
      </c>
      <c r="AG394" s="9">
        <v>1049.07402</v>
      </c>
      <c r="AH394" s="11">
        <v>9.2955516183121464E-2</v>
      </c>
      <c r="AI394" s="9">
        <f>SUMIFS(AD394:AD1025, R394:R1025, S394)</f>
        <v>0</v>
      </c>
      <c r="AJ394" s="11" t="e">
        <f>SUMIFS(AD394:AD1025, R394:R1025, S394, AD394:AD1025, "&gt;" &amp; AE394) / AI394</f>
        <v>#DIV/0!</v>
      </c>
      <c r="AK394" s="7" t="e">
        <f>IF(AJ394&lt;=0.8,"A",IF(Table2[[#This Row],[Cumulative rev]]&lt;=0.95,"B","C"))</f>
        <v>#DIV/0!</v>
      </c>
    </row>
    <row r="395" spans="1:37" x14ac:dyDescent="0.3">
      <c r="A395" t="s">
        <v>408</v>
      </c>
      <c r="B395" s="4">
        <v>45075</v>
      </c>
      <c r="C395" s="4" t="s">
        <v>2107</v>
      </c>
      <c r="D395" s="4" t="s">
        <v>2103</v>
      </c>
      <c r="E395" s="4">
        <v>45097</v>
      </c>
      <c r="F395" t="s">
        <v>2064</v>
      </c>
      <c r="G395" s="4">
        <v>45097</v>
      </c>
      <c r="H395" s="4">
        <f>_xlfn.MINIFS(B395:B1026, N395:N1026, N395)</f>
        <v>44945</v>
      </c>
      <c r="I395" s="4" t="str">
        <f t="shared" si="12"/>
        <v>Jan-2023</v>
      </c>
      <c r="J395" s="13">
        <f t="shared" si="13"/>
        <v>5</v>
      </c>
      <c r="K395" s="13">
        <v>22</v>
      </c>
      <c r="L395" s="30" t="str">
        <f>IF(Table2[[#This Row],[LeadTimeDays]]&lt;7,"1","0")</f>
        <v>0</v>
      </c>
      <c r="M395" s="7" t="s">
        <v>649</v>
      </c>
      <c r="N395" s="7" t="s">
        <v>658</v>
      </c>
      <c r="O395" s="7" t="s">
        <v>683</v>
      </c>
      <c r="P395" s="7" t="s">
        <v>705</v>
      </c>
      <c r="Q395" s="7" t="s">
        <v>711</v>
      </c>
      <c r="R395" s="7" t="s">
        <v>723</v>
      </c>
      <c r="S395" s="7" t="s">
        <v>727</v>
      </c>
      <c r="T395" s="7" t="s">
        <v>1820</v>
      </c>
      <c r="U395" s="9">
        <v>1295.3900000000001</v>
      </c>
      <c r="V395" s="9">
        <v>2905.06</v>
      </c>
      <c r="W395" s="9">
        <v>2905.06</v>
      </c>
      <c r="X395" s="9">
        <v>877.68780000000004</v>
      </c>
      <c r="Y395" s="9">
        <v>1643.2354</v>
      </c>
      <c r="Z395" s="9" t="s">
        <v>2095</v>
      </c>
      <c r="AA395" t="s">
        <v>2065</v>
      </c>
      <c r="AB395" s="11">
        <v>0.14799999999999999</v>
      </c>
      <c r="AC395" t="s">
        <v>2065</v>
      </c>
      <c r="AD395" s="13">
        <v>8</v>
      </c>
      <c r="AE395" s="9">
        <v>19800.88896</v>
      </c>
      <c r="AF395" s="9">
        <v>10363.120000000001</v>
      </c>
      <c r="AG395" s="9">
        <v>9437.7689599999994</v>
      </c>
      <c r="AH395" s="11">
        <v>0.47663359857556614</v>
      </c>
      <c r="AI395" s="9">
        <f>SUMIFS(AD395:AD1026, R395:R1026, S395)</f>
        <v>0</v>
      </c>
      <c r="AJ395" s="11" t="e">
        <f>SUMIFS(AD395:AD1026, R395:R1026, S395, AD395:AD1026, "&gt;" &amp; AE395) / AI395</f>
        <v>#DIV/0!</v>
      </c>
      <c r="AK395" s="7" t="e">
        <f>IF(AJ395&lt;=0.8,"A",IF(Table2[[#This Row],[Cumulative rev]]&lt;=0.95,"B","C"))</f>
        <v>#DIV/0!</v>
      </c>
    </row>
    <row r="396" spans="1:37" x14ac:dyDescent="0.3">
      <c r="A396" t="s">
        <v>409</v>
      </c>
      <c r="B396" s="4">
        <v>45804</v>
      </c>
      <c r="C396" s="4" t="s">
        <v>2096</v>
      </c>
      <c r="D396" s="4" t="s">
        <v>2097</v>
      </c>
      <c r="E396" s="4">
        <v>45816</v>
      </c>
      <c r="F396" t="s">
        <v>2064</v>
      </c>
      <c r="G396" s="4">
        <v>45816</v>
      </c>
      <c r="H396" s="4">
        <f>_xlfn.MINIFS(B396:B1027, N396:N1027, N396)</f>
        <v>44988</v>
      </c>
      <c r="I396" s="4" t="str">
        <f t="shared" si="12"/>
        <v>Mar-2023</v>
      </c>
      <c r="J396" s="13">
        <f t="shared" si="13"/>
        <v>27</v>
      </c>
      <c r="K396" s="13">
        <v>12</v>
      </c>
      <c r="L396" s="30" t="str">
        <f>IF(Table2[[#This Row],[LeadTimeDays]]&lt;7,"1","0")</f>
        <v>0</v>
      </c>
      <c r="M396" s="7" t="s">
        <v>647</v>
      </c>
      <c r="N396" s="7" t="s">
        <v>652</v>
      </c>
      <c r="O396" s="7" t="s">
        <v>666</v>
      </c>
      <c r="P396" s="7" t="s">
        <v>701</v>
      </c>
      <c r="Q396" s="7" t="s">
        <v>707</v>
      </c>
      <c r="R396" s="7" t="s">
        <v>722</v>
      </c>
      <c r="S396" s="7" t="s">
        <v>733</v>
      </c>
      <c r="T396" s="7" t="s">
        <v>1821</v>
      </c>
      <c r="U396" s="9">
        <v>653.6</v>
      </c>
      <c r="V396" s="9">
        <v>842.09</v>
      </c>
      <c r="W396" s="9">
        <v>842.09</v>
      </c>
      <c r="X396" s="9">
        <v>875.82720000000006</v>
      </c>
      <c r="Y396" s="9">
        <v>1638.9172000000001</v>
      </c>
      <c r="Z396" s="9" t="s">
        <v>2081</v>
      </c>
      <c r="AA396" t="s">
        <v>2065</v>
      </c>
      <c r="AB396" s="11">
        <v>9.8000000000000004E-2</v>
      </c>
      <c r="AC396" t="s">
        <v>2065</v>
      </c>
      <c r="AD396" s="13">
        <v>19</v>
      </c>
      <c r="AE396" s="9">
        <v>14431.738420000001</v>
      </c>
      <c r="AF396" s="9">
        <v>12418.4</v>
      </c>
      <c r="AG396" s="9">
        <v>2013.3384200000019</v>
      </c>
      <c r="AH396" s="11">
        <v>0.13950768517324622</v>
      </c>
      <c r="AI396" s="9">
        <f>SUMIFS(AD396:AD1027, R396:R1027, S396)</f>
        <v>0</v>
      </c>
      <c r="AJ396" s="11" t="e">
        <f>SUMIFS(AD396:AD1027, R396:R1027, S396, AD396:AD1027, "&gt;" &amp; AE396) / AI396</f>
        <v>#DIV/0!</v>
      </c>
      <c r="AK396" s="7" t="e">
        <f>IF(AJ396&lt;=0.8,"A",IF(Table2[[#This Row],[Cumulative rev]]&lt;=0.95,"B","C"))</f>
        <v>#DIV/0!</v>
      </c>
    </row>
    <row r="397" spans="1:37" x14ac:dyDescent="0.3">
      <c r="A397" t="s">
        <v>410</v>
      </c>
      <c r="B397" s="4">
        <v>45890</v>
      </c>
      <c r="C397" s="4" t="s">
        <v>2121</v>
      </c>
      <c r="D397" s="4" t="s">
        <v>2101</v>
      </c>
      <c r="E397" s="4">
        <v>45914</v>
      </c>
      <c r="F397" t="s">
        <v>2064</v>
      </c>
      <c r="G397" s="4">
        <v>45914</v>
      </c>
      <c r="H397" s="4">
        <f>_xlfn.MINIFS(B397:B1028, N397:N1028, N397)</f>
        <v>44952</v>
      </c>
      <c r="I397" s="4" t="str">
        <f t="shared" si="12"/>
        <v>Jan-2023</v>
      </c>
      <c r="J397" s="13">
        <f t="shared" si="13"/>
        <v>31</v>
      </c>
      <c r="K397" s="13">
        <v>24</v>
      </c>
      <c r="L397" s="30" t="str">
        <f>IF(Table2[[#This Row],[LeadTimeDays]]&lt;7,"1","0")</f>
        <v>0</v>
      </c>
      <c r="M397" s="7" t="s">
        <v>649</v>
      </c>
      <c r="N397" s="7" t="s">
        <v>656</v>
      </c>
      <c r="O397" s="7" t="s">
        <v>671</v>
      </c>
      <c r="P397" s="7" t="s">
        <v>703</v>
      </c>
      <c r="Q397" s="7" t="s">
        <v>708</v>
      </c>
      <c r="R397" s="7" t="s">
        <v>720</v>
      </c>
      <c r="S397" s="7" t="s">
        <v>732</v>
      </c>
      <c r="T397" s="7" t="s">
        <v>1822</v>
      </c>
      <c r="U397" s="9">
        <v>1397.67</v>
      </c>
      <c r="V397" s="9">
        <v>3131.37</v>
      </c>
      <c r="W397" s="9">
        <v>3131.37</v>
      </c>
      <c r="X397" s="9">
        <v>879.10899999999992</v>
      </c>
      <c r="Y397" s="9">
        <v>1641.9969999999998</v>
      </c>
      <c r="Z397" s="9" t="s">
        <v>2095</v>
      </c>
      <c r="AA397" t="s">
        <v>2065</v>
      </c>
      <c r="AB397" s="11">
        <v>0.10299999999999999</v>
      </c>
      <c r="AC397" t="s">
        <v>2065</v>
      </c>
      <c r="AD397" s="13">
        <v>20</v>
      </c>
      <c r="AE397" s="9">
        <v>56176.777799999996</v>
      </c>
      <c r="AF397" s="9">
        <v>27953.4</v>
      </c>
      <c r="AG397" s="9">
        <v>28223.377799999995</v>
      </c>
      <c r="AH397" s="11">
        <v>0.50240293062874808</v>
      </c>
      <c r="AI397" s="9">
        <f>SUMIFS(AD397:AD1028, R397:R1028, S397)</f>
        <v>0</v>
      </c>
      <c r="AJ397" s="11" t="e">
        <f>SUMIFS(AD397:AD1028, R397:R1028, S397, AD397:AD1028, "&gt;" &amp; AE397) / AI397</f>
        <v>#DIV/0!</v>
      </c>
      <c r="AK397" s="7" t="e">
        <f>IF(AJ397&lt;=0.8,"A",IF(Table2[[#This Row],[Cumulative rev]]&lt;=0.95,"B","C"))</f>
        <v>#DIV/0!</v>
      </c>
    </row>
    <row r="398" spans="1:37" x14ac:dyDescent="0.3">
      <c r="A398" t="s">
        <v>411</v>
      </c>
      <c r="B398" s="4">
        <v>45638</v>
      </c>
      <c r="C398" s="4" t="s">
        <v>2091</v>
      </c>
      <c r="D398" s="4" t="s">
        <v>2083</v>
      </c>
      <c r="E398" s="4">
        <v>45646</v>
      </c>
      <c r="F398" t="s">
        <v>2064</v>
      </c>
      <c r="G398" s="4">
        <v>45646</v>
      </c>
      <c r="H398" s="4">
        <f>_xlfn.MINIFS(B398:B1029, N398:N1029, N398)</f>
        <v>44988</v>
      </c>
      <c r="I398" s="4" t="str">
        <f t="shared" si="12"/>
        <v>Mar-2023</v>
      </c>
      <c r="J398" s="13">
        <f t="shared" si="13"/>
        <v>22</v>
      </c>
      <c r="K398" s="13">
        <v>8</v>
      </c>
      <c r="L398" s="30" t="str">
        <f>IF(Table2[[#This Row],[LeadTimeDays]]&lt;7,"1","0")</f>
        <v>0</v>
      </c>
      <c r="M398" s="7" t="s">
        <v>647</v>
      </c>
      <c r="N398" s="7" t="s">
        <v>652</v>
      </c>
      <c r="O398" s="7" t="s">
        <v>689</v>
      </c>
      <c r="P398" s="7" t="s">
        <v>701</v>
      </c>
      <c r="Q398" s="7" t="s">
        <v>707</v>
      </c>
      <c r="R398" s="7" t="s">
        <v>717</v>
      </c>
      <c r="S398" s="7" t="s">
        <v>731</v>
      </c>
      <c r="T398" s="7" t="s">
        <v>1823</v>
      </c>
      <c r="U398" s="9">
        <v>1202.47</v>
      </c>
      <c r="V398" s="9">
        <v>1444.72</v>
      </c>
      <c r="W398" s="9">
        <v>1444.72</v>
      </c>
      <c r="X398" s="9">
        <v>877.7296</v>
      </c>
      <c r="Y398" s="9">
        <v>1635.3268</v>
      </c>
      <c r="Z398" s="9" t="s">
        <v>2092</v>
      </c>
      <c r="AA398" t="s">
        <v>2065</v>
      </c>
      <c r="AB398" s="11">
        <v>0.24099999999999999</v>
      </c>
      <c r="AC398" t="s">
        <v>2065</v>
      </c>
      <c r="AD398" s="13">
        <v>17</v>
      </c>
      <c r="AE398" s="9">
        <v>18641.222160000001</v>
      </c>
      <c r="AF398" s="9">
        <v>20441.990000000002</v>
      </c>
      <c r="AG398" s="9">
        <v>-1800.7678400000004</v>
      </c>
      <c r="AH398" s="11">
        <v>-9.6601382921343834E-2</v>
      </c>
      <c r="AI398" s="9">
        <f>SUMIFS(AD398:AD1029, R398:R1029, S398)</f>
        <v>0</v>
      </c>
      <c r="AJ398" s="11" t="e">
        <f>SUMIFS(AD398:AD1029, R398:R1029, S398, AD398:AD1029, "&gt;" &amp; AE398) / AI398</f>
        <v>#DIV/0!</v>
      </c>
      <c r="AK398" s="7" t="e">
        <f>IF(AJ398&lt;=0.8,"A",IF(Table2[[#This Row],[Cumulative rev]]&lt;=0.95,"B","C"))</f>
        <v>#DIV/0!</v>
      </c>
    </row>
    <row r="399" spans="1:37" x14ac:dyDescent="0.3">
      <c r="A399" t="s">
        <v>412</v>
      </c>
      <c r="B399" s="4">
        <v>45914</v>
      </c>
      <c r="C399" s="4" t="s">
        <v>2100</v>
      </c>
      <c r="D399" s="4" t="s">
        <v>2101</v>
      </c>
      <c r="E399" s="4">
        <v>45923</v>
      </c>
      <c r="F399" t="s">
        <v>2064</v>
      </c>
      <c r="G399" s="4">
        <v>45923</v>
      </c>
      <c r="H399" s="4">
        <f>_xlfn.MINIFS(B399:B1030, N399:N1030, N399)</f>
        <v>44933</v>
      </c>
      <c r="I399" s="4" t="str">
        <f t="shared" si="12"/>
        <v>Jan-2023</v>
      </c>
      <c r="J399" s="13">
        <f t="shared" si="13"/>
        <v>33</v>
      </c>
      <c r="K399" s="13">
        <v>9</v>
      </c>
      <c r="L399" s="30" t="str">
        <f>IF(Table2[[#This Row],[LeadTimeDays]]&lt;7,"1","0")</f>
        <v>0</v>
      </c>
      <c r="M399" s="7" t="s">
        <v>646</v>
      </c>
      <c r="N399" s="7" t="s">
        <v>661</v>
      </c>
      <c r="O399" s="7" t="s">
        <v>687</v>
      </c>
      <c r="P399" s="7" t="s">
        <v>703</v>
      </c>
      <c r="Q399" s="7" t="s">
        <v>708</v>
      </c>
      <c r="R399" s="7" t="s">
        <v>726</v>
      </c>
      <c r="S399" s="7" t="s">
        <v>727</v>
      </c>
      <c r="T399" s="7" t="s">
        <v>1824</v>
      </c>
      <c r="U399" s="9">
        <v>1310.3</v>
      </c>
      <c r="V399" s="9">
        <v>2875.8</v>
      </c>
      <c r="W399" s="9">
        <v>2875.8</v>
      </c>
      <c r="X399" s="9">
        <v>875.90909999999997</v>
      </c>
      <c r="Y399" s="9">
        <v>1639.1415999999999</v>
      </c>
      <c r="Z399" s="9" t="s">
        <v>2095</v>
      </c>
      <c r="AA399" t="s">
        <v>2065</v>
      </c>
      <c r="AB399" s="11">
        <v>8.3000000000000004E-2</v>
      </c>
      <c r="AC399" t="s">
        <v>2065</v>
      </c>
      <c r="AD399" s="13">
        <v>5</v>
      </c>
      <c r="AE399" s="9">
        <v>13185.543</v>
      </c>
      <c r="AF399" s="9">
        <v>6551.5</v>
      </c>
      <c r="AG399" s="9">
        <v>6634.0429999999997</v>
      </c>
      <c r="AH399" s="11">
        <v>0.50313005691157353</v>
      </c>
      <c r="AI399" s="9">
        <f>SUMIFS(AD399:AD1030, R399:R1030, S399)</f>
        <v>0</v>
      </c>
      <c r="AJ399" s="11" t="e">
        <f>SUMIFS(AD399:AD1030, R399:R1030, S399, AD399:AD1030, "&gt;" &amp; AE399) / AI399</f>
        <v>#DIV/0!</v>
      </c>
      <c r="AK399" s="7" t="e">
        <f>IF(AJ399&lt;=0.8,"A",IF(Table2[[#This Row],[Cumulative rev]]&lt;=0.95,"B","C"))</f>
        <v>#DIV/0!</v>
      </c>
    </row>
    <row r="400" spans="1:37" x14ac:dyDescent="0.3">
      <c r="A400" t="s">
        <v>413</v>
      </c>
      <c r="B400" s="4">
        <v>45541</v>
      </c>
      <c r="C400" s="4" t="s">
        <v>2122</v>
      </c>
      <c r="D400" s="4" t="s">
        <v>2106</v>
      </c>
      <c r="E400" s="4">
        <v>45569</v>
      </c>
      <c r="F400" t="s">
        <v>2064</v>
      </c>
      <c r="G400" s="4">
        <v>45569</v>
      </c>
      <c r="H400" s="4">
        <f>_xlfn.MINIFS(B400:B1031, N400:N1031, N400)</f>
        <v>44933</v>
      </c>
      <c r="I400" s="4" t="str">
        <f t="shared" si="12"/>
        <v>Jan-2023</v>
      </c>
      <c r="J400" s="13">
        <f t="shared" si="13"/>
        <v>20</v>
      </c>
      <c r="K400" s="13">
        <v>28</v>
      </c>
      <c r="L400" s="30" t="str">
        <f>IF(Table2[[#This Row],[LeadTimeDays]]&lt;7,"1","0")</f>
        <v>0</v>
      </c>
      <c r="M400" s="7" t="s">
        <v>646</v>
      </c>
      <c r="N400" s="7" t="s">
        <v>661</v>
      </c>
      <c r="O400" s="7" t="s">
        <v>695</v>
      </c>
      <c r="P400" s="7" t="s">
        <v>701</v>
      </c>
      <c r="Q400" s="7" t="s">
        <v>709</v>
      </c>
      <c r="R400" s="7" t="s">
        <v>726</v>
      </c>
      <c r="S400" s="7" t="s">
        <v>732</v>
      </c>
      <c r="T400" s="7" t="s">
        <v>1825</v>
      </c>
      <c r="U400" s="9">
        <v>1174.17</v>
      </c>
      <c r="V400" s="9">
        <v>1641.61</v>
      </c>
      <c r="W400" s="9">
        <v>1641.61</v>
      </c>
      <c r="X400" s="9">
        <v>873.20640000000003</v>
      </c>
      <c r="Y400" s="9">
        <v>1631.7364000000002</v>
      </c>
      <c r="Z400" s="9" t="s">
        <v>2095</v>
      </c>
      <c r="AA400" t="s">
        <v>2065</v>
      </c>
      <c r="AB400" s="11">
        <v>0.122</v>
      </c>
      <c r="AC400" t="s">
        <v>2065</v>
      </c>
      <c r="AD400" s="13">
        <v>9</v>
      </c>
      <c r="AE400" s="9">
        <v>12972.00222</v>
      </c>
      <c r="AF400" s="9">
        <v>10567.53</v>
      </c>
      <c r="AG400" s="9">
        <v>2404.4722199999997</v>
      </c>
      <c r="AH400" s="11">
        <v>0.18535860380079394</v>
      </c>
      <c r="AI400" s="9">
        <f>SUMIFS(AD400:AD1031, R400:R1031, S400)</f>
        <v>0</v>
      </c>
      <c r="AJ400" s="11" t="e">
        <f>SUMIFS(AD400:AD1031, R400:R1031, S400, AD400:AD1031, "&gt;" &amp; AE400) / AI400</f>
        <v>#DIV/0!</v>
      </c>
      <c r="AK400" s="7" t="e">
        <f>IF(AJ400&lt;=0.8,"A",IF(Table2[[#This Row],[Cumulative rev]]&lt;=0.95,"B","C"))</f>
        <v>#DIV/0!</v>
      </c>
    </row>
    <row r="401" spans="1:37" x14ac:dyDescent="0.3">
      <c r="A401" t="s">
        <v>414</v>
      </c>
      <c r="B401" s="4">
        <v>45759</v>
      </c>
      <c r="C401" s="4" t="s">
        <v>2111</v>
      </c>
      <c r="D401" s="4" t="s">
        <v>2097</v>
      </c>
      <c r="E401" s="4">
        <v>45777</v>
      </c>
      <c r="F401" t="s">
        <v>2064</v>
      </c>
      <c r="G401" s="4">
        <v>45777</v>
      </c>
      <c r="H401" s="4">
        <f>_xlfn.MINIFS(B401:B1032, N401:N1032, N401)</f>
        <v>44978</v>
      </c>
      <c r="I401" s="4" t="str">
        <f t="shared" si="12"/>
        <v>Feb-2023</v>
      </c>
      <c r="J401" s="13">
        <f t="shared" si="13"/>
        <v>26</v>
      </c>
      <c r="K401" s="13">
        <v>18</v>
      </c>
      <c r="L401" s="30" t="str">
        <f>IF(Table2[[#This Row],[LeadTimeDays]]&lt;7,"1","0")</f>
        <v>0</v>
      </c>
      <c r="M401" s="7" t="s">
        <v>646</v>
      </c>
      <c r="N401" s="7" t="s">
        <v>650</v>
      </c>
      <c r="O401" s="7" t="s">
        <v>662</v>
      </c>
      <c r="P401" s="7" t="s">
        <v>701</v>
      </c>
      <c r="Q401" s="7" t="s">
        <v>709</v>
      </c>
      <c r="R401" s="7" t="s">
        <v>721</v>
      </c>
      <c r="S401" s="7" t="s">
        <v>729</v>
      </c>
      <c r="T401" s="7" t="s">
        <v>1826</v>
      </c>
      <c r="U401" s="9">
        <v>1119.04</v>
      </c>
      <c r="V401" s="9">
        <v>1299.02</v>
      </c>
      <c r="W401" s="9">
        <v>1299.02</v>
      </c>
      <c r="X401" s="9">
        <v>870.50369999999998</v>
      </c>
      <c r="Y401" s="9">
        <v>1627.7062000000001</v>
      </c>
      <c r="Z401" s="9" t="s">
        <v>2092</v>
      </c>
      <c r="AA401" t="s">
        <v>2065</v>
      </c>
      <c r="AB401" s="11">
        <v>2.5000000000000001E-2</v>
      </c>
      <c r="AC401" t="s">
        <v>2065</v>
      </c>
      <c r="AD401" s="13">
        <v>14</v>
      </c>
      <c r="AE401" s="9">
        <v>17731.623</v>
      </c>
      <c r="AF401" s="9">
        <v>15666.56</v>
      </c>
      <c r="AG401" s="9">
        <v>2065.0630000000001</v>
      </c>
      <c r="AH401" s="11">
        <v>0.11646215352085933</v>
      </c>
      <c r="AI401" s="9">
        <f>SUMIFS(AD401:AD1032, R401:R1032, S401)</f>
        <v>0</v>
      </c>
      <c r="AJ401" s="11" t="e">
        <f>SUMIFS(AD401:AD1032, R401:R1032, S401, AD401:AD1032, "&gt;" &amp; AE401) / AI401</f>
        <v>#DIV/0!</v>
      </c>
      <c r="AK401" s="7" t="e">
        <f>IF(AJ401&lt;=0.8,"A",IF(Table2[[#This Row],[Cumulative rev]]&lt;=0.95,"B","C"))</f>
        <v>#DIV/0!</v>
      </c>
    </row>
    <row r="402" spans="1:37" x14ac:dyDescent="0.3">
      <c r="A402" t="s">
        <v>415</v>
      </c>
      <c r="B402" s="4">
        <v>45516</v>
      </c>
      <c r="C402" s="4" t="s">
        <v>2113</v>
      </c>
      <c r="D402" s="4" t="s">
        <v>2106</v>
      </c>
      <c r="E402" s="4">
        <v>45519</v>
      </c>
      <c r="F402" t="s">
        <v>2064</v>
      </c>
      <c r="G402" s="4">
        <v>45519</v>
      </c>
      <c r="H402" s="4">
        <f>_xlfn.MINIFS(B402:B1033, N402:N1033, N402)</f>
        <v>44984</v>
      </c>
      <c r="I402" s="4" t="str">
        <f t="shared" si="12"/>
        <v>Feb-2023</v>
      </c>
      <c r="J402" s="13">
        <f t="shared" si="13"/>
        <v>18</v>
      </c>
      <c r="K402" s="13">
        <v>3</v>
      </c>
      <c r="L402" s="30" t="str">
        <f>IF(Table2[[#This Row],[LeadTimeDays]]&lt;7,"1","0")</f>
        <v>1</v>
      </c>
      <c r="M402" s="7" t="s">
        <v>648</v>
      </c>
      <c r="N402" s="7" t="s">
        <v>1425</v>
      </c>
      <c r="O402" s="7" t="s">
        <v>677</v>
      </c>
      <c r="P402" s="7" t="s">
        <v>701</v>
      </c>
      <c r="Q402" s="7" t="s">
        <v>709</v>
      </c>
      <c r="R402" s="7" t="s">
        <v>726</v>
      </c>
      <c r="S402" s="7" t="s">
        <v>728</v>
      </c>
      <c r="T402" s="7" t="s">
        <v>1827</v>
      </c>
      <c r="U402" s="9">
        <v>850.7</v>
      </c>
      <c r="V402" s="9">
        <v>1118.56</v>
      </c>
      <c r="W402" s="9">
        <v>1118.56</v>
      </c>
      <c r="X402" s="9">
        <v>867.87400000000002</v>
      </c>
      <c r="Y402" s="9">
        <v>1629.3960000000002</v>
      </c>
      <c r="Z402" s="9" t="s">
        <v>2092</v>
      </c>
      <c r="AA402" t="s">
        <v>2065</v>
      </c>
      <c r="AB402" s="11">
        <v>0.18</v>
      </c>
      <c r="AC402" t="s">
        <v>2065</v>
      </c>
      <c r="AD402" s="13">
        <v>19</v>
      </c>
      <c r="AE402" s="9">
        <v>17427.164800000002</v>
      </c>
      <c r="AF402" s="9">
        <v>16163.300000000001</v>
      </c>
      <c r="AG402" s="9">
        <v>1263.8648000000012</v>
      </c>
      <c r="AH402" s="11">
        <v>7.2522685962090688E-2</v>
      </c>
      <c r="AI402" s="9">
        <f>SUMIFS(AD402:AD1033, R402:R1033, S402)</f>
        <v>0</v>
      </c>
      <c r="AJ402" s="11" t="e">
        <f>SUMIFS(AD402:AD1033, R402:R1033, S402, AD402:AD1033, "&gt;" &amp; AE402) / AI402</f>
        <v>#DIV/0!</v>
      </c>
      <c r="AK402" s="7" t="e">
        <f>IF(AJ402&lt;=0.8,"A",IF(Table2[[#This Row],[Cumulative rev]]&lt;=0.95,"B","C"))</f>
        <v>#DIV/0!</v>
      </c>
    </row>
    <row r="403" spans="1:37" x14ac:dyDescent="0.3">
      <c r="A403" t="s">
        <v>416</v>
      </c>
      <c r="B403" s="4">
        <v>45601</v>
      </c>
      <c r="C403" s="4" t="s">
        <v>2110</v>
      </c>
      <c r="D403" s="4" t="s">
        <v>2083</v>
      </c>
      <c r="E403" s="4">
        <v>45604</v>
      </c>
      <c r="F403" t="s">
        <v>2064</v>
      </c>
      <c r="G403" s="4">
        <v>45604</v>
      </c>
      <c r="H403" s="4">
        <f>_xlfn.MINIFS(B403:B1034, N403:N1034, N403)</f>
        <v>45029</v>
      </c>
      <c r="I403" s="4" t="str">
        <f t="shared" si="12"/>
        <v>Apr-2023</v>
      </c>
      <c r="J403" s="13">
        <f t="shared" si="13"/>
        <v>19</v>
      </c>
      <c r="K403" s="13">
        <v>3</v>
      </c>
      <c r="L403" s="30" t="str">
        <f>IF(Table2[[#This Row],[LeadTimeDays]]&lt;7,"1","0")</f>
        <v>1</v>
      </c>
      <c r="M403" s="7" t="s">
        <v>648</v>
      </c>
      <c r="N403" s="7" t="s">
        <v>653</v>
      </c>
      <c r="O403" s="7" t="s">
        <v>667</v>
      </c>
      <c r="P403" s="7" t="s">
        <v>702</v>
      </c>
      <c r="Q403" s="7" t="s">
        <v>709</v>
      </c>
      <c r="R403" s="7" t="s">
        <v>719</v>
      </c>
      <c r="S403" s="7" t="s">
        <v>727</v>
      </c>
      <c r="T403" s="7" t="s">
        <v>1828</v>
      </c>
      <c r="U403" s="9">
        <v>1020.4</v>
      </c>
      <c r="V403" s="9">
        <v>1184.71</v>
      </c>
      <c r="W403" s="9">
        <v>1184.71</v>
      </c>
      <c r="X403" s="9">
        <v>865.4122000000001</v>
      </c>
      <c r="Y403" s="9">
        <v>1632.5026000000003</v>
      </c>
      <c r="Z403" s="9" t="s">
        <v>2092</v>
      </c>
      <c r="AA403" t="s">
        <v>2065</v>
      </c>
      <c r="AB403" s="11">
        <v>0.106</v>
      </c>
      <c r="AC403" t="s">
        <v>2065</v>
      </c>
      <c r="AD403" s="13">
        <v>16</v>
      </c>
      <c r="AE403" s="9">
        <v>16946.091840000001</v>
      </c>
      <c r="AF403" s="9">
        <v>16326.4</v>
      </c>
      <c r="AG403" s="9">
        <v>619.69184000000132</v>
      </c>
      <c r="AH403" s="11">
        <v>3.6568422138328345E-2</v>
      </c>
      <c r="AI403" s="9">
        <f>SUMIFS(AD403:AD1034, R403:R1034, S403)</f>
        <v>0</v>
      </c>
      <c r="AJ403" s="11" t="e">
        <f>SUMIFS(AD403:AD1034, R403:R1034, S403, AD403:AD1034, "&gt;" &amp; AE403) / AI403</f>
        <v>#DIV/0!</v>
      </c>
      <c r="AK403" s="7" t="e">
        <f>IF(AJ403&lt;=0.8,"A",IF(Table2[[#This Row],[Cumulative rev]]&lt;=0.95,"B","C"))</f>
        <v>#DIV/0!</v>
      </c>
    </row>
    <row r="404" spans="1:37" x14ac:dyDescent="0.3">
      <c r="A404" t="s">
        <v>417</v>
      </c>
      <c r="B404" s="4">
        <v>45497</v>
      </c>
      <c r="C404" s="4" t="s">
        <v>2105</v>
      </c>
      <c r="D404" s="4" t="s">
        <v>2106</v>
      </c>
      <c r="E404" s="4">
        <v>45512</v>
      </c>
      <c r="F404" t="s">
        <v>2064</v>
      </c>
      <c r="G404" s="4">
        <v>45512</v>
      </c>
      <c r="H404" s="4">
        <f>_xlfn.MINIFS(B404:B1035, N404:N1035, N404)</f>
        <v>45019</v>
      </c>
      <c r="I404" s="4" t="str">
        <f t="shared" si="12"/>
        <v>Apr-2023</v>
      </c>
      <c r="J404" s="13">
        <f t="shared" si="13"/>
        <v>16</v>
      </c>
      <c r="K404" s="13">
        <v>15</v>
      </c>
      <c r="L404" s="30" t="str">
        <f>IF(Table2[[#This Row],[LeadTimeDays]]&lt;7,"1","0")</f>
        <v>0</v>
      </c>
      <c r="M404" s="7" t="s">
        <v>649</v>
      </c>
      <c r="N404" s="7" t="s">
        <v>657</v>
      </c>
      <c r="O404" s="7" t="s">
        <v>673</v>
      </c>
      <c r="P404" s="7" t="s">
        <v>706</v>
      </c>
      <c r="Q404" s="7" t="s">
        <v>709</v>
      </c>
      <c r="R404" s="7" t="s">
        <v>722</v>
      </c>
      <c r="S404" s="7" t="s">
        <v>731</v>
      </c>
      <c r="T404" s="7" t="s">
        <v>1829</v>
      </c>
      <c r="U404" s="9">
        <v>501.5</v>
      </c>
      <c r="V404" s="9">
        <v>1201.47</v>
      </c>
      <c r="W404" s="9">
        <v>1201.47</v>
      </c>
      <c r="X404" s="9">
        <v>862.95040000000006</v>
      </c>
      <c r="Y404" s="9">
        <v>1637.6332000000004</v>
      </c>
      <c r="Z404" s="9" t="s">
        <v>2092</v>
      </c>
      <c r="AA404" t="s">
        <v>2065</v>
      </c>
      <c r="AB404" s="11">
        <v>0.126</v>
      </c>
      <c r="AC404" t="s">
        <v>2065</v>
      </c>
      <c r="AD404" s="13">
        <v>5</v>
      </c>
      <c r="AE404" s="9">
        <v>5250.4239000000007</v>
      </c>
      <c r="AF404" s="9">
        <v>2507.5</v>
      </c>
      <c r="AG404" s="9">
        <v>2742.9239000000007</v>
      </c>
      <c r="AH404" s="11">
        <v>0.52241951359394057</v>
      </c>
      <c r="AI404" s="9">
        <f>SUMIFS(AD404:AD1035, R404:R1035, S404)</f>
        <v>0</v>
      </c>
      <c r="AJ404" s="11" t="e">
        <f>SUMIFS(AD404:AD1035, R404:R1035, S404, AD404:AD1035, "&gt;" &amp; AE404) / AI404</f>
        <v>#DIV/0!</v>
      </c>
      <c r="AK404" s="7" t="e">
        <f>IF(AJ404&lt;=0.8,"A",IF(Table2[[#This Row],[Cumulative rev]]&lt;=0.95,"B","C"))</f>
        <v>#DIV/0!</v>
      </c>
    </row>
    <row r="405" spans="1:37" x14ac:dyDescent="0.3">
      <c r="A405" t="s">
        <v>418</v>
      </c>
      <c r="B405" s="4">
        <v>45677</v>
      </c>
      <c r="C405" s="4" t="s">
        <v>2099</v>
      </c>
      <c r="D405" s="4" t="s">
        <v>2087</v>
      </c>
      <c r="E405" s="4">
        <v>45691</v>
      </c>
      <c r="F405" t="s">
        <v>2064</v>
      </c>
      <c r="G405" s="4">
        <v>45691</v>
      </c>
      <c r="H405" s="4">
        <f>_xlfn.MINIFS(B405:B1036, N405:N1036, N405)</f>
        <v>44955</v>
      </c>
      <c r="I405" s="4" t="str">
        <f t="shared" si="12"/>
        <v>Jan-2023</v>
      </c>
      <c r="J405" s="13">
        <f t="shared" si="13"/>
        <v>24</v>
      </c>
      <c r="K405" s="13">
        <v>14</v>
      </c>
      <c r="L405" s="30" t="str">
        <f>IF(Table2[[#This Row],[LeadTimeDays]]&lt;7,"1","0")</f>
        <v>0</v>
      </c>
      <c r="M405" s="7" t="s">
        <v>648</v>
      </c>
      <c r="N405" s="7" t="s">
        <v>655</v>
      </c>
      <c r="O405" s="7" t="s">
        <v>672</v>
      </c>
      <c r="P405" s="7" t="s">
        <v>706</v>
      </c>
      <c r="Q405" s="7" t="s">
        <v>709</v>
      </c>
      <c r="R405" s="7" t="s">
        <v>721</v>
      </c>
      <c r="S405" s="7" t="s">
        <v>727</v>
      </c>
      <c r="T405" s="7" t="s">
        <v>1830</v>
      </c>
      <c r="U405" s="9">
        <v>974.11</v>
      </c>
      <c r="V405" s="9">
        <v>880.99</v>
      </c>
      <c r="W405" s="9">
        <v>880.99</v>
      </c>
      <c r="X405" s="9">
        <v>859.16919999999993</v>
      </c>
      <c r="Y405" s="9">
        <v>1642.7637999999999</v>
      </c>
      <c r="Z405" s="9" t="s">
        <v>2092</v>
      </c>
      <c r="AA405" t="s">
        <v>2065</v>
      </c>
      <c r="AB405" s="11">
        <v>0.111</v>
      </c>
      <c r="AC405" t="s">
        <v>2065</v>
      </c>
      <c r="AD405" s="13">
        <v>10</v>
      </c>
      <c r="AE405" s="9">
        <v>7832.0010999999995</v>
      </c>
      <c r="AF405" s="9">
        <v>9741.1</v>
      </c>
      <c r="AG405" s="9">
        <v>-1909.0989000000009</v>
      </c>
      <c r="AH405" s="11">
        <v>-0.2437562093805121</v>
      </c>
      <c r="AI405" s="9">
        <f>SUMIFS(AD405:AD1036, R405:R1036, S405)</f>
        <v>0</v>
      </c>
      <c r="AJ405" s="11" t="e">
        <f>SUMIFS(AD405:AD1036, R405:R1036, S405, AD405:AD1036, "&gt;" &amp; AE405) / AI405</f>
        <v>#DIV/0!</v>
      </c>
      <c r="AK405" s="7" t="e">
        <f>IF(AJ405&lt;=0.8,"A",IF(Table2[[#This Row],[Cumulative rev]]&lt;=0.95,"B","C"))</f>
        <v>#DIV/0!</v>
      </c>
    </row>
    <row r="406" spans="1:37" x14ac:dyDescent="0.3">
      <c r="A406" t="s">
        <v>419</v>
      </c>
      <c r="B406" s="4">
        <v>44991</v>
      </c>
      <c r="C406" s="4" t="s">
        <v>2114</v>
      </c>
      <c r="D406" s="4" t="s">
        <v>2085</v>
      </c>
      <c r="E406" s="4">
        <v>45020</v>
      </c>
      <c r="F406" t="s">
        <v>2064</v>
      </c>
      <c r="G406" s="4">
        <v>45020</v>
      </c>
      <c r="H406" s="4">
        <f>_xlfn.MINIFS(B406:B1037, N406:N1037, N406)</f>
        <v>44938</v>
      </c>
      <c r="I406" s="4" t="str">
        <f t="shared" si="12"/>
        <v>Jan-2023</v>
      </c>
      <c r="J406" s="13">
        <f t="shared" si="13"/>
        <v>2</v>
      </c>
      <c r="K406" s="13">
        <v>29</v>
      </c>
      <c r="L406" s="30" t="str">
        <f>IF(Table2[[#This Row],[LeadTimeDays]]&lt;7,"1","0")</f>
        <v>0</v>
      </c>
      <c r="M406" s="7" t="s">
        <v>647</v>
      </c>
      <c r="N406" s="7" t="s">
        <v>659</v>
      </c>
      <c r="O406" s="7" t="s">
        <v>699</v>
      </c>
      <c r="P406" s="7" t="s">
        <v>705</v>
      </c>
      <c r="Q406" s="7" t="s">
        <v>711</v>
      </c>
      <c r="R406" s="7" t="s">
        <v>712</v>
      </c>
      <c r="S406" s="7" t="s">
        <v>732</v>
      </c>
      <c r="T406" s="7" t="s">
        <v>1831</v>
      </c>
      <c r="U406" s="9">
        <v>1126.29</v>
      </c>
      <c r="V406" s="9">
        <v>2050.87</v>
      </c>
      <c r="W406" s="9">
        <v>2050.87</v>
      </c>
      <c r="X406" s="9">
        <v>851.86959999999988</v>
      </c>
      <c r="Y406" s="9">
        <v>1647.6304</v>
      </c>
      <c r="Z406" s="9" t="s">
        <v>2095</v>
      </c>
      <c r="AA406" t="s">
        <v>2065</v>
      </c>
      <c r="AB406" s="11">
        <v>6.4000000000000001E-2</v>
      </c>
      <c r="AC406" t="s">
        <v>2065</v>
      </c>
      <c r="AD406" s="13">
        <v>7</v>
      </c>
      <c r="AE406" s="9">
        <v>13437.300239999999</v>
      </c>
      <c r="AF406" s="9">
        <v>7884.03</v>
      </c>
      <c r="AG406" s="9">
        <v>5553.2702399999989</v>
      </c>
      <c r="AH406" s="11">
        <v>0.41327276616690373</v>
      </c>
      <c r="AI406" s="9">
        <f>SUMIFS(AD406:AD1037, R406:R1037, S406)</f>
        <v>0</v>
      </c>
      <c r="AJ406" s="11" t="e">
        <f>SUMIFS(AD406:AD1037, R406:R1037, S406, AD406:AD1037, "&gt;" &amp; AE406) / AI406</f>
        <v>#DIV/0!</v>
      </c>
      <c r="AK406" s="7" t="e">
        <f>IF(AJ406&lt;=0.8,"A",IF(Table2[[#This Row],[Cumulative rev]]&lt;=0.95,"B","C"))</f>
        <v>#DIV/0!</v>
      </c>
    </row>
    <row r="407" spans="1:37" x14ac:dyDescent="0.3">
      <c r="A407" t="s">
        <v>420</v>
      </c>
      <c r="B407" s="4">
        <v>45646</v>
      </c>
      <c r="C407" s="4" t="s">
        <v>2091</v>
      </c>
      <c r="D407" s="4" t="s">
        <v>2083</v>
      </c>
      <c r="E407" s="4">
        <v>45671</v>
      </c>
      <c r="F407" t="s">
        <v>2064</v>
      </c>
      <c r="G407" s="4">
        <v>45671</v>
      </c>
      <c r="H407" s="4">
        <f>_xlfn.MINIFS(B407:B1038, N407:N1038, N407)</f>
        <v>45048</v>
      </c>
      <c r="I407" s="4" t="str">
        <f t="shared" si="12"/>
        <v>May-2023</v>
      </c>
      <c r="J407" s="13">
        <f t="shared" si="13"/>
        <v>20</v>
      </c>
      <c r="K407" s="13">
        <v>25</v>
      </c>
      <c r="L407" s="30" t="str">
        <f>IF(Table2[[#This Row],[LeadTimeDays]]&lt;7,"1","0")</f>
        <v>0</v>
      </c>
      <c r="M407" s="7" t="s">
        <v>647</v>
      </c>
      <c r="N407" s="7" t="s">
        <v>654</v>
      </c>
      <c r="O407" s="7" t="s">
        <v>680</v>
      </c>
      <c r="P407" s="7" t="s">
        <v>705</v>
      </c>
      <c r="Q407" s="7" t="s">
        <v>707</v>
      </c>
      <c r="R407" s="7" t="s">
        <v>724</v>
      </c>
      <c r="S407" s="7" t="s">
        <v>728</v>
      </c>
      <c r="T407" s="7" t="s">
        <v>1832</v>
      </c>
      <c r="U407" s="9">
        <v>1361.34</v>
      </c>
      <c r="V407" s="9">
        <v>1737.9</v>
      </c>
      <c r="W407" s="9">
        <v>1737.9</v>
      </c>
      <c r="X407" s="9">
        <v>844.56999999999994</v>
      </c>
      <c r="Y407" s="9">
        <v>1637.9349999999999</v>
      </c>
      <c r="Z407" s="9" t="s">
        <v>2095</v>
      </c>
      <c r="AA407" t="s">
        <v>2065</v>
      </c>
      <c r="AB407" s="11">
        <v>7.6999999999999999E-2</v>
      </c>
      <c r="AC407" t="s">
        <v>2065</v>
      </c>
      <c r="AD407" s="13">
        <v>14</v>
      </c>
      <c r="AE407" s="9">
        <v>22457.143800000002</v>
      </c>
      <c r="AF407" s="9">
        <v>19058.759999999998</v>
      </c>
      <c r="AG407" s="9">
        <v>3398.3838000000032</v>
      </c>
      <c r="AH407" s="11">
        <v>0.15132751654731813</v>
      </c>
      <c r="AI407" s="9">
        <f>SUMIFS(AD407:AD1038, R407:R1038, S407)</f>
        <v>0</v>
      </c>
      <c r="AJ407" s="11" t="e">
        <f>SUMIFS(AD407:AD1038, R407:R1038, S407, AD407:AD1038, "&gt;" &amp; AE407) / AI407</f>
        <v>#DIV/0!</v>
      </c>
      <c r="AK407" s="7" t="e">
        <f>IF(AJ407&lt;=0.8,"A",IF(Table2[[#This Row],[Cumulative rev]]&lt;=0.95,"B","C"))</f>
        <v>#DIV/0!</v>
      </c>
    </row>
    <row r="408" spans="1:37" x14ac:dyDescent="0.3">
      <c r="A408" t="s">
        <v>421</v>
      </c>
      <c r="B408" s="4">
        <v>45709</v>
      </c>
      <c r="C408" s="4" t="s">
        <v>2119</v>
      </c>
      <c r="D408" s="4" t="s">
        <v>2087</v>
      </c>
      <c r="E408" s="4">
        <v>45737</v>
      </c>
      <c r="F408" t="s">
        <v>2064</v>
      </c>
      <c r="G408" s="4">
        <v>45737</v>
      </c>
      <c r="H408" s="4">
        <f>_xlfn.MINIFS(B408:B1039, N408:N1039, N408)</f>
        <v>44968</v>
      </c>
      <c r="I408" s="4" t="str">
        <f t="shared" si="12"/>
        <v>Feb-2023</v>
      </c>
      <c r="J408" s="13">
        <f t="shared" si="13"/>
        <v>25</v>
      </c>
      <c r="K408" s="13">
        <v>28</v>
      </c>
      <c r="L408" s="30" t="str">
        <f>IF(Table2[[#This Row],[LeadTimeDays]]&lt;7,"1","0")</f>
        <v>0</v>
      </c>
      <c r="M408" s="7" t="s">
        <v>646</v>
      </c>
      <c r="N408" s="7" t="s">
        <v>651</v>
      </c>
      <c r="O408" s="7" t="s">
        <v>669</v>
      </c>
      <c r="P408" s="7" t="s">
        <v>706</v>
      </c>
      <c r="Q408" s="7" t="s">
        <v>709</v>
      </c>
      <c r="R408" s="7" t="s">
        <v>714</v>
      </c>
      <c r="S408" s="7" t="s">
        <v>730</v>
      </c>
      <c r="T408" s="7" t="s">
        <v>1833</v>
      </c>
      <c r="U408" s="9">
        <v>1437.39</v>
      </c>
      <c r="V408" s="9">
        <v>1388.31</v>
      </c>
      <c r="W408" s="9">
        <v>1388.31</v>
      </c>
      <c r="X408" s="9">
        <v>838.61199999999997</v>
      </c>
      <c r="Y408" s="9">
        <v>1629.5948000000001</v>
      </c>
      <c r="Z408" s="9" t="s">
        <v>2092</v>
      </c>
      <c r="AA408" t="s">
        <v>2065</v>
      </c>
      <c r="AB408" s="11">
        <v>0.13800000000000001</v>
      </c>
      <c r="AC408" t="s">
        <v>2065</v>
      </c>
      <c r="AD408" s="13">
        <v>18</v>
      </c>
      <c r="AE408" s="9">
        <v>21541.017959999997</v>
      </c>
      <c r="AF408" s="9">
        <v>25873.02</v>
      </c>
      <c r="AG408" s="9">
        <v>-4332.002040000003</v>
      </c>
      <c r="AH408" s="11">
        <v>-0.20110479681341872</v>
      </c>
      <c r="AI408" s="9">
        <f>SUMIFS(AD408:AD1039, R408:R1039, S408)</f>
        <v>0</v>
      </c>
      <c r="AJ408" s="11" t="e">
        <f>SUMIFS(AD408:AD1039, R408:R1039, S408, AD408:AD1039, "&gt;" &amp; AE408) / AI408</f>
        <v>#DIV/0!</v>
      </c>
      <c r="AK408" s="7" t="e">
        <f>IF(AJ408&lt;=0.8,"A",IF(Table2[[#This Row],[Cumulative rev]]&lt;=0.95,"B","C"))</f>
        <v>#DIV/0!</v>
      </c>
    </row>
    <row r="409" spans="1:37" x14ac:dyDescent="0.3">
      <c r="A409" t="s">
        <v>422</v>
      </c>
      <c r="B409" s="4">
        <v>45724</v>
      </c>
      <c r="C409" s="4" t="s">
        <v>2086</v>
      </c>
      <c r="D409" s="4" t="s">
        <v>2087</v>
      </c>
      <c r="E409" s="4">
        <v>45731</v>
      </c>
      <c r="F409" t="s">
        <v>2064</v>
      </c>
      <c r="G409" s="4">
        <v>45731</v>
      </c>
      <c r="H409" s="4">
        <f>_xlfn.MINIFS(B409:B1040, N409:N1040, N409)</f>
        <v>45048</v>
      </c>
      <c r="I409" s="4" t="str">
        <f t="shared" si="12"/>
        <v>May-2023</v>
      </c>
      <c r="J409" s="13">
        <f t="shared" si="13"/>
        <v>23</v>
      </c>
      <c r="K409" s="13">
        <v>7</v>
      </c>
      <c r="L409" s="30" t="str">
        <f>IF(Table2[[#This Row],[LeadTimeDays]]&lt;7,"1","0")</f>
        <v>0</v>
      </c>
      <c r="M409" s="7" t="s">
        <v>647</v>
      </c>
      <c r="N409" s="7" t="s">
        <v>654</v>
      </c>
      <c r="O409" s="7" t="s">
        <v>668</v>
      </c>
      <c r="P409" s="7" t="s">
        <v>701</v>
      </c>
      <c r="Q409" s="7" t="s">
        <v>710</v>
      </c>
      <c r="R409" s="7" t="s">
        <v>723</v>
      </c>
      <c r="S409" s="7" t="s">
        <v>731</v>
      </c>
      <c r="T409" s="7" t="s">
        <v>1834</v>
      </c>
      <c r="U409" s="9">
        <v>475.66</v>
      </c>
      <c r="V409" s="9">
        <v>529.14</v>
      </c>
      <c r="W409" s="9">
        <v>529.14</v>
      </c>
      <c r="X409" s="9">
        <v>836.84649999999999</v>
      </c>
      <c r="Y409" s="9">
        <v>1633.1062000000002</v>
      </c>
      <c r="Z409" s="9" t="s">
        <v>2081</v>
      </c>
      <c r="AA409" t="s">
        <v>2065</v>
      </c>
      <c r="AB409" s="11">
        <v>0.19600000000000001</v>
      </c>
      <c r="AC409" t="s">
        <v>2065</v>
      </c>
      <c r="AD409" s="13">
        <v>11</v>
      </c>
      <c r="AE409" s="9">
        <v>4679.7141600000004</v>
      </c>
      <c r="AF409" s="9">
        <v>5232.26</v>
      </c>
      <c r="AG409" s="9">
        <v>-552.54583999999977</v>
      </c>
      <c r="AH409" s="11">
        <v>-0.11807256193613323</v>
      </c>
      <c r="AI409" s="9">
        <f>SUMIFS(AD409:AD1040, R409:R1040, S409)</f>
        <v>0</v>
      </c>
      <c r="AJ409" s="11" t="e">
        <f>SUMIFS(AD409:AD1040, R409:R1040, S409, AD409:AD1040, "&gt;" &amp; AE409) / AI409</f>
        <v>#DIV/0!</v>
      </c>
      <c r="AK409" s="7" t="e">
        <f>IF(AJ409&lt;=0.8,"A",IF(Table2[[#This Row],[Cumulative rev]]&lt;=0.95,"B","C"))</f>
        <v>#DIV/0!</v>
      </c>
    </row>
    <row r="410" spans="1:37" x14ac:dyDescent="0.3">
      <c r="A410" t="s">
        <v>423</v>
      </c>
      <c r="B410" s="4">
        <v>45276</v>
      </c>
      <c r="C410" s="4" t="s">
        <v>2088</v>
      </c>
      <c r="D410" s="4" t="s">
        <v>2089</v>
      </c>
      <c r="E410" s="4">
        <v>45279</v>
      </c>
      <c r="F410" t="s">
        <v>2064</v>
      </c>
      <c r="G410" s="4">
        <v>45279</v>
      </c>
      <c r="H410" s="4">
        <f>_xlfn.MINIFS(B410:B1041, N410:N1041, N410)</f>
        <v>44938</v>
      </c>
      <c r="I410" s="4" t="str">
        <f t="shared" si="12"/>
        <v>Jan-2023</v>
      </c>
      <c r="J410" s="13">
        <f t="shared" si="13"/>
        <v>12</v>
      </c>
      <c r="K410" s="13">
        <v>3</v>
      </c>
      <c r="L410" s="30" t="str">
        <f>IF(Table2[[#This Row],[LeadTimeDays]]&lt;7,"1","0")</f>
        <v>1</v>
      </c>
      <c r="M410" s="7" t="s">
        <v>647</v>
      </c>
      <c r="N410" s="7" t="s">
        <v>659</v>
      </c>
      <c r="O410" s="7" t="s">
        <v>699</v>
      </c>
      <c r="P410" s="7" t="s">
        <v>702</v>
      </c>
      <c r="Q410" s="7" t="s">
        <v>707</v>
      </c>
      <c r="R410" s="7" t="s">
        <v>720</v>
      </c>
      <c r="S410" s="7" t="s">
        <v>733</v>
      </c>
      <c r="T410" s="7" t="s">
        <v>1835</v>
      </c>
      <c r="U410" s="9">
        <v>1415.05</v>
      </c>
      <c r="V410" s="9">
        <v>1972.38</v>
      </c>
      <c r="W410" s="9">
        <v>1972.38</v>
      </c>
      <c r="X410" s="9">
        <v>844.79120000000012</v>
      </c>
      <c r="Y410" s="9">
        <v>1638.2368000000001</v>
      </c>
      <c r="Z410" s="9" t="s">
        <v>2095</v>
      </c>
      <c r="AA410" t="s">
        <v>2065</v>
      </c>
      <c r="AB410" s="11">
        <v>0</v>
      </c>
      <c r="AC410" t="s">
        <v>2065</v>
      </c>
      <c r="AD410" s="13">
        <v>12</v>
      </c>
      <c r="AE410" s="9">
        <v>23668.560000000001</v>
      </c>
      <c r="AF410" s="9">
        <v>16980.599999999999</v>
      </c>
      <c r="AG410" s="9">
        <v>6687.9600000000028</v>
      </c>
      <c r="AH410" s="11">
        <v>0.28256725377462771</v>
      </c>
      <c r="AI410" s="9">
        <f>SUMIFS(AD410:AD1041, R410:R1041, S410)</f>
        <v>0</v>
      </c>
      <c r="AJ410" s="11" t="e">
        <f>SUMIFS(AD410:AD1041, R410:R1041, S410, AD410:AD1041, "&gt;" &amp; AE410) / AI410</f>
        <v>#DIV/0!</v>
      </c>
      <c r="AK410" s="7" t="e">
        <f>IF(AJ410&lt;=0.8,"A",IF(Table2[[#This Row],[Cumulative rev]]&lt;=0.95,"B","C"))</f>
        <v>#DIV/0!</v>
      </c>
    </row>
    <row r="411" spans="1:37" x14ac:dyDescent="0.3">
      <c r="A411" t="s">
        <v>424</v>
      </c>
      <c r="B411" s="4">
        <v>45534</v>
      </c>
      <c r="C411" s="4" t="s">
        <v>2113</v>
      </c>
      <c r="D411" s="4" t="s">
        <v>2106</v>
      </c>
      <c r="E411" s="4">
        <v>45540</v>
      </c>
      <c r="F411" t="s">
        <v>2064</v>
      </c>
      <c r="G411" s="4">
        <v>45540</v>
      </c>
      <c r="H411" s="4">
        <f>_xlfn.MINIFS(B411:B1042, N411:N1042, N411)</f>
        <v>44988</v>
      </c>
      <c r="I411" s="4" t="str">
        <f t="shared" si="12"/>
        <v>Mar-2023</v>
      </c>
      <c r="J411" s="13">
        <f t="shared" si="13"/>
        <v>18</v>
      </c>
      <c r="K411" s="13">
        <v>6</v>
      </c>
      <c r="L411" s="30" t="str">
        <f>IF(Table2[[#This Row],[LeadTimeDays]]&lt;7,"1","0")</f>
        <v>1</v>
      </c>
      <c r="M411" s="7" t="s">
        <v>647</v>
      </c>
      <c r="N411" s="7" t="s">
        <v>652</v>
      </c>
      <c r="O411" s="7" t="s">
        <v>694</v>
      </c>
      <c r="P411" s="7" t="s">
        <v>702</v>
      </c>
      <c r="Q411" s="7" t="s">
        <v>708</v>
      </c>
      <c r="R411" s="7" t="s">
        <v>725</v>
      </c>
      <c r="S411" s="7" t="s">
        <v>731</v>
      </c>
      <c r="T411" s="7" t="s">
        <v>1836</v>
      </c>
      <c r="U411" s="9">
        <v>466.16</v>
      </c>
      <c r="V411" s="9">
        <v>876.81</v>
      </c>
      <c r="W411" s="9">
        <v>876.81</v>
      </c>
      <c r="X411" s="9">
        <v>838.66549999999995</v>
      </c>
      <c r="Y411" s="9">
        <v>1629.6942000000001</v>
      </c>
      <c r="Z411" s="9" t="s">
        <v>2092</v>
      </c>
      <c r="AA411" t="s">
        <v>2065</v>
      </c>
      <c r="AB411" s="11">
        <v>0.24099999999999999</v>
      </c>
      <c r="AC411" t="s">
        <v>2065</v>
      </c>
      <c r="AD411" s="13">
        <v>8</v>
      </c>
      <c r="AE411" s="9">
        <v>5323.9903199999999</v>
      </c>
      <c r="AF411" s="9">
        <v>3729.28</v>
      </c>
      <c r="AG411" s="9">
        <v>1594.7103199999997</v>
      </c>
      <c r="AH411" s="11">
        <v>0.29953291124691594</v>
      </c>
      <c r="AI411" s="9">
        <f>SUMIFS(AD411:AD1042, R411:R1042, S411)</f>
        <v>0</v>
      </c>
      <c r="AJ411" s="11" t="e">
        <f>SUMIFS(AD411:AD1042, R411:R1042, S411, AD411:AD1042, "&gt;" &amp; AE411) / AI411</f>
        <v>#DIV/0!</v>
      </c>
      <c r="AK411" s="7" t="e">
        <f>IF(AJ411&lt;=0.8,"A",IF(Table2[[#This Row],[Cumulative rev]]&lt;=0.95,"B","C"))</f>
        <v>#DIV/0!</v>
      </c>
    </row>
    <row r="412" spans="1:37" x14ac:dyDescent="0.3">
      <c r="A412" t="s">
        <v>425</v>
      </c>
      <c r="B412" s="4">
        <v>45430</v>
      </c>
      <c r="C412" s="4" t="s">
        <v>2093</v>
      </c>
      <c r="D412" s="4" t="s">
        <v>2094</v>
      </c>
      <c r="E412" s="4">
        <v>45433</v>
      </c>
      <c r="F412" t="s">
        <v>2064</v>
      </c>
      <c r="G412" s="4">
        <v>45433</v>
      </c>
      <c r="H412" s="4">
        <f>_xlfn.MINIFS(B412:B1043, N412:N1043, N412)</f>
        <v>45019</v>
      </c>
      <c r="I412" s="4" t="str">
        <f t="shared" si="12"/>
        <v>Apr-2023</v>
      </c>
      <c r="J412" s="13">
        <f t="shared" si="13"/>
        <v>14</v>
      </c>
      <c r="K412" s="13">
        <v>3</v>
      </c>
      <c r="L412" s="30" t="str">
        <f>IF(Table2[[#This Row],[LeadTimeDays]]&lt;7,"1","0")</f>
        <v>1</v>
      </c>
      <c r="M412" s="7" t="s">
        <v>649</v>
      </c>
      <c r="N412" s="7" t="s">
        <v>657</v>
      </c>
      <c r="O412" s="7" t="s">
        <v>673</v>
      </c>
      <c r="P412" s="7" t="s">
        <v>703</v>
      </c>
      <c r="Q412" s="7" t="s">
        <v>709</v>
      </c>
      <c r="R412" s="7" t="s">
        <v>726</v>
      </c>
      <c r="S412" s="7" t="s">
        <v>728</v>
      </c>
      <c r="T412" s="7" t="s">
        <v>1837</v>
      </c>
      <c r="U412" s="9">
        <v>663.66</v>
      </c>
      <c r="V412" s="9">
        <v>824.26</v>
      </c>
      <c r="W412" s="9">
        <v>824.26</v>
      </c>
      <c r="X412" s="9">
        <v>836.90000000000009</v>
      </c>
      <c r="Y412" s="9">
        <v>1633.4080000000004</v>
      </c>
      <c r="Z412" s="9" t="s">
        <v>2081</v>
      </c>
      <c r="AA412" t="s">
        <v>2065</v>
      </c>
      <c r="AB412" s="11">
        <v>0.23899999999999999</v>
      </c>
      <c r="AC412" t="s">
        <v>2065</v>
      </c>
      <c r="AD412" s="13">
        <v>11</v>
      </c>
      <c r="AE412" s="9">
        <v>6899.8804600000003</v>
      </c>
      <c r="AF412" s="9">
        <v>7300.2599999999993</v>
      </c>
      <c r="AG412" s="9">
        <v>-400.379539999999</v>
      </c>
      <c r="AH412" s="11">
        <v>-5.8027025587048933E-2</v>
      </c>
      <c r="AI412" s="9">
        <f>SUMIFS(AD412:AD1043, R412:R1043, S412)</f>
        <v>0</v>
      </c>
      <c r="AJ412" s="11" t="e">
        <f>SUMIFS(AD412:AD1043, R412:R1043, S412, AD412:AD1043, "&gt;" &amp; AE412) / AI412</f>
        <v>#DIV/0!</v>
      </c>
      <c r="AK412" s="7" t="e">
        <f>IF(AJ412&lt;=0.8,"A",IF(Table2[[#This Row],[Cumulative rev]]&lt;=0.95,"B","C"))</f>
        <v>#DIV/0!</v>
      </c>
    </row>
    <row r="413" spans="1:37" x14ac:dyDescent="0.3">
      <c r="A413" t="s">
        <v>426</v>
      </c>
      <c r="B413" s="4">
        <v>45002</v>
      </c>
      <c r="C413" s="4" t="s">
        <v>2114</v>
      </c>
      <c r="D413" s="4" t="s">
        <v>2085</v>
      </c>
      <c r="E413" s="4">
        <v>45022</v>
      </c>
      <c r="F413" t="s">
        <v>2064</v>
      </c>
      <c r="G413" s="4">
        <v>45022</v>
      </c>
      <c r="H413" s="4">
        <f>_xlfn.MINIFS(B413:B1044, N413:N1044, N413)</f>
        <v>44952</v>
      </c>
      <c r="I413" s="4" t="str">
        <f t="shared" si="12"/>
        <v>Jan-2023</v>
      </c>
      <c r="J413" s="13">
        <f t="shared" si="13"/>
        <v>2</v>
      </c>
      <c r="K413" s="13">
        <v>20</v>
      </c>
      <c r="L413" s="30" t="str">
        <f>IF(Table2[[#This Row],[LeadTimeDays]]&lt;7,"1","0")</f>
        <v>0</v>
      </c>
      <c r="M413" s="7" t="s">
        <v>649</v>
      </c>
      <c r="N413" s="7" t="s">
        <v>656</v>
      </c>
      <c r="O413" s="7" t="s">
        <v>684</v>
      </c>
      <c r="P413" s="7" t="s">
        <v>704</v>
      </c>
      <c r="Q413" s="7" t="s">
        <v>707</v>
      </c>
      <c r="R413" s="7" t="s">
        <v>719</v>
      </c>
      <c r="S413" s="7" t="s">
        <v>730</v>
      </c>
      <c r="T413" s="7" t="s">
        <v>1838</v>
      </c>
      <c r="U413" s="9">
        <v>692.18</v>
      </c>
      <c r="V413" s="9">
        <v>1159.3499999999999</v>
      </c>
      <c r="W413" s="9">
        <v>1159.3499999999999</v>
      </c>
      <c r="X413" s="9">
        <v>845.01240000000018</v>
      </c>
      <c r="Y413" s="9">
        <v>1638.5386000000003</v>
      </c>
      <c r="Z413" s="9" t="s">
        <v>2092</v>
      </c>
      <c r="AA413" t="s">
        <v>2065</v>
      </c>
      <c r="AB413" s="11">
        <v>0.112</v>
      </c>
      <c r="AC413" t="s">
        <v>2065</v>
      </c>
      <c r="AD413" s="13">
        <v>2</v>
      </c>
      <c r="AE413" s="9">
        <v>2059.0056</v>
      </c>
      <c r="AF413" s="9">
        <v>1384.36</v>
      </c>
      <c r="AG413" s="9">
        <v>674.64560000000006</v>
      </c>
      <c r="AH413" s="11">
        <v>0.32765602968734037</v>
      </c>
      <c r="AI413" s="9">
        <f>SUMIFS(AD413:AD1044, R413:R1044, S413)</f>
        <v>0</v>
      </c>
      <c r="AJ413" s="11" t="e">
        <f>SUMIFS(AD413:AD1044, R413:R1044, S413, AD413:AD1044, "&gt;" &amp; AE413) / AI413</f>
        <v>#DIV/0!</v>
      </c>
      <c r="AK413" s="7" t="e">
        <f>IF(AJ413&lt;=0.8,"A",IF(Table2[[#This Row],[Cumulative rev]]&lt;=0.95,"B","C"))</f>
        <v>#DIV/0!</v>
      </c>
    </row>
    <row r="414" spans="1:37" x14ac:dyDescent="0.3">
      <c r="A414" t="s">
        <v>427</v>
      </c>
      <c r="B414" s="4">
        <v>45163</v>
      </c>
      <c r="C414" s="4" t="s">
        <v>2118</v>
      </c>
      <c r="D414" s="4" t="s">
        <v>2117</v>
      </c>
      <c r="E414" s="4">
        <v>45185</v>
      </c>
      <c r="F414" t="s">
        <v>2064</v>
      </c>
      <c r="G414" s="4">
        <v>45185</v>
      </c>
      <c r="H414" s="4">
        <f>_xlfn.MINIFS(B414:B1045, N414:N1045, N414)</f>
        <v>44968</v>
      </c>
      <c r="I414" s="4" t="str">
        <f t="shared" si="12"/>
        <v>Feb-2023</v>
      </c>
      <c r="J414" s="13">
        <f t="shared" si="13"/>
        <v>7</v>
      </c>
      <c r="K414" s="13">
        <v>22</v>
      </c>
      <c r="L414" s="30" t="str">
        <f>IF(Table2[[#This Row],[LeadTimeDays]]&lt;7,"1","0")</f>
        <v>0</v>
      </c>
      <c r="M414" s="7" t="s">
        <v>646</v>
      </c>
      <c r="N414" s="7" t="s">
        <v>651</v>
      </c>
      <c r="O414" s="7" t="s">
        <v>669</v>
      </c>
      <c r="P414" s="7" t="s">
        <v>701</v>
      </c>
      <c r="Q414" s="7" t="s">
        <v>709</v>
      </c>
      <c r="R414" s="7" t="s">
        <v>716</v>
      </c>
      <c r="S414" s="7" t="s">
        <v>730</v>
      </c>
      <c r="T414" s="7" t="s">
        <v>1839</v>
      </c>
      <c r="U414" s="9">
        <v>1196.83</v>
      </c>
      <c r="V414" s="9">
        <v>2513.5100000000002</v>
      </c>
      <c r="W414" s="9">
        <v>2513.5100000000002</v>
      </c>
      <c r="X414" s="9">
        <v>838.71899999999994</v>
      </c>
      <c r="Y414" s="9">
        <v>1643.6692</v>
      </c>
      <c r="Z414" s="9" t="s">
        <v>2095</v>
      </c>
      <c r="AA414" t="s">
        <v>2065</v>
      </c>
      <c r="AB414" s="11">
        <v>8.3000000000000004E-2</v>
      </c>
      <c r="AC414" t="s">
        <v>2065</v>
      </c>
      <c r="AD414" s="13">
        <v>7</v>
      </c>
      <c r="AE414" s="9">
        <v>16134.22069</v>
      </c>
      <c r="AF414" s="9">
        <v>8377.81</v>
      </c>
      <c r="AG414" s="9">
        <v>7756.4106900000006</v>
      </c>
      <c r="AH414" s="11">
        <v>0.48074281609445374</v>
      </c>
      <c r="AI414" s="9">
        <f>SUMIFS(AD414:AD1045, R414:R1045, S414)</f>
        <v>0</v>
      </c>
      <c r="AJ414" s="11" t="e">
        <f>SUMIFS(AD414:AD1045, R414:R1045, S414, AD414:AD1045, "&gt;" &amp; AE414) / AI414</f>
        <v>#DIV/0!</v>
      </c>
      <c r="AK414" s="7" t="e">
        <f>IF(AJ414&lt;=0.8,"A",IF(Table2[[#This Row],[Cumulative rev]]&lt;=0.95,"B","C"))</f>
        <v>#DIV/0!</v>
      </c>
    </row>
    <row r="415" spans="1:37" x14ac:dyDescent="0.3">
      <c r="A415" t="s">
        <v>428</v>
      </c>
      <c r="B415" s="4">
        <v>45449</v>
      </c>
      <c r="C415" s="4" t="s">
        <v>2109</v>
      </c>
      <c r="D415" s="4" t="s">
        <v>2094</v>
      </c>
      <c r="E415" s="4">
        <v>45467</v>
      </c>
      <c r="F415" t="s">
        <v>2064</v>
      </c>
      <c r="G415" s="4">
        <v>45467</v>
      </c>
      <c r="H415" s="4">
        <f>_xlfn.MINIFS(B415:B1046, N415:N1046, N415)</f>
        <v>45048</v>
      </c>
      <c r="I415" s="4" t="str">
        <f t="shared" si="12"/>
        <v>May-2023</v>
      </c>
      <c r="J415" s="13">
        <f t="shared" si="13"/>
        <v>14</v>
      </c>
      <c r="K415" s="13">
        <v>18</v>
      </c>
      <c r="L415" s="30" t="str">
        <f>IF(Table2[[#This Row],[LeadTimeDays]]&lt;7,"1","0")</f>
        <v>0</v>
      </c>
      <c r="M415" s="7" t="s">
        <v>647</v>
      </c>
      <c r="N415" s="7" t="s">
        <v>654</v>
      </c>
      <c r="O415" s="7" t="s">
        <v>668</v>
      </c>
      <c r="P415" s="7" t="s">
        <v>705</v>
      </c>
      <c r="Q415" s="7" t="s">
        <v>711</v>
      </c>
      <c r="R415" s="7" t="s">
        <v>722</v>
      </c>
      <c r="S415" s="7" t="s">
        <v>729</v>
      </c>
      <c r="T415" s="7" t="s">
        <v>1840</v>
      </c>
      <c r="U415" s="9">
        <v>1253.25</v>
      </c>
      <c r="V415" s="9">
        <v>3087.13</v>
      </c>
      <c r="W415" s="9">
        <v>3087.13</v>
      </c>
      <c r="X415" s="9">
        <v>836.95349999999996</v>
      </c>
      <c r="Y415" s="9">
        <v>1633.7098000000001</v>
      </c>
      <c r="Z415" s="9" t="s">
        <v>2095</v>
      </c>
      <c r="AA415" t="s">
        <v>2065</v>
      </c>
      <c r="AB415" s="11">
        <v>7.1999999999999995E-2</v>
      </c>
      <c r="AC415" t="s">
        <v>2065</v>
      </c>
      <c r="AD415" s="13">
        <v>11</v>
      </c>
      <c r="AE415" s="9">
        <v>31513.423040000001</v>
      </c>
      <c r="AF415" s="9">
        <v>13785.75</v>
      </c>
      <c r="AG415" s="9">
        <v>17727.673040000001</v>
      </c>
      <c r="AH415" s="11">
        <v>0.562543555408064</v>
      </c>
      <c r="AI415" s="9">
        <f>SUMIFS(AD415:AD1046, R415:R1046, S415)</f>
        <v>0</v>
      </c>
      <c r="AJ415" s="11" t="e">
        <f>SUMIFS(AD415:AD1046, R415:R1046, S415, AD415:AD1046, "&gt;" &amp; AE415) / AI415</f>
        <v>#DIV/0!</v>
      </c>
      <c r="AK415" s="7" t="e">
        <f>IF(AJ415&lt;=0.8,"A",IF(Table2[[#This Row],[Cumulative rev]]&lt;=0.95,"B","C"))</f>
        <v>#DIV/0!</v>
      </c>
    </row>
    <row r="416" spans="1:37" x14ac:dyDescent="0.3">
      <c r="A416" t="s">
        <v>429</v>
      </c>
      <c r="B416" s="4">
        <v>45167</v>
      </c>
      <c r="C416" s="4" t="s">
        <v>2118</v>
      </c>
      <c r="D416" s="4" t="s">
        <v>2117</v>
      </c>
      <c r="E416" s="4">
        <v>45182</v>
      </c>
      <c r="F416" t="s">
        <v>2064</v>
      </c>
      <c r="G416" s="4">
        <v>45182</v>
      </c>
      <c r="H416" s="4">
        <f>_xlfn.MINIFS(B416:B1047, N416:N1047, N416)</f>
        <v>45029</v>
      </c>
      <c r="I416" s="4" t="str">
        <f t="shared" si="12"/>
        <v>Apr-2023</v>
      </c>
      <c r="J416" s="13">
        <f t="shared" si="13"/>
        <v>5</v>
      </c>
      <c r="K416" s="13">
        <v>15</v>
      </c>
      <c r="L416" s="30" t="str">
        <f>IF(Table2[[#This Row],[LeadTimeDays]]&lt;7,"1","0")</f>
        <v>0</v>
      </c>
      <c r="M416" s="7" t="s">
        <v>648</v>
      </c>
      <c r="N416" s="7" t="s">
        <v>653</v>
      </c>
      <c r="O416" s="7" t="s">
        <v>688</v>
      </c>
      <c r="P416" s="7" t="s">
        <v>705</v>
      </c>
      <c r="Q416" s="7" t="s">
        <v>709</v>
      </c>
      <c r="R416" s="7" t="s">
        <v>719</v>
      </c>
      <c r="S416" s="7" t="s">
        <v>728</v>
      </c>
      <c r="T416" s="7" t="s">
        <v>1841</v>
      </c>
      <c r="U416" s="9">
        <v>1287.6400000000001</v>
      </c>
      <c r="V416" s="9">
        <v>2717.15</v>
      </c>
      <c r="W416" s="9">
        <v>2717.15</v>
      </c>
      <c r="X416" s="9">
        <v>835.18799999999999</v>
      </c>
      <c r="Y416" s="9">
        <v>1628.2032000000002</v>
      </c>
      <c r="Z416" s="9" t="s">
        <v>2095</v>
      </c>
      <c r="AA416" t="s">
        <v>2065</v>
      </c>
      <c r="AB416" s="11">
        <v>3.2000000000000001E-2</v>
      </c>
      <c r="AC416" t="s">
        <v>2065</v>
      </c>
      <c r="AD416" s="13">
        <v>7</v>
      </c>
      <c r="AE416" s="9">
        <v>18411.4084</v>
      </c>
      <c r="AF416" s="9">
        <v>9013.4800000000014</v>
      </c>
      <c r="AG416" s="9">
        <v>9397.9283999999989</v>
      </c>
      <c r="AH416" s="11">
        <v>0.51044049405802105</v>
      </c>
      <c r="AI416" s="9">
        <f>SUMIFS(AD416:AD1047, R416:R1047, S416)</f>
        <v>0</v>
      </c>
      <c r="AJ416" s="11" t="e">
        <f>SUMIFS(AD416:AD1047, R416:R1047, S416, AD416:AD1047, "&gt;" &amp; AE416) / AI416</f>
        <v>#DIV/0!</v>
      </c>
      <c r="AK416" s="7" t="e">
        <f>IF(AJ416&lt;=0.8,"A",IF(Table2[[#This Row],[Cumulative rev]]&lt;=0.95,"B","C"))</f>
        <v>#DIV/0!</v>
      </c>
    </row>
    <row r="417" spans="1:37" x14ac:dyDescent="0.3">
      <c r="A417" t="s">
        <v>430</v>
      </c>
      <c r="B417" s="4">
        <v>45626</v>
      </c>
      <c r="C417" s="4" t="s">
        <v>2110</v>
      </c>
      <c r="D417" s="4" t="s">
        <v>2083</v>
      </c>
      <c r="E417" s="4">
        <v>45636</v>
      </c>
      <c r="F417" t="s">
        <v>2064</v>
      </c>
      <c r="G417" s="4">
        <v>45636</v>
      </c>
      <c r="H417" s="4">
        <f>_xlfn.MINIFS(B417:B1048, N417:N1048, N417)</f>
        <v>45048</v>
      </c>
      <c r="I417" s="4" t="str">
        <f t="shared" si="12"/>
        <v>May-2023</v>
      </c>
      <c r="J417" s="13">
        <f t="shared" si="13"/>
        <v>19</v>
      </c>
      <c r="K417" s="13">
        <v>10</v>
      </c>
      <c r="L417" s="30" t="str">
        <f>IF(Table2[[#This Row],[LeadTimeDays]]&lt;7,"1","0")</f>
        <v>0</v>
      </c>
      <c r="M417" s="7" t="s">
        <v>647</v>
      </c>
      <c r="N417" s="7" t="s">
        <v>654</v>
      </c>
      <c r="O417" s="7" t="s">
        <v>696</v>
      </c>
      <c r="P417" s="7" t="s">
        <v>705</v>
      </c>
      <c r="Q417" s="7" t="s">
        <v>707</v>
      </c>
      <c r="R417" s="7" t="s">
        <v>721</v>
      </c>
      <c r="S417" s="7" t="s">
        <v>733</v>
      </c>
      <c r="T417" s="7" t="s">
        <v>1842</v>
      </c>
      <c r="U417" s="9">
        <v>851.49</v>
      </c>
      <c r="V417" s="9">
        <v>901.79</v>
      </c>
      <c r="W417" s="9">
        <v>901.79</v>
      </c>
      <c r="X417" s="9">
        <v>833.32900000000006</v>
      </c>
      <c r="Y417" s="9">
        <v>1625.345</v>
      </c>
      <c r="Z417" s="9" t="s">
        <v>2092</v>
      </c>
      <c r="AA417" t="s">
        <v>2065</v>
      </c>
      <c r="AB417" s="11">
        <v>0.245</v>
      </c>
      <c r="AC417" t="s">
        <v>2065</v>
      </c>
      <c r="AD417" s="13">
        <v>16</v>
      </c>
      <c r="AE417" s="9">
        <v>10893.6232</v>
      </c>
      <c r="AF417" s="9">
        <v>13623.84</v>
      </c>
      <c r="AG417" s="9">
        <v>-2730.2168000000001</v>
      </c>
      <c r="AH417" s="11">
        <v>-0.25062522816100341</v>
      </c>
      <c r="AI417" s="9">
        <f>SUMIFS(AD417:AD1048, R417:R1048, S417)</f>
        <v>0</v>
      </c>
      <c r="AJ417" s="11" t="e">
        <f>SUMIFS(AD417:AD1048, R417:R1048, S417, AD417:AD1048, "&gt;" &amp; AE417) / AI417</f>
        <v>#DIV/0!</v>
      </c>
      <c r="AK417" s="7" t="e">
        <f>IF(AJ417&lt;=0.8,"A",IF(Table2[[#This Row],[Cumulative rev]]&lt;=0.95,"B","C"))</f>
        <v>#DIV/0!</v>
      </c>
    </row>
    <row r="418" spans="1:37" x14ac:dyDescent="0.3">
      <c r="A418" t="s">
        <v>431</v>
      </c>
      <c r="B418" s="4">
        <v>45813</v>
      </c>
      <c r="C418" s="4" t="s">
        <v>2108</v>
      </c>
      <c r="D418" s="4" t="s">
        <v>2097</v>
      </c>
      <c r="E418" s="4">
        <v>45822</v>
      </c>
      <c r="F418" t="s">
        <v>2064</v>
      </c>
      <c r="G418" s="4">
        <v>45822</v>
      </c>
      <c r="H418" s="4">
        <f>_xlfn.MINIFS(B418:B1049, N418:N1049, N418)</f>
        <v>45048</v>
      </c>
      <c r="I418" s="4" t="str">
        <f t="shared" si="12"/>
        <v>May-2023</v>
      </c>
      <c r="J418" s="13">
        <f t="shared" si="13"/>
        <v>26</v>
      </c>
      <c r="K418" s="13">
        <v>9</v>
      </c>
      <c r="L418" s="30" t="str">
        <f>IF(Table2[[#This Row],[LeadTimeDays]]&lt;7,"1","0")</f>
        <v>0</v>
      </c>
      <c r="M418" s="7" t="s">
        <v>647</v>
      </c>
      <c r="N418" s="7" t="s">
        <v>654</v>
      </c>
      <c r="O418" s="7" t="s">
        <v>680</v>
      </c>
      <c r="P418" s="7" t="s">
        <v>703</v>
      </c>
      <c r="Q418" s="7" t="s">
        <v>707</v>
      </c>
      <c r="R418" s="7" t="s">
        <v>720</v>
      </c>
      <c r="S418" s="7" t="s">
        <v>733</v>
      </c>
      <c r="T418" s="7" t="s">
        <v>1843</v>
      </c>
      <c r="U418" s="9">
        <v>618.69000000000005</v>
      </c>
      <c r="V418" s="9">
        <v>796.15</v>
      </c>
      <c r="W418" s="9">
        <v>796.15</v>
      </c>
      <c r="X418" s="9">
        <v>830.94640000000004</v>
      </c>
      <c r="Y418" s="9">
        <v>1626.6128000000001</v>
      </c>
      <c r="Z418" s="9" t="s">
        <v>2081</v>
      </c>
      <c r="AA418" t="s">
        <v>2065</v>
      </c>
      <c r="AB418" s="11">
        <v>0.09</v>
      </c>
      <c r="AC418" t="s">
        <v>2065</v>
      </c>
      <c r="AD418" s="13">
        <v>11</v>
      </c>
      <c r="AE418" s="9">
        <v>7969.4615000000003</v>
      </c>
      <c r="AF418" s="9">
        <v>6805.59</v>
      </c>
      <c r="AG418" s="9">
        <v>1163.8715000000002</v>
      </c>
      <c r="AH418" s="11">
        <v>0.14604142325049191</v>
      </c>
      <c r="AI418" s="9">
        <f>SUMIFS(AD418:AD1049, R418:R1049, S418)</f>
        <v>0</v>
      </c>
      <c r="AJ418" s="11" t="e">
        <f>SUMIFS(AD418:AD1049, R418:R1049, S418, AD418:AD1049, "&gt;" &amp; AE418) / AI418</f>
        <v>#DIV/0!</v>
      </c>
      <c r="AK418" s="7" t="e">
        <f>IF(AJ418&lt;=0.8,"A",IF(Table2[[#This Row],[Cumulative rev]]&lt;=0.95,"B","C"))</f>
        <v>#DIV/0!</v>
      </c>
    </row>
    <row r="419" spans="1:37" x14ac:dyDescent="0.3">
      <c r="A419" t="s">
        <v>432</v>
      </c>
      <c r="B419" s="4">
        <v>45730</v>
      </c>
      <c r="C419" s="4" t="s">
        <v>2086</v>
      </c>
      <c r="D419" s="4" t="s">
        <v>2087</v>
      </c>
      <c r="E419" s="4">
        <v>45755</v>
      </c>
      <c r="F419" t="s">
        <v>2064</v>
      </c>
      <c r="G419" s="4">
        <v>45755</v>
      </c>
      <c r="H419" s="4">
        <f>_xlfn.MINIFS(B419:B1050, N419:N1050, N419)</f>
        <v>44938</v>
      </c>
      <c r="I419" s="4" t="str">
        <f t="shared" si="12"/>
        <v>Jan-2023</v>
      </c>
      <c r="J419" s="13">
        <f t="shared" si="13"/>
        <v>27</v>
      </c>
      <c r="K419" s="13">
        <v>25</v>
      </c>
      <c r="L419" s="30" t="str">
        <f>IF(Table2[[#This Row],[LeadTimeDays]]&lt;7,"1","0")</f>
        <v>0</v>
      </c>
      <c r="M419" s="7" t="s">
        <v>647</v>
      </c>
      <c r="N419" s="7" t="s">
        <v>659</v>
      </c>
      <c r="O419" s="7" t="s">
        <v>2057</v>
      </c>
      <c r="P419" s="7" t="s">
        <v>701</v>
      </c>
      <c r="Q419" s="7" t="s">
        <v>710</v>
      </c>
      <c r="R419" s="7" t="s">
        <v>726</v>
      </c>
      <c r="S419" s="7" t="s">
        <v>728</v>
      </c>
      <c r="T419" s="7" t="s">
        <v>1844</v>
      </c>
      <c r="U419" s="9">
        <v>80.59</v>
      </c>
      <c r="V419" s="9">
        <v>157.82</v>
      </c>
      <c r="W419" s="9">
        <v>157.82</v>
      </c>
      <c r="X419" s="9">
        <v>835.24150000000009</v>
      </c>
      <c r="Y419" s="9">
        <v>1628.3026000000002</v>
      </c>
      <c r="Z419" s="9" t="s">
        <v>2081</v>
      </c>
      <c r="AA419" t="s">
        <v>2065</v>
      </c>
      <c r="AB419" s="11">
        <v>0.217</v>
      </c>
      <c r="AC419" t="s">
        <v>2065</v>
      </c>
      <c r="AD419" s="13">
        <v>6</v>
      </c>
      <c r="AE419" s="9">
        <v>741.43835999999999</v>
      </c>
      <c r="AF419" s="9">
        <v>483.54</v>
      </c>
      <c r="AG419" s="9">
        <v>257.89835999999997</v>
      </c>
      <c r="AH419" s="11">
        <v>0.34783519967863541</v>
      </c>
      <c r="AI419" s="9">
        <f>SUMIFS(AD419:AD1050, R419:R1050, S419)</f>
        <v>0</v>
      </c>
      <c r="AJ419" s="11" t="e">
        <f>SUMIFS(AD419:AD1050, R419:R1050, S419, AD419:AD1050, "&gt;" &amp; AE419) / AI419</f>
        <v>#DIV/0!</v>
      </c>
      <c r="AK419" s="7" t="e">
        <f>IF(AJ419&lt;=0.8,"A",IF(Table2[[#This Row],[Cumulative rev]]&lt;=0.95,"B","C"))</f>
        <v>#DIV/0!</v>
      </c>
    </row>
    <row r="420" spans="1:37" x14ac:dyDescent="0.3">
      <c r="A420" t="s">
        <v>433</v>
      </c>
      <c r="B420" s="4">
        <v>45307</v>
      </c>
      <c r="C420" s="4" t="s">
        <v>2098</v>
      </c>
      <c r="D420" s="4" t="s">
        <v>2080</v>
      </c>
      <c r="E420" s="4">
        <v>45333</v>
      </c>
      <c r="F420" t="s">
        <v>2064</v>
      </c>
      <c r="G420" s="4">
        <v>45333</v>
      </c>
      <c r="H420" s="4">
        <f>_xlfn.MINIFS(B420:B1051, N420:N1051, N420)</f>
        <v>44952</v>
      </c>
      <c r="I420" s="4" t="str">
        <f t="shared" si="12"/>
        <v>Jan-2023</v>
      </c>
      <c r="J420" s="13">
        <f t="shared" si="13"/>
        <v>12</v>
      </c>
      <c r="K420" s="13">
        <v>26</v>
      </c>
      <c r="L420" s="30" t="str">
        <f>IF(Table2[[#This Row],[LeadTimeDays]]&lt;7,"1","0")</f>
        <v>0</v>
      </c>
      <c r="M420" s="7" t="s">
        <v>649</v>
      </c>
      <c r="N420" s="7" t="s">
        <v>656</v>
      </c>
      <c r="O420" s="7" t="s">
        <v>698</v>
      </c>
      <c r="P420" s="7" t="s">
        <v>703</v>
      </c>
      <c r="Q420" s="7" t="s">
        <v>710</v>
      </c>
      <c r="R420" s="7" t="s">
        <v>718</v>
      </c>
      <c r="S420" s="7" t="s">
        <v>732</v>
      </c>
      <c r="T420" s="7" t="s">
        <v>1845</v>
      </c>
      <c r="U420" s="9">
        <v>504.93</v>
      </c>
      <c r="V420" s="9">
        <v>819.06</v>
      </c>
      <c r="W420" s="9">
        <v>819.06</v>
      </c>
      <c r="X420" s="9">
        <v>838.82600000000002</v>
      </c>
      <c r="Y420" s="9">
        <v>1629.9924000000001</v>
      </c>
      <c r="Z420" s="9" t="s">
        <v>2081</v>
      </c>
      <c r="AA420" t="s">
        <v>2065</v>
      </c>
      <c r="AB420" s="11">
        <v>0.22600000000000001</v>
      </c>
      <c r="AC420" t="s">
        <v>2065</v>
      </c>
      <c r="AD420" s="13">
        <v>15</v>
      </c>
      <c r="AE420" s="9">
        <v>9509.2865999999995</v>
      </c>
      <c r="AF420" s="9">
        <v>7573.95</v>
      </c>
      <c r="AG420" s="9">
        <v>1935.3365999999996</v>
      </c>
      <c r="AH420" s="11">
        <v>0.20352069312959814</v>
      </c>
      <c r="AI420" s="9">
        <f>SUMIFS(AD420:AD1051, R420:R1051, S420)</f>
        <v>0</v>
      </c>
      <c r="AJ420" s="11" t="e">
        <f>SUMIFS(AD420:AD1051, R420:R1051, S420, AD420:AD1051, "&gt;" &amp; AE420) / AI420</f>
        <v>#DIV/0!</v>
      </c>
      <c r="AK420" s="7" t="e">
        <f>IF(AJ420&lt;=0.8,"A",IF(Table2[[#This Row],[Cumulative rev]]&lt;=0.95,"B","C"))</f>
        <v>#DIV/0!</v>
      </c>
    </row>
    <row r="421" spans="1:37" x14ac:dyDescent="0.3">
      <c r="A421" t="s">
        <v>434</v>
      </c>
      <c r="B421" s="4">
        <v>45211</v>
      </c>
      <c r="C421" s="4" t="s">
        <v>2125</v>
      </c>
      <c r="D421" s="4" t="s">
        <v>2089</v>
      </c>
      <c r="E421" s="4">
        <v>45228</v>
      </c>
      <c r="F421" t="s">
        <v>2064</v>
      </c>
      <c r="G421" s="4">
        <v>45228</v>
      </c>
      <c r="H421" s="4">
        <f>_xlfn.MINIFS(B421:B1052, N421:N1052, N421)</f>
        <v>44988</v>
      </c>
      <c r="I421" s="4" t="str">
        <f t="shared" si="12"/>
        <v>Mar-2023</v>
      </c>
      <c r="J421" s="13">
        <f t="shared" si="13"/>
        <v>8</v>
      </c>
      <c r="K421" s="13">
        <v>17</v>
      </c>
      <c r="L421" s="30" t="str">
        <f>IF(Table2[[#This Row],[LeadTimeDays]]&lt;7,"1","0")</f>
        <v>0</v>
      </c>
      <c r="M421" s="7" t="s">
        <v>647</v>
      </c>
      <c r="N421" s="7" t="s">
        <v>652</v>
      </c>
      <c r="O421" s="7" t="s">
        <v>694</v>
      </c>
      <c r="P421" s="7" t="s">
        <v>703</v>
      </c>
      <c r="Q421" s="7" t="s">
        <v>711</v>
      </c>
      <c r="R421" s="7" t="s">
        <v>722</v>
      </c>
      <c r="S421" s="7" t="s">
        <v>730</v>
      </c>
      <c r="T421" s="7" t="s">
        <v>1846</v>
      </c>
      <c r="U421" s="9">
        <v>1102.19</v>
      </c>
      <c r="V421" s="9">
        <v>1711.16</v>
      </c>
      <c r="W421" s="9">
        <v>1711.16</v>
      </c>
      <c r="X421" s="9">
        <v>852.97560000000021</v>
      </c>
      <c r="Y421" s="9">
        <v>1634.3134000000005</v>
      </c>
      <c r="Z421" s="9" t="s">
        <v>2095</v>
      </c>
      <c r="AA421" t="s">
        <v>2065</v>
      </c>
      <c r="AB421" s="11">
        <v>0.151</v>
      </c>
      <c r="AC421" t="s">
        <v>2065</v>
      </c>
      <c r="AD421" s="13">
        <v>10</v>
      </c>
      <c r="AE421" s="9">
        <v>14527.748400000002</v>
      </c>
      <c r="AF421" s="9">
        <v>11021.900000000001</v>
      </c>
      <c r="AG421" s="9">
        <v>3505.8484000000008</v>
      </c>
      <c r="AH421" s="11">
        <v>0.24132083675127525</v>
      </c>
      <c r="AI421" s="9">
        <f>SUMIFS(AD421:AD1052, R421:R1052, S421)</f>
        <v>0</v>
      </c>
      <c r="AJ421" s="11" t="e">
        <f>SUMIFS(AD421:AD1052, R421:R1052, S421, AD421:AD1052, "&gt;" &amp; AE421) / AI421</f>
        <v>#DIV/0!</v>
      </c>
      <c r="AK421" s="7" t="e">
        <f>IF(AJ421&lt;=0.8,"A",IF(Table2[[#This Row],[Cumulative rev]]&lt;=0.95,"B","C"))</f>
        <v>#DIV/0!</v>
      </c>
    </row>
    <row r="422" spans="1:37" x14ac:dyDescent="0.3">
      <c r="A422" t="s">
        <v>435</v>
      </c>
      <c r="B422" s="4">
        <v>45713</v>
      </c>
      <c r="C422" s="4" t="s">
        <v>2119</v>
      </c>
      <c r="D422" s="4" t="s">
        <v>2087</v>
      </c>
      <c r="E422" s="4">
        <v>45733</v>
      </c>
      <c r="F422" t="s">
        <v>2064</v>
      </c>
      <c r="G422" s="4">
        <v>45733</v>
      </c>
      <c r="H422" s="4">
        <f>_xlfn.MINIFS(B422:B1053, N422:N1053, N422)</f>
        <v>44984</v>
      </c>
      <c r="I422" s="4" t="str">
        <f t="shared" si="12"/>
        <v>Feb-2023</v>
      </c>
      <c r="J422" s="13">
        <f t="shared" si="13"/>
        <v>24</v>
      </c>
      <c r="K422" s="13">
        <v>20</v>
      </c>
      <c r="L422" s="30" t="str">
        <f>IF(Table2[[#This Row],[LeadTimeDays]]&lt;7,"1","0")</f>
        <v>0</v>
      </c>
      <c r="M422" s="7" t="s">
        <v>648</v>
      </c>
      <c r="N422" s="7" t="s">
        <v>1425</v>
      </c>
      <c r="O422" s="7" t="s">
        <v>686</v>
      </c>
      <c r="P422" s="7" t="s">
        <v>703</v>
      </c>
      <c r="Q422" s="7" t="s">
        <v>709</v>
      </c>
      <c r="R422" s="7" t="s">
        <v>722</v>
      </c>
      <c r="S422" s="7" t="s">
        <v>730</v>
      </c>
      <c r="T422" s="7" t="s">
        <v>1847</v>
      </c>
      <c r="U422" s="9">
        <v>1205.26</v>
      </c>
      <c r="V422" s="9">
        <v>1696.35</v>
      </c>
      <c r="W422" s="9">
        <v>1696.35</v>
      </c>
      <c r="X422" s="9">
        <v>845.67599999999993</v>
      </c>
      <c r="Y422" s="9">
        <v>1628.402</v>
      </c>
      <c r="Z422" s="9" t="s">
        <v>2095</v>
      </c>
      <c r="AA422" t="s">
        <v>2065</v>
      </c>
      <c r="AB422" s="11">
        <v>1.9E-2</v>
      </c>
      <c r="AC422" t="s">
        <v>2065</v>
      </c>
      <c r="AD422" s="13">
        <v>6</v>
      </c>
      <c r="AE422" s="9">
        <v>9984.7160999999978</v>
      </c>
      <c r="AF422" s="9">
        <v>7231.5599999999995</v>
      </c>
      <c r="AG422" s="9">
        <v>2753.1560999999983</v>
      </c>
      <c r="AH422" s="11">
        <v>0.27573704374028213</v>
      </c>
      <c r="AI422" s="9">
        <f>SUMIFS(AD422:AD1053, R422:R1053, S422)</f>
        <v>0</v>
      </c>
      <c r="AJ422" s="11" t="e">
        <f>SUMIFS(AD422:AD1053, R422:R1053, S422, AD422:AD1053, "&gt;" &amp; AE422) / AI422</f>
        <v>#DIV/0!</v>
      </c>
      <c r="AK422" s="7" t="e">
        <f>IF(AJ422&lt;=0.8,"A",IF(Table2[[#This Row],[Cumulative rev]]&lt;=0.95,"B","C"))</f>
        <v>#DIV/0!</v>
      </c>
    </row>
    <row r="423" spans="1:37" x14ac:dyDescent="0.3">
      <c r="A423" t="s">
        <v>436</v>
      </c>
      <c r="B423" s="4">
        <v>45841</v>
      </c>
      <c r="C423" s="4" t="s">
        <v>2104</v>
      </c>
      <c r="D423" s="4" t="s">
        <v>2101</v>
      </c>
      <c r="E423" s="4">
        <v>45844</v>
      </c>
      <c r="F423" t="s">
        <v>2064</v>
      </c>
      <c r="G423" s="4">
        <v>45844</v>
      </c>
      <c r="H423" s="4">
        <f>_xlfn.MINIFS(B423:B1054, N423:N1054, N423)</f>
        <v>44968</v>
      </c>
      <c r="I423" s="4" t="str">
        <f t="shared" si="12"/>
        <v>Feb-2023</v>
      </c>
      <c r="J423" s="13">
        <f t="shared" si="13"/>
        <v>29</v>
      </c>
      <c r="K423" s="13">
        <v>3</v>
      </c>
      <c r="L423" s="30" t="str">
        <f>IF(Table2[[#This Row],[LeadTimeDays]]&lt;7,"1","0")</f>
        <v>1</v>
      </c>
      <c r="M423" s="7" t="s">
        <v>646</v>
      </c>
      <c r="N423" s="7" t="s">
        <v>651</v>
      </c>
      <c r="O423" s="7" t="s">
        <v>665</v>
      </c>
      <c r="P423" s="7" t="s">
        <v>704</v>
      </c>
      <c r="Q423" s="7" t="s">
        <v>708</v>
      </c>
      <c r="R423" s="7" t="s">
        <v>2057</v>
      </c>
      <c r="S423" s="7" t="s">
        <v>731</v>
      </c>
      <c r="T423" s="7" t="s">
        <v>1848</v>
      </c>
      <c r="U423" s="9">
        <v>1313.3</v>
      </c>
      <c r="V423" s="9">
        <v>2884.34</v>
      </c>
      <c r="W423" s="9">
        <v>2884.34</v>
      </c>
      <c r="X423" s="9">
        <v>838.87950000000001</v>
      </c>
      <c r="Y423" s="9">
        <v>1625.375</v>
      </c>
      <c r="Z423" s="9" t="s">
        <v>2095</v>
      </c>
      <c r="AA423" t="s">
        <v>2065</v>
      </c>
      <c r="AB423" s="11">
        <v>0.157</v>
      </c>
      <c r="AC423" t="s">
        <v>2065</v>
      </c>
      <c r="AD423" s="13">
        <v>42</v>
      </c>
      <c r="AE423" s="9">
        <v>102122.94203999999</v>
      </c>
      <c r="AF423" s="9">
        <v>55158.6</v>
      </c>
      <c r="AG423" s="9">
        <v>46964.342039999996</v>
      </c>
      <c r="AH423" s="11">
        <v>0.45988042551305253</v>
      </c>
      <c r="AI423" s="9">
        <f>SUMIFS(AD423:AD1054, R423:R1054, S423)</f>
        <v>0</v>
      </c>
      <c r="AJ423" s="11" t="e">
        <f>SUMIFS(AD423:AD1054, R423:R1054, S423, AD423:AD1054, "&gt;" &amp; AE423) / AI423</f>
        <v>#DIV/0!</v>
      </c>
      <c r="AK423" s="7" t="e">
        <f>IF(AJ423&lt;=0.8,"A",IF(Table2[[#This Row],[Cumulative rev]]&lt;=0.95,"B","C"))</f>
        <v>#DIV/0!</v>
      </c>
    </row>
    <row r="424" spans="1:37" x14ac:dyDescent="0.3">
      <c r="A424" t="s">
        <v>437</v>
      </c>
      <c r="B424" s="4">
        <v>45915</v>
      </c>
      <c r="C424" s="4" t="s">
        <v>2100</v>
      </c>
      <c r="D424" s="4" t="s">
        <v>2101</v>
      </c>
      <c r="E424" s="4">
        <v>45925</v>
      </c>
      <c r="F424" t="s">
        <v>2064</v>
      </c>
      <c r="G424" s="4">
        <v>45925</v>
      </c>
      <c r="H424" s="4">
        <f>_xlfn.MINIFS(B424:B1055, N424:N1055, N424)</f>
        <v>45048</v>
      </c>
      <c r="I424" s="4" t="str">
        <f t="shared" si="12"/>
        <v>May-2023</v>
      </c>
      <c r="J424" s="13">
        <f t="shared" si="13"/>
        <v>29</v>
      </c>
      <c r="K424" s="13">
        <v>10</v>
      </c>
      <c r="L424" s="30" t="str">
        <f>IF(Table2[[#This Row],[LeadTimeDays]]&lt;7,"1","0")</f>
        <v>0</v>
      </c>
      <c r="M424" s="7" t="s">
        <v>647</v>
      </c>
      <c r="N424" s="7" t="s">
        <v>654</v>
      </c>
      <c r="O424" s="7" t="s">
        <v>680</v>
      </c>
      <c r="P424" s="7" t="s">
        <v>704</v>
      </c>
      <c r="Q424" s="7" t="s">
        <v>707</v>
      </c>
      <c r="R424" s="7" t="s">
        <v>720</v>
      </c>
      <c r="S424" s="7" t="s">
        <v>730</v>
      </c>
      <c r="T424" s="7" t="s">
        <v>1849</v>
      </c>
      <c r="U424" s="9">
        <v>1488.91</v>
      </c>
      <c r="V424" s="9">
        <v>1483.74</v>
      </c>
      <c r="W424" s="9">
        <v>1483.74</v>
      </c>
      <c r="X424" s="9">
        <v>837.11400000000003</v>
      </c>
      <c r="Y424" s="9">
        <v>1624.88</v>
      </c>
      <c r="Z424" s="9" t="s">
        <v>2092</v>
      </c>
      <c r="AA424" t="s">
        <v>2065</v>
      </c>
      <c r="AB424" s="11">
        <v>0.16800000000000001</v>
      </c>
      <c r="AC424" t="s">
        <v>2065</v>
      </c>
      <c r="AD424" s="13">
        <v>24</v>
      </c>
      <c r="AE424" s="9">
        <v>29627.320319999999</v>
      </c>
      <c r="AF424" s="9">
        <v>35733.840000000004</v>
      </c>
      <c r="AG424" s="9">
        <v>-6106.5196800000049</v>
      </c>
      <c r="AH424" s="11">
        <v>-0.20611110333450519</v>
      </c>
      <c r="AI424" s="9">
        <f>SUMIFS(AD424:AD1055, R424:R1055, S424)</f>
        <v>0</v>
      </c>
      <c r="AJ424" s="11" t="e">
        <f>SUMIFS(AD424:AD1055, R424:R1055, S424, AD424:AD1055, "&gt;" &amp; AE424) / AI424</f>
        <v>#DIV/0!</v>
      </c>
      <c r="AK424" s="7" t="e">
        <f>IF(AJ424&lt;=0.8,"A",IF(Table2[[#This Row],[Cumulative rev]]&lt;=0.95,"B","C"))</f>
        <v>#DIV/0!</v>
      </c>
    </row>
    <row r="425" spans="1:37" x14ac:dyDescent="0.3">
      <c r="A425" t="s">
        <v>438</v>
      </c>
      <c r="B425" s="4">
        <v>45341</v>
      </c>
      <c r="C425" s="4" t="s">
        <v>2124</v>
      </c>
      <c r="D425" s="4" t="s">
        <v>2080</v>
      </c>
      <c r="E425" s="4">
        <v>45357</v>
      </c>
      <c r="F425" t="s">
        <v>2064</v>
      </c>
      <c r="G425" s="4">
        <v>45357</v>
      </c>
      <c r="H425" s="4">
        <f>_xlfn.MINIFS(B425:B1056, N425:N1056, N425)</f>
        <v>44938</v>
      </c>
      <c r="I425" s="4" t="str">
        <f t="shared" si="12"/>
        <v>Jan-2023</v>
      </c>
      <c r="J425" s="13">
        <f t="shared" si="13"/>
        <v>14</v>
      </c>
      <c r="K425" s="13">
        <v>16</v>
      </c>
      <c r="L425" s="30" t="str">
        <f>IF(Table2[[#This Row],[LeadTimeDays]]&lt;7,"1","0")</f>
        <v>0</v>
      </c>
      <c r="M425" s="7" t="s">
        <v>647</v>
      </c>
      <c r="N425" s="7" t="s">
        <v>659</v>
      </c>
      <c r="O425" s="7" t="s">
        <v>699</v>
      </c>
      <c r="P425" s="7" t="s">
        <v>702</v>
      </c>
      <c r="Q425" s="7" t="s">
        <v>709</v>
      </c>
      <c r="R425" s="7" t="s">
        <v>719</v>
      </c>
      <c r="S425" s="7" t="s">
        <v>728</v>
      </c>
      <c r="T425" s="7" t="s">
        <v>1850</v>
      </c>
      <c r="U425" s="9">
        <v>1477.84</v>
      </c>
      <c r="V425" s="9">
        <v>3197.47</v>
      </c>
      <c r="W425" s="9">
        <v>3197.47</v>
      </c>
      <c r="X425" s="9">
        <v>835.34850000000006</v>
      </c>
      <c r="Y425" s="9">
        <v>1625.135</v>
      </c>
      <c r="Z425" s="9" t="s">
        <v>2095</v>
      </c>
      <c r="AA425" t="s">
        <v>2065</v>
      </c>
      <c r="AB425" s="11">
        <v>0.24299999999999999</v>
      </c>
      <c r="AC425" t="s">
        <v>2065</v>
      </c>
      <c r="AD425" s="13">
        <v>24</v>
      </c>
      <c r="AE425" s="9">
        <v>58091.634960000003</v>
      </c>
      <c r="AF425" s="9">
        <v>35468.159999999996</v>
      </c>
      <c r="AG425" s="9">
        <v>22623.474960000007</v>
      </c>
      <c r="AH425" s="11">
        <v>0.38944462443823091</v>
      </c>
      <c r="AI425" s="9">
        <f>SUMIFS(AD425:AD1056, R425:R1056, S425)</f>
        <v>0</v>
      </c>
      <c r="AJ425" s="11" t="e">
        <f>SUMIFS(AD425:AD1056, R425:R1056, S425, AD425:AD1056, "&gt;" &amp; AE425) / AI425</f>
        <v>#DIV/0!</v>
      </c>
      <c r="AK425" s="7" t="e">
        <f>IF(AJ425&lt;=0.8,"A",IF(Table2[[#This Row],[Cumulative rev]]&lt;=0.95,"B","C"))</f>
        <v>#DIV/0!</v>
      </c>
    </row>
    <row r="426" spans="1:37" x14ac:dyDescent="0.3">
      <c r="A426" t="s">
        <v>439</v>
      </c>
      <c r="B426" s="4">
        <v>45349</v>
      </c>
      <c r="C426" s="4" t="s">
        <v>2124</v>
      </c>
      <c r="D426" s="4" t="s">
        <v>2080</v>
      </c>
      <c r="E426" s="4">
        <v>45377</v>
      </c>
      <c r="F426" t="s">
        <v>2064</v>
      </c>
      <c r="G426" s="4">
        <v>45377</v>
      </c>
      <c r="H426" s="4">
        <f>_xlfn.MINIFS(B426:B1057, N426:N1057, N426)</f>
        <v>45048</v>
      </c>
      <c r="I426" s="4" t="str">
        <f t="shared" si="12"/>
        <v>May-2023</v>
      </c>
      <c r="J426" s="13">
        <f t="shared" si="13"/>
        <v>10</v>
      </c>
      <c r="K426" s="13">
        <v>28</v>
      </c>
      <c r="L426" s="30" t="str">
        <f>IF(Table2[[#This Row],[LeadTimeDays]]&lt;7,"1","0")</f>
        <v>0</v>
      </c>
      <c r="M426" s="7" t="s">
        <v>647</v>
      </c>
      <c r="N426" s="7" t="s">
        <v>654</v>
      </c>
      <c r="O426" s="7" t="s">
        <v>691</v>
      </c>
      <c r="P426" s="7" t="s">
        <v>702</v>
      </c>
      <c r="Q426" s="7" t="s">
        <v>709</v>
      </c>
      <c r="R426" s="7" t="s">
        <v>715</v>
      </c>
      <c r="S426" s="7" t="s">
        <v>731</v>
      </c>
      <c r="T426" s="7" t="s">
        <v>1851</v>
      </c>
      <c r="U426" s="9">
        <v>1035.19</v>
      </c>
      <c r="V426" s="9">
        <v>2322.6999999999998</v>
      </c>
      <c r="W426" s="9">
        <v>2322.6999999999998</v>
      </c>
      <c r="X426" s="9">
        <v>833.54560000000004</v>
      </c>
      <c r="Y426" s="9">
        <v>1623.5040000000004</v>
      </c>
      <c r="Z426" s="9" t="s">
        <v>2095</v>
      </c>
      <c r="AA426" t="s">
        <v>2065</v>
      </c>
      <c r="AB426" s="11">
        <v>0.17299999999999999</v>
      </c>
      <c r="AC426" t="s">
        <v>2065</v>
      </c>
      <c r="AD426" s="13">
        <v>8</v>
      </c>
      <c r="AE426" s="9">
        <v>15366.983199999999</v>
      </c>
      <c r="AF426" s="9">
        <v>8281.52</v>
      </c>
      <c r="AG426" s="9">
        <v>7085.4631999999983</v>
      </c>
      <c r="AH426" s="11">
        <v>0.46108355217047409</v>
      </c>
      <c r="AI426" s="9">
        <f>SUMIFS(AD426:AD1057, R426:R1057, S426)</f>
        <v>0</v>
      </c>
      <c r="AJ426" s="11" t="e">
        <f>SUMIFS(AD426:AD1057, R426:R1057, S426, AD426:AD1057, "&gt;" &amp; AE426) / AI426</f>
        <v>#DIV/0!</v>
      </c>
      <c r="AK426" s="7" t="e">
        <f>IF(AJ426&lt;=0.8,"A",IF(Table2[[#This Row],[Cumulative rev]]&lt;=0.95,"B","C"))</f>
        <v>#DIV/0!</v>
      </c>
    </row>
    <row r="427" spans="1:37" x14ac:dyDescent="0.3">
      <c r="A427" t="s">
        <v>440</v>
      </c>
      <c r="B427" s="4">
        <v>45897</v>
      </c>
      <c r="C427" s="4" t="s">
        <v>2121</v>
      </c>
      <c r="D427" s="4" t="s">
        <v>2101</v>
      </c>
      <c r="E427" s="4">
        <v>45905</v>
      </c>
      <c r="F427" t="s">
        <v>2064</v>
      </c>
      <c r="G427" s="4">
        <v>45905</v>
      </c>
      <c r="H427" s="4">
        <f>_xlfn.MINIFS(B427:B1058, N427:N1058, N427)</f>
        <v>44968</v>
      </c>
      <c r="I427" s="4" t="str">
        <f t="shared" si="12"/>
        <v>Feb-2023</v>
      </c>
      <c r="J427" s="13">
        <f t="shared" si="13"/>
        <v>31</v>
      </c>
      <c r="K427" s="13">
        <v>8</v>
      </c>
      <c r="L427" s="30" t="str">
        <f>IF(Table2[[#This Row],[LeadTimeDays]]&lt;7,"1","0")</f>
        <v>0</v>
      </c>
      <c r="M427" s="7" t="s">
        <v>646</v>
      </c>
      <c r="N427" s="7" t="s">
        <v>651</v>
      </c>
      <c r="O427" s="7" t="s">
        <v>663</v>
      </c>
      <c r="P427" s="7" t="s">
        <v>705</v>
      </c>
      <c r="Q427" s="7" t="s">
        <v>709</v>
      </c>
      <c r="R427" s="7" t="s">
        <v>718</v>
      </c>
      <c r="S427" s="7" t="s">
        <v>731</v>
      </c>
      <c r="T427" s="7" t="s">
        <v>1852</v>
      </c>
      <c r="U427" s="9">
        <v>1271.0999999999999</v>
      </c>
      <c r="V427" s="9">
        <v>1932.42</v>
      </c>
      <c r="W427" s="9">
        <v>1932.42</v>
      </c>
      <c r="X427" s="9">
        <v>831.16300000000012</v>
      </c>
      <c r="Y427" s="9">
        <v>1604.2650000000003</v>
      </c>
      <c r="Z427" s="9" t="s">
        <v>2095</v>
      </c>
      <c r="AA427" t="s">
        <v>2065</v>
      </c>
      <c r="AB427" s="11">
        <v>0.25</v>
      </c>
      <c r="AC427" t="s">
        <v>2065</v>
      </c>
      <c r="AD427" s="13">
        <v>21</v>
      </c>
      <c r="AE427" s="9">
        <v>30435.614999999998</v>
      </c>
      <c r="AF427" s="9">
        <v>26693.1</v>
      </c>
      <c r="AG427" s="9">
        <v>3742.5149999999994</v>
      </c>
      <c r="AH427" s="11">
        <v>0.12296498690760807</v>
      </c>
      <c r="AI427" s="9">
        <f>SUMIFS(AD427:AD1058, R427:R1058, S427)</f>
        <v>0</v>
      </c>
      <c r="AJ427" s="11" t="e">
        <f>SUMIFS(AD427:AD1058, R427:R1058, S427, AD427:AD1058, "&gt;" &amp; AE427) / AI427</f>
        <v>#DIV/0!</v>
      </c>
      <c r="AK427" s="7" t="e">
        <f>IF(AJ427&lt;=0.8,"A",IF(Table2[[#This Row],[Cumulative rev]]&lt;=0.95,"B","C"))</f>
        <v>#DIV/0!</v>
      </c>
    </row>
    <row r="428" spans="1:37" x14ac:dyDescent="0.3">
      <c r="A428" t="s">
        <v>441</v>
      </c>
      <c r="B428" s="4">
        <v>45522</v>
      </c>
      <c r="C428" s="4" t="s">
        <v>2113</v>
      </c>
      <c r="D428" s="4" t="s">
        <v>2106</v>
      </c>
      <c r="E428" s="4">
        <v>45547</v>
      </c>
      <c r="F428" t="s">
        <v>2064</v>
      </c>
      <c r="G428" s="4">
        <v>45547</v>
      </c>
      <c r="H428" s="4">
        <f>_xlfn.MINIFS(B428:B1059, N428:N1059, N428)</f>
        <v>45048</v>
      </c>
      <c r="I428" s="4" t="str">
        <f t="shared" si="12"/>
        <v>May-2023</v>
      </c>
      <c r="J428" s="13">
        <f t="shared" si="13"/>
        <v>16</v>
      </c>
      <c r="K428" s="13">
        <v>25</v>
      </c>
      <c r="L428" s="30" t="str">
        <f>IF(Table2[[#This Row],[LeadTimeDays]]&lt;7,"1","0")</f>
        <v>0</v>
      </c>
      <c r="M428" s="7" t="s">
        <v>647</v>
      </c>
      <c r="N428" s="7" t="s">
        <v>654</v>
      </c>
      <c r="O428" s="7" t="s">
        <v>691</v>
      </c>
      <c r="P428" s="7" t="s">
        <v>704</v>
      </c>
      <c r="Q428" s="7" t="s">
        <v>709</v>
      </c>
      <c r="R428" s="7" t="s">
        <v>712</v>
      </c>
      <c r="S428" s="7" t="s">
        <v>730</v>
      </c>
      <c r="T428" s="7" t="s">
        <v>1853</v>
      </c>
      <c r="U428" s="9">
        <v>1154.03</v>
      </c>
      <c r="V428" s="9">
        <v>1590.36</v>
      </c>
      <c r="W428" s="9">
        <v>1590.36</v>
      </c>
      <c r="X428" s="9">
        <v>828.7804000000001</v>
      </c>
      <c r="Y428" s="9">
        <v>1595.2536</v>
      </c>
      <c r="Z428" s="9" t="s">
        <v>2092</v>
      </c>
      <c r="AA428" t="s">
        <v>2065</v>
      </c>
      <c r="AB428" s="11">
        <v>0.314</v>
      </c>
      <c r="AC428" t="s">
        <v>2067</v>
      </c>
      <c r="AD428" s="13">
        <v>18</v>
      </c>
      <c r="AE428" s="9">
        <v>19637.76528</v>
      </c>
      <c r="AF428" s="9">
        <v>20772.54</v>
      </c>
      <c r="AG428" s="9">
        <v>-1134.7747200000013</v>
      </c>
      <c r="AH428" s="11">
        <v>-5.7785328616576745E-2</v>
      </c>
      <c r="AI428" s="9">
        <f>SUMIFS(AD428:AD1059, R428:R1059, S428)</f>
        <v>0</v>
      </c>
      <c r="AJ428" s="11" t="e">
        <f>SUMIFS(AD428:AD1059, R428:R1059, S428, AD428:AD1059, "&gt;" &amp; AE428) / AI428</f>
        <v>#DIV/0!</v>
      </c>
      <c r="AK428" s="7" t="e">
        <f>IF(AJ428&lt;=0.8,"A",IF(Table2[[#This Row],[Cumulative rev]]&lt;=0.95,"B","C"))</f>
        <v>#DIV/0!</v>
      </c>
    </row>
    <row r="429" spans="1:37" x14ac:dyDescent="0.3">
      <c r="A429" t="s">
        <v>442</v>
      </c>
      <c r="B429" s="4">
        <v>45347</v>
      </c>
      <c r="C429" s="4" t="s">
        <v>2124</v>
      </c>
      <c r="D429" s="4" t="s">
        <v>2080</v>
      </c>
      <c r="E429" s="4">
        <v>45360</v>
      </c>
      <c r="F429" t="s">
        <v>2064</v>
      </c>
      <c r="G429" s="4">
        <v>45360</v>
      </c>
      <c r="H429" s="4">
        <f>_xlfn.MINIFS(B429:B1060, N429:N1060, N429)</f>
        <v>45019</v>
      </c>
      <c r="I429" s="4" t="str">
        <f t="shared" si="12"/>
        <v>Apr-2023</v>
      </c>
      <c r="J429" s="13">
        <f t="shared" si="13"/>
        <v>11</v>
      </c>
      <c r="K429" s="13">
        <v>13</v>
      </c>
      <c r="L429" s="30" t="str">
        <f>IF(Table2[[#This Row],[LeadTimeDays]]&lt;7,"1","0")</f>
        <v>0</v>
      </c>
      <c r="M429" s="7" t="s">
        <v>649</v>
      </c>
      <c r="N429" s="7" t="s">
        <v>657</v>
      </c>
      <c r="O429" s="7" t="s">
        <v>673</v>
      </c>
      <c r="P429" s="7" t="s">
        <v>705</v>
      </c>
      <c r="Q429" s="7" t="s">
        <v>710</v>
      </c>
      <c r="R429" s="7" t="s">
        <v>718</v>
      </c>
      <c r="S429" s="7" t="s">
        <v>732</v>
      </c>
      <c r="T429" s="7" t="s">
        <v>1854</v>
      </c>
      <c r="U429" s="9">
        <v>322.44</v>
      </c>
      <c r="V429" s="9">
        <v>395.61</v>
      </c>
      <c r="W429" s="9">
        <v>395.61</v>
      </c>
      <c r="X429" s="9">
        <v>825.78120000000069</v>
      </c>
      <c r="Y429" s="9">
        <v>1595.5052000000001</v>
      </c>
      <c r="Z429" s="9" t="s">
        <v>2081</v>
      </c>
      <c r="AA429" t="s">
        <v>2065</v>
      </c>
      <c r="AB429" s="11">
        <v>0</v>
      </c>
      <c r="AC429" t="s">
        <v>2065</v>
      </c>
      <c r="AD429" s="13">
        <v>34</v>
      </c>
      <c r="AE429" s="9">
        <v>13450.74</v>
      </c>
      <c r="AF429" s="9">
        <v>10962.96</v>
      </c>
      <c r="AG429" s="9">
        <v>2487.7800000000007</v>
      </c>
      <c r="AH429" s="11">
        <v>0.18495487980586947</v>
      </c>
      <c r="AI429" s="9">
        <f>SUMIFS(AD429:AD1060, R429:R1060, S429)</f>
        <v>0</v>
      </c>
      <c r="AJ429" s="11" t="e">
        <f>SUMIFS(AD429:AD1060, R429:R1060, S429, AD429:AD1060, "&gt;" &amp; AE429) / AI429</f>
        <v>#DIV/0!</v>
      </c>
      <c r="AK429" s="7" t="e">
        <f>IF(AJ429&lt;=0.8,"A",IF(Table2[[#This Row],[Cumulative rev]]&lt;=0.95,"B","C"))</f>
        <v>#DIV/0!</v>
      </c>
    </row>
    <row r="430" spans="1:37" x14ac:dyDescent="0.3">
      <c r="A430" t="s">
        <v>443</v>
      </c>
      <c r="B430" s="4">
        <v>45784</v>
      </c>
      <c r="C430" s="4" t="s">
        <v>2096</v>
      </c>
      <c r="D430" s="4" t="s">
        <v>2097</v>
      </c>
      <c r="E430" s="4">
        <v>45790</v>
      </c>
      <c r="F430" t="s">
        <v>2064</v>
      </c>
      <c r="G430" s="4">
        <v>45790</v>
      </c>
      <c r="H430" s="4">
        <f>_xlfn.MINIFS(B430:B1061, N430:N1061, N430)</f>
        <v>45048</v>
      </c>
      <c r="I430" s="4" t="str">
        <f t="shared" si="12"/>
        <v>May-2023</v>
      </c>
      <c r="J430" s="13">
        <f t="shared" si="13"/>
        <v>25</v>
      </c>
      <c r="K430" s="13">
        <v>6</v>
      </c>
      <c r="L430" s="30" t="str">
        <f>IF(Table2[[#This Row],[LeadTimeDays]]&lt;7,"1","0")</f>
        <v>1</v>
      </c>
      <c r="M430" s="7" t="s">
        <v>647</v>
      </c>
      <c r="N430" s="7" t="s">
        <v>654</v>
      </c>
      <c r="O430" s="7" t="s">
        <v>668</v>
      </c>
      <c r="P430" s="7" t="s">
        <v>706</v>
      </c>
      <c r="Q430" s="7" t="s">
        <v>711</v>
      </c>
      <c r="R430" s="7" t="s">
        <v>713</v>
      </c>
      <c r="S430" s="7" t="s">
        <v>730</v>
      </c>
      <c r="T430" s="7" t="s">
        <v>1855</v>
      </c>
      <c r="U430" s="9">
        <v>935.98</v>
      </c>
      <c r="V430" s="9">
        <v>2077.69</v>
      </c>
      <c r="W430" s="9">
        <v>2077.69</v>
      </c>
      <c r="X430" s="9">
        <v>831.23520000000008</v>
      </c>
      <c r="Y430" s="9">
        <v>1604.8479999999997</v>
      </c>
      <c r="Z430" s="9" t="s">
        <v>2095</v>
      </c>
      <c r="AA430" t="s">
        <v>2065</v>
      </c>
      <c r="AB430" s="11">
        <v>0.17499999999999999</v>
      </c>
      <c r="AC430" t="s">
        <v>2065</v>
      </c>
      <c r="AD430" s="13">
        <v>24</v>
      </c>
      <c r="AE430" s="9">
        <v>41138.261999999995</v>
      </c>
      <c r="AF430" s="9">
        <v>22463.52</v>
      </c>
      <c r="AG430" s="9">
        <v>18674.741999999995</v>
      </c>
      <c r="AH430" s="11">
        <v>0.45395067978321491</v>
      </c>
      <c r="AI430" s="9">
        <f>SUMIFS(AD430:AD1061, R430:R1061, S430)</f>
        <v>0</v>
      </c>
      <c r="AJ430" s="11" t="e">
        <f>SUMIFS(AD430:AD1061, R430:R1061, S430, AD430:AD1061, "&gt;" &amp; AE430) / AI430</f>
        <v>#DIV/0!</v>
      </c>
      <c r="AK430" s="7" t="e">
        <f>IF(AJ430&lt;=0.8,"A",IF(Table2[[#This Row],[Cumulative rev]]&lt;=0.95,"B","C"))</f>
        <v>#DIV/0!</v>
      </c>
    </row>
    <row r="431" spans="1:37" x14ac:dyDescent="0.3">
      <c r="A431" t="s">
        <v>444</v>
      </c>
      <c r="B431" s="4">
        <v>45597</v>
      </c>
      <c r="C431" s="4" t="s">
        <v>2110</v>
      </c>
      <c r="D431" s="4" t="s">
        <v>2083</v>
      </c>
      <c r="E431" s="4">
        <v>45608</v>
      </c>
      <c r="F431" t="s">
        <v>2064</v>
      </c>
      <c r="G431" s="4">
        <v>45608</v>
      </c>
      <c r="H431" s="4">
        <f>_xlfn.MINIFS(B431:B1062, N431:N1062, N431)</f>
        <v>44952</v>
      </c>
      <c r="I431" s="4" t="str">
        <f t="shared" si="12"/>
        <v>Jan-2023</v>
      </c>
      <c r="J431" s="13">
        <f t="shared" si="13"/>
        <v>22</v>
      </c>
      <c r="K431" s="13">
        <v>11</v>
      </c>
      <c r="L431" s="30" t="str">
        <f>IF(Table2[[#This Row],[LeadTimeDays]]&lt;7,"1","0")</f>
        <v>0</v>
      </c>
      <c r="M431" s="7" t="s">
        <v>649</v>
      </c>
      <c r="N431" s="7" t="s">
        <v>656</v>
      </c>
      <c r="O431" s="7" t="s">
        <v>698</v>
      </c>
      <c r="P431" s="7" t="s">
        <v>704</v>
      </c>
      <c r="Q431" s="7" t="s">
        <v>708</v>
      </c>
      <c r="R431" s="7" t="s">
        <v>717</v>
      </c>
      <c r="S431" s="7" t="s">
        <v>728</v>
      </c>
      <c r="T431" s="7" t="s">
        <v>1856</v>
      </c>
      <c r="U431" s="9">
        <v>599.84</v>
      </c>
      <c r="V431" s="9">
        <v>1330.85</v>
      </c>
      <c r="W431" s="9">
        <v>1330.85</v>
      </c>
      <c r="X431" s="9">
        <v>828.85260000000005</v>
      </c>
      <c r="Y431" s="9">
        <v>1595.2683999999999</v>
      </c>
      <c r="Z431" s="9" t="s">
        <v>2092</v>
      </c>
      <c r="AA431" t="s">
        <v>2065</v>
      </c>
      <c r="AB431" s="11">
        <v>0.115</v>
      </c>
      <c r="AC431" t="s">
        <v>2065</v>
      </c>
      <c r="AD431" s="13">
        <v>11</v>
      </c>
      <c r="AE431" s="9">
        <v>12955.824749999998</v>
      </c>
      <c r="AF431" s="9">
        <v>6598.2400000000007</v>
      </c>
      <c r="AG431" s="9">
        <v>6357.5847499999973</v>
      </c>
      <c r="AH431" s="11">
        <v>0.49071246892252063</v>
      </c>
      <c r="AI431" s="9">
        <f>SUMIFS(AD431:AD1062, R431:R1062, S431)</f>
        <v>0</v>
      </c>
      <c r="AJ431" s="11" t="e">
        <f>SUMIFS(AD431:AD1062, R431:R1062, S431, AD431:AD1062, "&gt;" &amp; AE431) / AI431</f>
        <v>#DIV/0!</v>
      </c>
      <c r="AK431" s="7" t="e">
        <f>IF(AJ431&lt;=0.8,"A",IF(Table2[[#This Row],[Cumulative rev]]&lt;=0.95,"B","C"))</f>
        <v>#DIV/0!</v>
      </c>
    </row>
    <row r="432" spans="1:37" x14ac:dyDescent="0.3">
      <c r="A432" t="s">
        <v>445</v>
      </c>
      <c r="B432" s="4">
        <v>45654</v>
      </c>
      <c r="C432" s="4" t="s">
        <v>2091</v>
      </c>
      <c r="D432" s="4" t="s">
        <v>2083</v>
      </c>
      <c r="E432" s="4">
        <v>45665</v>
      </c>
      <c r="F432" t="s">
        <v>2064</v>
      </c>
      <c r="G432" s="4">
        <v>45665</v>
      </c>
      <c r="H432" s="4">
        <f>_xlfn.MINIFS(B432:B1063, N432:N1063, N432)</f>
        <v>44938</v>
      </c>
      <c r="I432" s="4" t="str">
        <f t="shared" si="12"/>
        <v>Jan-2023</v>
      </c>
      <c r="J432" s="13">
        <f t="shared" si="13"/>
        <v>24</v>
      </c>
      <c r="K432" s="13">
        <v>11</v>
      </c>
      <c r="L432" s="30" t="str">
        <f>IF(Table2[[#This Row],[LeadTimeDays]]&lt;7,"1","0")</f>
        <v>0</v>
      </c>
      <c r="M432" s="7" t="s">
        <v>647</v>
      </c>
      <c r="N432" s="7" t="s">
        <v>659</v>
      </c>
      <c r="O432" s="7" t="s">
        <v>676</v>
      </c>
      <c r="P432" s="7" t="s">
        <v>706</v>
      </c>
      <c r="Q432" s="7" t="s">
        <v>708</v>
      </c>
      <c r="R432" s="7" t="s">
        <v>723</v>
      </c>
      <c r="S432" s="7" t="s">
        <v>731</v>
      </c>
      <c r="T432" s="7" t="s">
        <v>1857</v>
      </c>
      <c r="U432" s="9">
        <v>1201.31</v>
      </c>
      <c r="V432" s="9">
        <v>2764.65</v>
      </c>
      <c r="W432" s="9">
        <v>2764.65</v>
      </c>
      <c r="X432" s="9">
        <v>826.47</v>
      </c>
      <c r="Y432" s="9">
        <v>1595.52</v>
      </c>
      <c r="Z432" s="9" t="s">
        <v>2095</v>
      </c>
      <c r="AA432" t="s">
        <v>2065</v>
      </c>
      <c r="AB432" s="11">
        <v>0</v>
      </c>
      <c r="AC432" t="s">
        <v>2065</v>
      </c>
      <c r="AD432" s="13">
        <v>21</v>
      </c>
      <c r="AE432" s="9">
        <v>58057.65</v>
      </c>
      <c r="AF432" s="9">
        <v>25227.51</v>
      </c>
      <c r="AG432" s="9">
        <v>32830.14</v>
      </c>
      <c r="AH432" s="11">
        <v>0.56547483406579491</v>
      </c>
      <c r="AI432" s="9">
        <f>SUMIFS(AD432:AD1063, R432:R1063, S432)</f>
        <v>0</v>
      </c>
      <c r="AJ432" s="11" t="e">
        <f>SUMIFS(AD432:AD1063, R432:R1063, S432, AD432:AD1063, "&gt;" &amp; AE432) / AI432</f>
        <v>#DIV/0!</v>
      </c>
      <c r="AK432" s="7" t="e">
        <f>IF(AJ432&lt;=0.8,"A",IF(Table2[[#This Row],[Cumulative rev]]&lt;=0.95,"B","C"))</f>
        <v>#DIV/0!</v>
      </c>
    </row>
    <row r="433" spans="1:37" x14ac:dyDescent="0.3">
      <c r="A433" t="s">
        <v>446</v>
      </c>
      <c r="B433" s="4">
        <v>45220</v>
      </c>
      <c r="C433" s="4" t="s">
        <v>2125</v>
      </c>
      <c r="D433" s="4" t="s">
        <v>2089</v>
      </c>
      <c r="E433" s="4">
        <v>45220</v>
      </c>
      <c r="F433" t="s">
        <v>2064</v>
      </c>
      <c r="G433" s="4">
        <v>45220</v>
      </c>
      <c r="H433" s="4">
        <f>_xlfn.MINIFS(B433:B1064, N433:N1064, N433)</f>
        <v>44945</v>
      </c>
      <c r="I433" s="4" t="str">
        <f t="shared" si="12"/>
        <v>Jan-2023</v>
      </c>
      <c r="J433" s="13">
        <f t="shared" si="13"/>
        <v>10</v>
      </c>
      <c r="K433" s="13">
        <v>0</v>
      </c>
      <c r="L433" s="30" t="str">
        <f>IF(Table2[[#This Row],[LeadTimeDays]]&lt;7,"1","0")</f>
        <v>1</v>
      </c>
      <c r="M433" s="7" t="s">
        <v>649</v>
      </c>
      <c r="N433" s="7" t="s">
        <v>658</v>
      </c>
      <c r="O433" s="7" t="s">
        <v>693</v>
      </c>
      <c r="P433" s="7" t="s">
        <v>706</v>
      </c>
      <c r="Q433" s="7" t="s">
        <v>710</v>
      </c>
      <c r="R433" s="7" t="s">
        <v>713</v>
      </c>
      <c r="S433" s="7" t="s">
        <v>732</v>
      </c>
      <c r="T433" s="7" t="s">
        <v>1858</v>
      </c>
      <c r="U433" s="9">
        <v>384.19</v>
      </c>
      <c r="V433" s="9">
        <v>278.35000000000002</v>
      </c>
      <c r="W433" s="9">
        <v>278.35000000000002</v>
      </c>
      <c r="X433" s="9">
        <v>803.73960000000011</v>
      </c>
      <c r="Y433" s="9">
        <v>1595.0316</v>
      </c>
      <c r="Z433" s="9" t="s">
        <v>2081</v>
      </c>
      <c r="AA433" t="s">
        <v>2065</v>
      </c>
      <c r="AB433" s="11">
        <v>5.6000000000000001E-2</v>
      </c>
      <c r="AC433" t="s">
        <v>2065</v>
      </c>
      <c r="AD433" s="13">
        <v>10</v>
      </c>
      <c r="AE433" s="9">
        <v>2627.6239999999998</v>
      </c>
      <c r="AF433" s="9">
        <v>3841.9</v>
      </c>
      <c r="AG433" s="9">
        <v>-1214.2760000000003</v>
      </c>
      <c r="AH433" s="11">
        <v>-0.46211938998882657</v>
      </c>
      <c r="AI433" s="9">
        <f>SUMIFS(AD433:AD1064, R433:R1064, S433)</f>
        <v>0</v>
      </c>
      <c r="AJ433" s="11" t="e">
        <f>SUMIFS(AD433:AD1064, R433:R1064, S433, AD433:AD1064, "&gt;" &amp; AE433) / AI433</f>
        <v>#DIV/0!</v>
      </c>
      <c r="AK433" s="7" t="e">
        <f>IF(AJ433&lt;=0.8,"A",IF(Table2[[#This Row],[Cumulative rev]]&lt;=0.95,"B","C"))</f>
        <v>#DIV/0!</v>
      </c>
    </row>
    <row r="434" spans="1:37" x14ac:dyDescent="0.3">
      <c r="A434" t="s">
        <v>447</v>
      </c>
      <c r="B434" s="4">
        <v>45636</v>
      </c>
      <c r="C434" s="4" t="s">
        <v>2091</v>
      </c>
      <c r="D434" s="4" t="s">
        <v>2083</v>
      </c>
      <c r="E434" s="4">
        <v>45645</v>
      </c>
      <c r="F434" t="s">
        <v>2064</v>
      </c>
      <c r="G434" s="4">
        <v>45645</v>
      </c>
      <c r="H434" s="4">
        <f>_xlfn.MINIFS(B434:B1065, N434:N1065, N434)</f>
        <v>44968</v>
      </c>
      <c r="I434" s="4" t="str">
        <f t="shared" si="12"/>
        <v>Feb-2023</v>
      </c>
      <c r="J434" s="13">
        <f t="shared" si="13"/>
        <v>22</v>
      </c>
      <c r="K434" s="13">
        <v>9</v>
      </c>
      <c r="L434" s="30" t="str">
        <f>IF(Table2[[#This Row],[LeadTimeDays]]&lt;7,"1","0")</f>
        <v>0</v>
      </c>
      <c r="M434" s="7" t="s">
        <v>646</v>
      </c>
      <c r="N434" s="7" t="s">
        <v>651</v>
      </c>
      <c r="O434" s="7" t="s">
        <v>665</v>
      </c>
      <c r="P434" s="7" t="s">
        <v>701</v>
      </c>
      <c r="Q434" s="7" t="s">
        <v>707</v>
      </c>
      <c r="R434" s="7" t="s">
        <v>719</v>
      </c>
      <c r="S434" s="7" t="s">
        <v>732</v>
      </c>
      <c r="T434" s="7" t="s">
        <v>1859</v>
      </c>
      <c r="U434" s="9">
        <v>488.68</v>
      </c>
      <c r="V434" s="9">
        <v>984.36</v>
      </c>
      <c r="W434" s="9">
        <v>984.36</v>
      </c>
      <c r="X434" s="9">
        <v>828.9248</v>
      </c>
      <c r="Y434" s="9">
        <v>1595.2832000000001</v>
      </c>
      <c r="Z434" s="9" t="s">
        <v>2092</v>
      </c>
      <c r="AA434" t="s">
        <v>2065</v>
      </c>
      <c r="AB434" s="11">
        <v>5.8999999999999997E-2</v>
      </c>
      <c r="AC434" t="s">
        <v>2065</v>
      </c>
      <c r="AD434" s="13">
        <v>14</v>
      </c>
      <c r="AE434" s="9">
        <v>12967.958640000001</v>
      </c>
      <c r="AF434" s="9">
        <v>6841.52</v>
      </c>
      <c r="AG434" s="9">
        <v>6126.4386400000003</v>
      </c>
      <c r="AH434" s="11">
        <v>0.47242891576649876</v>
      </c>
      <c r="AI434" s="9">
        <f>SUMIFS(AD434:AD1065, R434:R1065, S434)</f>
        <v>0</v>
      </c>
      <c r="AJ434" s="11" t="e">
        <f>SUMIFS(AD434:AD1065, R434:R1065, S434, AD434:AD1065, "&gt;" &amp; AE434) / AI434</f>
        <v>#DIV/0!</v>
      </c>
      <c r="AK434" s="7" t="e">
        <f>IF(AJ434&lt;=0.8,"A",IF(Table2[[#This Row],[Cumulative rev]]&lt;=0.95,"B","C"))</f>
        <v>#DIV/0!</v>
      </c>
    </row>
    <row r="435" spans="1:37" x14ac:dyDescent="0.3">
      <c r="A435" t="s">
        <v>448</v>
      </c>
      <c r="B435" s="4">
        <v>45542</v>
      </c>
      <c r="C435" s="4" t="s">
        <v>2122</v>
      </c>
      <c r="D435" s="4" t="s">
        <v>2106</v>
      </c>
      <c r="E435" s="4">
        <v>45553</v>
      </c>
      <c r="F435" t="s">
        <v>2064</v>
      </c>
      <c r="G435" s="4">
        <v>45553</v>
      </c>
      <c r="H435" s="4">
        <f>_xlfn.MINIFS(B435:B1066, N435:N1066, N435)</f>
        <v>44938</v>
      </c>
      <c r="I435" s="4" t="str">
        <f t="shared" si="12"/>
        <v>Jan-2023</v>
      </c>
      <c r="J435" s="13">
        <f t="shared" si="13"/>
        <v>20</v>
      </c>
      <c r="K435" s="13">
        <v>11</v>
      </c>
      <c r="L435" s="30" t="str">
        <f>IF(Table2[[#This Row],[LeadTimeDays]]&lt;7,"1","0")</f>
        <v>0</v>
      </c>
      <c r="M435" s="7" t="s">
        <v>647</v>
      </c>
      <c r="N435" s="7" t="s">
        <v>659</v>
      </c>
      <c r="O435" s="7" t="s">
        <v>699</v>
      </c>
      <c r="P435" s="7" t="s">
        <v>704</v>
      </c>
      <c r="Q435" s="7" t="s">
        <v>710</v>
      </c>
      <c r="R435" s="7" t="s">
        <v>719</v>
      </c>
      <c r="S435" s="7" t="s">
        <v>729</v>
      </c>
      <c r="T435" s="7" t="s">
        <v>1860</v>
      </c>
      <c r="U435" s="9">
        <v>181.74</v>
      </c>
      <c r="V435" s="9">
        <v>190.84</v>
      </c>
      <c r="W435" s="9">
        <v>190.84</v>
      </c>
      <c r="X435" s="9">
        <v>826.54220000000009</v>
      </c>
      <c r="Y435" s="9">
        <v>1596.1030000000003</v>
      </c>
      <c r="Z435" s="9" t="s">
        <v>2081</v>
      </c>
      <c r="AA435" t="s">
        <v>2065</v>
      </c>
      <c r="AB435" s="11">
        <v>0.214</v>
      </c>
      <c r="AC435" t="s">
        <v>2065</v>
      </c>
      <c r="AD435" s="13">
        <v>13</v>
      </c>
      <c r="AE435" s="9">
        <v>1950.0031200000001</v>
      </c>
      <c r="AF435" s="9">
        <v>2362.62</v>
      </c>
      <c r="AG435" s="9">
        <v>-412.61687999999981</v>
      </c>
      <c r="AH435" s="11">
        <v>-0.21159806144310159</v>
      </c>
      <c r="AI435" s="9">
        <f>SUMIFS(AD435:AD1066, R435:R1066, S435)</f>
        <v>0</v>
      </c>
      <c r="AJ435" s="11" t="e">
        <f>SUMIFS(AD435:AD1066, R435:R1066, S435, AD435:AD1066, "&gt;" &amp; AE435) / AI435</f>
        <v>#DIV/0!</v>
      </c>
      <c r="AK435" s="7" t="e">
        <f>IF(AJ435&lt;=0.8,"A",IF(Table2[[#This Row],[Cumulative rev]]&lt;=0.95,"B","C"))</f>
        <v>#DIV/0!</v>
      </c>
    </row>
    <row r="436" spans="1:37" x14ac:dyDescent="0.3">
      <c r="A436" t="s">
        <v>449</v>
      </c>
      <c r="B436" s="4">
        <v>45217</v>
      </c>
      <c r="C436" s="4" t="s">
        <v>2125</v>
      </c>
      <c r="D436" s="4" t="s">
        <v>2089</v>
      </c>
      <c r="E436" s="4">
        <v>45219</v>
      </c>
      <c r="F436" t="s">
        <v>2064</v>
      </c>
      <c r="G436" s="4">
        <v>45219</v>
      </c>
      <c r="H436" s="4">
        <f>_xlfn.MINIFS(B436:B1067, N436:N1067, N436)</f>
        <v>44978</v>
      </c>
      <c r="I436" s="4" t="str">
        <f t="shared" si="12"/>
        <v>Feb-2023</v>
      </c>
      <c r="J436" s="13">
        <f t="shared" si="13"/>
        <v>8</v>
      </c>
      <c r="K436" s="13">
        <v>2</v>
      </c>
      <c r="L436" s="30" t="str">
        <f>IF(Table2[[#This Row],[LeadTimeDays]]&lt;7,"1","0")</f>
        <v>1</v>
      </c>
      <c r="M436" s="7" t="s">
        <v>646</v>
      </c>
      <c r="N436" s="7" t="s">
        <v>650</v>
      </c>
      <c r="O436" s="7" t="s">
        <v>662</v>
      </c>
      <c r="P436" s="7" t="s">
        <v>704</v>
      </c>
      <c r="Q436" s="7" t="s">
        <v>707</v>
      </c>
      <c r="R436" s="7" t="s">
        <v>713</v>
      </c>
      <c r="S436" s="7" t="s">
        <v>730</v>
      </c>
      <c r="T436" s="7" t="s">
        <v>1861</v>
      </c>
      <c r="U436" s="9">
        <v>774.12</v>
      </c>
      <c r="V436" s="9">
        <v>908.3</v>
      </c>
      <c r="W436" s="9">
        <v>908.3</v>
      </c>
      <c r="X436" s="9">
        <v>831.3796000000001</v>
      </c>
      <c r="Y436" s="9">
        <v>1606.0140000000004</v>
      </c>
      <c r="Z436" s="9" t="s">
        <v>2092</v>
      </c>
      <c r="AA436" t="s">
        <v>2065</v>
      </c>
      <c r="AB436" s="11">
        <v>0</v>
      </c>
      <c r="AC436" t="s">
        <v>2065</v>
      </c>
      <c r="AD436" s="13">
        <v>30</v>
      </c>
      <c r="AE436" s="9">
        <v>27249</v>
      </c>
      <c r="AF436" s="9">
        <v>23223.599999999999</v>
      </c>
      <c r="AG436" s="9">
        <v>4025.4000000000015</v>
      </c>
      <c r="AH436" s="11">
        <v>0.14772652207420461</v>
      </c>
      <c r="AI436" s="9">
        <f>SUMIFS(AD436:AD1067, R436:R1067, S436)</f>
        <v>0</v>
      </c>
      <c r="AJ436" s="11" t="e">
        <f>SUMIFS(AD436:AD1067, R436:R1067, S436, AD436:AD1067, "&gt;" &amp; AE436) / AI436</f>
        <v>#DIV/0!</v>
      </c>
      <c r="AK436" s="7" t="e">
        <f>IF(AJ436&lt;=0.8,"A",IF(Table2[[#This Row],[Cumulative rev]]&lt;=0.95,"B","C"))</f>
        <v>#DIV/0!</v>
      </c>
    </row>
    <row r="437" spans="1:37" x14ac:dyDescent="0.3">
      <c r="A437" t="s">
        <v>450</v>
      </c>
      <c r="B437" s="4">
        <v>45650</v>
      </c>
      <c r="C437" s="4" t="s">
        <v>2091</v>
      </c>
      <c r="D437" s="4" t="s">
        <v>2083</v>
      </c>
      <c r="E437" s="4">
        <v>45670</v>
      </c>
      <c r="F437" t="s">
        <v>2064</v>
      </c>
      <c r="G437" s="4">
        <v>45670</v>
      </c>
      <c r="H437" s="4">
        <f>_xlfn.MINIFS(B437:B1068, N437:N1068, N437)</f>
        <v>45048</v>
      </c>
      <c r="I437" s="4" t="str">
        <f t="shared" si="12"/>
        <v>May-2023</v>
      </c>
      <c r="J437" s="13">
        <f t="shared" si="13"/>
        <v>20</v>
      </c>
      <c r="K437" s="13">
        <v>20</v>
      </c>
      <c r="L437" s="30" t="str">
        <f>IF(Table2[[#This Row],[LeadTimeDays]]&lt;7,"1","0")</f>
        <v>0</v>
      </c>
      <c r="M437" s="7" t="s">
        <v>647</v>
      </c>
      <c r="N437" s="7" t="s">
        <v>654</v>
      </c>
      <c r="O437" s="7" t="s">
        <v>668</v>
      </c>
      <c r="P437" s="7" t="s">
        <v>701</v>
      </c>
      <c r="Q437" s="7" t="s">
        <v>709</v>
      </c>
      <c r="R437" s="7" t="s">
        <v>726</v>
      </c>
      <c r="S437" s="7" t="s">
        <v>729</v>
      </c>
      <c r="T437" s="7" t="s">
        <v>1862</v>
      </c>
      <c r="U437" s="9">
        <v>126.15</v>
      </c>
      <c r="V437" s="9">
        <v>284.23</v>
      </c>
      <c r="W437" s="9">
        <v>284.23</v>
      </c>
      <c r="X437" s="9">
        <v>828.99700000000007</v>
      </c>
      <c r="Y437" s="9">
        <v>1615.9250000000006</v>
      </c>
      <c r="Z437" s="9" t="s">
        <v>2081</v>
      </c>
      <c r="AA437" t="s">
        <v>2065</v>
      </c>
      <c r="AB437" s="11">
        <v>0.113</v>
      </c>
      <c r="AC437" t="s">
        <v>2065</v>
      </c>
      <c r="AD437" s="13">
        <v>22</v>
      </c>
      <c r="AE437" s="9">
        <v>5546.4642200000008</v>
      </c>
      <c r="AF437" s="9">
        <v>2775.3</v>
      </c>
      <c r="AG437" s="9">
        <v>2771.1642200000006</v>
      </c>
      <c r="AH437" s="11">
        <v>0.49962716968541088</v>
      </c>
      <c r="AI437" s="9">
        <f>SUMIFS(AD437:AD1068, R437:R1068, S437)</f>
        <v>0</v>
      </c>
      <c r="AJ437" s="11" t="e">
        <f>SUMIFS(AD437:AD1068, R437:R1068, S437, AD437:AD1068, "&gt;" &amp; AE437) / AI437</f>
        <v>#DIV/0!</v>
      </c>
      <c r="AK437" s="7" t="e">
        <f>IF(AJ437&lt;=0.8,"A",IF(Table2[[#This Row],[Cumulative rev]]&lt;=0.95,"B","C"))</f>
        <v>#DIV/0!</v>
      </c>
    </row>
    <row r="438" spans="1:37" x14ac:dyDescent="0.3">
      <c r="A438" t="s">
        <v>451</v>
      </c>
      <c r="B438" s="4">
        <v>45037</v>
      </c>
      <c r="C438" s="4" t="s">
        <v>2102</v>
      </c>
      <c r="D438" s="4" t="s">
        <v>2103</v>
      </c>
      <c r="E438" s="4">
        <v>45035</v>
      </c>
      <c r="F438" t="s">
        <v>2066</v>
      </c>
      <c r="G438" s="4">
        <v>45037</v>
      </c>
      <c r="H438" s="4">
        <f>_xlfn.MINIFS(B438:B1069, N438:N1069, N438)</f>
        <v>44988</v>
      </c>
      <c r="I438" s="4" t="str">
        <f t="shared" si="12"/>
        <v>Mar-2023</v>
      </c>
      <c r="J438" s="13">
        <f t="shared" si="13"/>
        <v>2</v>
      </c>
      <c r="K438" s="13">
        <v>0</v>
      </c>
      <c r="L438" s="30" t="str">
        <f>IF(Table2[[#This Row],[LeadTimeDays]]&lt;7,"1","0")</f>
        <v>1</v>
      </c>
      <c r="M438" s="7" t="s">
        <v>647</v>
      </c>
      <c r="N438" s="7" t="s">
        <v>652</v>
      </c>
      <c r="O438" s="7" t="s">
        <v>694</v>
      </c>
      <c r="P438" s="7" t="s">
        <v>705</v>
      </c>
      <c r="Q438" s="7" t="s">
        <v>711</v>
      </c>
      <c r="R438" s="7" t="s">
        <v>724</v>
      </c>
      <c r="S438" s="7" t="s">
        <v>727</v>
      </c>
      <c r="T438" s="7" t="s">
        <v>1863</v>
      </c>
      <c r="U438" s="9">
        <v>607.04</v>
      </c>
      <c r="V438" s="9">
        <v>1229.3399999999999</v>
      </c>
      <c r="W438" s="9">
        <v>1229.3399999999999</v>
      </c>
      <c r="X438" s="9">
        <v>833.79700000000003</v>
      </c>
      <c r="Y438" s="9">
        <v>1624.7</v>
      </c>
      <c r="Z438" s="9" t="s">
        <v>2092</v>
      </c>
      <c r="AA438" t="s">
        <v>2065</v>
      </c>
      <c r="AB438" s="11">
        <v>0.14699999999999999</v>
      </c>
      <c r="AC438" t="s">
        <v>2065</v>
      </c>
      <c r="AD438" s="13">
        <v>7</v>
      </c>
      <c r="AE438" s="9">
        <v>7340.3891399999993</v>
      </c>
      <c r="AF438" s="9">
        <v>4249.28</v>
      </c>
      <c r="AG438" s="9">
        <v>3091.1091399999996</v>
      </c>
      <c r="AH438" s="11">
        <v>0.42110970972310058</v>
      </c>
      <c r="AI438" s="9">
        <f>SUMIFS(AD438:AD1069, R438:R1069, S438)</f>
        <v>0</v>
      </c>
      <c r="AJ438" s="11" t="e">
        <f>SUMIFS(AD438:AD1069, R438:R1069, S438, AD438:AD1069, "&gt;" &amp; AE438) / AI438</f>
        <v>#DIV/0!</v>
      </c>
      <c r="AK438" s="7" t="e">
        <f>IF(AJ438&lt;=0.8,"A",IF(Table2[[#This Row],[Cumulative rev]]&lt;=0.95,"B","C"))</f>
        <v>#DIV/0!</v>
      </c>
    </row>
    <row r="439" spans="1:37" x14ac:dyDescent="0.3">
      <c r="A439" t="s">
        <v>452</v>
      </c>
      <c r="B439" s="4">
        <v>45290</v>
      </c>
      <c r="C439" s="4" t="s">
        <v>2088</v>
      </c>
      <c r="D439" s="4" t="s">
        <v>2089</v>
      </c>
      <c r="E439" s="4">
        <v>45299</v>
      </c>
      <c r="F439" t="s">
        <v>2064</v>
      </c>
      <c r="G439" s="4">
        <v>45299</v>
      </c>
      <c r="H439" s="4">
        <f>_xlfn.MINIFS(B439:B1070, N439:N1070, N439)</f>
        <v>45019</v>
      </c>
      <c r="I439" s="4" t="str">
        <f t="shared" si="12"/>
        <v>Apr-2023</v>
      </c>
      <c r="J439" s="13">
        <f t="shared" si="13"/>
        <v>9</v>
      </c>
      <c r="K439" s="13">
        <v>9</v>
      </c>
      <c r="L439" s="30" t="str">
        <f>IF(Table2[[#This Row],[LeadTimeDays]]&lt;7,"1","0")</f>
        <v>0</v>
      </c>
      <c r="M439" s="7" t="s">
        <v>649</v>
      </c>
      <c r="N439" s="7" t="s">
        <v>657</v>
      </c>
      <c r="O439" s="7" t="s">
        <v>673</v>
      </c>
      <c r="P439" s="7" t="s">
        <v>704</v>
      </c>
      <c r="Q439" s="7" t="s">
        <v>709</v>
      </c>
      <c r="R439" s="7" t="s">
        <v>716</v>
      </c>
      <c r="S439" s="7" t="s">
        <v>733</v>
      </c>
      <c r="T439" s="7" t="s">
        <v>1864</v>
      </c>
      <c r="U439" s="9">
        <v>861.1</v>
      </c>
      <c r="V439" s="9">
        <v>1224.72</v>
      </c>
      <c r="W439" s="9">
        <v>1224.72</v>
      </c>
      <c r="X439" s="9">
        <v>831.45180000000005</v>
      </c>
      <c r="Y439" s="9">
        <v>1624.9550000000002</v>
      </c>
      <c r="Z439" s="9" t="s">
        <v>2092</v>
      </c>
      <c r="AA439" t="s">
        <v>2065</v>
      </c>
      <c r="AB439" s="11">
        <v>0.17399999999999999</v>
      </c>
      <c r="AC439" t="s">
        <v>2065</v>
      </c>
      <c r="AD439" s="13">
        <v>24</v>
      </c>
      <c r="AE439" s="9">
        <v>24278.849280000002</v>
      </c>
      <c r="AF439" s="9">
        <v>20666.400000000001</v>
      </c>
      <c r="AG439" s="9">
        <v>3612.4492800000007</v>
      </c>
      <c r="AH439" s="11">
        <v>0.14878997098827909</v>
      </c>
      <c r="AI439" s="9">
        <f>SUMIFS(AD439:AD1070, R439:R1070, S439)</f>
        <v>0</v>
      </c>
      <c r="AJ439" s="11" t="e">
        <f>SUMIFS(AD439:AD1070, R439:R1070, S439, AD439:AD1070, "&gt;" &amp; AE439) / AI439</f>
        <v>#DIV/0!</v>
      </c>
      <c r="AK439" s="7" t="e">
        <f>IF(AJ439&lt;=0.8,"A",IF(Table2[[#This Row],[Cumulative rev]]&lt;=0.95,"B","C"))</f>
        <v>#DIV/0!</v>
      </c>
    </row>
    <row r="440" spans="1:37" x14ac:dyDescent="0.3">
      <c r="A440" t="s">
        <v>453</v>
      </c>
      <c r="B440" s="4">
        <v>44978</v>
      </c>
      <c r="C440" s="4" t="s">
        <v>2084</v>
      </c>
      <c r="D440" s="4" t="s">
        <v>2085</v>
      </c>
      <c r="E440" s="4">
        <v>44997</v>
      </c>
      <c r="F440" t="s">
        <v>2064</v>
      </c>
      <c r="G440" s="4">
        <v>44997</v>
      </c>
      <c r="H440" s="4">
        <f>_xlfn.MINIFS(B440:B1071, N440:N1071, N440)</f>
        <v>44978</v>
      </c>
      <c r="I440" s="4" t="str">
        <f t="shared" si="12"/>
        <v>Feb-2023</v>
      </c>
      <c r="J440" s="13">
        <f t="shared" si="13"/>
        <v>1</v>
      </c>
      <c r="K440" s="13">
        <v>19</v>
      </c>
      <c r="L440" s="30" t="str">
        <f>IF(Table2[[#This Row],[LeadTimeDays]]&lt;7,"1","0")</f>
        <v>0</v>
      </c>
      <c r="M440" s="7" t="s">
        <v>646</v>
      </c>
      <c r="N440" s="7" t="s">
        <v>650</v>
      </c>
      <c r="O440" s="7" t="s">
        <v>678</v>
      </c>
      <c r="P440" s="7" t="s">
        <v>701</v>
      </c>
      <c r="Q440" s="7" t="s">
        <v>708</v>
      </c>
      <c r="R440" s="7" t="s">
        <v>721</v>
      </c>
      <c r="S440" s="7" t="s">
        <v>729</v>
      </c>
      <c r="T440" s="7" t="s">
        <v>1865</v>
      </c>
      <c r="U440" s="9">
        <v>352.65</v>
      </c>
      <c r="V440" s="9">
        <v>485.86</v>
      </c>
      <c r="W440" s="9">
        <v>485.86</v>
      </c>
      <c r="X440" s="9">
        <v>829.06920000000002</v>
      </c>
      <c r="Y440" s="9">
        <v>1625.21</v>
      </c>
      <c r="Z440" s="9" t="s">
        <v>2081</v>
      </c>
      <c r="AA440" t="s">
        <v>2065</v>
      </c>
      <c r="AB440" s="11">
        <v>4.1000000000000002E-2</v>
      </c>
      <c r="AC440" t="s">
        <v>2065</v>
      </c>
      <c r="AD440" s="13">
        <v>6</v>
      </c>
      <c r="AE440" s="9">
        <v>2795.6384399999997</v>
      </c>
      <c r="AF440" s="9">
        <v>2115.8999999999996</v>
      </c>
      <c r="AG440" s="9">
        <v>679.73844000000008</v>
      </c>
      <c r="AH440" s="11">
        <v>0.24314247159943908</v>
      </c>
      <c r="AI440" s="9">
        <f>SUMIFS(AD440:AD1071, R440:R1071, S440)</f>
        <v>0</v>
      </c>
      <c r="AJ440" s="11" t="e">
        <f>SUMIFS(AD440:AD1071, R440:R1071, S440, AD440:AD1071, "&gt;" &amp; AE440) / AI440</f>
        <v>#DIV/0!</v>
      </c>
      <c r="AK440" s="7" t="e">
        <f>IF(AJ440&lt;=0.8,"A",IF(Table2[[#This Row],[Cumulative rev]]&lt;=0.95,"B","C"))</f>
        <v>#DIV/0!</v>
      </c>
    </row>
    <row r="441" spans="1:37" x14ac:dyDescent="0.3">
      <c r="A441" t="s">
        <v>454</v>
      </c>
      <c r="B441" s="4">
        <v>45063</v>
      </c>
      <c r="C441" s="4" t="s">
        <v>2107</v>
      </c>
      <c r="D441" s="4" t="s">
        <v>2103</v>
      </c>
      <c r="E441" s="4">
        <v>45080</v>
      </c>
      <c r="F441" t="s">
        <v>2064</v>
      </c>
      <c r="G441" s="4">
        <v>45080</v>
      </c>
      <c r="H441" s="4">
        <f>_xlfn.MINIFS(B441:B1072, N441:N1072, N441)</f>
        <v>44938</v>
      </c>
      <c r="I441" s="4" t="str">
        <f t="shared" si="12"/>
        <v>Jan-2023</v>
      </c>
      <c r="J441" s="13">
        <f t="shared" si="13"/>
        <v>5</v>
      </c>
      <c r="K441" s="13">
        <v>17</v>
      </c>
      <c r="L441" s="30" t="str">
        <f>IF(Table2[[#This Row],[LeadTimeDays]]&lt;7,"1","0")</f>
        <v>0</v>
      </c>
      <c r="M441" s="7" t="s">
        <v>647</v>
      </c>
      <c r="N441" s="7" t="s">
        <v>659</v>
      </c>
      <c r="O441" s="7" t="s">
        <v>699</v>
      </c>
      <c r="P441" s="7" t="s">
        <v>703</v>
      </c>
      <c r="Q441" s="7" t="s">
        <v>710</v>
      </c>
      <c r="R441" s="7" t="s">
        <v>724</v>
      </c>
      <c r="S441" s="7" t="s">
        <v>728</v>
      </c>
      <c r="T441" s="7" t="s">
        <v>1866</v>
      </c>
      <c r="U441" s="9">
        <v>979.59</v>
      </c>
      <c r="V441" s="9">
        <v>2210.94</v>
      </c>
      <c r="W441" s="9">
        <v>2210.94</v>
      </c>
      <c r="X441" s="9">
        <v>833.85050000000001</v>
      </c>
      <c r="Y441" s="9">
        <v>1625.7182</v>
      </c>
      <c r="Z441" s="9" t="s">
        <v>2095</v>
      </c>
      <c r="AA441" t="s">
        <v>2065</v>
      </c>
      <c r="AB441" s="11">
        <v>0.15</v>
      </c>
      <c r="AC441" t="s">
        <v>2065</v>
      </c>
      <c r="AD441" s="13">
        <v>11</v>
      </c>
      <c r="AE441" s="9">
        <v>20672.289000000001</v>
      </c>
      <c r="AF441" s="9">
        <v>10775.49</v>
      </c>
      <c r="AG441" s="9">
        <v>9896.7990000000009</v>
      </c>
      <c r="AH441" s="11">
        <v>0.47874712858358359</v>
      </c>
      <c r="AI441" s="9">
        <f>SUMIFS(AD441:AD1072, R441:R1072, S441)</f>
        <v>0</v>
      </c>
      <c r="AJ441" s="11" t="e">
        <f>SUMIFS(AD441:AD1072, R441:R1072, S441, AD441:AD1072, "&gt;" &amp; AE441) / AI441</f>
        <v>#DIV/0!</v>
      </c>
      <c r="AK441" s="7" t="e">
        <f>IF(AJ441&lt;=0.8,"A",IF(Table2[[#This Row],[Cumulative rev]]&lt;=0.95,"B","C"))</f>
        <v>#DIV/0!</v>
      </c>
    </row>
    <row r="442" spans="1:37" x14ac:dyDescent="0.3">
      <c r="A442" t="s">
        <v>455</v>
      </c>
      <c r="B442" s="4">
        <v>45374</v>
      </c>
      <c r="C442" s="4" t="s">
        <v>2079</v>
      </c>
      <c r="D442" s="4" t="s">
        <v>2080</v>
      </c>
      <c r="E442" s="4">
        <v>45377</v>
      </c>
      <c r="F442" t="s">
        <v>2064</v>
      </c>
      <c r="G442" s="4">
        <v>45377</v>
      </c>
      <c r="H442" s="4">
        <f>_xlfn.MINIFS(B442:B1073, N442:N1073, N442)</f>
        <v>45048</v>
      </c>
      <c r="I442" s="4" t="str">
        <f t="shared" si="12"/>
        <v>May-2023</v>
      </c>
      <c r="J442" s="13">
        <f t="shared" si="13"/>
        <v>11</v>
      </c>
      <c r="K442" s="13">
        <v>3</v>
      </c>
      <c r="L442" s="30" t="str">
        <f>IF(Table2[[#This Row],[LeadTimeDays]]&lt;7,"1","0")</f>
        <v>1</v>
      </c>
      <c r="M442" s="7" t="s">
        <v>647</v>
      </c>
      <c r="N442" s="7" t="s">
        <v>654</v>
      </c>
      <c r="O442" s="7" t="s">
        <v>668</v>
      </c>
      <c r="P442" s="7" t="s">
        <v>702</v>
      </c>
      <c r="Q442" s="7" t="s">
        <v>711</v>
      </c>
      <c r="R442" s="7" t="s">
        <v>715</v>
      </c>
      <c r="S442" s="7" t="s">
        <v>730</v>
      </c>
      <c r="T442" s="7" t="s">
        <v>1867</v>
      </c>
      <c r="U442" s="9">
        <v>382.21</v>
      </c>
      <c r="V442" s="9">
        <v>571.89</v>
      </c>
      <c r="W442" s="9">
        <v>571.89</v>
      </c>
      <c r="X442" s="9">
        <v>831.52400000000011</v>
      </c>
      <c r="Y442" s="9">
        <v>1624.97</v>
      </c>
      <c r="Z442" s="9" t="s">
        <v>2081</v>
      </c>
      <c r="AA442" t="s">
        <v>2065</v>
      </c>
      <c r="AB442" s="11">
        <v>0.14799999999999999</v>
      </c>
      <c r="AC442" t="s">
        <v>2065</v>
      </c>
      <c r="AD442" s="13">
        <v>26</v>
      </c>
      <c r="AE442" s="9">
        <v>12668.50728</v>
      </c>
      <c r="AF442" s="9">
        <v>9937.4599999999991</v>
      </c>
      <c r="AG442" s="9">
        <v>2731.0472800000007</v>
      </c>
      <c r="AH442" s="11">
        <v>0.2155776698578809</v>
      </c>
      <c r="AI442" s="9">
        <f>SUMIFS(AD442:AD1073, R442:R1073, S442)</f>
        <v>0</v>
      </c>
      <c r="AJ442" s="11" t="e">
        <f>SUMIFS(AD442:AD1073, R442:R1073, S442, AD442:AD1073, "&gt;" &amp; AE442) / AI442</f>
        <v>#DIV/0!</v>
      </c>
      <c r="AK442" s="7" t="e">
        <f>IF(AJ442&lt;=0.8,"A",IF(Table2[[#This Row],[Cumulative rev]]&lt;=0.95,"B","C"))</f>
        <v>#DIV/0!</v>
      </c>
    </row>
    <row r="443" spans="1:37" x14ac:dyDescent="0.3">
      <c r="A443" t="s">
        <v>456</v>
      </c>
      <c r="B443" s="4">
        <v>45189</v>
      </c>
      <c r="C443" s="4" t="s">
        <v>2120</v>
      </c>
      <c r="D443" s="4" t="s">
        <v>2117</v>
      </c>
      <c r="E443" s="4">
        <v>45197</v>
      </c>
      <c r="F443" t="s">
        <v>2064</v>
      </c>
      <c r="G443" s="4">
        <v>45197</v>
      </c>
      <c r="H443" s="4">
        <f>_xlfn.MINIFS(B443:B1074, N443:N1074, N443)</f>
        <v>45048</v>
      </c>
      <c r="I443" s="4" t="str">
        <f t="shared" si="12"/>
        <v>May-2023</v>
      </c>
      <c r="J443" s="13">
        <f t="shared" si="13"/>
        <v>5</v>
      </c>
      <c r="K443" s="13">
        <v>8</v>
      </c>
      <c r="L443" s="30" t="str">
        <f>IF(Table2[[#This Row],[LeadTimeDays]]&lt;7,"1","0")</f>
        <v>0</v>
      </c>
      <c r="M443" s="7" t="s">
        <v>647</v>
      </c>
      <c r="N443" s="7" t="s">
        <v>654</v>
      </c>
      <c r="O443" s="7" t="s">
        <v>2057</v>
      </c>
      <c r="P443" s="7" t="s">
        <v>701</v>
      </c>
      <c r="Q443" s="7" t="s">
        <v>2057</v>
      </c>
      <c r="R443" s="7" t="s">
        <v>717</v>
      </c>
      <c r="S443" s="7" t="s">
        <v>733</v>
      </c>
      <c r="T443" s="7" t="s">
        <v>1868</v>
      </c>
      <c r="U443" s="9">
        <v>1362.06</v>
      </c>
      <c r="V443" s="9">
        <v>3398.37</v>
      </c>
      <c r="W443" s="9">
        <v>3398.37</v>
      </c>
      <c r="X443" s="9">
        <v>835.66950000000008</v>
      </c>
      <c r="Y443" s="9">
        <v>1625.2250000000001</v>
      </c>
      <c r="Z443" s="9" t="s">
        <v>2095</v>
      </c>
      <c r="AA443" t="s">
        <v>2065</v>
      </c>
      <c r="AB443" s="11">
        <v>0.157</v>
      </c>
      <c r="AC443" t="s">
        <v>2065</v>
      </c>
      <c r="AD443" s="13">
        <v>11</v>
      </c>
      <c r="AE443" s="9">
        <v>31513.085009999999</v>
      </c>
      <c r="AF443" s="9">
        <v>14982.66</v>
      </c>
      <c r="AG443" s="9">
        <v>16530.425009999999</v>
      </c>
      <c r="AH443" s="11">
        <v>0.52455749745714919</v>
      </c>
      <c r="AI443" s="9">
        <f>SUMIFS(AD443:AD1074, R443:R1074, S443)</f>
        <v>0</v>
      </c>
      <c r="AJ443" s="11" t="e">
        <f>SUMIFS(AD443:AD1074, R443:R1074, S443, AD443:AD1074, "&gt;" &amp; AE443) / AI443</f>
        <v>#DIV/0!</v>
      </c>
      <c r="AK443" s="7" t="e">
        <f>IF(AJ443&lt;=0.8,"A",IF(Table2[[#This Row],[Cumulative rev]]&lt;=0.95,"B","C"))</f>
        <v>#DIV/0!</v>
      </c>
    </row>
    <row r="444" spans="1:37" x14ac:dyDescent="0.3">
      <c r="A444" t="s">
        <v>457</v>
      </c>
      <c r="B444" s="4">
        <v>45526</v>
      </c>
      <c r="C444" s="4" t="s">
        <v>2113</v>
      </c>
      <c r="D444" s="4" t="s">
        <v>2106</v>
      </c>
      <c r="E444" s="4">
        <v>45539</v>
      </c>
      <c r="F444" t="s">
        <v>2064</v>
      </c>
      <c r="G444" s="4">
        <v>45539</v>
      </c>
      <c r="H444" s="4">
        <f>_xlfn.MINIFS(B444:B1075, N444:N1075, N444)</f>
        <v>44952</v>
      </c>
      <c r="I444" s="4" t="str">
        <f t="shared" si="12"/>
        <v>Jan-2023</v>
      </c>
      <c r="J444" s="13">
        <f t="shared" si="13"/>
        <v>19</v>
      </c>
      <c r="K444" s="13">
        <v>13</v>
      </c>
      <c r="L444" s="30" t="str">
        <f>IF(Table2[[#This Row],[LeadTimeDays]]&lt;7,"1","0")</f>
        <v>0</v>
      </c>
      <c r="M444" s="7" t="s">
        <v>649</v>
      </c>
      <c r="N444" s="7" t="s">
        <v>656</v>
      </c>
      <c r="O444" s="7" t="s">
        <v>698</v>
      </c>
      <c r="P444" s="7" t="s">
        <v>703</v>
      </c>
      <c r="Q444" s="7" t="s">
        <v>707</v>
      </c>
      <c r="R444" s="7" t="s">
        <v>716</v>
      </c>
      <c r="S444" s="7" t="s">
        <v>728</v>
      </c>
      <c r="T444" s="7" t="s">
        <v>1869</v>
      </c>
      <c r="U444" s="9">
        <v>90.04</v>
      </c>
      <c r="V444" s="9">
        <v>194.62</v>
      </c>
      <c r="W444" s="9">
        <v>194.62</v>
      </c>
      <c r="X444" s="9">
        <v>833.90400000000011</v>
      </c>
      <c r="Y444" s="9">
        <v>1624.73</v>
      </c>
      <c r="Z444" s="9" t="s">
        <v>2081</v>
      </c>
      <c r="AA444" t="s">
        <v>2065</v>
      </c>
      <c r="AB444" s="11">
        <v>4.2999999999999997E-2</v>
      </c>
      <c r="AC444" t="s">
        <v>2065</v>
      </c>
      <c r="AD444" s="13">
        <v>32</v>
      </c>
      <c r="AE444" s="9">
        <v>5960.04288</v>
      </c>
      <c r="AF444" s="9">
        <v>2881.28</v>
      </c>
      <c r="AG444" s="9">
        <v>3078.7628799999998</v>
      </c>
      <c r="AH444" s="11">
        <v>0.51656723650954672</v>
      </c>
      <c r="AI444" s="9">
        <f>SUMIFS(AD444:AD1075, R444:R1075, S444)</f>
        <v>0</v>
      </c>
      <c r="AJ444" s="11" t="e">
        <f>SUMIFS(AD444:AD1075, R444:R1075, S444, AD444:AD1075, "&gt;" &amp; AE444) / AI444</f>
        <v>#DIV/0!</v>
      </c>
      <c r="AK444" s="7" t="e">
        <f>IF(AJ444&lt;=0.8,"A",IF(Table2[[#This Row],[Cumulative rev]]&lt;=0.95,"B","C"))</f>
        <v>#DIV/0!</v>
      </c>
    </row>
    <row r="445" spans="1:37" x14ac:dyDescent="0.3">
      <c r="A445" t="s">
        <v>458</v>
      </c>
      <c r="B445" s="4">
        <v>45560</v>
      </c>
      <c r="C445" s="4" t="s">
        <v>2122</v>
      </c>
      <c r="D445" s="4" t="s">
        <v>2106</v>
      </c>
      <c r="E445" s="4">
        <v>45568</v>
      </c>
      <c r="F445" t="s">
        <v>2064</v>
      </c>
      <c r="G445" s="4">
        <v>45568</v>
      </c>
      <c r="H445" s="4">
        <f>_xlfn.MINIFS(B445:B1076, N445:N1076, N445)</f>
        <v>45029</v>
      </c>
      <c r="I445" s="4" t="str">
        <f t="shared" si="12"/>
        <v>Apr-2023</v>
      </c>
      <c r="J445" s="13">
        <f t="shared" si="13"/>
        <v>18</v>
      </c>
      <c r="K445" s="13">
        <v>8</v>
      </c>
      <c r="L445" s="30" t="str">
        <f>IF(Table2[[#This Row],[LeadTimeDays]]&lt;7,"1","0")</f>
        <v>0</v>
      </c>
      <c r="M445" s="7" t="s">
        <v>648</v>
      </c>
      <c r="N445" s="7" t="s">
        <v>653</v>
      </c>
      <c r="O445" s="7" t="s">
        <v>667</v>
      </c>
      <c r="P445" s="7" t="s">
        <v>704</v>
      </c>
      <c r="Q445" s="7" t="s">
        <v>708</v>
      </c>
      <c r="R445" s="7" t="s">
        <v>718</v>
      </c>
      <c r="S445" s="7" t="s">
        <v>728</v>
      </c>
      <c r="T445" s="7" t="s">
        <v>1870</v>
      </c>
      <c r="U445" s="9">
        <v>558.19000000000005</v>
      </c>
      <c r="V445" s="9">
        <v>1031.6400000000001</v>
      </c>
      <c r="W445" s="9">
        <v>1031.6400000000001</v>
      </c>
      <c r="X445" s="9">
        <v>837.48850000000004</v>
      </c>
      <c r="Y445" s="9">
        <v>1624.9850000000001</v>
      </c>
      <c r="Z445" s="9" t="s">
        <v>2092</v>
      </c>
      <c r="AA445" t="s">
        <v>2065</v>
      </c>
      <c r="AB445" s="11">
        <v>0</v>
      </c>
      <c r="AC445" t="s">
        <v>2065</v>
      </c>
      <c r="AD445" s="13">
        <v>21</v>
      </c>
      <c r="AE445" s="9">
        <v>21664.440000000002</v>
      </c>
      <c r="AF445" s="9">
        <v>11721.990000000002</v>
      </c>
      <c r="AG445" s="9">
        <v>9942.4500000000007</v>
      </c>
      <c r="AH445" s="11">
        <v>0.45892947152107322</v>
      </c>
      <c r="AI445" s="9">
        <f>SUMIFS(AD445:AD1076, R445:R1076, S445)</f>
        <v>0</v>
      </c>
      <c r="AJ445" s="11" t="e">
        <f>SUMIFS(AD445:AD1076, R445:R1076, S445, AD445:AD1076, "&gt;" &amp; AE445) / AI445</f>
        <v>#DIV/0!</v>
      </c>
      <c r="AK445" s="7" t="e">
        <f>IF(AJ445&lt;=0.8,"A",IF(Table2[[#This Row],[Cumulative rev]]&lt;=0.95,"B","C"))</f>
        <v>#DIV/0!</v>
      </c>
    </row>
    <row r="446" spans="1:37" x14ac:dyDescent="0.3">
      <c r="A446" t="s">
        <v>459</v>
      </c>
      <c r="B446" s="4">
        <v>45090</v>
      </c>
      <c r="C446" s="4" t="s">
        <v>2115</v>
      </c>
      <c r="D446" s="4" t="s">
        <v>2103</v>
      </c>
      <c r="E446" s="4">
        <v>45101</v>
      </c>
      <c r="F446" t="s">
        <v>2064</v>
      </c>
      <c r="G446" s="4">
        <v>45101</v>
      </c>
      <c r="H446" s="4">
        <f>_xlfn.MINIFS(B446:B1077, N446:N1077, N446)</f>
        <v>45029</v>
      </c>
      <c r="I446" s="4" t="str">
        <f t="shared" si="12"/>
        <v>Apr-2023</v>
      </c>
      <c r="J446" s="13">
        <f t="shared" si="13"/>
        <v>3</v>
      </c>
      <c r="K446" s="13">
        <v>11</v>
      </c>
      <c r="L446" s="30" t="str">
        <f>IF(Table2[[#This Row],[LeadTimeDays]]&lt;7,"1","0")</f>
        <v>0</v>
      </c>
      <c r="M446" s="7" t="s">
        <v>648</v>
      </c>
      <c r="N446" s="7" t="s">
        <v>653</v>
      </c>
      <c r="O446" s="7" t="s">
        <v>667</v>
      </c>
      <c r="P446" s="7" t="s">
        <v>701</v>
      </c>
      <c r="Q446" s="7" t="s">
        <v>708</v>
      </c>
      <c r="R446" s="7" t="s">
        <v>712</v>
      </c>
      <c r="S446" s="7" t="s">
        <v>728</v>
      </c>
      <c r="T446" s="7" t="s">
        <v>1871</v>
      </c>
      <c r="U446" s="9">
        <v>247.07</v>
      </c>
      <c r="V446" s="9">
        <v>495.19</v>
      </c>
      <c r="W446" s="9">
        <v>495.19</v>
      </c>
      <c r="X446" s="9">
        <v>835.72300000000007</v>
      </c>
      <c r="Y446" s="9">
        <v>1625.24</v>
      </c>
      <c r="Z446" s="9" t="s">
        <v>2081</v>
      </c>
      <c r="AA446" t="s">
        <v>2065</v>
      </c>
      <c r="AB446" s="11">
        <v>2.8000000000000001E-2</v>
      </c>
      <c r="AC446" t="s">
        <v>2065</v>
      </c>
      <c r="AD446" s="13">
        <v>4</v>
      </c>
      <c r="AE446" s="9">
        <v>1925.29872</v>
      </c>
      <c r="AF446" s="9">
        <v>988.28</v>
      </c>
      <c r="AG446" s="9">
        <v>937.01872000000003</v>
      </c>
      <c r="AH446" s="11">
        <v>0.48668744764968214</v>
      </c>
      <c r="AI446" s="9">
        <f>SUMIFS(AD446:AD1077, R446:R1077, S446)</f>
        <v>0</v>
      </c>
      <c r="AJ446" s="11" t="e">
        <f>SUMIFS(AD446:AD1077, R446:R1077, S446, AD446:AD1077, "&gt;" &amp; AE446) / AI446</f>
        <v>#DIV/0!</v>
      </c>
      <c r="AK446" s="7" t="e">
        <f>IF(AJ446&lt;=0.8,"A",IF(Table2[[#This Row],[Cumulative rev]]&lt;=0.95,"B","C"))</f>
        <v>#DIV/0!</v>
      </c>
    </row>
    <row r="447" spans="1:37" x14ac:dyDescent="0.3">
      <c r="A447" t="s">
        <v>460</v>
      </c>
      <c r="B447" s="4">
        <v>45284</v>
      </c>
      <c r="C447" s="4" t="s">
        <v>2088</v>
      </c>
      <c r="D447" s="4" t="s">
        <v>2089</v>
      </c>
      <c r="E447" s="4">
        <v>45304</v>
      </c>
      <c r="F447" t="s">
        <v>2064</v>
      </c>
      <c r="G447" s="4">
        <v>45304</v>
      </c>
      <c r="H447" s="4">
        <f>_xlfn.MINIFS(B447:B1078, N447:N1078, N447)</f>
        <v>44988</v>
      </c>
      <c r="I447" s="4" t="str">
        <f t="shared" si="12"/>
        <v>Mar-2023</v>
      </c>
      <c r="J447" s="13">
        <f t="shared" si="13"/>
        <v>10</v>
      </c>
      <c r="K447" s="13">
        <v>20</v>
      </c>
      <c r="L447" s="30" t="str">
        <f>IF(Table2[[#This Row],[LeadTimeDays]]&lt;7,"1","0")</f>
        <v>0</v>
      </c>
      <c r="M447" s="7" t="s">
        <v>647</v>
      </c>
      <c r="N447" s="7" t="s">
        <v>652</v>
      </c>
      <c r="O447" s="7" t="s">
        <v>694</v>
      </c>
      <c r="P447" s="7" t="s">
        <v>702</v>
      </c>
      <c r="Q447" s="7" t="s">
        <v>711</v>
      </c>
      <c r="R447" s="7" t="s">
        <v>717</v>
      </c>
      <c r="S447" s="7" t="s">
        <v>731</v>
      </c>
      <c r="T447" s="7" t="s">
        <v>1872</v>
      </c>
      <c r="U447" s="9">
        <v>625.37</v>
      </c>
      <c r="V447" s="9">
        <v>1319.04</v>
      </c>
      <c r="W447" s="9">
        <v>1319.04</v>
      </c>
      <c r="X447" s="9">
        <v>840.14600000000007</v>
      </c>
      <c r="Y447" s="9">
        <v>1625.9170000000001</v>
      </c>
      <c r="Z447" s="9" t="s">
        <v>2092</v>
      </c>
      <c r="AA447" t="s">
        <v>2065</v>
      </c>
      <c r="AB447" s="11">
        <v>7.3999999999999996E-2</v>
      </c>
      <c r="AC447" t="s">
        <v>2065</v>
      </c>
      <c r="AD447" s="13">
        <v>8</v>
      </c>
      <c r="AE447" s="9">
        <v>9771.4483199999995</v>
      </c>
      <c r="AF447" s="9">
        <v>5002.96</v>
      </c>
      <c r="AG447" s="9">
        <v>4768.4883199999995</v>
      </c>
      <c r="AH447" s="11">
        <v>0.48800220436513547</v>
      </c>
      <c r="AI447" s="9">
        <f>SUMIFS(AD447:AD1078, R447:R1078, S447)</f>
        <v>0</v>
      </c>
      <c r="AJ447" s="11" t="e">
        <f>SUMIFS(AD447:AD1078, R447:R1078, S447, AD447:AD1078, "&gt;" &amp; AE447) / AI447</f>
        <v>#DIV/0!</v>
      </c>
      <c r="AK447" s="7" t="e">
        <f>IF(AJ447&lt;=0.8,"A",IF(Table2[[#This Row],[Cumulative rev]]&lt;=0.95,"B","C"))</f>
        <v>#DIV/0!</v>
      </c>
    </row>
    <row r="448" spans="1:37" x14ac:dyDescent="0.3">
      <c r="A448" t="s">
        <v>461</v>
      </c>
      <c r="B448" s="4">
        <v>45746</v>
      </c>
      <c r="C448" s="4" t="s">
        <v>2086</v>
      </c>
      <c r="D448" s="4" t="s">
        <v>2087</v>
      </c>
      <c r="E448" s="4">
        <v>45776</v>
      </c>
      <c r="F448" t="s">
        <v>2064</v>
      </c>
      <c r="G448" s="4">
        <v>45776</v>
      </c>
      <c r="H448" s="4">
        <f>_xlfn.MINIFS(B448:B1079, N448:N1079, N448)</f>
        <v>44933</v>
      </c>
      <c r="I448" s="4" t="str">
        <f t="shared" si="12"/>
        <v>Jan-2023</v>
      </c>
      <c r="J448" s="13">
        <f t="shared" si="13"/>
        <v>27</v>
      </c>
      <c r="K448" s="13">
        <v>30</v>
      </c>
      <c r="L448" s="30" t="str">
        <f>IF(Table2[[#This Row],[LeadTimeDays]]&lt;7,"1","0")</f>
        <v>0</v>
      </c>
      <c r="M448" s="7" t="s">
        <v>646</v>
      </c>
      <c r="N448" s="7" t="s">
        <v>661</v>
      </c>
      <c r="O448" s="7" t="s">
        <v>687</v>
      </c>
      <c r="P448" s="7" t="s">
        <v>704</v>
      </c>
      <c r="Q448" s="7" t="s">
        <v>709</v>
      </c>
      <c r="R448" s="7" t="s">
        <v>713</v>
      </c>
      <c r="S448" s="7" t="s">
        <v>732</v>
      </c>
      <c r="T448" s="7" t="s">
        <v>1873</v>
      </c>
      <c r="U448" s="9">
        <v>194.6</v>
      </c>
      <c r="V448" s="9">
        <v>314.87</v>
      </c>
      <c r="W448" s="9">
        <v>314.87</v>
      </c>
      <c r="X448" s="9">
        <v>837.54200000000003</v>
      </c>
      <c r="Y448" s="9">
        <v>1627.6068000000002</v>
      </c>
      <c r="Z448" s="9" t="s">
        <v>2081</v>
      </c>
      <c r="AA448" t="s">
        <v>2065</v>
      </c>
      <c r="AB448" s="11">
        <v>0.29299999999999998</v>
      </c>
      <c r="AC448" t="s">
        <v>2065</v>
      </c>
      <c r="AD448" s="13">
        <v>25</v>
      </c>
      <c r="AE448" s="9">
        <v>5565.3272500000003</v>
      </c>
      <c r="AF448" s="9">
        <v>4865</v>
      </c>
      <c r="AG448" s="9">
        <v>700.32725000000028</v>
      </c>
      <c r="AH448" s="11">
        <v>0.1258375686712763</v>
      </c>
      <c r="AI448" s="9">
        <f>SUMIFS(AD448:AD1079, R448:R1079, S448)</f>
        <v>0</v>
      </c>
      <c r="AJ448" s="11" t="e">
        <f>SUMIFS(AD448:AD1079, R448:R1079, S448, AD448:AD1079, "&gt;" &amp; AE448) / AI448</f>
        <v>#DIV/0!</v>
      </c>
      <c r="AK448" s="7" t="e">
        <f>IF(AJ448&lt;=0.8,"A",IF(Table2[[#This Row],[Cumulative rev]]&lt;=0.95,"B","C"))</f>
        <v>#DIV/0!</v>
      </c>
    </row>
    <row r="449" spans="1:37" x14ac:dyDescent="0.3">
      <c r="A449" t="s">
        <v>462</v>
      </c>
      <c r="B449" s="4">
        <v>45446</v>
      </c>
      <c r="C449" s="4" t="s">
        <v>2109</v>
      </c>
      <c r="D449" s="4" t="s">
        <v>2094</v>
      </c>
      <c r="E449" s="4">
        <v>45467</v>
      </c>
      <c r="F449" t="s">
        <v>2064</v>
      </c>
      <c r="G449" s="4">
        <v>45467</v>
      </c>
      <c r="H449" s="4">
        <f>_xlfn.MINIFS(B449:B1080, N449:N1080, N449)</f>
        <v>45029</v>
      </c>
      <c r="I449" s="4" t="str">
        <f t="shared" si="12"/>
        <v>Apr-2023</v>
      </c>
      <c r="J449" s="13">
        <f t="shared" si="13"/>
        <v>14</v>
      </c>
      <c r="K449" s="13">
        <v>21</v>
      </c>
      <c r="L449" s="30" t="str">
        <f>IF(Table2[[#This Row],[LeadTimeDays]]&lt;7,"1","0")</f>
        <v>0</v>
      </c>
      <c r="M449" s="7" t="s">
        <v>648</v>
      </c>
      <c r="N449" s="7" t="s">
        <v>653</v>
      </c>
      <c r="O449" s="7" t="s">
        <v>667</v>
      </c>
      <c r="P449" s="7" t="s">
        <v>705</v>
      </c>
      <c r="Q449" s="7" t="s">
        <v>711</v>
      </c>
      <c r="R449" s="7" t="s">
        <v>715</v>
      </c>
      <c r="S449" s="7" t="s">
        <v>732</v>
      </c>
      <c r="T449" s="7" t="s">
        <v>1874</v>
      </c>
      <c r="U449" s="9">
        <v>1205.5</v>
      </c>
      <c r="V449" s="9">
        <v>2210.17</v>
      </c>
      <c r="W449" s="9">
        <v>2210.17</v>
      </c>
      <c r="X449" s="9">
        <v>847.66679999999997</v>
      </c>
      <c r="Y449" s="9">
        <v>1629.2966000000001</v>
      </c>
      <c r="Z449" s="9" t="s">
        <v>2095</v>
      </c>
      <c r="AA449" t="s">
        <v>2065</v>
      </c>
      <c r="AB449" s="11">
        <v>0.104</v>
      </c>
      <c r="AC449" t="s">
        <v>2065</v>
      </c>
      <c r="AD449" s="13">
        <v>23</v>
      </c>
      <c r="AE449" s="9">
        <v>45547.183360000003</v>
      </c>
      <c r="AF449" s="9">
        <v>27726.5</v>
      </c>
      <c r="AG449" s="9">
        <v>17820.683360000003</v>
      </c>
      <c r="AH449" s="11">
        <v>0.39125763758314652</v>
      </c>
      <c r="AI449" s="9">
        <f>SUMIFS(AD449:AD1080, R449:R1080, S449)</f>
        <v>0</v>
      </c>
      <c r="AJ449" s="11" t="e">
        <f>SUMIFS(AD449:AD1080, R449:R1080, S449, AD449:AD1080, "&gt;" &amp; AE449) / AI449</f>
        <v>#DIV/0!</v>
      </c>
      <c r="AK449" s="7" t="e">
        <f>IF(AJ449&lt;=0.8,"A",IF(Table2[[#This Row],[Cumulative rev]]&lt;=0.95,"B","C"))</f>
        <v>#DIV/0!</v>
      </c>
    </row>
    <row r="450" spans="1:37" x14ac:dyDescent="0.3">
      <c r="A450" t="s">
        <v>463</v>
      </c>
      <c r="B450" s="4">
        <v>45454</v>
      </c>
      <c r="C450" s="4" t="s">
        <v>2109</v>
      </c>
      <c r="D450" s="4" t="s">
        <v>2094</v>
      </c>
      <c r="E450" s="4">
        <v>45482</v>
      </c>
      <c r="F450" t="s">
        <v>2064</v>
      </c>
      <c r="G450" s="4">
        <v>45482</v>
      </c>
      <c r="H450" s="4">
        <f>_xlfn.MINIFS(B450:B1081, N450:N1081, N450)</f>
        <v>44968</v>
      </c>
      <c r="I450" s="4" t="str">
        <f t="shared" si="12"/>
        <v>Feb-2023</v>
      </c>
      <c r="J450" s="13">
        <f t="shared" si="13"/>
        <v>17</v>
      </c>
      <c r="K450" s="13">
        <v>28</v>
      </c>
      <c r="L450" s="30" t="str">
        <f>IF(Table2[[#This Row],[LeadTimeDays]]&lt;7,"1","0")</f>
        <v>0</v>
      </c>
      <c r="M450" s="7" t="s">
        <v>646</v>
      </c>
      <c r="N450" s="7" t="s">
        <v>651</v>
      </c>
      <c r="O450" s="7" t="s">
        <v>663</v>
      </c>
      <c r="P450" s="7" t="s">
        <v>701</v>
      </c>
      <c r="Q450" s="7" t="s">
        <v>709</v>
      </c>
      <c r="R450" s="7" t="s">
        <v>714</v>
      </c>
      <c r="S450" s="7" t="s">
        <v>730</v>
      </c>
      <c r="T450" s="7" t="s">
        <v>1875</v>
      </c>
      <c r="U450" s="9">
        <v>895.54</v>
      </c>
      <c r="V450" s="9">
        <v>1045</v>
      </c>
      <c r="W450" s="9">
        <v>1045</v>
      </c>
      <c r="X450" s="9">
        <v>840.36720000000003</v>
      </c>
      <c r="Y450" s="9">
        <v>1626.0164000000002</v>
      </c>
      <c r="Z450" s="9" t="s">
        <v>2092</v>
      </c>
      <c r="AA450" t="s">
        <v>2065</v>
      </c>
      <c r="AB450" s="11">
        <v>0.216</v>
      </c>
      <c r="AC450" t="s">
        <v>2065</v>
      </c>
      <c r="AD450" s="13">
        <v>15</v>
      </c>
      <c r="AE450" s="9">
        <v>12289.2</v>
      </c>
      <c r="AF450" s="9">
        <v>13433.099999999999</v>
      </c>
      <c r="AG450" s="9">
        <v>-1143.8999999999978</v>
      </c>
      <c r="AH450" s="11">
        <v>-9.3081730299775234E-2</v>
      </c>
      <c r="AI450" s="9">
        <f>SUMIFS(AD450:AD1081, R450:R1081, S450)</f>
        <v>0</v>
      </c>
      <c r="AJ450" s="11" t="e">
        <f>SUMIFS(AD450:AD1081, R450:R1081, S450, AD450:AD1081, "&gt;" &amp; AE450) / AI450</f>
        <v>#DIV/0!</v>
      </c>
      <c r="AK450" s="7" t="e">
        <f>IF(AJ450&lt;=0.8,"A",IF(Table2[[#This Row],[Cumulative rev]]&lt;=0.95,"B","C"))</f>
        <v>#DIV/0!</v>
      </c>
    </row>
    <row r="451" spans="1:37" x14ac:dyDescent="0.3">
      <c r="A451" t="s">
        <v>464</v>
      </c>
      <c r="B451" s="4">
        <v>45129</v>
      </c>
      <c r="C451" s="4" t="s">
        <v>2116</v>
      </c>
      <c r="D451" s="4" t="s">
        <v>2117</v>
      </c>
      <c r="E451" s="4">
        <v>45128</v>
      </c>
      <c r="F451" t="s">
        <v>2066</v>
      </c>
      <c r="G451" s="4">
        <v>45129</v>
      </c>
      <c r="H451" s="4">
        <f>_xlfn.MINIFS(B451:B1082, N451:N1082, N451)</f>
        <v>45048</v>
      </c>
      <c r="I451" s="4" t="str">
        <f t="shared" ref="I451:I514" si="14">TEXT(H451,"mmm-yyyy")</f>
        <v>May-2023</v>
      </c>
      <c r="J451" s="13">
        <f t="shared" ref="J451:J514" si="15">DATEDIF(H451, B451, "m") + 1</f>
        <v>3</v>
      </c>
      <c r="K451" s="13">
        <v>0</v>
      </c>
      <c r="L451" s="30" t="str">
        <f>IF(Table2[[#This Row],[LeadTimeDays]]&lt;7,"1","0")</f>
        <v>1</v>
      </c>
      <c r="M451" s="7" t="s">
        <v>647</v>
      </c>
      <c r="N451" s="7" t="s">
        <v>654</v>
      </c>
      <c r="O451" s="7" t="s">
        <v>680</v>
      </c>
      <c r="P451" s="7" t="s">
        <v>705</v>
      </c>
      <c r="Q451" s="7" t="s">
        <v>710</v>
      </c>
      <c r="R451" s="7" t="s">
        <v>718</v>
      </c>
      <c r="S451" s="7" t="s">
        <v>728</v>
      </c>
      <c r="T451" s="7" t="s">
        <v>1876</v>
      </c>
      <c r="U451" s="9">
        <v>946.99</v>
      </c>
      <c r="V451" s="9">
        <v>2132.19</v>
      </c>
      <c r="W451" s="9">
        <v>2132.19</v>
      </c>
      <c r="X451" s="9">
        <v>837.59550000000002</v>
      </c>
      <c r="Y451" s="9">
        <v>1627.7062000000001</v>
      </c>
      <c r="Z451" s="9" t="s">
        <v>2095</v>
      </c>
      <c r="AA451" t="s">
        <v>2065</v>
      </c>
      <c r="AB451" s="11">
        <v>0.16500000000000001</v>
      </c>
      <c r="AC451" t="s">
        <v>2065</v>
      </c>
      <c r="AD451" s="13">
        <v>7</v>
      </c>
      <c r="AE451" s="9">
        <v>12462.65055</v>
      </c>
      <c r="AF451" s="9">
        <v>6628.93</v>
      </c>
      <c r="AG451" s="9">
        <v>5833.72055</v>
      </c>
      <c r="AH451" s="11">
        <v>0.46809629513362228</v>
      </c>
      <c r="AI451" s="9">
        <f>SUMIFS(AD451:AD1082, R451:R1082, S451)</f>
        <v>0</v>
      </c>
      <c r="AJ451" s="11" t="e">
        <f>SUMIFS(AD451:AD1082, R451:R1082, S451, AD451:AD1082, "&gt;" &amp; AE451) / AI451</f>
        <v>#DIV/0!</v>
      </c>
      <c r="AK451" s="7" t="e">
        <f>IF(AJ451&lt;=0.8,"A",IF(Table2[[#This Row],[Cumulative rev]]&lt;=0.95,"B","C"))</f>
        <v>#DIV/0!</v>
      </c>
    </row>
    <row r="452" spans="1:37" x14ac:dyDescent="0.3">
      <c r="A452" t="s">
        <v>465</v>
      </c>
      <c r="B452" s="4">
        <v>44945</v>
      </c>
      <c r="C452" s="4" t="s">
        <v>2090</v>
      </c>
      <c r="D452" s="4" t="s">
        <v>2085</v>
      </c>
      <c r="E452" s="4">
        <v>44960</v>
      </c>
      <c r="F452" t="s">
        <v>2064</v>
      </c>
      <c r="G452" s="4">
        <v>44960</v>
      </c>
      <c r="H452" s="4">
        <f>_xlfn.MINIFS(B452:B1083, N452:N1083, N452)</f>
        <v>44945</v>
      </c>
      <c r="I452" s="4" t="str">
        <f t="shared" si="14"/>
        <v>Jan-2023</v>
      </c>
      <c r="J452" s="13">
        <f t="shared" si="15"/>
        <v>1</v>
      </c>
      <c r="K452" s="13">
        <v>15</v>
      </c>
      <c r="L452" s="30" t="str">
        <f>IF(Table2[[#This Row],[LeadTimeDays]]&lt;7,"1","0")</f>
        <v>0</v>
      </c>
      <c r="M452" s="7" t="s">
        <v>649</v>
      </c>
      <c r="N452" s="7" t="s">
        <v>658</v>
      </c>
      <c r="O452" s="7" t="s">
        <v>683</v>
      </c>
      <c r="P452" s="7" t="s">
        <v>706</v>
      </c>
      <c r="Q452" s="7" t="s">
        <v>710</v>
      </c>
      <c r="R452" s="7" t="s">
        <v>715</v>
      </c>
      <c r="S452" s="7" t="s">
        <v>733</v>
      </c>
      <c r="T452" s="7" t="s">
        <v>1877</v>
      </c>
      <c r="U452" s="9">
        <v>873.06</v>
      </c>
      <c r="V452" s="9">
        <v>2101.5500000000002</v>
      </c>
      <c r="W452" s="9">
        <v>2101.5500000000002</v>
      </c>
      <c r="X452" s="9">
        <v>835.83</v>
      </c>
      <c r="Y452" s="9">
        <v>1625.27</v>
      </c>
      <c r="Z452" s="9" t="s">
        <v>2095</v>
      </c>
      <c r="AA452" t="s">
        <v>2065</v>
      </c>
      <c r="AB452" s="11">
        <v>6.6000000000000003E-2</v>
      </c>
      <c r="AC452" t="s">
        <v>2065</v>
      </c>
      <c r="AD452" s="13">
        <v>10</v>
      </c>
      <c r="AE452" s="9">
        <v>19628.476999999999</v>
      </c>
      <c r="AF452" s="9">
        <v>8730.5999999999985</v>
      </c>
      <c r="AG452" s="9">
        <v>10897.877</v>
      </c>
      <c r="AH452" s="11">
        <v>0.55520746719167269</v>
      </c>
      <c r="AI452" s="9">
        <f>SUMIFS(AD452:AD1083, R452:R1083, S452)</f>
        <v>0</v>
      </c>
      <c r="AJ452" s="11" t="e">
        <f>SUMIFS(AD452:AD1083, R452:R1083, S452, AD452:AD1083, "&gt;" &amp; AE452) / AI452</f>
        <v>#DIV/0!</v>
      </c>
      <c r="AK452" s="7" t="e">
        <f>IF(AJ452&lt;=0.8,"A",IF(Table2[[#This Row],[Cumulative rev]]&lt;=0.95,"B","C"))</f>
        <v>#DIV/0!</v>
      </c>
    </row>
    <row r="453" spans="1:37" x14ac:dyDescent="0.3">
      <c r="A453" t="s">
        <v>466</v>
      </c>
      <c r="B453" s="4">
        <v>45413</v>
      </c>
      <c r="C453" s="4" t="s">
        <v>2093</v>
      </c>
      <c r="D453" s="4" t="s">
        <v>2094</v>
      </c>
      <c r="E453" s="4">
        <v>45428</v>
      </c>
      <c r="F453" t="s">
        <v>2064</v>
      </c>
      <c r="G453" s="4">
        <v>45428</v>
      </c>
      <c r="H453" s="4">
        <f>_xlfn.MINIFS(B453:B1084, N453:N1084, N453)</f>
        <v>45048</v>
      </c>
      <c r="I453" s="4" t="str">
        <f t="shared" si="14"/>
        <v>May-2023</v>
      </c>
      <c r="J453" s="13">
        <f t="shared" si="15"/>
        <v>12</v>
      </c>
      <c r="K453" s="13">
        <v>15</v>
      </c>
      <c r="L453" s="30" t="str">
        <f>IF(Table2[[#This Row],[LeadTimeDays]]&lt;7,"1","0")</f>
        <v>0</v>
      </c>
      <c r="M453" s="7" t="s">
        <v>647</v>
      </c>
      <c r="N453" s="7" t="s">
        <v>654</v>
      </c>
      <c r="O453" s="7" t="s">
        <v>668</v>
      </c>
      <c r="P453" s="7" t="s">
        <v>705</v>
      </c>
      <c r="Q453" s="7" t="s">
        <v>707</v>
      </c>
      <c r="R453" s="7" t="s">
        <v>716</v>
      </c>
      <c r="S453" s="7" t="s">
        <v>727</v>
      </c>
      <c r="T453" s="7" t="s">
        <v>1878</v>
      </c>
      <c r="U453" s="9">
        <v>901.19</v>
      </c>
      <c r="V453" s="9">
        <v>2125.44</v>
      </c>
      <c r="W453" s="9">
        <v>2125.44</v>
      </c>
      <c r="X453" s="9">
        <v>834.06450000000007</v>
      </c>
      <c r="Y453" s="9">
        <v>1624.7750000000001</v>
      </c>
      <c r="Z453" s="9" t="s">
        <v>2095</v>
      </c>
      <c r="AA453" t="s">
        <v>2065</v>
      </c>
      <c r="AB453" s="11">
        <v>7.0999999999999994E-2</v>
      </c>
      <c r="AC453" t="s">
        <v>2065</v>
      </c>
      <c r="AD453" s="13">
        <v>12</v>
      </c>
      <c r="AE453" s="9">
        <v>23694.405119999999</v>
      </c>
      <c r="AF453" s="9">
        <v>10814.28</v>
      </c>
      <c r="AG453" s="9">
        <v>12880.125119999999</v>
      </c>
      <c r="AH453" s="11">
        <v>0.54359352154100415</v>
      </c>
      <c r="AI453" s="9">
        <f>SUMIFS(AD453:AD1084, R453:R1084, S453)</f>
        <v>0</v>
      </c>
      <c r="AJ453" s="11" t="e">
        <f>SUMIFS(AD453:AD1084, R453:R1084, S453, AD453:AD1084, "&gt;" &amp; AE453) / AI453</f>
        <v>#DIV/0!</v>
      </c>
      <c r="AK453" s="7" t="e">
        <f>IF(AJ453&lt;=0.8,"A",IF(Table2[[#This Row],[Cumulative rev]]&lt;=0.95,"B","C"))</f>
        <v>#DIV/0!</v>
      </c>
    </row>
    <row r="454" spans="1:37" x14ac:dyDescent="0.3">
      <c r="A454" t="s">
        <v>467</v>
      </c>
      <c r="B454" s="4">
        <v>45817</v>
      </c>
      <c r="C454" s="4" t="s">
        <v>2108</v>
      </c>
      <c r="D454" s="4" t="s">
        <v>2097</v>
      </c>
      <c r="E454" s="4">
        <v>45832</v>
      </c>
      <c r="F454" t="s">
        <v>2064</v>
      </c>
      <c r="G454" s="4">
        <v>45832</v>
      </c>
      <c r="H454" s="4">
        <f>_xlfn.MINIFS(B454:B1085, N454:N1085, N454)</f>
        <v>44988</v>
      </c>
      <c r="I454" s="4" t="str">
        <f t="shared" si="14"/>
        <v>Mar-2023</v>
      </c>
      <c r="J454" s="13">
        <f t="shared" si="15"/>
        <v>28</v>
      </c>
      <c r="K454" s="13">
        <v>15</v>
      </c>
      <c r="L454" s="30" t="str">
        <f>IF(Table2[[#This Row],[LeadTimeDays]]&lt;7,"1","0")</f>
        <v>0</v>
      </c>
      <c r="M454" s="7" t="s">
        <v>647</v>
      </c>
      <c r="N454" s="7" t="s">
        <v>652</v>
      </c>
      <c r="O454" s="7" t="s">
        <v>694</v>
      </c>
      <c r="P454" s="7" t="s">
        <v>701</v>
      </c>
      <c r="Q454" s="7" t="s">
        <v>711</v>
      </c>
      <c r="R454" s="7" t="s">
        <v>717</v>
      </c>
      <c r="S454" s="7" t="s">
        <v>730</v>
      </c>
      <c r="T454" s="7" t="s">
        <v>1879</v>
      </c>
      <c r="U454" s="9">
        <v>400.39</v>
      </c>
      <c r="V454" s="9">
        <v>712.75</v>
      </c>
      <c r="W454" s="9">
        <v>712.75</v>
      </c>
      <c r="X454" s="9">
        <v>831.81280000000004</v>
      </c>
      <c r="Y454" s="9">
        <v>1609.5120000000002</v>
      </c>
      <c r="Z454" s="9" t="s">
        <v>2081</v>
      </c>
      <c r="AA454" t="s">
        <v>2065</v>
      </c>
      <c r="AB454" s="11">
        <v>0.115</v>
      </c>
      <c r="AC454" t="s">
        <v>2065</v>
      </c>
      <c r="AD454" s="13">
        <v>19</v>
      </c>
      <c r="AE454" s="9">
        <v>11984.891250000001</v>
      </c>
      <c r="AF454" s="9">
        <v>7607.41</v>
      </c>
      <c r="AG454" s="9">
        <v>4377.4812500000007</v>
      </c>
      <c r="AH454" s="11">
        <v>0.36524997671547504</v>
      </c>
      <c r="AI454" s="9">
        <f>SUMIFS(AD454:AD1085, R454:R1085, S454)</f>
        <v>0</v>
      </c>
      <c r="AJ454" s="11" t="e">
        <f>SUMIFS(AD454:AD1085, R454:R1085, S454, AD454:AD1085, "&gt;" &amp; AE454) / AI454</f>
        <v>#DIV/0!</v>
      </c>
      <c r="AK454" s="7" t="e">
        <f>IF(AJ454&lt;=0.8,"A",IF(Table2[[#This Row],[Cumulative rev]]&lt;=0.95,"B","C"))</f>
        <v>#DIV/0!</v>
      </c>
    </row>
    <row r="455" spans="1:37" x14ac:dyDescent="0.3">
      <c r="A455" t="s">
        <v>468</v>
      </c>
      <c r="B455" s="4">
        <v>45070</v>
      </c>
      <c r="C455" s="4" t="s">
        <v>2107</v>
      </c>
      <c r="D455" s="4" t="s">
        <v>2103</v>
      </c>
      <c r="E455" s="4">
        <v>45098</v>
      </c>
      <c r="F455" t="s">
        <v>2064</v>
      </c>
      <c r="G455" s="4">
        <v>45098</v>
      </c>
      <c r="H455" s="4">
        <f>_xlfn.MINIFS(B455:B1086, N455:N1086, N455)</f>
        <v>44984</v>
      </c>
      <c r="I455" s="4" t="str">
        <f t="shared" si="14"/>
        <v>Feb-2023</v>
      </c>
      <c r="J455" s="13">
        <f t="shared" si="15"/>
        <v>3</v>
      </c>
      <c r="K455" s="13">
        <v>28</v>
      </c>
      <c r="L455" s="30" t="str">
        <f>IF(Table2[[#This Row],[LeadTimeDays]]&lt;7,"1","0")</f>
        <v>0</v>
      </c>
      <c r="M455" s="7" t="s">
        <v>648</v>
      </c>
      <c r="N455" s="7" t="s">
        <v>1425</v>
      </c>
      <c r="O455" s="7" t="s">
        <v>697</v>
      </c>
      <c r="P455" s="7" t="s">
        <v>705</v>
      </c>
      <c r="Q455" s="7" t="s">
        <v>709</v>
      </c>
      <c r="R455" s="7" t="s">
        <v>715</v>
      </c>
      <c r="S455" s="7" t="s">
        <v>732</v>
      </c>
      <c r="T455" s="7" t="s">
        <v>1880</v>
      </c>
      <c r="U455" s="9">
        <v>813.97</v>
      </c>
      <c r="V455" s="9">
        <v>1568.83</v>
      </c>
      <c r="W455" s="9">
        <v>1568.83</v>
      </c>
      <c r="X455" s="9">
        <v>835.88350000000003</v>
      </c>
      <c r="Y455" s="9">
        <v>1619.4230000000002</v>
      </c>
      <c r="Z455" s="9" t="s">
        <v>2092</v>
      </c>
      <c r="AA455" t="s">
        <v>2065</v>
      </c>
      <c r="AB455" s="11">
        <v>1.7000000000000001E-2</v>
      </c>
      <c r="AC455" t="s">
        <v>2065</v>
      </c>
      <c r="AD455" s="13">
        <v>15</v>
      </c>
      <c r="AE455" s="9">
        <v>23132.398349999996</v>
      </c>
      <c r="AF455" s="9">
        <v>12209.550000000001</v>
      </c>
      <c r="AG455" s="9">
        <v>10922.848349999995</v>
      </c>
      <c r="AH455" s="11">
        <v>0.4721883215364911</v>
      </c>
      <c r="AI455" s="9">
        <f>SUMIFS(AD455:AD1086, R455:R1086, S455)</f>
        <v>0</v>
      </c>
      <c r="AJ455" s="11" t="e">
        <f>SUMIFS(AD455:AD1086, R455:R1086, S455, AD455:AD1086, "&gt;" &amp; AE455) / AI455</f>
        <v>#DIV/0!</v>
      </c>
      <c r="AK455" s="7" t="e">
        <f>IF(AJ455&lt;=0.8,"A",IF(Table2[[#This Row],[Cumulative rev]]&lt;=0.95,"B","C"))</f>
        <v>#DIV/0!</v>
      </c>
    </row>
    <row r="456" spans="1:37" x14ac:dyDescent="0.3">
      <c r="A456" t="s">
        <v>469</v>
      </c>
      <c r="B456" s="4">
        <v>45653</v>
      </c>
      <c r="C456" s="4" t="s">
        <v>2091</v>
      </c>
      <c r="D456" s="4" t="s">
        <v>2083</v>
      </c>
      <c r="E456" s="4">
        <v>45655</v>
      </c>
      <c r="F456" t="s">
        <v>2064</v>
      </c>
      <c r="G456" s="4">
        <v>45655</v>
      </c>
      <c r="H456" s="4">
        <f>_xlfn.MINIFS(B456:B1087, N456:N1087, N456)</f>
        <v>45029</v>
      </c>
      <c r="I456" s="4" t="str">
        <f t="shared" si="14"/>
        <v>Apr-2023</v>
      </c>
      <c r="J456" s="13">
        <f t="shared" si="15"/>
        <v>21</v>
      </c>
      <c r="K456" s="13">
        <v>2</v>
      </c>
      <c r="L456" s="30" t="str">
        <f>IF(Table2[[#This Row],[LeadTimeDays]]&lt;7,"1","0")</f>
        <v>1</v>
      </c>
      <c r="M456" s="7" t="s">
        <v>648</v>
      </c>
      <c r="N456" s="7" t="s">
        <v>653</v>
      </c>
      <c r="O456" s="7" t="s">
        <v>688</v>
      </c>
      <c r="P456" s="7" t="s">
        <v>706</v>
      </c>
      <c r="Q456" s="7" t="s">
        <v>709</v>
      </c>
      <c r="R456" s="7" t="s">
        <v>712</v>
      </c>
      <c r="S456" s="7" t="s">
        <v>733</v>
      </c>
      <c r="T456" s="7" t="s">
        <v>1881</v>
      </c>
      <c r="U456" s="9">
        <v>1146.72</v>
      </c>
      <c r="V456" s="9">
        <v>2074.34</v>
      </c>
      <c r="W456" s="9">
        <v>2074.34</v>
      </c>
      <c r="X456" s="9">
        <v>834.11800000000005</v>
      </c>
      <c r="Y456" s="9">
        <v>1624.7900000000002</v>
      </c>
      <c r="Z456" s="9" t="s">
        <v>2095</v>
      </c>
      <c r="AA456" t="s">
        <v>2065</v>
      </c>
      <c r="AB456" s="11">
        <v>0.111</v>
      </c>
      <c r="AC456" t="s">
        <v>2065</v>
      </c>
      <c r="AD456" s="13">
        <v>8</v>
      </c>
      <c r="AE456" s="9">
        <v>14752.706080000002</v>
      </c>
      <c r="AF456" s="9">
        <v>9173.76</v>
      </c>
      <c r="AG456" s="9">
        <v>5578.9460800000015</v>
      </c>
      <c r="AH456" s="11">
        <v>0.37816425337472737</v>
      </c>
      <c r="AI456" s="9">
        <f>SUMIFS(AD456:AD1087, R456:R1087, S456)</f>
        <v>0</v>
      </c>
      <c r="AJ456" s="11" t="e">
        <f>SUMIFS(AD456:AD1087, R456:R1087, S456, AD456:AD1087, "&gt;" &amp; AE456) / AI456</f>
        <v>#DIV/0!</v>
      </c>
      <c r="AK456" s="7" t="e">
        <f>IF(AJ456&lt;=0.8,"A",IF(Table2[[#This Row],[Cumulative rev]]&lt;=0.95,"B","C"))</f>
        <v>#DIV/0!</v>
      </c>
    </row>
    <row r="457" spans="1:37" x14ac:dyDescent="0.3">
      <c r="A457" t="s">
        <v>470</v>
      </c>
      <c r="B457" s="4">
        <v>45265</v>
      </c>
      <c r="C457" s="4" t="s">
        <v>2088</v>
      </c>
      <c r="D457" s="4" t="s">
        <v>2089</v>
      </c>
      <c r="E457" s="4">
        <v>45272</v>
      </c>
      <c r="F457" t="s">
        <v>2064</v>
      </c>
      <c r="G457" s="4">
        <v>45272</v>
      </c>
      <c r="H457" s="4">
        <f>_xlfn.MINIFS(B457:B1088, N457:N1088, N457)</f>
        <v>44955</v>
      </c>
      <c r="I457" s="4" t="str">
        <f t="shared" si="14"/>
        <v>Jan-2023</v>
      </c>
      <c r="J457" s="13">
        <f t="shared" si="15"/>
        <v>11</v>
      </c>
      <c r="K457" s="13">
        <v>7</v>
      </c>
      <c r="L457" s="30" t="str">
        <f>IF(Table2[[#This Row],[LeadTimeDays]]&lt;7,"1","0")</f>
        <v>0</v>
      </c>
      <c r="M457" s="7" t="s">
        <v>648</v>
      </c>
      <c r="N457" s="7" t="s">
        <v>655</v>
      </c>
      <c r="O457" s="7" t="s">
        <v>672</v>
      </c>
      <c r="P457" s="7" t="s">
        <v>701</v>
      </c>
      <c r="Q457" s="7" t="s">
        <v>711</v>
      </c>
      <c r="R457" s="7" t="s">
        <v>721</v>
      </c>
      <c r="S457" s="7" t="s">
        <v>730</v>
      </c>
      <c r="T457" s="7" t="s">
        <v>1882</v>
      </c>
      <c r="U457" s="9">
        <v>307.43</v>
      </c>
      <c r="V457" s="9">
        <v>495.19</v>
      </c>
      <c r="W457" s="9">
        <v>495.19</v>
      </c>
      <c r="X457" s="9">
        <v>831.88499999999999</v>
      </c>
      <c r="Y457" s="9">
        <v>1610.095</v>
      </c>
      <c r="Z457" s="9" t="s">
        <v>2081</v>
      </c>
      <c r="AA457" t="s">
        <v>2065</v>
      </c>
      <c r="AB457" s="11">
        <v>0</v>
      </c>
      <c r="AC457" t="s">
        <v>2065</v>
      </c>
      <c r="AD457" s="13">
        <v>42</v>
      </c>
      <c r="AE457" s="9">
        <v>20797.98</v>
      </c>
      <c r="AF457" s="9">
        <v>12912.06</v>
      </c>
      <c r="AG457" s="9">
        <v>7885.92</v>
      </c>
      <c r="AH457" s="11">
        <v>0.37916759223732305</v>
      </c>
      <c r="AI457" s="9">
        <f>SUMIFS(AD457:AD1088, R457:R1088, S457)</f>
        <v>0</v>
      </c>
      <c r="AJ457" s="11" t="e">
        <f>SUMIFS(AD457:AD1088, R457:R1088, S457, AD457:AD1088, "&gt;" &amp; AE457) / AI457</f>
        <v>#DIV/0!</v>
      </c>
      <c r="AK457" s="7" t="e">
        <f>IF(AJ457&lt;=0.8,"A",IF(Table2[[#This Row],[Cumulative rev]]&lt;=0.95,"B","C"))</f>
        <v>#DIV/0!</v>
      </c>
    </row>
    <row r="458" spans="1:37" x14ac:dyDescent="0.3">
      <c r="A458" t="s">
        <v>471</v>
      </c>
      <c r="B458" s="4">
        <v>45048</v>
      </c>
      <c r="C458" s="4" t="s">
        <v>2107</v>
      </c>
      <c r="D458" s="4" t="s">
        <v>2103</v>
      </c>
      <c r="E458" s="4">
        <v>45065</v>
      </c>
      <c r="F458" t="s">
        <v>2064</v>
      </c>
      <c r="G458" s="4">
        <v>45065</v>
      </c>
      <c r="H458" s="4">
        <f>_xlfn.MINIFS(B458:B1089, N458:N1089, N458)</f>
        <v>44938</v>
      </c>
      <c r="I458" s="4" t="str">
        <f t="shared" si="14"/>
        <v>Jan-2023</v>
      </c>
      <c r="J458" s="13">
        <f t="shared" si="15"/>
        <v>4</v>
      </c>
      <c r="K458" s="13">
        <v>17</v>
      </c>
      <c r="L458" s="30" t="str">
        <f>IF(Table2[[#This Row],[LeadTimeDays]]&lt;7,"1","0")</f>
        <v>0</v>
      </c>
      <c r="M458" s="7" t="s">
        <v>647</v>
      </c>
      <c r="N458" s="7" t="s">
        <v>659</v>
      </c>
      <c r="O458" s="7" t="s">
        <v>685</v>
      </c>
      <c r="P458" s="7" t="s">
        <v>703</v>
      </c>
      <c r="Q458" s="7" t="s">
        <v>711</v>
      </c>
      <c r="R458" s="7" t="s">
        <v>713</v>
      </c>
      <c r="S458" s="7" t="s">
        <v>732</v>
      </c>
      <c r="T458" s="7" t="s">
        <v>1883</v>
      </c>
      <c r="U458" s="9">
        <v>714.28</v>
      </c>
      <c r="V458" s="9">
        <v>757.59</v>
      </c>
      <c r="W458" s="9">
        <v>757.59</v>
      </c>
      <c r="X458" s="9">
        <v>835.93700000000001</v>
      </c>
      <c r="Y458" s="9">
        <v>1620.0060000000001</v>
      </c>
      <c r="Z458" s="9" t="s">
        <v>2081</v>
      </c>
      <c r="AA458" t="s">
        <v>2065</v>
      </c>
      <c r="AB458" s="11">
        <v>0.13600000000000001</v>
      </c>
      <c r="AC458" t="s">
        <v>2065</v>
      </c>
      <c r="AD458" s="13">
        <v>12</v>
      </c>
      <c r="AE458" s="9">
        <v>7854.6931199999999</v>
      </c>
      <c r="AF458" s="9">
        <v>8571.36</v>
      </c>
      <c r="AG458" s="9">
        <v>-716.66688000000067</v>
      </c>
      <c r="AH458" s="11">
        <v>-9.1240595787910383E-2</v>
      </c>
      <c r="AI458" s="9">
        <f>SUMIFS(AD458:AD1089, R458:R1089, S458)</f>
        <v>0</v>
      </c>
      <c r="AJ458" s="11" t="e">
        <f>SUMIFS(AD458:AD1089, R458:R1089, S458, AD458:AD1089, "&gt;" &amp; AE458) / AI458</f>
        <v>#DIV/0!</v>
      </c>
      <c r="AK458" s="7" t="e">
        <f>IF(AJ458&lt;=0.8,"A",IF(Table2[[#This Row],[Cumulative rev]]&lt;=0.95,"B","C"))</f>
        <v>#DIV/0!</v>
      </c>
    </row>
    <row r="459" spans="1:37" x14ac:dyDescent="0.3">
      <c r="A459" t="s">
        <v>472</v>
      </c>
      <c r="B459" s="4">
        <v>45260</v>
      </c>
      <c r="C459" s="4" t="s">
        <v>2123</v>
      </c>
      <c r="D459" s="4" t="s">
        <v>2089</v>
      </c>
      <c r="E459" s="4">
        <v>45270</v>
      </c>
      <c r="F459" t="s">
        <v>2064</v>
      </c>
      <c r="G459" s="4">
        <v>45270</v>
      </c>
      <c r="H459" s="4">
        <f>_xlfn.MINIFS(B459:B1090, N459:N1090, N459)</f>
        <v>44952</v>
      </c>
      <c r="I459" s="4" t="str">
        <f t="shared" si="14"/>
        <v>Jan-2023</v>
      </c>
      <c r="J459" s="13">
        <f t="shared" si="15"/>
        <v>11</v>
      </c>
      <c r="K459" s="13">
        <v>10</v>
      </c>
      <c r="L459" s="30" t="str">
        <f>IF(Table2[[#This Row],[LeadTimeDays]]&lt;7,"1","0")</f>
        <v>0</v>
      </c>
      <c r="M459" s="7" t="s">
        <v>649</v>
      </c>
      <c r="N459" s="7" t="s">
        <v>656</v>
      </c>
      <c r="O459" s="7" t="s">
        <v>684</v>
      </c>
      <c r="P459" s="7" t="s">
        <v>705</v>
      </c>
      <c r="Q459" s="7" t="s">
        <v>711</v>
      </c>
      <c r="R459" s="7" t="s">
        <v>721</v>
      </c>
      <c r="S459" s="7" t="s">
        <v>731</v>
      </c>
      <c r="T459" s="7" t="s">
        <v>1884</v>
      </c>
      <c r="U459" s="9">
        <v>174.74</v>
      </c>
      <c r="V459" s="9">
        <v>415.96</v>
      </c>
      <c r="W459" s="9">
        <v>415.96</v>
      </c>
      <c r="X459" s="9">
        <v>841.0308</v>
      </c>
      <c r="Y459" s="9">
        <v>1624.8050000000001</v>
      </c>
      <c r="Z459" s="9" t="s">
        <v>2081</v>
      </c>
      <c r="AA459" t="s">
        <v>2065</v>
      </c>
      <c r="AB459" s="11">
        <v>0.125</v>
      </c>
      <c r="AC459" t="s">
        <v>2065</v>
      </c>
      <c r="AD459" s="13">
        <v>21</v>
      </c>
      <c r="AE459" s="9">
        <v>7643.2649999999994</v>
      </c>
      <c r="AF459" s="9">
        <v>3669.54</v>
      </c>
      <c r="AG459" s="9">
        <v>3973.7249999999995</v>
      </c>
      <c r="AH459" s="11">
        <v>0.51989889137691803</v>
      </c>
      <c r="AI459" s="9">
        <f>SUMIFS(AD459:AD1090, R459:R1090, S459)</f>
        <v>0</v>
      </c>
      <c r="AJ459" s="11" t="e">
        <f>SUMIFS(AD459:AD1090, R459:R1090, S459, AD459:AD1090, "&gt;" &amp; AE459) / AI459</f>
        <v>#DIV/0!</v>
      </c>
      <c r="AK459" s="7" t="e">
        <f>IF(AJ459&lt;=0.8,"A",IF(Table2[[#This Row],[Cumulative rev]]&lt;=0.95,"B","C"))</f>
        <v>#DIV/0!</v>
      </c>
    </row>
    <row r="460" spans="1:37" x14ac:dyDescent="0.3">
      <c r="A460" t="s">
        <v>473</v>
      </c>
      <c r="B460" s="4">
        <v>45417</v>
      </c>
      <c r="C460" s="4" t="s">
        <v>2093</v>
      </c>
      <c r="D460" s="4" t="s">
        <v>2094</v>
      </c>
      <c r="E460" s="4">
        <v>45430</v>
      </c>
      <c r="F460" t="s">
        <v>2064</v>
      </c>
      <c r="G460" s="4">
        <v>45430</v>
      </c>
      <c r="H460" s="4">
        <f>_xlfn.MINIFS(B460:B1091, N460:N1091, N460)</f>
        <v>45019</v>
      </c>
      <c r="I460" s="4" t="str">
        <f t="shared" si="14"/>
        <v>Apr-2023</v>
      </c>
      <c r="J460" s="13">
        <f t="shared" si="15"/>
        <v>14</v>
      </c>
      <c r="K460" s="13">
        <v>13</v>
      </c>
      <c r="L460" s="30" t="str">
        <f>IF(Table2[[#This Row],[LeadTimeDays]]&lt;7,"1","0")</f>
        <v>0</v>
      </c>
      <c r="M460" s="7" t="s">
        <v>649</v>
      </c>
      <c r="N460" s="7" t="s">
        <v>657</v>
      </c>
      <c r="O460" s="7" t="s">
        <v>673</v>
      </c>
      <c r="P460" s="7" t="s">
        <v>701</v>
      </c>
      <c r="Q460" s="7" t="s">
        <v>709</v>
      </c>
      <c r="R460" s="7" t="s">
        <v>720</v>
      </c>
      <c r="S460" s="7" t="s">
        <v>727</v>
      </c>
      <c r="T460" s="7" t="s">
        <v>1885</v>
      </c>
      <c r="U460" s="9">
        <v>1264.04</v>
      </c>
      <c r="V460" s="9">
        <v>1870.89</v>
      </c>
      <c r="W460" s="9">
        <v>1870.89</v>
      </c>
      <c r="X460" s="9">
        <v>855.85120000000006</v>
      </c>
      <c r="Y460" s="9">
        <v>1625.0600000000002</v>
      </c>
      <c r="Z460" s="9" t="s">
        <v>2095</v>
      </c>
      <c r="AA460" t="s">
        <v>2065</v>
      </c>
      <c r="AB460" s="11">
        <v>0</v>
      </c>
      <c r="AC460" t="s">
        <v>2065</v>
      </c>
      <c r="AD460" s="13">
        <v>13</v>
      </c>
      <c r="AE460" s="9">
        <v>24321.57</v>
      </c>
      <c r="AF460" s="9">
        <v>16432.52</v>
      </c>
      <c r="AG460" s="9">
        <v>7889.0499999999993</v>
      </c>
      <c r="AH460" s="11">
        <v>0.32436433996653996</v>
      </c>
      <c r="AI460" s="9">
        <f>SUMIFS(AD460:AD1091, R460:R1091, S460)</f>
        <v>0</v>
      </c>
      <c r="AJ460" s="11" t="e">
        <f>SUMIFS(AD460:AD1091, R460:R1091, S460, AD460:AD1091, "&gt;" &amp; AE460) / AI460</f>
        <v>#DIV/0!</v>
      </c>
      <c r="AK460" s="7" t="e">
        <f>IF(AJ460&lt;=0.8,"A",IF(Table2[[#This Row],[Cumulative rev]]&lt;=0.95,"B","C"))</f>
        <v>#DIV/0!</v>
      </c>
    </row>
    <row r="461" spans="1:37" x14ac:dyDescent="0.3">
      <c r="A461" t="s">
        <v>474</v>
      </c>
      <c r="B461" s="4">
        <v>45116</v>
      </c>
      <c r="C461" s="4" t="s">
        <v>2116</v>
      </c>
      <c r="D461" s="4" t="s">
        <v>2117</v>
      </c>
      <c r="E461" s="4">
        <v>45126</v>
      </c>
      <c r="F461" t="s">
        <v>2064</v>
      </c>
      <c r="G461" s="4">
        <v>45126</v>
      </c>
      <c r="H461" s="4">
        <f>_xlfn.MINIFS(B461:B1092, N461:N1092, N461)</f>
        <v>44988</v>
      </c>
      <c r="I461" s="4" t="str">
        <f t="shared" si="14"/>
        <v>Mar-2023</v>
      </c>
      <c r="J461" s="13">
        <f t="shared" si="15"/>
        <v>5</v>
      </c>
      <c r="K461" s="13">
        <v>10</v>
      </c>
      <c r="L461" s="30" t="str">
        <f>IF(Table2[[#This Row],[LeadTimeDays]]&lt;7,"1","0")</f>
        <v>0</v>
      </c>
      <c r="M461" s="7" t="s">
        <v>647</v>
      </c>
      <c r="N461" s="7" t="s">
        <v>652</v>
      </c>
      <c r="O461" s="7" t="s">
        <v>689</v>
      </c>
      <c r="P461" s="7" t="s">
        <v>706</v>
      </c>
      <c r="Q461" s="7" t="s">
        <v>710</v>
      </c>
      <c r="R461" s="7" t="s">
        <v>725</v>
      </c>
      <c r="S461" s="7" t="s">
        <v>727</v>
      </c>
      <c r="T461" s="7" t="s">
        <v>1886</v>
      </c>
      <c r="U461" s="9">
        <v>141.26</v>
      </c>
      <c r="V461" s="9">
        <v>206.88</v>
      </c>
      <c r="W461" s="9">
        <v>206.88</v>
      </c>
      <c r="X461" s="9">
        <v>848.55160000000001</v>
      </c>
      <c r="Y461" s="9">
        <v>1620.5889999999999</v>
      </c>
      <c r="Z461" s="9" t="s">
        <v>2081</v>
      </c>
      <c r="AA461" t="s">
        <v>2065</v>
      </c>
      <c r="AB461" s="11">
        <v>0.107</v>
      </c>
      <c r="AC461" t="s">
        <v>2065</v>
      </c>
      <c r="AD461" s="13">
        <v>9</v>
      </c>
      <c r="AE461" s="9">
        <v>1662.6945600000001</v>
      </c>
      <c r="AF461" s="9">
        <v>1271.3399999999999</v>
      </c>
      <c r="AG461" s="9">
        <v>391.35456000000022</v>
      </c>
      <c r="AH461" s="11">
        <v>0.23537369365062469</v>
      </c>
      <c r="AI461" s="9">
        <f>SUMIFS(AD461:AD1092, R461:R1092, S461)</f>
        <v>0</v>
      </c>
      <c r="AJ461" s="11" t="e">
        <f>SUMIFS(AD461:AD1092, R461:R1092, S461, AD461:AD1092, "&gt;" &amp; AE461) / AI461</f>
        <v>#DIV/0!</v>
      </c>
      <c r="AK461" s="7" t="e">
        <f>IF(AJ461&lt;=0.8,"A",IF(Table2[[#This Row],[Cumulative rev]]&lt;=0.95,"B","C"))</f>
        <v>#DIV/0!</v>
      </c>
    </row>
    <row r="462" spans="1:37" x14ac:dyDescent="0.3">
      <c r="A462" t="s">
        <v>475</v>
      </c>
      <c r="B462" s="4">
        <v>45063</v>
      </c>
      <c r="C462" s="4" t="s">
        <v>2107</v>
      </c>
      <c r="D462" s="4" t="s">
        <v>2103</v>
      </c>
      <c r="E462" s="4">
        <v>45092</v>
      </c>
      <c r="F462" t="s">
        <v>2064</v>
      </c>
      <c r="G462" s="4">
        <v>45092</v>
      </c>
      <c r="H462" s="4">
        <f>_xlfn.MINIFS(B462:B1093, N462:N1093, N462)</f>
        <v>44933</v>
      </c>
      <c r="I462" s="4" t="str">
        <f t="shared" si="14"/>
        <v>Jan-2023</v>
      </c>
      <c r="J462" s="13">
        <f t="shared" si="15"/>
        <v>5</v>
      </c>
      <c r="K462" s="13">
        <v>29</v>
      </c>
      <c r="L462" s="30" t="str">
        <f>IF(Table2[[#This Row],[LeadTimeDays]]&lt;7,"1","0")</f>
        <v>0</v>
      </c>
      <c r="M462" s="7" t="s">
        <v>646</v>
      </c>
      <c r="N462" s="7" t="s">
        <v>661</v>
      </c>
      <c r="O462" s="7" t="s">
        <v>687</v>
      </c>
      <c r="P462" s="7" t="s">
        <v>706</v>
      </c>
      <c r="Q462" s="7" t="s">
        <v>707</v>
      </c>
      <c r="R462" s="7" t="s">
        <v>723</v>
      </c>
      <c r="S462" s="7" t="s">
        <v>733</v>
      </c>
      <c r="T462" s="7" t="s">
        <v>1887</v>
      </c>
      <c r="U462" s="9">
        <v>40.89</v>
      </c>
      <c r="V462" s="9">
        <v>62.82</v>
      </c>
      <c r="W462" s="9">
        <v>62.82</v>
      </c>
      <c r="X462" s="9">
        <v>861.90599999999995</v>
      </c>
      <c r="Y462" s="9">
        <v>1624.8200000000002</v>
      </c>
      <c r="Z462" s="9" t="s">
        <v>2081</v>
      </c>
      <c r="AA462" t="s">
        <v>2065</v>
      </c>
      <c r="AB462" s="11">
        <v>0.129</v>
      </c>
      <c r="AC462" t="s">
        <v>2065</v>
      </c>
      <c r="AD462" s="13">
        <v>17</v>
      </c>
      <c r="AE462" s="9">
        <v>930.17574000000002</v>
      </c>
      <c r="AF462" s="9">
        <v>695.13</v>
      </c>
      <c r="AG462" s="9">
        <v>235.04574000000002</v>
      </c>
      <c r="AH462" s="11">
        <v>0.25268960465470752</v>
      </c>
      <c r="AI462" s="9">
        <f>SUMIFS(AD462:AD1093, R462:R1093, S462)</f>
        <v>0</v>
      </c>
      <c r="AJ462" s="11" t="e">
        <f>SUMIFS(AD462:AD1093, R462:R1093, S462, AD462:AD1093, "&gt;" &amp; AE462) / AI462</f>
        <v>#DIV/0!</v>
      </c>
      <c r="AK462" s="7" t="e">
        <f>IF(AJ462&lt;=0.8,"A",IF(Table2[[#This Row],[Cumulative rev]]&lt;=0.95,"B","C"))</f>
        <v>#DIV/0!</v>
      </c>
    </row>
    <row r="463" spans="1:37" x14ac:dyDescent="0.3">
      <c r="A463" t="s">
        <v>476</v>
      </c>
      <c r="B463" s="4">
        <v>45358</v>
      </c>
      <c r="C463" s="4" t="s">
        <v>2079</v>
      </c>
      <c r="D463" s="4" t="s">
        <v>2080</v>
      </c>
      <c r="E463" s="4">
        <v>45385</v>
      </c>
      <c r="F463" t="s">
        <v>2064</v>
      </c>
      <c r="G463" s="4">
        <v>45385</v>
      </c>
      <c r="H463" s="4">
        <f>_xlfn.MINIFS(B463:B1094, N463:N1094, N463)</f>
        <v>44952</v>
      </c>
      <c r="I463" s="4" t="str">
        <f t="shared" si="14"/>
        <v>Jan-2023</v>
      </c>
      <c r="J463" s="13">
        <f t="shared" si="15"/>
        <v>14</v>
      </c>
      <c r="K463" s="13">
        <v>27</v>
      </c>
      <c r="L463" s="30" t="str">
        <f>IF(Table2[[#This Row],[LeadTimeDays]]&lt;7,"1","0")</f>
        <v>0</v>
      </c>
      <c r="M463" s="7" t="s">
        <v>649</v>
      </c>
      <c r="N463" s="7" t="s">
        <v>656</v>
      </c>
      <c r="O463" s="7" t="s">
        <v>698</v>
      </c>
      <c r="P463" s="7" t="s">
        <v>701</v>
      </c>
      <c r="Q463" s="7" t="s">
        <v>711</v>
      </c>
      <c r="R463" s="7" t="s">
        <v>724</v>
      </c>
      <c r="S463" s="7" t="s">
        <v>728</v>
      </c>
      <c r="T463" s="7" t="s">
        <v>1888</v>
      </c>
      <c r="U463" s="9">
        <v>738.16</v>
      </c>
      <c r="V463" s="9">
        <v>956.49</v>
      </c>
      <c r="W463" s="9">
        <v>956.49</v>
      </c>
      <c r="X463" s="9">
        <v>866.90420000000006</v>
      </c>
      <c r="Y463" s="9">
        <v>1625.075</v>
      </c>
      <c r="Z463" s="9" t="s">
        <v>2092</v>
      </c>
      <c r="AA463" t="s">
        <v>2065</v>
      </c>
      <c r="AB463" s="11">
        <v>0.152</v>
      </c>
      <c r="AC463" t="s">
        <v>2065</v>
      </c>
      <c r="AD463" s="13">
        <v>5</v>
      </c>
      <c r="AE463" s="9">
        <v>4055.5175999999997</v>
      </c>
      <c r="AF463" s="9">
        <v>3690.7999999999997</v>
      </c>
      <c r="AG463" s="9">
        <v>364.71759999999995</v>
      </c>
      <c r="AH463" s="11">
        <v>8.9931208780847108E-2</v>
      </c>
      <c r="AI463" s="9">
        <f>SUMIFS(AD463:AD1094, R463:R1094, S463)</f>
        <v>0</v>
      </c>
      <c r="AJ463" s="11" t="e">
        <f>SUMIFS(AD463:AD1094, R463:R1094, S463, AD463:AD1094, "&gt;" &amp; AE463) / AI463</f>
        <v>#DIV/0!</v>
      </c>
      <c r="AK463" s="7" t="e">
        <f>IF(AJ463&lt;=0.8,"A",IF(Table2[[#This Row],[Cumulative rev]]&lt;=0.95,"B","C"))</f>
        <v>#DIV/0!</v>
      </c>
    </row>
    <row r="464" spans="1:37" x14ac:dyDescent="0.3">
      <c r="A464" t="s">
        <v>477</v>
      </c>
      <c r="B464" s="4">
        <v>45757</v>
      </c>
      <c r="C464" s="4" t="s">
        <v>2111</v>
      </c>
      <c r="D464" s="4" t="s">
        <v>2097</v>
      </c>
      <c r="E464" s="4">
        <v>45766</v>
      </c>
      <c r="F464" t="s">
        <v>2064</v>
      </c>
      <c r="G464" s="4">
        <v>45766</v>
      </c>
      <c r="H464" s="4">
        <f>_xlfn.MINIFS(B464:B1095, N464:N1095, N464)</f>
        <v>44933</v>
      </c>
      <c r="I464" s="4" t="str">
        <f t="shared" si="14"/>
        <v>Jan-2023</v>
      </c>
      <c r="J464" s="13">
        <f t="shared" si="15"/>
        <v>28</v>
      </c>
      <c r="K464" s="13">
        <v>9</v>
      </c>
      <c r="L464" s="30" t="str">
        <f>IF(Table2[[#This Row],[LeadTimeDays]]&lt;7,"1","0")</f>
        <v>0</v>
      </c>
      <c r="M464" s="7" t="s">
        <v>646</v>
      </c>
      <c r="N464" s="7" t="s">
        <v>661</v>
      </c>
      <c r="O464" s="7" t="s">
        <v>687</v>
      </c>
      <c r="P464" s="7" t="s">
        <v>706</v>
      </c>
      <c r="Q464" s="7" t="s">
        <v>2057</v>
      </c>
      <c r="R464" s="7" t="s">
        <v>715</v>
      </c>
      <c r="S464" s="7" t="s">
        <v>729</v>
      </c>
      <c r="T464" s="7" t="s">
        <v>1889</v>
      </c>
      <c r="U464" s="9">
        <v>113.74</v>
      </c>
      <c r="V464" s="9">
        <v>165.7</v>
      </c>
      <c r="W464" s="9">
        <v>165.7</v>
      </c>
      <c r="X464" s="9">
        <v>864.44240000000002</v>
      </c>
      <c r="Y464" s="9">
        <v>1625.3300000000002</v>
      </c>
      <c r="Z464" s="9" t="s">
        <v>2081</v>
      </c>
      <c r="AA464" t="s">
        <v>2065</v>
      </c>
      <c r="AB464" s="11">
        <v>0.124</v>
      </c>
      <c r="AC464" t="s">
        <v>2065</v>
      </c>
      <c r="AD464" s="13">
        <v>13</v>
      </c>
      <c r="AE464" s="9">
        <v>1886.9915999999998</v>
      </c>
      <c r="AF464" s="9">
        <v>1478.62</v>
      </c>
      <c r="AG464" s="9">
        <v>408.37159999999994</v>
      </c>
      <c r="AH464" s="11">
        <v>0.21641410592394794</v>
      </c>
      <c r="AI464" s="9">
        <f>SUMIFS(AD464:AD1095, R464:R1095, S464)</f>
        <v>0</v>
      </c>
      <c r="AJ464" s="11" t="e">
        <f>SUMIFS(AD464:AD1095, R464:R1095, S464, AD464:AD1095, "&gt;" &amp; AE464) / AI464</f>
        <v>#DIV/0!</v>
      </c>
      <c r="AK464" s="7" t="e">
        <f>IF(AJ464&lt;=0.8,"A",IF(Table2[[#This Row],[Cumulative rev]]&lt;=0.95,"B","C"))</f>
        <v>#DIV/0!</v>
      </c>
    </row>
    <row r="465" spans="1:37" x14ac:dyDescent="0.3">
      <c r="A465" t="s">
        <v>478</v>
      </c>
      <c r="B465" s="4">
        <v>45865</v>
      </c>
      <c r="C465" s="4" t="s">
        <v>2104</v>
      </c>
      <c r="D465" s="4" t="s">
        <v>2101</v>
      </c>
      <c r="E465" s="4">
        <v>45884</v>
      </c>
      <c r="F465" t="s">
        <v>2064</v>
      </c>
      <c r="G465" s="4">
        <v>45884</v>
      </c>
      <c r="H465" s="4">
        <f>_xlfn.MINIFS(B465:B1096, N465:N1096, N465)</f>
        <v>44988</v>
      </c>
      <c r="I465" s="4" t="str">
        <f t="shared" si="14"/>
        <v>Mar-2023</v>
      </c>
      <c r="J465" s="13">
        <f t="shared" si="15"/>
        <v>29</v>
      </c>
      <c r="K465" s="13">
        <v>19</v>
      </c>
      <c r="L465" s="30" t="str">
        <f>IF(Table2[[#This Row],[LeadTimeDays]]&lt;7,"1","0")</f>
        <v>0</v>
      </c>
      <c r="M465" s="7" t="s">
        <v>647</v>
      </c>
      <c r="N465" s="7" t="s">
        <v>652</v>
      </c>
      <c r="O465" s="7" t="s">
        <v>689</v>
      </c>
      <c r="P465" s="7" t="s">
        <v>705</v>
      </c>
      <c r="Q465" s="7" t="s">
        <v>709</v>
      </c>
      <c r="R465" s="7" t="s">
        <v>713</v>
      </c>
      <c r="S465" s="7" t="s">
        <v>727</v>
      </c>
      <c r="T465" s="7" t="s">
        <v>1890</v>
      </c>
      <c r="U465" s="9">
        <v>275.43</v>
      </c>
      <c r="V465" s="9">
        <v>608.36</v>
      </c>
      <c r="W465" s="9">
        <v>608.36</v>
      </c>
      <c r="X465" s="9">
        <v>871.16210000000001</v>
      </c>
      <c r="Y465" s="9">
        <v>1626.5134</v>
      </c>
      <c r="Z465" s="9" t="s">
        <v>2081</v>
      </c>
      <c r="AA465" t="s">
        <v>2065</v>
      </c>
      <c r="AB465" s="11">
        <v>0.25700000000000001</v>
      </c>
      <c r="AC465" t="s">
        <v>2065</v>
      </c>
      <c r="AD465" s="13">
        <v>4</v>
      </c>
      <c r="AE465" s="9">
        <v>1808.04592</v>
      </c>
      <c r="AF465" s="9">
        <v>1101.72</v>
      </c>
      <c r="AG465" s="9">
        <v>706.32592</v>
      </c>
      <c r="AH465" s="11">
        <v>0.39065706915231446</v>
      </c>
      <c r="AI465" s="9">
        <f>SUMIFS(AD465:AD1096, R465:R1096, S465)</f>
        <v>0</v>
      </c>
      <c r="AJ465" s="11" t="e">
        <f>SUMIFS(AD465:AD1096, R465:R1096, S465, AD465:AD1096, "&gt;" &amp; AE465) / AI465</f>
        <v>#DIV/0!</v>
      </c>
      <c r="AK465" s="7" t="e">
        <f>IF(AJ465&lt;=0.8,"A",IF(Table2[[#This Row],[Cumulative rev]]&lt;=0.95,"B","C"))</f>
        <v>#DIV/0!</v>
      </c>
    </row>
    <row r="466" spans="1:37" x14ac:dyDescent="0.3">
      <c r="A466" t="s">
        <v>479</v>
      </c>
      <c r="B466" s="4">
        <v>45618</v>
      </c>
      <c r="C466" s="4" t="s">
        <v>2110</v>
      </c>
      <c r="D466" s="4" t="s">
        <v>2083</v>
      </c>
      <c r="E466" s="4">
        <v>45641</v>
      </c>
      <c r="F466" t="s">
        <v>2064</v>
      </c>
      <c r="G466" s="4">
        <v>45641</v>
      </c>
      <c r="H466" s="4">
        <f>_xlfn.MINIFS(B466:B1097, N466:N1097, N466)</f>
        <v>45060</v>
      </c>
      <c r="I466" s="4" t="str">
        <f t="shared" si="14"/>
        <v>May-2023</v>
      </c>
      <c r="J466" s="13">
        <f t="shared" si="15"/>
        <v>19</v>
      </c>
      <c r="K466" s="13">
        <v>23</v>
      </c>
      <c r="L466" s="30" t="str">
        <f>IF(Table2[[#This Row],[LeadTimeDays]]&lt;7,"1","0")</f>
        <v>0</v>
      </c>
      <c r="M466" s="7" t="s">
        <v>646</v>
      </c>
      <c r="N466" s="7" t="s">
        <v>650</v>
      </c>
      <c r="O466" s="7" t="s">
        <v>675</v>
      </c>
      <c r="P466" s="7" t="s">
        <v>703</v>
      </c>
      <c r="Q466" s="7" t="s">
        <v>710</v>
      </c>
      <c r="R466" s="7" t="s">
        <v>712</v>
      </c>
      <c r="S466" s="7" t="s">
        <v>727</v>
      </c>
      <c r="T466" s="7" t="s">
        <v>1891</v>
      </c>
      <c r="U466" s="9">
        <v>1335.76</v>
      </c>
      <c r="V466" s="9">
        <v>2665.91</v>
      </c>
      <c r="W466" s="9">
        <v>2665.91</v>
      </c>
      <c r="X466" s="9">
        <v>886.64580000000001</v>
      </c>
      <c r="Y466" s="9">
        <v>1628.2032000000002</v>
      </c>
      <c r="Z466" s="9" t="s">
        <v>2095</v>
      </c>
      <c r="AA466" t="s">
        <v>2065</v>
      </c>
      <c r="AB466" s="11">
        <v>0.21099999999999999</v>
      </c>
      <c r="AC466" t="s">
        <v>2065</v>
      </c>
      <c r="AD466" s="13">
        <v>40</v>
      </c>
      <c r="AE466" s="9">
        <v>84136.119600000005</v>
      </c>
      <c r="AF466" s="9">
        <v>53430.400000000001</v>
      </c>
      <c r="AG466" s="9">
        <v>30705.719600000004</v>
      </c>
      <c r="AH466" s="11">
        <v>0.36495288522909253</v>
      </c>
      <c r="AI466" s="9">
        <f>SUMIFS(AD466:AD1097, R466:R1097, S466)</f>
        <v>0</v>
      </c>
      <c r="AJ466" s="11" t="e">
        <f>SUMIFS(AD466:AD1097, R466:R1097, S466, AD466:AD1097, "&gt;" &amp; AE466) / AI466</f>
        <v>#DIV/0!</v>
      </c>
      <c r="AK466" s="7" t="e">
        <f>IF(AJ466&lt;=0.8,"A",IF(Table2[[#This Row],[Cumulative rev]]&lt;=0.95,"B","C"))</f>
        <v>#DIV/0!</v>
      </c>
    </row>
    <row r="467" spans="1:37" x14ac:dyDescent="0.3">
      <c r="A467" t="s">
        <v>480</v>
      </c>
      <c r="B467" s="4">
        <v>45466</v>
      </c>
      <c r="C467" s="4" t="s">
        <v>2109</v>
      </c>
      <c r="D467" s="4" t="s">
        <v>2094</v>
      </c>
      <c r="E467" s="4">
        <v>45471</v>
      </c>
      <c r="F467" t="s">
        <v>2064</v>
      </c>
      <c r="G467" s="4">
        <v>45471</v>
      </c>
      <c r="H467" s="4">
        <f>_xlfn.MINIFS(B467:B1098, N467:N1098, N467)</f>
        <v>44968</v>
      </c>
      <c r="I467" s="4" t="str">
        <f t="shared" si="14"/>
        <v>Feb-2023</v>
      </c>
      <c r="J467" s="13">
        <f t="shared" si="15"/>
        <v>17</v>
      </c>
      <c r="K467" s="13">
        <v>5</v>
      </c>
      <c r="L467" s="30" t="str">
        <f>IF(Table2[[#This Row],[LeadTimeDays]]&lt;7,"1","0")</f>
        <v>1</v>
      </c>
      <c r="M467" s="7" t="s">
        <v>646</v>
      </c>
      <c r="N467" s="7" t="s">
        <v>651</v>
      </c>
      <c r="O467" s="7" t="s">
        <v>663</v>
      </c>
      <c r="P467" s="7" t="s">
        <v>703</v>
      </c>
      <c r="Q467" s="7" t="s">
        <v>711</v>
      </c>
      <c r="R467" s="7" t="s">
        <v>724</v>
      </c>
      <c r="S467" s="7" t="s">
        <v>733</v>
      </c>
      <c r="T467" s="7" t="s">
        <v>1892</v>
      </c>
      <c r="U467" s="9">
        <v>242.31</v>
      </c>
      <c r="V467" s="9">
        <v>587.95000000000005</v>
      </c>
      <c r="W467" s="9">
        <v>587.95000000000005</v>
      </c>
      <c r="X467" s="9">
        <v>879.01950000000011</v>
      </c>
      <c r="Y467" s="9">
        <v>1625.345</v>
      </c>
      <c r="Z467" s="9" t="s">
        <v>2081</v>
      </c>
      <c r="AA467" t="s">
        <v>2065</v>
      </c>
      <c r="AB467" s="11">
        <v>0.22900000000000001</v>
      </c>
      <c r="AC467" t="s">
        <v>2065</v>
      </c>
      <c r="AD467" s="13">
        <v>6</v>
      </c>
      <c r="AE467" s="9">
        <v>2719.8567000000003</v>
      </c>
      <c r="AF467" s="9">
        <v>1453.8600000000001</v>
      </c>
      <c r="AG467" s="9">
        <v>1265.9967000000001</v>
      </c>
      <c r="AH467" s="11">
        <v>0.46546448568411714</v>
      </c>
      <c r="AI467" s="9">
        <f>SUMIFS(AD467:AD1098, R467:R1098, S467)</f>
        <v>0</v>
      </c>
      <c r="AJ467" s="11" t="e">
        <f>SUMIFS(AD467:AD1098, R467:R1098, S467, AD467:AD1098, "&gt;" &amp; AE467) / AI467</f>
        <v>#DIV/0!</v>
      </c>
      <c r="AK467" s="7" t="e">
        <f>IF(AJ467&lt;=0.8,"A",IF(Table2[[#This Row],[Cumulative rev]]&lt;=0.95,"B","C"))</f>
        <v>#DIV/0!</v>
      </c>
    </row>
    <row r="468" spans="1:37" x14ac:dyDescent="0.3">
      <c r="A468" t="s">
        <v>481</v>
      </c>
      <c r="B468" s="4">
        <v>45278</v>
      </c>
      <c r="C468" s="4" t="s">
        <v>2088</v>
      </c>
      <c r="D468" s="4" t="s">
        <v>2089</v>
      </c>
      <c r="E468" s="4">
        <v>45305</v>
      </c>
      <c r="F468" t="s">
        <v>2064</v>
      </c>
      <c r="G468" s="4">
        <v>45305</v>
      </c>
      <c r="H468" s="4">
        <f>_xlfn.MINIFS(B468:B1099, N468:N1099, N468)</f>
        <v>45048</v>
      </c>
      <c r="I468" s="4" t="str">
        <f t="shared" si="14"/>
        <v>May-2023</v>
      </c>
      <c r="J468" s="13">
        <f t="shared" si="15"/>
        <v>8</v>
      </c>
      <c r="K468" s="13">
        <v>27</v>
      </c>
      <c r="L468" s="30" t="str">
        <f>IF(Table2[[#This Row],[LeadTimeDays]]&lt;7,"1","0")</f>
        <v>0</v>
      </c>
      <c r="M468" s="7" t="s">
        <v>647</v>
      </c>
      <c r="N468" s="7" t="s">
        <v>654</v>
      </c>
      <c r="O468" s="7" t="s">
        <v>691</v>
      </c>
      <c r="P468" s="7" t="s">
        <v>704</v>
      </c>
      <c r="Q468" s="7" t="s">
        <v>710</v>
      </c>
      <c r="R468" s="7" t="s">
        <v>726</v>
      </c>
      <c r="S468" s="7" t="s">
        <v>729</v>
      </c>
      <c r="T468" s="7" t="s">
        <v>1893</v>
      </c>
      <c r="U468" s="9">
        <v>1408.3</v>
      </c>
      <c r="V468" s="9">
        <v>2193.13</v>
      </c>
      <c r="W468" s="9">
        <v>2193.13</v>
      </c>
      <c r="X468" s="9">
        <v>892.90000000000009</v>
      </c>
      <c r="Y468" s="9">
        <v>1626.6128000000001</v>
      </c>
      <c r="Z468" s="9" t="s">
        <v>2095</v>
      </c>
      <c r="AA468" t="s">
        <v>2065</v>
      </c>
      <c r="AB468" s="11">
        <v>7.0999999999999994E-2</v>
      </c>
      <c r="AC468" t="s">
        <v>2065</v>
      </c>
      <c r="AD468" s="13">
        <v>7</v>
      </c>
      <c r="AE468" s="9">
        <v>14261.92439</v>
      </c>
      <c r="AF468" s="9">
        <v>9858.1</v>
      </c>
      <c r="AG468" s="9">
        <v>4403.8243899999998</v>
      </c>
      <c r="AH468" s="11">
        <v>0.30878191957656281</v>
      </c>
      <c r="AI468" s="9">
        <f>SUMIFS(AD468:AD1099, R468:R1099, S468)</f>
        <v>0</v>
      </c>
      <c r="AJ468" s="11" t="e">
        <f>SUMIFS(AD468:AD1099, R468:R1099, S468, AD468:AD1099, "&gt;" &amp; AE468) / AI468</f>
        <v>#DIV/0!</v>
      </c>
      <c r="AK468" s="7" t="e">
        <f>IF(AJ468&lt;=0.8,"A",IF(Table2[[#This Row],[Cumulative rev]]&lt;=0.95,"B","C"))</f>
        <v>#DIV/0!</v>
      </c>
    </row>
    <row r="469" spans="1:37" x14ac:dyDescent="0.3">
      <c r="A469" t="s">
        <v>482</v>
      </c>
      <c r="B469" s="4">
        <v>45809</v>
      </c>
      <c r="C469" s="4" t="s">
        <v>2108</v>
      </c>
      <c r="D469" s="4" t="s">
        <v>2097</v>
      </c>
      <c r="E469" s="4">
        <v>45813</v>
      </c>
      <c r="F469" t="s">
        <v>2064</v>
      </c>
      <c r="G469" s="4">
        <v>45813</v>
      </c>
      <c r="H469" s="4">
        <f>_xlfn.MINIFS(B469:B1100, N469:N1100, N469)</f>
        <v>44952</v>
      </c>
      <c r="I469" s="4" t="str">
        <f t="shared" si="14"/>
        <v>Jan-2023</v>
      </c>
      <c r="J469" s="13">
        <f t="shared" si="15"/>
        <v>29</v>
      </c>
      <c r="K469" s="13">
        <v>4</v>
      </c>
      <c r="L469" s="30" t="str">
        <f>IF(Table2[[#This Row],[LeadTimeDays]]&lt;7,"1","0")</f>
        <v>1</v>
      </c>
      <c r="M469" s="7" t="s">
        <v>649</v>
      </c>
      <c r="N469" s="7" t="s">
        <v>656</v>
      </c>
      <c r="O469" s="7" t="s">
        <v>684</v>
      </c>
      <c r="P469" s="7" t="s">
        <v>706</v>
      </c>
      <c r="Q469" s="7" t="s">
        <v>711</v>
      </c>
      <c r="R469" s="7" t="s">
        <v>724</v>
      </c>
      <c r="S469" s="7" t="s">
        <v>727</v>
      </c>
      <c r="T469" s="7" t="s">
        <v>1894</v>
      </c>
      <c r="U469" s="9">
        <v>1171.42</v>
      </c>
      <c r="V469" s="9">
        <v>2187.8000000000002</v>
      </c>
      <c r="W469" s="9">
        <v>2187.8000000000002</v>
      </c>
      <c r="X469" s="9">
        <v>886.87689999999998</v>
      </c>
      <c r="Y469" s="9">
        <v>1625.105</v>
      </c>
      <c r="Z469" s="9" t="s">
        <v>2095</v>
      </c>
      <c r="AA469" t="s">
        <v>2065</v>
      </c>
      <c r="AB469" s="11">
        <v>0.23</v>
      </c>
      <c r="AC469" t="s">
        <v>2065</v>
      </c>
      <c r="AD469" s="13">
        <v>15</v>
      </c>
      <c r="AE469" s="9">
        <v>25269.09</v>
      </c>
      <c r="AF469" s="9">
        <v>17571.300000000003</v>
      </c>
      <c r="AG469" s="9">
        <v>7697.7899999999972</v>
      </c>
      <c r="AH469" s="11">
        <v>0.30463265594447592</v>
      </c>
      <c r="AI469" s="9">
        <f>SUMIFS(AD469:AD1100, R469:R1100, S469)</f>
        <v>0</v>
      </c>
      <c r="AJ469" s="11" t="e">
        <f>SUMIFS(AD469:AD1100, R469:R1100, S469, AD469:AD1100, "&gt;" &amp; AE469) / AI469</f>
        <v>#DIV/0!</v>
      </c>
      <c r="AK469" s="7" t="e">
        <f>IF(AJ469&lt;=0.8,"A",IF(Table2[[#This Row],[Cumulative rev]]&lt;=0.95,"B","C"))</f>
        <v>#DIV/0!</v>
      </c>
    </row>
    <row r="470" spans="1:37" x14ac:dyDescent="0.3">
      <c r="A470" t="s">
        <v>483</v>
      </c>
      <c r="B470" s="4">
        <v>45739</v>
      </c>
      <c r="C470" s="4" t="s">
        <v>2086</v>
      </c>
      <c r="D470" s="4" t="s">
        <v>2087</v>
      </c>
      <c r="E470" s="4">
        <v>45749</v>
      </c>
      <c r="F470" t="s">
        <v>2064</v>
      </c>
      <c r="G470" s="4">
        <v>45749</v>
      </c>
      <c r="H470" s="4">
        <f>_xlfn.MINIFS(B470:B1101, N470:N1101, N470)</f>
        <v>44952</v>
      </c>
      <c r="I470" s="4" t="str">
        <f t="shared" si="14"/>
        <v>Jan-2023</v>
      </c>
      <c r="J470" s="13">
        <f t="shared" si="15"/>
        <v>26</v>
      </c>
      <c r="K470" s="13">
        <v>10</v>
      </c>
      <c r="L470" s="30" t="str">
        <f>IF(Table2[[#This Row],[LeadTimeDays]]&lt;7,"1","0")</f>
        <v>0</v>
      </c>
      <c r="M470" s="7" t="s">
        <v>649</v>
      </c>
      <c r="N470" s="7" t="s">
        <v>656</v>
      </c>
      <c r="O470" s="7" t="s">
        <v>671</v>
      </c>
      <c r="P470" s="7" t="s">
        <v>706</v>
      </c>
      <c r="Q470" s="7" t="s">
        <v>708</v>
      </c>
      <c r="R470" s="7" t="s">
        <v>718</v>
      </c>
      <c r="S470" s="7" t="s">
        <v>728</v>
      </c>
      <c r="T470" s="7" t="s">
        <v>1895</v>
      </c>
      <c r="U470" s="9">
        <v>663.61</v>
      </c>
      <c r="V470" s="9">
        <v>1002.11</v>
      </c>
      <c r="W470" s="9">
        <v>1002.11</v>
      </c>
      <c r="X470" s="9">
        <v>879.25060000000008</v>
      </c>
      <c r="Y470" s="9">
        <v>1622.3380000000002</v>
      </c>
      <c r="Z470" s="9" t="s">
        <v>2092</v>
      </c>
      <c r="AA470" t="s">
        <v>2065</v>
      </c>
      <c r="AB470" s="11">
        <v>4.5999999999999999E-2</v>
      </c>
      <c r="AC470" t="s">
        <v>2065</v>
      </c>
      <c r="AD470" s="13">
        <v>17</v>
      </c>
      <c r="AE470" s="9">
        <v>16252.219979999998</v>
      </c>
      <c r="AF470" s="9">
        <v>11281.37</v>
      </c>
      <c r="AG470" s="9">
        <v>4970.8499799999972</v>
      </c>
      <c r="AH470" s="11">
        <v>0.30585667595670812</v>
      </c>
      <c r="AI470" s="9">
        <f>SUMIFS(AD470:AD1101, R470:R1101, S470)</f>
        <v>0</v>
      </c>
      <c r="AJ470" s="11" t="e">
        <f>SUMIFS(AD470:AD1101, R470:R1101, S470, AD470:AD1101, "&gt;" &amp; AE470) / AI470</f>
        <v>#DIV/0!</v>
      </c>
      <c r="AK470" s="7" t="e">
        <f>IF(AJ470&lt;=0.8,"A",IF(Table2[[#This Row],[Cumulative rev]]&lt;=0.95,"B","C"))</f>
        <v>#DIV/0!</v>
      </c>
    </row>
    <row r="471" spans="1:37" x14ac:dyDescent="0.3">
      <c r="A471" t="s">
        <v>484</v>
      </c>
      <c r="B471" s="4">
        <v>45060</v>
      </c>
      <c r="C471" s="4" t="s">
        <v>2107</v>
      </c>
      <c r="D471" s="4" t="s">
        <v>2103</v>
      </c>
      <c r="E471" s="4">
        <v>45068</v>
      </c>
      <c r="F471" t="s">
        <v>2064</v>
      </c>
      <c r="G471" s="4">
        <v>45068</v>
      </c>
      <c r="H471" s="4">
        <f>_xlfn.MINIFS(B471:B1102, N471:N1102, N471)</f>
        <v>45060</v>
      </c>
      <c r="I471" s="4" t="str">
        <f t="shared" si="14"/>
        <v>May-2023</v>
      </c>
      <c r="J471" s="13">
        <f t="shared" si="15"/>
        <v>1</v>
      </c>
      <c r="K471" s="13">
        <v>8</v>
      </c>
      <c r="L471" s="30" t="str">
        <f>IF(Table2[[#This Row],[LeadTimeDays]]&lt;7,"1","0")</f>
        <v>0</v>
      </c>
      <c r="M471" s="7" t="s">
        <v>646</v>
      </c>
      <c r="N471" s="7" t="s">
        <v>650</v>
      </c>
      <c r="O471" s="7" t="s">
        <v>675</v>
      </c>
      <c r="P471" s="7" t="s">
        <v>705</v>
      </c>
      <c r="Q471" s="7" t="s">
        <v>710</v>
      </c>
      <c r="R471" s="7" t="s">
        <v>721</v>
      </c>
      <c r="S471" s="7" t="s">
        <v>728</v>
      </c>
      <c r="T471" s="7" t="s">
        <v>1896</v>
      </c>
      <c r="U471" s="9">
        <v>432.01</v>
      </c>
      <c r="V471" s="9">
        <v>913.78</v>
      </c>
      <c r="W471" s="9">
        <v>913.78</v>
      </c>
      <c r="X471" s="9">
        <v>871.62430000000006</v>
      </c>
      <c r="Y471" s="9">
        <v>1624.865</v>
      </c>
      <c r="Z471" s="9" t="s">
        <v>2092</v>
      </c>
      <c r="AA471" t="s">
        <v>2065</v>
      </c>
      <c r="AB471" s="11">
        <v>4.9000000000000002E-2</v>
      </c>
      <c r="AC471" t="s">
        <v>2065</v>
      </c>
      <c r="AD471" s="13">
        <v>12</v>
      </c>
      <c r="AE471" s="9">
        <v>10428.057360000001</v>
      </c>
      <c r="AF471" s="9">
        <v>5184.12</v>
      </c>
      <c r="AG471" s="9">
        <v>5243.9373600000008</v>
      </c>
      <c r="AH471" s="11">
        <v>0.50286809699711899</v>
      </c>
      <c r="AI471" s="9">
        <f>SUMIFS(AD471:AD1102, R471:R1102, S471)</f>
        <v>0</v>
      </c>
      <c r="AJ471" s="11" t="e">
        <f>SUMIFS(AD471:AD1102, R471:R1102, S471, AD471:AD1102, "&gt;" &amp; AE471) / AI471</f>
        <v>#DIV/0!</v>
      </c>
      <c r="AK471" s="7" t="e">
        <f>IF(AJ471&lt;=0.8,"A",IF(Table2[[#This Row],[Cumulative rev]]&lt;=0.95,"B","C"))</f>
        <v>#DIV/0!</v>
      </c>
    </row>
    <row r="472" spans="1:37" x14ac:dyDescent="0.3">
      <c r="A472" t="s">
        <v>485</v>
      </c>
      <c r="B472" s="4">
        <v>45167</v>
      </c>
      <c r="C472" s="4" t="s">
        <v>2118</v>
      </c>
      <c r="D472" s="4" t="s">
        <v>2117</v>
      </c>
      <c r="E472" s="4">
        <v>45188</v>
      </c>
      <c r="F472" t="s">
        <v>2064</v>
      </c>
      <c r="G472" s="4">
        <v>45188</v>
      </c>
      <c r="H472" s="4">
        <f>_xlfn.MINIFS(B472:B1103, N472:N1103, N472)</f>
        <v>45019</v>
      </c>
      <c r="I472" s="4" t="str">
        <f t="shared" si="14"/>
        <v>Apr-2023</v>
      </c>
      <c r="J472" s="13">
        <f t="shared" si="15"/>
        <v>5</v>
      </c>
      <c r="K472" s="13">
        <v>21</v>
      </c>
      <c r="L472" s="30" t="str">
        <f>IF(Table2[[#This Row],[LeadTimeDays]]&lt;7,"1","0")</f>
        <v>0</v>
      </c>
      <c r="M472" s="7" t="s">
        <v>649</v>
      </c>
      <c r="N472" s="7" t="s">
        <v>657</v>
      </c>
      <c r="O472" s="7" t="s">
        <v>679</v>
      </c>
      <c r="P472" s="7" t="s">
        <v>705</v>
      </c>
      <c r="Q472" s="7" t="s">
        <v>711</v>
      </c>
      <c r="R472" s="7" t="s">
        <v>717</v>
      </c>
      <c r="S472" s="7" t="s">
        <v>728</v>
      </c>
      <c r="T472" s="7" t="s">
        <v>1897</v>
      </c>
      <c r="U472" s="9">
        <v>784.46</v>
      </c>
      <c r="V472" s="9">
        <v>1843.51</v>
      </c>
      <c r="W472" s="9">
        <v>1843.51</v>
      </c>
      <c r="X472" s="9">
        <v>867.12800000000004</v>
      </c>
      <c r="Y472" s="9">
        <v>1625.1200000000001</v>
      </c>
      <c r="Z472" s="9" t="s">
        <v>2095</v>
      </c>
      <c r="AA472" t="s">
        <v>2065</v>
      </c>
      <c r="AB472" s="11">
        <v>0.13800000000000001</v>
      </c>
      <c r="AC472" t="s">
        <v>2065</v>
      </c>
      <c r="AD472" s="13">
        <v>23</v>
      </c>
      <c r="AE472" s="9">
        <v>36549.429260000004</v>
      </c>
      <c r="AF472" s="9">
        <v>18042.580000000002</v>
      </c>
      <c r="AG472" s="9">
        <v>18506.849260000003</v>
      </c>
      <c r="AH472" s="11">
        <v>0.50635125184441798</v>
      </c>
      <c r="AI472" s="9">
        <f>SUMIFS(AD472:AD1103, R472:R1103, S472)</f>
        <v>0</v>
      </c>
      <c r="AJ472" s="11" t="e">
        <f>SUMIFS(AD472:AD1103, R472:R1103, S472, AD472:AD1103, "&gt;" &amp; AE472) / AI472</f>
        <v>#DIV/0!</v>
      </c>
      <c r="AK472" s="7" t="e">
        <f>IF(AJ472&lt;=0.8,"A",IF(Table2[[#This Row],[Cumulative rev]]&lt;=0.95,"B","C"))</f>
        <v>#DIV/0!</v>
      </c>
    </row>
    <row r="473" spans="1:37" x14ac:dyDescent="0.3">
      <c r="A473" t="s">
        <v>486</v>
      </c>
      <c r="B473" s="4">
        <v>45841</v>
      </c>
      <c r="C473" s="4" t="s">
        <v>2104</v>
      </c>
      <c r="D473" s="4" t="s">
        <v>2101</v>
      </c>
      <c r="E473" s="4">
        <v>45861</v>
      </c>
      <c r="F473" t="s">
        <v>2064</v>
      </c>
      <c r="G473" s="4">
        <v>45861</v>
      </c>
      <c r="H473" s="4">
        <f>_xlfn.MINIFS(B473:B1104, N473:N1104, N473)</f>
        <v>44938</v>
      </c>
      <c r="I473" s="4" t="str">
        <f t="shared" si="14"/>
        <v>Jan-2023</v>
      </c>
      <c r="J473" s="13">
        <f t="shared" si="15"/>
        <v>30</v>
      </c>
      <c r="K473" s="13">
        <v>20</v>
      </c>
      <c r="L473" s="30" t="str">
        <f>IF(Table2[[#This Row],[LeadTimeDays]]&lt;7,"1","0")</f>
        <v>0</v>
      </c>
      <c r="M473" s="7" t="s">
        <v>647</v>
      </c>
      <c r="N473" s="7" t="s">
        <v>659</v>
      </c>
      <c r="O473" s="7" t="s">
        <v>699</v>
      </c>
      <c r="P473" s="7" t="s">
        <v>705</v>
      </c>
      <c r="Q473" s="7" t="s">
        <v>708</v>
      </c>
      <c r="R473" s="7" t="s">
        <v>724</v>
      </c>
      <c r="S473" s="7" t="s">
        <v>727</v>
      </c>
      <c r="T473" s="7" t="s">
        <v>1898</v>
      </c>
      <c r="U473" s="9">
        <v>647.36</v>
      </c>
      <c r="V473" s="9">
        <v>1383.6</v>
      </c>
      <c r="W473" s="9">
        <v>1383.6</v>
      </c>
      <c r="X473" s="9">
        <v>864.6662</v>
      </c>
      <c r="Y473" s="9">
        <v>1622.9210000000005</v>
      </c>
      <c r="Z473" s="9" t="s">
        <v>2092</v>
      </c>
      <c r="AA473" t="s">
        <v>2065</v>
      </c>
      <c r="AB473" s="11">
        <v>7.3999999999999996E-2</v>
      </c>
      <c r="AC473" t="s">
        <v>2065</v>
      </c>
      <c r="AD473" s="13">
        <v>12</v>
      </c>
      <c r="AE473" s="9">
        <v>15374.563199999999</v>
      </c>
      <c r="AF473" s="9">
        <v>7768.32</v>
      </c>
      <c r="AG473" s="9">
        <v>7606.243199999999</v>
      </c>
      <c r="AH473" s="11">
        <v>0.49472906000997802</v>
      </c>
      <c r="AI473" s="9">
        <f>SUMIFS(AD473:AD1104, R473:R1104, S473)</f>
        <v>0</v>
      </c>
      <c r="AJ473" s="11" t="e">
        <f>SUMIFS(AD473:AD1104, R473:R1104, S473, AD473:AD1104, "&gt;" &amp; AE473) / AI473</f>
        <v>#DIV/0!</v>
      </c>
      <c r="AK473" s="7" t="e">
        <f>IF(AJ473&lt;=0.8,"A",IF(Table2[[#This Row],[Cumulative rev]]&lt;=0.95,"B","C"))</f>
        <v>#DIV/0!</v>
      </c>
    </row>
    <row r="474" spans="1:37" x14ac:dyDescent="0.3">
      <c r="A474" t="s">
        <v>487</v>
      </c>
      <c r="B474" s="4">
        <v>45328</v>
      </c>
      <c r="C474" s="4" t="s">
        <v>2124</v>
      </c>
      <c r="D474" s="4" t="s">
        <v>2080</v>
      </c>
      <c r="E474" s="4">
        <v>45350</v>
      </c>
      <c r="F474" t="s">
        <v>2064</v>
      </c>
      <c r="G474" s="4">
        <v>45350</v>
      </c>
      <c r="H474" s="4">
        <f>_xlfn.MINIFS(B474:B1105, N474:N1105, N474)</f>
        <v>45115</v>
      </c>
      <c r="I474" s="4" t="str">
        <f t="shared" si="14"/>
        <v>Jul-2023</v>
      </c>
      <c r="J474" s="13">
        <f t="shared" si="15"/>
        <v>7</v>
      </c>
      <c r="K474" s="13">
        <v>22</v>
      </c>
      <c r="L474" s="30" t="str">
        <f>IF(Table2[[#This Row],[LeadTimeDays]]&lt;7,"1","0")</f>
        <v>0</v>
      </c>
      <c r="M474" s="7" t="s">
        <v>646</v>
      </c>
      <c r="N474" s="7" t="s">
        <v>650</v>
      </c>
      <c r="O474" s="7" t="s">
        <v>662</v>
      </c>
      <c r="P474" s="7" t="s">
        <v>703</v>
      </c>
      <c r="Q474" s="7" t="s">
        <v>708</v>
      </c>
      <c r="R474" s="7" t="s">
        <v>723</v>
      </c>
      <c r="S474" s="7" t="s">
        <v>732</v>
      </c>
      <c r="T474" s="7" t="s">
        <v>1899</v>
      </c>
      <c r="U474" s="9">
        <v>834.93</v>
      </c>
      <c r="V474" s="9">
        <v>1588.53</v>
      </c>
      <c r="W474" s="9">
        <v>1588.53</v>
      </c>
      <c r="X474" s="9">
        <v>862.20439999999996</v>
      </c>
      <c r="Y474" s="9">
        <v>1624.88</v>
      </c>
      <c r="Z474" s="9" t="s">
        <v>2092</v>
      </c>
      <c r="AA474" t="s">
        <v>2065</v>
      </c>
      <c r="AB474" s="11">
        <v>0.126</v>
      </c>
      <c r="AC474" t="s">
        <v>2065</v>
      </c>
      <c r="AD474" s="13">
        <v>6</v>
      </c>
      <c r="AE474" s="9">
        <v>8330.2513199999994</v>
      </c>
      <c r="AF474" s="9">
        <v>5009.58</v>
      </c>
      <c r="AG474" s="9">
        <v>3320.6713199999995</v>
      </c>
      <c r="AH474" s="11">
        <v>0.39862798761274343</v>
      </c>
      <c r="AI474" s="9">
        <f>SUMIFS(AD474:AD1105, R474:R1105, S474)</f>
        <v>0</v>
      </c>
      <c r="AJ474" s="11" t="e">
        <f>SUMIFS(AD474:AD1105, R474:R1105, S474, AD474:AD1105, "&gt;" &amp; AE474) / AI474</f>
        <v>#DIV/0!</v>
      </c>
      <c r="AK474" s="7" t="e">
        <f>IF(AJ474&lt;=0.8,"A",IF(Table2[[#This Row],[Cumulative rev]]&lt;=0.95,"B","C"))</f>
        <v>#DIV/0!</v>
      </c>
    </row>
    <row r="475" spans="1:37" x14ac:dyDescent="0.3">
      <c r="A475" t="s">
        <v>488</v>
      </c>
      <c r="B475" s="4">
        <v>45882</v>
      </c>
      <c r="C475" s="4" t="s">
        <v>2121</v>
      </c>
      <c r="D475" s="4" t="s">
        <v>2101</v>
      </c>
      <c r="E475" s="4">
        <v>45903</v>
      </c>
      <c r="F475" t="s">
        <v>2064</v>
      </c>
      <c r="G475" s="4">
        <v>45903</v>
      </c>
      <c r="H475" s="4">
        <f>_xlfn.MINIFS(B475:B1106, N475:N1106, N475)</f>
        <v>45019</v>
      </c>
      <c r="I475" s="4" t="str">
        <f t="shared" si="14"/>
        <v>Apr-2023</v>
      </c>
      <c r="J475" s="13">
        <f t="shared" si="15"/>
        <v>29</v>
      </c>
      <c r="K475" s="13">
        <v>21</v>
      </c>
      <c r="L475" s="30" t="str">
        <f>IF(Table2[[#This Row],[LeadTimeDays]]&lt;7,"1","0")</f>
        <v>0</v>
      </c>
      <c r="M475" s="7" t="s">
        <v>649</v>
      </c>
      <c r="N475" s="7" t="s">
        <v>657</v>
      </c>
      <c r="O475" s="7" t="s">
        <v>690</v>
      </c>
      <c r="P475" s="7" t="s">
        <v>702</v>
      </c>
      <c r="Q475" s="7" t="s">
        <v>707</v>
      </c>
      <c r="R475" s="7" t="s">
        <v>714</v>
      </c>
      <c r="S475" s="7" t="s">
        <v>730</v>
      </c>
      <c r="T475" s="7" t="s">
        <v>1900</v>
      </c>
      <c r="U475" s="9">
        <v>603.47</v>
      </c>
      <c r="V475" s="9">
        <v>1344.05</v>
      </c>
      <c r="W475" s="9">
        <v>1344.05</v>
      </c>
      <c r="X475" s="9">
        <v>856.95720000000006</v>
      </c>
      <c r="Y475" s="9">
        <v>1625.135</v>
      </c>
      <c r="Z475" s="9" t="s">
        <v>2092</v>
      </c>
      <c r="AA475" t="s">
        <v>2065</v>
      </c>
      <c r="AB475" s="11">
        <v>0.20499999999999999</v>
      </c>
      <c r="AC475" t="s">
        <v>2065</v>
      </c>
      <c r="AD475" s="13">
        <v>18</v>
      </c>
      <c r="AE475" s="9">
        <v>19233.355499999998</v>
      </c>
      <c r="AF475" s="9">
        <v>10862.460000000001</v>
      </c>
      <c r="AG475" s="9">
        <v>8370.8954999999969</v>
      </c>
      <c r="AH475" s="11">
        <v>0.43522803392262976</v>
      </c>
      <c r="AI475" s="9">
        <f>SUMIFS(AD475:AD1106, R475:R1106, S475)</f>
        <v>0</v>
      </c>
      <c r="AJ475" s="11" t="e">
        <f>SUMIFS(AD475:AD1106, R475:R1106, S475, AD475:AD1106, "&gt;" &amp; AE475) / AI475</f>
        <v>#DIV/0!</v>
      </c>
      <c r="AK475" s="7" t="e">
        <f>IF(AJ475&lt;=0.8,"A",IF(Table2[[#This Row],[Cumulative rev]]&lt;=0.95,"B","C"))</f>
        <v>#DIV/0!</v>
      </c>
    </row>
    <row r="476" spans="1:37" x14ac:dyDescent="0.3">
      <c r="A476" t="s">
        <v>489</v>
      </c>
      <c r="B476" s="4">
        <v>45069</v>
      </c>
      <c r="C476" s="4" t="s">
        <v>2107</v>
      </c>
      <c r="D476" s="4" t="s">
        <v>2103</v>
      </c>
      <c r="E476" s="4">
        <v>45071</v>
      </c>
      <c r="F476" t="s">
        <v>2064</v>
      </c>
      <c r="G476" s="4">
        <v>45071</v>
      </c>
      <c r="H476" s="4">
        <f>_xlfn.MINIFS(B476:B1107, N476:N1107, N476)</f>
        <v>44955</v>
      </c>
      <c r="I476" s="4" t="str">
        <f t="shared" si="14"/>
        <v>Jan-2023</v>
      </c>
      <c r="J476" s="13">
        <f t="shared" si="15"/>
        <v>4</v>
      </c>
      <c r="K476" s="13">
        <v>2</v>
      </c>
      <c r="L476" s="30" t="str">
        <f>IF(Table2[[#This Row],[LeadTimeDays]]&lt;7,"1","0")</f>
        <v>1</v>
      </c>
      <c r="M476" s="7" t="s">
        <v>648</v>
      </c>
      <c r="N476" s="7" t="s">
        <v>655</v>
      </c>
      <c r="O476" s="7" t="s">
        <v>1426</v>
      </c>
      <c r="P476" s="7" t="s">
        <v>706</v>
      </c>
      <c r="Q476" s="7" t="s">
        <v>707</v>
      </c>
      <c r="R476" s="7" t="s">
        <v>724</v>
      </c>
      <c r="S476" s="7" t="s">
        <v>728</v>
      </c>
      <c r="T476" s="7" t="s">
        <v>1901</v>
      </c>
      <c r="U476" s="9">
        <v>690.49</v>
      </c>
      <c r="V476" s="9">
        <v>1290.29</v>
      </c>
      <c r="W476" s="9">
        <v>1290.29</v>
      </c>
      <c r="X476" s="9">
        <v>849.6576</v>
      </c>
      <c r="Y476" s="9">
        <v>1625.39</v>
      </c>
      <c r="Z476" s="9" t="s">
        <v>2092</v>
      </c>
      <c r="AA476" t="s">
        <v>2065</v>
      </c>
      <c r="AB476" s="11">
        <v>4.2000000000000003E-2</v>
      </c>
      <c r="AC476" t="s">
        <v>2065</v>
      </c>
      <c r="AD476" s="13">
        <v>22</v>
      </c>
      <c r="AE476" s="9">
        <v>27194.152039999997</v>
      </c>
      <c r="AF476" s="9">
        <v>15190.78</v>
      </c>
      <c r="AG476" s="9">
        <v>12003.372039999997</v>
      </c>
      <c r="AH476" s="11">
        <v>0.44139534199647718</v>
      </c>
      <c r="AI476" s="9">
        <f>SUMIFS(AD476:AD1107, R476:R1107, S476)</f>
        <v>0</v>
      </c>
      <c r="AJ476" s="11" t="e">
        <f>SUMIFS(AD476:AD1107, R476:R1107, S476, AD476:AD1107, "&gt;" &amp; AE476) / AI476</f>
        <v>#DIV/0!</v>
      </c>
      <c r="AK476" s="7" t="e">
        <f>IF(AJ476&lt;=0.8,"A",IF(Table2[[#This Row],[Cumulative rev]]&lt;=0.95,"B","C"))</f>
        <v>#DIV/0!</v>
      </c>
    </row>
    <row r="477" spans="1:37" x14ac:dyDescent="0.3">
      <c r="A477" t="s">
        <v>490</v>
      </c>
      <c r="B477" s="4">
        <v>45422</v>
      </c>
      <c r="C477" s="4" t="s">
        <v>2093</v>
      </c>
      <c r="D477" s="4" t="s">
        <v>2094</v>
      </c>
      <c r="E477" s="4">
        <v>45428</v>
      </c>
      <c r="F477" t="s">
        <v>2064</v>
      </c>
      <c r="G477" s="4">
        <v>45428</v>
      </c>
      <c r="H477" s="4">
        <f>_xlfn.MINIFS(B477:B1108, N477:N1108, N477)</f>
        <v>45026</v>
      </c>
      <c r="I477" s="4" t="str">
        <f t="shared" si="14"/>
        <v>Apr-2023</v>
      </c>
      <c r="J477" s="13">
        <f t="shared" si="15"/>
        <v>14</v>
      </c>
      <c r="K477" s="13">
        <v>6</v>
      </c>
      <c r="L477" s="30" t="str">
        <f>IF(Table2[[#This Row],[LeadTimeDays]]&lt;7,"1","0")</f>
        <v>1</v>
      </c>
      <c r="M477" s="7" t="s">
        <v>649</v>
      </c>
      <c r="N477" s="7" t="s">
        <v>658</v>
      </c>
      <c r="O477" s="7" t="s">
        <v>674</v>
      </c>
      <c r="P477" s="7" t="s">
        <v>703</v>
      </c>
      <c r="Q477" s="7" t="s">
        <v>711</v>
      </c>
      <c r="R477" s="7" t="s">
        <v>715</v>
      </c>
      <c r="S477" s="7" t="s">
        <v>731</v>
      </c>
      <c r="T477" s="7" t="s">
        <v>1902</v>
      </c>
      <c r="U477" s="9">
        <v>210.76</v>
      </c>
      <c r="V477" s="9">
        <v>221.58</v>
      </c>
      <c r="W477" s="9">
        <v>221.58</v>
      </c>
      <c r="X477" s="9">
        <v>842.35800000000006</v>
      </c>
      <c r="Y477" s="9">
        <v>1626.9110000000001</v>
      </c>
      <c r="Z477" s="9" t="s">
        <v>2081</v>
      </c>
      <c r="AA477" t="s">
        <v>2065</v>
      </c>
      <c r="AB477" s="11">
        <v>8.8999999999999996E-2</v>
      </c>
      <c r="AC477" t="s">
        <v>2065</v>
      </c>
      <c r="AD477" s="13">
        <v>5</v>
      </c>
      <c r="AE477" s="9">
        <v>1009.2969000000002</v>
      </c>
      <c r="AF477" s="9">
        <v>1053.8</v>
      </c>
      <c r="AG477" s="9">
        <v>-44.50309999999979</v>
      </c>
      <c r="AH477" s="11">
        <v>-4.4093170205912434E-2</v>
      </c>
      <c r="AI477" s="9">
        <f>SUMIFS(AD477:AD1108, R477:R1108, S477)</f>
        <v>0</v>
      </c>
      <c r="AJ477" s="11" t="e">
        <f>SUMIFS(AD477:AD1108, R477:R1108, S477, AD477:AD1108, "&gt;" &amp; AE477) / AI477</f>
        <v>#DIV/0!</v>
      </c>
      <c r="AK477" s="7" t="e">
        <f>IF(AJ477&lt;=0.8,"A",IF(Table2[[#This Row],[Cumulative rev]]&lt;=0.95,"B","C"))</f>
        <v>#DIV/0!</v>
      </c>
    </row>
    <row r="478" spans="1:37" x14ac:dyDescent="0.3">
      <c r="A478" t="s">
        <v>491</v>
      </c>
      <c r="B478" s="4">
        <v>44999</v>
      </c>
      <c r="C478" s="4" t="s">
        <v>2114</v>
      </c>
      <c r="D478" s="4" t="s">
        <v>2085</v>
      </c>
      <c r="E478" s="4">
        <v>45003</v>
      </c>
      <c r="F478" t="s">
        <v>2064</v>
      </c>
      <c r="G478" s="4">
        <v>45003</v>
      </c>
      <c r="H478" s="4">
        <f>_xlfn.MINIFS(B478:B1109, N478:N1109, N478)</f>
        <v>44952</v>
      </c>
      <c r="I478" s="4" t="str">
        <f t="shared" si="14"/>
        <v>Jan-2023</v>
      </c>
      <c r="J478" s="13">
        <f t="shared" si="15"/>
        <v>2</v>
      </c>
      <c r="K478" s="13">
        <v>4</v>
      </c>
      <c r="L478" s="30" t="str">
        <f>IF(Table2[[#This Row],[LeadTimeDays]]&lt;7,"1","0")</f>
        <v>1</v>
      </c>
      <c r="M478" s="7" t="s">
        <v>649</v>
      </c>
      <c r="N478" s="7" t="s">
        <v>656</v>
      </c>
      <c r="O478" s="7" t="s">
        <v>698</v>
      </c>
      <c r="P478" s="7" t="s">
        <v>706</v>
      </c>
      <c r="Q478" s="7" t="s">
        <v>711</v>
      </c>
      <c r="R478" s="7" t="s">
        <v>720</v>
      </c>
      <c r="S478" s="7" t="s">
        <v>727</v>
      </c>
      <c r="T478" s="7" t="s">
        <v>1903</v>
      </c>
      <c r="U478" s="9">
        <v>472.33</v>
      </c>
      <c r="V478" s="9">
        <v>360.34</v>
      </c>
      <c r="W478" s="9">
        <v>360.34</v>
      </c>
      <c r="X478" s="9">
        <v>857.17840000000001</v>
      </c>
      <c r="Y478" s="9">
        <v>1628.6008000000002</v>
      </c>
      <c r="Z478" s="9" t="s">
        <v>2081</v>
      </c>
      <c r="AA478" t="s">
        <v>2065</v>
      </c>
      <c r="AB478" s="11">
        <v>0.16500000000000001</v>
      </c>
      <c r="AC478" t="s">
        <v>2065</v>
      </c>
      <c r="AD478" s="13">
        <v>14</v>
      </c>
      <c r="AE478" s="9">
        <v>4212.3745999999992</v>
      </c>
      <c r="AF478" s="9">
        <v>6612.62</v>
      </c>
      <c r="AG478" s="9">
        <v>-2400.2454000000007</v>
      </c>
      <c r="AH478" s="11">
        <v>-0.56980815523861561</v>
      </c>
      <c r="AI478" s="9">
        <f>SUMIFS(AD478:AD1109, R478:R1109, S478)</f>
        <v>0</v>
      </c>
      <c r="AJ478" s="11" t="e">
        <f>SUMIFS(AD478:AD1109, R478:R1109, S478, AD478:AD1109, "&gt;" &amp; AE478) / AI478</f>
        <v>#DIV/0!</v>
      </c>
      <c r="AK478" s="7" t="e">
        <f>IF(AJ478&lt;=0.8,"A",IF(Table2[[#This Row],[Cumulative rev]]&lt;=0.95,"B","C"))</f>
        <v>#DIV/0!</v>
      </c>
    </row>
    <row r="479" spans="1:37" x14ac:dyDescent="0.3">
      <c r="A479" t="s">
        <v>492</v>
      </c>
      <c r="B479" s="4">
        <v>45123</v>
      </c>
      <c r="C479" s="4" t="s">
        <v>2116</v>
      </c>
      <c r="D479" s="4" t="s">
        <v>2117</v>
      </c>
      <c r="E479" s="4">
        <v>45151</v>
      </c>
      <c r="F479" t="s">
        <v>2064</v>
      </c>
      <c r="G479" s="4">
        <v>45151</v>
      </c>
      <c r="H479" s="4">
        <f>_xlfn.MINIFS(B479:B1110, N479:N1110, N479)</f>
        <v>45026</v>
      </c>
      <c r="I479" s="4" t="str">
        <f t="shared" si="14"/>
        <v>Apr-2023</v>
      </c>
      <c r="J479" s="13">
        <f t="shared" si="15"/>
        <v>4</v>
      </c>
      <c r="K479" s="13">
        <v>28</v>
      </c>
      <c r="L479" s="30" t="str">
        <f>IF(Table2[[#This Row],[LeadTimeDays]]&lt;7,"1","0")</f>
        <v>0</v>
      </c>
      <c r="M479" s="7" t="s">
        <v>649</v>
      </c>
      <c r="N479" s="7" t="s">
        <v>658</v>
      </c>
      <c r="O479" s="7" t="s">
        <v>693</v>
      </c>
      <c r="P479" s="7" t="s">
        <v>703</v>
      </c>
      <c r="Q479" s="7" t="s">
        <v>708</v>
      </c>
      <c r="R479" s="7" t="s">
        <v>713</v>
      </c>
      <c r="S479" s="7" t="s">
        <v>731</v>
      </c>
      <c r="T479" s="7" t="s">
        <v>1904</v>
      </c>
      <c r="U479" s="9">
        <v>1039.03</v>
      </c>
      <c r="V479" s="9">
        <v>2545.81</v>
      </c>
      <c r="W479" s="9">
        <v>2545.81</v>
      </c>
      <c r="X479" s="9">
        <v>864.81539999999995</v>
      </c>
      <c r="Y479" s="9">
        <v>1630.2906</v>
      </c>
      <c r="Z479" s="9" t="s">
        <v>2095</v>
      </c>
      <c r="AA479" t="s">
        <v>2065</v>
      </c>
      <c r="AB479" s="11">
        <v>0.216</v>
      </c>
      <c r="AC479" t="s">
        <v>2065</v>
      </c>
      <c r="AD479" s="13">
        <v>21</v>
      </c>
      <c r="AE479" s="9">
        <v>41914.215840000004</v>
      </c>
      <c r="AF479" s="9">
        <v>21819.63</v>
      </c>
      <c r="AG479" s="9">
        <v>20094.585840000003</v>
      </c>
      <c r="AH479" s="11">
        <v>0.47942172929364774</v>
      </c>
      <c r="AI479" s="9">
        <f>SUMIFS(AD479:AD1110, R479:R1110, S479)</f>
        <v>0</v>
      </c>
      <c r="AJ479" s="11" t="e">
        <f>SUMIFS(AD479:AD1110, R479:R1110, S479, AD479:AD1110, "&gt;" &amp; AE479) / AI479</f>
        <v>#DIV/0!</v>
      </c>
      <c r="AK479" s="7" t="e">
        <f>IF(AJ479&lt;=0.8,"A",IF(Table2[[#This Row],[Cumulative rev]]&lt;=0.95,"B","C"))</f>
        <v>#DIV/0!</v>
      </c>
    </row>
    <row r="480" spans="1:37" x14ac:dyDescent="0.3">
      <c r="A480" t="s">
        <v>493</v>
      </c>
      <c r="B480" s="4">
        <v>45032</v>
      </c>
      <c r="C480" s="4" t="s">
        <v>2102</v>
      </c>
      <c r="D480" s="4" t="s">
        <v>2103</v>
      </c>
      <c r="E480" s="4">
        <v>45035</v>
      </c>
      <c r="F480" t="s">
        <v>2064</v>
      </c>
      <c r="G480" s="4">
        <v>45035</v>
      </c>
      <c r="H480" s="4">
        <f>_xlfn.MINIFS(B480:B1111, N480:N1111, N480)</f>
        <v>44952</v>
      </c>
      <c r="I480" s="4" t="str">
        <f t="shared" si="14"/>
        <v>Jan-2023</v>
      </c>
      <c r="J480" s="13">
        <f t="shared" si="15"/>
        <v>3</v>
      </c>
      <c r="K480" s="13">
        <v>3</v>
      </c>
      <c r="L480" s="30" t="str">
        <f>IF(Table2[[#This Row],[LeadTimeDays]]&lt;7,"1","0")</f>
        <v>1</v>
      </c>
      <c r="M480" s="7" t="s">
        <v>649</v>
      </c>
      <c r="N480" s="7" t="s">
        <v>656</v>
      </c>
      <c r="O480" s="7" t="s">
        <v>684</v>
      </c>
      <c r="P480" s="7" t="s">
        <v>701</v>
      </c>
      <c r="Q480" s="7" t="s">
        <v>711</v>
      </c>
      <c r="R480" s="7" t="s">
        <v>717</v>
      </c>
      <c r="S480" s="7" t="s">
        <v>733</v>
      </c>
      <c r="T480" s="7" t="s">
        <v>1905</v>
      </c>
      <c r="U480" s="9">
        <v>553.61</v>
      </c>
      <c r="V480" s="9">
        <v>699.47</v>
      </c>
      <c r="W480" s="9">
        <v>699.47</v>
      </c>
      <c r="X480" s="9">
        <v>862.35360000000003</v>
      </c>
      <c r="Y480" s="9">
        <v>1627.0104000000001</v>
      </c>
      <c r="Z480" s="9" t="s">
        <v>2081</v>
      </c>
      <c r="AA480" t="s">
        <v>2065</v>
      </c>
      <c r="AB480" s="11">
        <v>0.02</v>
      </c>
      <c r="AC480" t="s">
        <v>2065</v>
      </c>
      <c r="AD480" s="13">
        <v>33</v>
      </c>
      <c r="AE480" s="9">
        <v>22620.859800000002</v>
      </c>
      <c r="AF480" s="9">
        <v>18269.13</v>
      </c>
      <c r="AG480" s="9">
        <v>4351.729800000001</v>
      </c>
      <c r="AH480" s="11">
        <v>0.19237685209472014</v>
      </c>
      <c r="AI480" s="9">
        <f>SUMIFS(AD480:AD1111, R480:R1111, S480)</f>
        <v>0</v>
      </c>
      <c r="AJ480" s="11" t="e">
        <f>SUMIFS(AD480:AD1111, R480:R1111, S480, AD480:AD1111, "&gt;" &amp; AE480) / AI480</f>
        <v>#DIV/0!</v>
      </c>
      <c r="AK480" s="7" t="e">
        <f>IF(AJ480&lt;=0.8,"A",IF(Table2[[#This Row],[Cumulative rev]]&lt;=0.95,"B","C"))</f>
        <v>#DIV/0!</v>
      </c>
    </row>
    <row r="481" spans="1:37" x14ac:dyDescent="0.3">
      <c r="A481" t="s">
        <v>494</v>
      </c>
      <c r="B481" s="4">
        <v>45293</v>
      </c>
      <c r="C481" s="4" t="s">
        <v>2098</v>
      </c>
      <c r="D481" s="4" t="s">
        <v>2080</v>
      </c>
      <c r="E481" s="4">
        <v>45306</v>
      </c>
      <c r="F481" t="s">
        <v>2064</v>
      </c>
      <c r="G481" s="4">
        <v>45306</v>
      </c>
      <c r="H481" s="4">
        <f>_xlfn.MINIFS(B481:B1112, N481:N1112, N481)</f>
        <v>44988</v>
      </c>
      <c r="I481" s="4" t="str">
        <f t="shared" si="14"/>
        <v>Mar-2023</v>
      </c>
      <c r="J481" s="13">
        <f t="shared" si="15"/>
        <v>10</v>
      </c>
      <c r="K481" s="13">
        <v>13</v>
      </c>
      <c r="L481" s="30" t="str">
        <f>IF(Table2[[#This Row],[LeadTimeDays]]&lt;7,"1","0")</f>
        <v>0</v>
      </c>
      <c r="M481" s="7" t="s">
        <v>647</v>
      </c>
      <c r="N481" s="7" t="s">
        <v>652</v>
      </c>
      <c r="O481" s="7" t="s">
        <v>694</v>
      </c>
      <c r="P481" s="7" t="s">
        <v>705</v>
      </c>
      <c r="Q481" s="7" t="s">
        <v>709</v>
      </c>
      <c r="R481" s="7" t="s">
        <v>715</v>
      </c>
      <c r="S481" s="7" t="s">
        <v>729</v>
      </c>
      <c r="T481" s="7" t="s">
        <v>1906</v>
      </c>
      <c r="U481" s="9">
        <v>1219.06</v>
      </c>
      <c r="V481" s="9">
        <v>2738.69</v>
      </c>
      <c r="W481" s="9">
        <v>2738.69</v>
      </c>
      <c r="X481" s="9">
        <v>867.35180000000003</v>
      </c>
      <c r="Y481" s="9">
        <v>1628.7002000000002</v>
      </c>
      <c r="Z481" s="9" t="s">
        <v>2095</v>
      </c>
      <c r="AA481" t="s">
        <v>2065</v>
      </c>
      <c r="AB481" s="11">
        <v>7.5999999999999998E-2</v>
      </c>
      <c r="AC481" t="s">
        <v>2065</v>
      </c>
      <c r="AD481" s="13">
        <v>16</v>
      </c>
      <c r="AE481" s="9">
        <v>40488.792960000006</v>
      </c>
      <c r="AF481" s="9">
        <v>19504.96</v>
      </c>
      <c r="AG481" s="9">
        <v>20983.832960000007</v>
      </c>
      <c r="AH481" s="11">
        <v>0.51826274447673737</v>
      </c>
      <c r="AI481" s="9">
        <f>SUMIFS(AD481:AD1112, R481:R1112, S481)</f>
        <v>0</v>
      </c>
      <c r="AJ481" s="11" t="e">
        <f>SUMIFS(AD481:AD1112, R481:R1112, S481, AD481:AD1112, "&gt;" &amp; AE481) / AI481</f>
        <v>#DIV/0!</v>
      </c>
      <c r="AK481" s="7" t="e">
        <f>IF(AJ481&lt;=0.8,"A",IF(Table2[[#This Row],[Cumulative rev]]&lt;=0.95,"B","C"))</f>
        <v>#DIV/0!</v>
      </c>
    </row>
    <row r="482" spans="1:37" x14ac:dyDescent="0.3">
      <c r="A482" t="s">
        <v>495</v>
      </c>
      <c r="B482" s="4">
        <v>45538</v>
      </c>
      <c r="C482" s="4" t="s">
        <v>2122</v>
      </c>
      <c r="D482" s="4" t="s">
        <v>2106</v>
      </c>
      <c r="E482" s="4">
        <v>45542</v>
      </c>
      <c r="F482" t="s">
        <v>2064</v>
      </c>
      <c r="G482" s="4">
        <v>45542</v>
      </c>
      <c r="H482" s="4">
        <f>_xlfn.MINIFS(B482:B1113, N482:N1113, N482)</f>
        <v>44988</v>
      </c>
      <c r="I482" s="4" t="str">
        <f t="shared" si="14"/>
        <v>Mar-2023</v>
      </c>
      <c r="J482" s="13">
        <f t="shared" si="15"/>
        <v>19</v>
      </c>
      <c r="K482" s="13">
        <v>4</v>
      </c>
      <c r="L482" s="30" t="str">
        <f>IF(Table2[[#This Row],[LeadTimeDays]]&lt;7,"1","0")</f>
        <v>1</v>
      </c>
      <c r="M482" s="7" t="s">
        <v>647</v>
      </c>
      <c r="N482" s="7" t="s">
        <v>652</v>
      </c>
      <c r="O482" s="7" t="s">
        <v>689</v>
      </c>
      <c r="P482" s="7" t="s">
        <v>705</v>
      </c>
      <c r="Q482" s="7" t="s">
        <v>710</v>
      </c>
      <c r="R482" s="7" t="s">
        <v>725</v>
      </c>
      <c r="S482" s="7" t="s">
        <v>728</v>
      </c>
      <c r="T482" s="7" t="s">
        <v>1907</v>
      </c>
      <c r="U482" s="9">
        <v>43.23</v>
      </c>
      <c r="V482" s="9">
        <v>94.78</v>
      </c>
      <c r="W482" s="9">
        <v>94.78</v>
      </c>
      <c r="X482" s="9">
        <v>864.89</v>
      </c>
      <c r="Y482" s="9">
        <v>1625.42</v>
      </c>
      <c r="Z482" s="9" t="s">
        <v>2081</v>
      </c>
      <c r="AA482" t="s">
        <v>2065</v>
      </c>
      <c r="AB482" s="11">
        <v>9.0999999999999998E-2</v>
      </c>
      <c r="AC482" t="s">
        <v>2065</v>
      </c>
      <c r="AD482" s="13">
        <v>55</v>
      </c>
      <c r="AE482" s="9">
        <v>4738.5261</v>
      </c>
      <c r="AF482" s="9">
        <v>2377.6499999999996</v>
      </c>
      <c r="AG482" s="9">
        <v>2360.8761000000004</v>
      </c>
      <c r="AH482" s="11">
        <v>0.49823005090127082</v>
      </c>
      <c r="AI482" s="9">
        <f>SUMIFS(AD482:AD1113, R482:R1113, S482)</f>
        <v>0</v>
      </c>
      <c r="AJ482" s="11" t="e">
        <f>SUMIFS(AD482:AD1113, R482:R1113, S482, AD482:AD1113, "&gt;" &amp; AE482) / AI482</f>
        <v>#DIV/0!</v>
      </c>
      <c r="AK482" s="7" t="e">
        <f>IF(AJ482&lt;=0.8,"A",IF(Table2[[#This Row],[Cumulative rev]]&lt;=0.95,"B","C"))</f>
        <v>#DIV/0!</v>
      </c>
    </row>
    <row r="483" spans="1:37" x14ac:dyDescent="0.3">
      <c r="A483" t="s">
        <v>496</v>
      </c>
      <c r="B483" s="4">
        <v>45899</v>
      </c>
      <c r="C483" s="4" t="s">
        <v>2121</v>
      </c>
      <c r="D483" s="4" t="s">
        <v>2101</v>
      </c>
      <c r="E483" s="4">
        <v>45903</v>
      </c>
      <c r="F483" t="s">
        <v>2064</v>
      </c>
      <c r="G483" s="4">
        <v>45903</v>
      </c>
      <c r="H483" s="4">
        <f>_xlfn.MINIFS(B483:B1114, N483:N1114, N483)</f>
        <v>45019</v>
      </c>
      <c r="I483" s="4" t="str">
        <f t="shared" si="14"/>
        <v>Apr-2023</v>
      </c>
      <c r="J483" s="13">
        <f t="shared" si="15"/>
        <v>29</v>
      </c>
      <c r="K483" s="13">
        <v>4</v>
      </c>
      <c r="L483" s="30" t="str">
        <f>IF(Table2[[#This Row],[LeadTimeDays]]&lt;7,"1","0")</f>
        <v>1</v>
      </c>
      <c r="M483" s="7" t="s">
        <v>649</v>
      </c>
      <c r="N483" s="7" t="s">
        <v>657</v>
      </c>
      <c r="O483" s="7" t="s">
        <v>673</v>
      </c>
      <c r="P483" s="7" t="s">
        <v>705</v>
      </c>
      <c r="Q483" s="7" t="s">
        <v>709</v>
      </c>
      <c r="R483" s="7" t="s">
        <v>713</v>
      </c>
      <c r="S483" s="7" t="s">
        <v>731</v>
      </c>
      <c r="T483" s="7" t="s">
        <v>1908</v>
      </c>
      <c r="U483" s="9">
        <v>1286.56</v>
      </c>
      <c r="V483" s="9">
        <v>2777.35</v>
      </c>
      <c r="W483" s="9">
        <v>2777.35</v>
      </c>
      <c r="X483" s="9">
        <v>872.54870000000005</v>
      </c>
      <c r="Y483" s="9">
        <v>1627.1098000000002</v>
      </c>
      <c r="Z483" s="9" t="s">
        <v>2095</v>
      </c>
      <c r="AA483" t="s">
        <v>2065</v>
      </c>
      <c r="AB483" s="11">
        <v>0.13200000000000001</v>
      </c>
      <c r="AC483" t="s">
        <v>2065</v>
      </c>
      <c r="AD483" s="13">
        <v>15</v>
      </c>
      <c r="AE483" s="9">
        <v>36161.097000000002</v>
      </c>
      <c r="AF483" s="9">
        <v>19298.399999999998</v>
      </c>
      <c r="AG483" s="9">
        <v>16862.697000000004</v>
      </c>
      <c r="AH483" s="11">
        <v>0.46632150014696744</v>
      </c>
      <c r="AI483" s="9">
        <f>SUMIFS(AD483:AD1114, R483:R1114, S483)</f>
        <v>0</v>
      </c>
      <c r="AJ483" s="11" t="e">
        <f>SUMIFS(AD483:AD1114, R483:R1114, S483, AD483:AD1114, "&gt;" &amp; AE483) / AI483</f>
        <v>#DIV/0!</v>
      </c>
      <c r="AK483" s="7" t="e">
        <f>IF(AJ483&lt;=0.8,"A",IF(Table2[[#This Row],[Cumulative rev]]&lt;=0.95,"B","C"))</f>
        <v>#DIV/0!</v>
      </c>
    </row>
    <row r="484" spans="1:37" x14ac:dyDescent="0.3">
      <c r="A484" t="s">
        <v>497</v>
      </c>
      <c r="B484" s="4">
        <v>45775</v>
      </c>
      <c r="C484" s="4" t="s">
        <v>2111</v>
      </c>
      <c r="D484" s="4" t="s">
        <v>2097</v>
      </c>
      <c r="E484" s="4">
        <v>45796</v>
      </c>
      <c r="F484" t="s">
        <v>2064</v>
      </c>
      <c r="G484" s="4">
        <v>45796</v>
      </c>
      <c r="H484" s="4">
        <f>_xlfn.MINIFS(B484:B1115, N484:N1115, N484)</f>
        <v>44952</v>
      </c>
      <c r="I484" s="4" t="str">
        <f t="shared" si="14"/>
        <v>Jan-2023</v>
      </c>
      <c r="J484" s="13">
        <f t="shared" si="15"/>
        <v>28</v>
      </c>
      <c r="K484" s="13">
        <v>21</v>
      </c>
      <c r="L484" s="30" t="str">
        <f>IF(Table2[[#This Row],[LeadTimeDays]]&lt;7,"1","0")</f>
        <v>0</v>
      </c>
      <c r="M484" s="7" t="s">
        <v>649</v>
      </c>
      <c r="N484" s="7" t="s">
        <v>656</v>
      </c>
      <c r="O484" s="7" t="s">
        <v>671</v>
      </c>
      <c r="P484" s="7" t="s">
        <v>701</v>
      </c>
      <c r="Q484" s="7" t="s">
        <v>710</v>
      </c>
      <c r="R484" s="7" t="s">
        <v>717</v>
      </c>
      <c r="S484" s="7" t="s">
        <v>730</v>
      </c>
      <c r="T484" s="7" t="s">
        <v>1909</v>
      </c>
      <c r="U484" s="9">
        <v>350.76</v>
      </c>
      <c r="V484" s="9">
        <v>492.18</v>
      </c>
      <c r="W484" s="9">
        <v>492.18</v>
      </c>
      <c r="X484" s="9">
        <v>867.42640000000006</v>
      </c>
      <c r="Y484" s="9">
        <v>1625.18</v>
      </c>
      <c r="Z484" s="9" t="s">
        <v>2081</v>
      </c>
      <c r="AA484" t="s">
        <v>2065</v>
      </c>
      <c r="AB484" s="11">
        <v>5.2999999999999999E-2</v>
      </c>
      <c r="AC484" t="s">
        <v>2065</v>
      </c>
      <c r="AD484" s="13">
        <v>11</v>
      </c>
      <c r="AE484" s="9">
        <v>5127.0390600000001</v>
      </c>
      <c r="AF484" s="9">
        <v>3858.3599999999997</v>
      </c>
      <c r="AG484" s="9">
        <v>1268.6790600000004</v>
      </c>
      <c r="AH484" s="11">
        <v>0.24744868239798437</v>
      </c>
      <c r="AI484" s="9">
        <f>SUMIFS(AD484:AD1115, R484:R1115, S484)</f>
        <v>0</v>
      </c>
      <c r="AJ484" s="11" t="e">
        <f>SUMIFS(AD484:AD1115, R484:R1115, S484, AD484:AD1115, "&gt;" &amp; AE484) / AI484</f>
        <v>#DIV/0!</v>
      </c>
      <c r="AK484" s="7" t="e">
        <f>IF(AJ484&lt;=0.8,"A",IF(Table2[[#This Row],[Cumulative rev]]&lt;=0.95,"B","C"))</f>
        <v>#DIV/0!</v>
      </c>
    </row>
    <row r="485" spans="1:37" x14ac:dyDescent="0.3">
      <c r="A485" t="s">
        <v>498</v>
      </c>
      <c r="B485" s="4">
        <v>45148</v>
      </c>
      <c r="C485" s="4" t="s">
        <v>2118</v>
      </c>
      <c r="D485" s="4" t="s">
        <v>2117</v>
      </c>
      <c r="E485" s="4">
        <v>45153</v>
      </c>
      <c r="F485" t="s">
        <v>2064</v>
      </c>
      <c r="G485" s="4">
        <v>45153</v>
      </c>
      <c r="H485" s="4">
        <f>_xlfn.MINIFS(B485:B1116, N485:N1116, N485)</f>
        <v>44955</v>
      </c>
      <c r="I485" s="4" t="str">
        <f t="shared" si="14"/>
        <v>Jan-2023</v>
      </c>
      <c r="J485" s="13">
        <f t="shared" si="15"/>
        <v>7</v>
      </c>
      <c r="K485" s="13">
        <v>5</v>
      </c>
      <c r="L485" s="30" t="str">
        <f>IF(Table2[[#This Row],[LeadTimeDays]]&lt;7,"1","0")</f>
        <v>1</v>
      </c>
      <c r="M485" s="7" t="s">
        <v>648</v>
      </c>
      <c r="N485" s="7" t="s">
        <v>655</v>
      </c>
      <c r="O485" s="7" t="s">
        <v>670</v>
      </c>
      <c r="P485" s="7" t="s">
        <v>702</v>
      </c>
      <c r="Q485" s="7" t="s">
        <v>711</v>
      </c>
      <c r="R485" s="7" t="s">
        <v>715</v>
      </c>
      <c r="S485" s="7" t="s">
        <v>729</v>
      </c>
      <c r="T485" s="7" t="s">
        <v>1910</v>
      </c>
      <c r="U485" s="9">
        <v>1307.52</v>
      </c>
      <c r="V485" s="9">
        <v>1921.65</v>
      </c>
      <c r="W485" s="9">
        <v>1921.65</v>
      </c>
      <c r="X485" s="9">
        <v>880.40610000000015</v>
      </c>
      <c r="Y485" s="9">
        <v>1625.5194000000001</v>
      </c>
      <c r="Z485" s="9" t="s">
        <v>2095</v>
      </c>
      <c r="AA485" t="s">
        <v>2065</v>
      </c>
      <c r="AB485" s="11">
        <v>0.123</v>
      </c>
      <c r="AC485" t="s">
        <v>2065</v>
      </c>
      <c r="AD485" s="13">
        <v>13</v>
      </c>
      <c r="AE485" s="9">
        <v>21908.731650000002</v>
      </c>
      <c r="AF485" s="9">
        <v>16997.759999999998</v>
      </c>
      <c r="AG485" s="9">
        <v>4910.9716500000031</v>
      </c>
      <c r="AH485" s="11">
        <v>0.22415590863289445</v>
      </c>
      <c r="AI485" s="9">
        <f>SUMIFS(AD485:AD1116, R485:R1116, S485)</f>
        <v>0</v>
      </c>
      <c r="AJ485" s="11" t="e">
        <f>SUMIFS(AD485:AD1116, R485:R1116, S485, AD485:AD1116, "&gt;" &amp; AE485) / AI485</f>
        <v>#DIV/0!</v>
      </c>
      <c r="AK485" s="7" t="e">
        <f>IF(AJ485&lt;=0.8,"A",IF(Table2[[#This Row],[Cumulative rev]]&lt;=0.95,"B","C"))</f>
        <v>#DIV/0!</v>
      </c>
    </row>
    <row r="486" spans="1:37" x14ac:dyDescent="0.3">
      <c r="A486" t="s">
        <v>499</v>
      </c>
      <c r="B486" s="4">
        <v>45634</v>
      </c>
      <c r="C486" s="4" t="s">
        <v>2091</v>
      </c>
      <c r="D486" s="4" t="s">
        <v>2083</v>
      </c>
      <c r="E486" s="4">
        <v>45634</v>
      </c>
      <c r="F486" t="s">
        <v>2064</v>
      </c>
      <c r="G486" s="4">
        <v>45634</v>
      </c>
      <c r="H486" s="4">
        <f>_xlfn.MINIFS(B486:B1117, N486:N1117, N486)</f>
        <v>45019</v>
      </c>
      <c r="I486" s="4" t="str">
        <f t="shared" si="14"/>
        <v>Apr-2023</v>
      </c>
      <c r="J486" s="13">
        <f t="shared" si="15"/>
        <v>21</v>
      </c>
      <c r="K486" s="13">
        <v>0</v>
      </c>
      <c r="L486" s="30" t="str">
        <f>IF(Table2[[#This Row],[LeadTimeDays]]&lt;7,"1","0")</f>
        <v>1</v>
      </c>
      <c r="M486" s="7" t="s">
        <v>649</v>
      </c>
      <c r="N486" s="7" t="s">
        <v>657</v>
      </c>
      <c r="O486" s="7" t="s">
        <v>679</v>
      </c>
      <c r="P486" s="7" t="s">
        <v>706</v>
      </c>
      <c r="Q486" s="7" t="s">
        <v>707</v>
      </c>
      <c r="R486" s="7" t="s">
        <v>722</v>
      </c>
      <c r="S486" s="7" t="s">
        <v>727</v>
      </c>
      <c r="T486" s="7" t="s">
        <v>1911</v>
      </c>
      <c r="U486" s="9">
        <v>257.44</v>
      </c>
      <c r="V486" s="9">
        <v>290.33</v>
      </c>
      <c r="W486" s="9">
        <v>290.33</v>
      </c>
      <c r="X486" s="9">
        <v>872.77980000000002</v>
      </c>
      <c r="Y486" s="9">
        <v>1624.94</v>
      </c>
      <c r="Z486" s="9" t="s">
        <v>2081</v>
      </c>
      <c r="AA486" t="s">
        <v>2065</v>
      </c>
      <c r="AB486" s="11">
        <v>9.1999999999999998E-2</v>
      </c>
      <c r="AC486" t="s">
        <v>2065</v>
      </c>
      <c r="AD486" s="13">
        <v>23</v>
      </c>
      <c r="AE486" s="9">
        <v>6063.2517199999993</v>
      </c>
      <c r="AF486" s="9">
        <v>5921.12</v>
      </c>
      <c r="AG486" s="9">
        <v>142.1317199999994</v>
      </c>
      <c r="AH486" s="11">
        <v>2.3441500792581216E-2</v>
      </c>
      <c r="AI486" s="9">
        <f>SUMIFS(AD486:AD1117, R486:R1117, S486)</f>
        <v>0</v>
      </c>
      <c r="AJ486" s="11" t="e">
        <f>SUMIFS(AD486:AD1117, R486:R1117, S486, AD486:AD1117, "&gt;" &amp; AE486) / AI486</f>
        <v>#DIV/0!</v>
      </c>
      <c r="AK486" s="7" t="e">
        <f>IF(AJ486&lt;=0.8,"A",IF(Table2[[#This Row],[Cumulative rev]]&lt;=0.95,"B","C"))</f>
        <v>#DIV/0!</v>
      </c>
    </row>
    <row r="487" spans="1:37" x14ac:dyDescent="0.3">
      <c r="A487" t="s">
        <v>500</v>
      </c>
      <c r="B487" s="4">
        <v>45224</v>
      </c>
      <c r="C487" s="4" t="s">
        <v>2125</v>
      </c>
      <c r="D487" s="4" t="s">
        <v>2089</v>
      </c>
      <c r="E487" s="4">
        <v>45254</v>
      </c>
      <c r="F487" t="s">
        <v>2064</v>
      </c>
      <c r="G487" s="4">
        <v>45254</v>
      </c>
      <c r="H487" s="4">
        <f>_xlfn.MINIFS(B487:B1118, N487:N1118, N487)</f>
        <v>45019</v>
      </c>
      <c r="I487" s="4" t="str">
        <f t="shared" si="14"/>
        <v>Apr-2023</v>
      </c>
      <c r="J487" s="13">
        <f t="shared" si="15"/>
        <v>7</v>
      </c>
      <c r="K487" s="13">
        <v>30</v>
      </c>
      <c r="L487" s="30" t="str">
        <f>IF(Table2[[#This Row],[LeadTimeDays]]&lt;7,"1","0")</f>
        <v>0</v>
      </c>
      <c r="M487" s="7" t="s">
        <v>649</v>
      </c>
      <c r="N487" s="7" t="s">
        <v>657</v>
      </c>
      <c r="O487" s="7" t="s">
        <v>690</v>
      </c>
      <c r="P487" s="7" t="s">
        <v>706</v>
      </c>
      <c r="Q487" s="7" t="s">
        <v>710</v>
      </c>
      <c r="R487" s="7" t="s">
        <v>712</v>
      </c>
      <c r="S487" s="7" t="s">
        <v>730</v>
      </c>
      <c r="T487" s="7" t="s">
        <v>1912</v>
      </c>
      <c r="U487" s="9">
        <v>287.85000000000002</v>
      </c>
      <c r="V487" s="9">
        <v>602.91999999999996</v>
      </c>
      <c r="W487" s="9">
        <v>602.91999999999996</v>
      </c>
      <c r="X487" s="9">
        <v>888.26350000000002</v>
      </c>
      <c r="Y487" s="9">
        <v>1625.1950000000002</v>
      </c>
      <c r="Z487" s="9" t="s">
        <v>2081</v>
      </c>
      <c r="AA487" t="s">
        <v>2065</v>
      </c>
      <c r="AB487" s="11">
        <v>0.222</v>
      </c>
      <c r="AC487" t="s">
        <v>2065</v>
      </c>
      <c r="AD487" s="13">
        <v>11</v>
      </c>
      <c r="AE487" s="9">
        <v>5159.7893599999998</v>
      </c>
      <c r="AF487" s="9">
        <v>3166.3500000000004</v>
      </c>
      <c r="AG487" s="9">
        <v>1993.4393599999994</v>
      </c>
      <c r="AH487" s="11">
        <v>0.38634122847216373</v>
      </c>
      <c r="AI487" s="9">
        <f>SUMIFS(AD487:AD1118, R487:R1118, S487)</f>
        <v>0</v>
      </c>
      <c r="AJ487" s="11" t="e">
        <f>SUMIFS(AD487:AD1118, R487:R1118, S487, AD487:AD1118, "&gt;" &amp; AE487) / AI487</f>
        <v>#DIV/0!</v>
      </c>
      <c r="AK487" s="7" t="e">
        <f>IF(AJ487&lt;=0.8,"A",IF(Table2[[#This Row],[Cumulative rev]]&lt;=0.95,"B","C"))</f>
        <v>#DIV/0!</v>
      </c>
    </row>
    <row r="488" spans="1:37" x14ac:dyDescent="0.3">
      <c r="A488" t="s">
        <v>501</v>
      </c>
      <c r="B488" s="4">
        <v>45613</v>
      </c>
      <c r="C488" s="4" t="s">
        <v>2110</v>
      </c>
      <c r="D488" s="4" t="s">
        <v>2083</v>
      </c>
      <c r="E488" s="4">
        <v>45624</v>
      </c>
      <c r="F488" t="s">
        <v>2064</v>
      </c>
      <c r="G488" s="4">
        <v>45624</v>
      </c>
      <c r="H488" s="4">
        <f>_xlfn.MINIFS(B488:B1119, N488:N1119, N488)</f>
        <v>45029</v>
      </c>
      <c r="I488" s="4" t="str">
        <f t="shared" si="14"/>
        <v>Apr-2023</v>
      </c>
      <c r="J488" s="13">
        <f t="shared" si="15"/>
        <v>20</v>
      </c>
      <c r="K488" s="13">
        <v>11</v>
      </c>
      <c r="L488" s="30" t="str">
        <f>IF(Table2[[#This Row],[LeadTimeDays]]&lt;7,"1","0")</f>
        <v>0</v>
      </c>
      <c r="M488" s="7" t="s">
        <v>648</v>
      </c>
      <c r="N488" s="7" t="s">
        <v>653</v>
      </c>
      <c r="O488" s="7" t="s">
        <v>2057</v>
      </c>
      <c r="P488" s="7" t="s">
        <v>704</v>
      </c>
      <c r="Q488" s="7" t="s">
        <v>710</v>
      </c>
      <c r="R488" s="7" t="s">
        <v>720</v>
      </c>
      <c r="S488" s="7" t="s">
        <v>728</v>
      </c>
      <c r="T488" s="7" t="s">
        <v>1913</v>
      </c>
      <c r="U488" s="9">
        <v>1008.16</v>
      </c>
      <c r="V488" s="9">
        <v>2077.5</v>
      </c>
      <c r="W488" s="9">
        <v>2077.5</v>
      </c>
      <c r="X488" s="9">
        <v>896.80000000000007</v>
      </c>
      <c r="Y488" s="9">
        <v>1625.6188000000002</v>
      </c>
      <c r="Z488" s="9" t="s">
        <v>2095</v>
      </c>
      <c r="AA488" t="s">
        <v>2065</v>
      </c>
      <c r="AB488" s="11">
        <v>7.3999999999999996E-2</v>
      </c>
      <c r="AC488" t="s">
        <v>2065</v>
      </c>
      <c r="AD488" s="13">
        <v>15</v>
      </c>
      <c r="AE488" s="9">
        <v>28856.475000000002</v>
      </c>
      <c r="AF488" s="9">
        <v>15122.4</v>
      </c>
      <c r="AG488" s="9">
        <v>13734.075000000003</v>
      </c>
      <c r="AH488" s="11">
        <v>0.47594430712691005</v>
      </c>
      <c r="AI488" s="9">
        <f>SUMIFS(AD488:AD1119, R488:R1119, S488)</f>
        <v>0</v>
      </c>
      <c r="AJ488" s="11" t="e">
        <f>SUMIFS(AD488:AD1119, R488:R1119, S488, AD488:AD1119, "&gt;" &amp; AE488) / AI488</f>
        <v>#DIV/0!</v>
      </c>
      <c r="AK488" s="7" t="e">
        <f>IF(AJ488&lt;=0.8,"A",IF(Table2[[#This Row],[Cumulative rev]]&lt;=0.95,"B","C"))</f>
        <v>#DIV/0!</v>
      </c>
    </row>
    <row r="489" spans="1:37" x14ac:dyDescent="0.3">
      <c r="A489" t="s">
        <v>502</v>
      </c>
      <c r="B489" s="4">
        <v>45424</v>
      </c>
      <c r="C489" s="4" t="s">
        <v>2093</v>
      </c>
      <c r="D489" s="4" t="s">
        <v>2094</v>
      </c>
      <c r="E489" s="4">
        <v>45436</v>
      </c>
      <c r="F489" t="s">
        <v>2064</v>
      </c>
      <c r="G489" s="4">
        <v>45436</v>
      </c>
      <c r="H489" s="4">
        <f>_xlfn.MINIFS(B489:B1120, N489:N1120, N489)</f>
        <v>45026</v>
      </c>
      <c r="I489" s="4" t="str">
        <f t="shared" si="14"/>
        <v>Apr-2023</v>
      </c>
      <c r="J489" s="13">
        <f t="shared" si="15"/>
        <v>14</v>
      </c>
      <c r="K489" s="13">
        <v>12</v>
      </c>
      <c r="L489" s="30" t="str">
        <f>IF(Table2[[#This Row],[LeadTimeDays]]&lt;7,"1","0")</f>
        <v>0</v>
      </c>
      <c r="M489" s="7" t="s">
        <v>649</v>
      </c>
      <c r="N489" s="7" t="s">
        <v>658</v>
      </c>
      <c r="O489" s="7" t="s">
        <v>693</v>
      </c>
      <c r="P489" s="7" t="s">
        <v>702</v>
      </c>
      <c r="Q489" s="7" t="s">
        <v>709</v>
      </c>
      <c r="R489" s="7" t="s">
        <v>723</v>
      </c>
      <c r="S489" s="7" t="s">
        <v>728</v>
      </c>
      <c r="T489" s="7" t="s">
        <v>1914</v>
      </c>
      <c r="U489" s="9">
        <v>111.02</v>
      </c>
      <c r="V489" s="9">
        <v>172.88</v>
      </c>
      <c r="W489" s="9">
        <v>172.88</v>
      </c>
      <c r="X489" s="9">
        <v>893.5825000000001</v>
      </c>
      <c r="Y489" s="9">
        <v>1624.9550000000002</v>
      </c>
      <c r="Z489" s="9" t="s">
        <v>2081</v>
      </c>
      <c r="AA489" t="s">
        <v>2065</v>
      </c>
      <c r="AB489" s="11">
        <v>0.19700000000000001</v>
      </c>
      <c r="AC489" t="s">
        <v>2065</v>
      </c>
      <c r="AD489" s="13">
        <v>29</v>
      </c>
      <c r="AE489" s="9">
        <v>4025.8565599999993</v>
      </c>
      <c r="AF489" s="9">
        <v>3219.58</v>
      </c>
      <c r="AG489" s="9">
        <v>806.27655999999934</v>
      </c>
      <c r="AH489" s="11">
        <v>0.20027453735212053</v>
      </c>
      <c r="AI489" s="9">
        <f>SUMIFS(AD489:AD1120, R489:R1120, S489)</f>
        <v>0</v>
      </c>
      <c r="AJ489" s="11" t="e">
        <f>SUMIFS(AD489:AD1120, R489:R1120, S489, AD489:AD1120, "&gt;" &amp; AE489) / AI489</f>
        <v>#DIV/0!</v>
      </c>
      <c r="AK489" s="7" t="e">
        <f>IF(AJ489&lt;=0.8,"A",IF(Table2[[#This Row],[Cumulative rev]]&lt;=0.95,"B","C"))</f>
        <v>#DIV/0!</v>
      </c>
    </row>
    <row r="490" spans="1:37" x14ac:dyDescent="0.3">
      <c r="A490" t="s">
        <v>503</v>
      </c>
      <c r="B490" s="4">
        <v>45792</v>
      </c>
      <c r="C490" s="4" t="s">
        <v>2096</v>
      </c>
      <c r="D490" s="4" t="s">
        <v>2097</v>
      </c>
      <c r="E490" s="4">
        <v>45813</v>
      </c>
      <c r="F490" t="s">
        <v>2064</v>
      </c>
      <c r="G490" s="4">
        <v>45813</v>
      </c>
      <c r="H490" s="4">
        <f>_xlfn.MINIFS(B490:B1121, N490:N1121, N490)</f>
        <v>44988</v>
      </c>
      <c r="I490" s="4" t="str">
        <f t="shared" si="14"/>
        <v>Mar-2023</v>
      </c>
      <c r="J490" s="13">
        <f t="shared" si="15"/>
        <v>27</v>
      </c>
      <c r="K490" s="13">
        <v>21</v>
      </c>
      <c r="L490" s="30" t="str">
        <f>IF(Table2[[#This Row],[LeadTimeDays]]&lt;7,"1","0")</f>
        <v>0</v>
      </c>
      <c r="M490" s="7" t="s">
        <v>647</v>
      </c>
      <c r="N490" s="7" t="s">
        <v>652</v>
      </c>
      <c r="O490" s="7" t="s">
        <v>666</v>
      </c>
      <c r="P490" s="7" t="s">
        <v>706</v>
      </c>
      <c r="Q490" s="7" t="s">
        <v>711</v>
      </c>
      <c r="R490" s="7" t="s">
        <v>722</v>
      </c>
      <c r="S490" s="7" t="s">
        <v>730</v>
      </c>
      <c r="T490" s="7" t="s">
        <v>1915</v>
      </c>
      <c r="U490" s="9">
        <v>1466.5</v>
      </c>
      <c r="V490" s="9">
        <v>2778.74</v>
      </c>
      <c r="W490" s="9">
        <v>2778.74</v>
      </c>
      <c r="X490" s="9">
        <v>900.11500000000001</v>
      </c>
      <c r="Y490" s="9">
        <v>1625.21</v>
      </c>
      <c r="Z490" s="9" t="s">
        <v>2095</v>
      </c>
      <c r="AA490" t="s">
        <v>2065</v>
      </c>
      <c r="AB490" s="11">
        <v>0.13500000000000001</v>
      </c>
      <c r="AC490" t="s">
        <v>2065</v>
      </c>
      <c r="AD490" s="13">
        <v>4</v>
      </c>
      <c r="AE490" s="9">
        <v>9614.4403999999995</v>
      </c>
      <c r="AF490" s="9">
        <v>5866</v>
      </c>
      <c r="AG490" s="9">
        <v>3748.4403999999995</v>
      </c>
      <c r="AH490" s="11">
        <v>0.38987608680792279</v>
      </c>
      <c r="AI490" s="9">
        <f>SUMIFS(AD490:AD1121, R490:R1121, S490)</f>
        <v>0</v>
      </c>
      <c r="AJ490" s="11" t="e">
        <f>SUMIFS(AD490:AD1121, R490:R1121, S490, AD490:AD1121, "&gt;" &amp; AE490) / AI490</f>
        <v>#DIV/0!</v>
      </c>
      <c r="AK490" s="7" t="e">
        <f>IF(AJ490&lt;=0.8,"A",IF(Table2[[#This Row],[Cumulative rev]]&lt;=0.95,"B","C"))</f>
        <v>#DIV/0!</v>
      </c>
    </row>
    <row r="491" spans="1:37" x14ac:dyDescent="0.3">
      <c r="A491" t="s">
        <v>504</v>
      </c>
      <c r="B491" s="4">
        <v>45403</v>
      </c>
      <c r="C491" s="4" t="s">
        <v>2112</v>
      </c>
      <c r="D491" s="4" t="s">
        <v>2094</v>
      </c>
      <c r="E491" s="4">
        <v>45431</v>
      </c>
      <c r="F491" t="s">
        <v>2064</v>
      </c>
      <c r="G491" s="4">
        <v>45431</v>
      </c>
      <c r="H491" s="4">
        <f>_xlfn.MINIFS(B491:B1122, N491:N1122, N491)</f>
        <v>44968</v>
      </c>
      <c r="I491" s="4" t="str">
        <f t="shared" si="14"/>
        <v>Feb-2023</v>
      </c>
      <c r="J491" s="13">
        <f t="shared" si="15"/>
        <v>15</v>
      </c>
      <c r="K491" s="13">
        <v>28</v>
      </c>
      <c r="L491" s="30" t="str">
        <f>IF(Table2[[#This Row],[LeadTimeDays]]&lt;7,"1","0")</f>
        <v>0</v>
      </c>
      <c r="M491" s="7" t="s">
        <v>646</v>
      </c>
      <c r="N491" s="7" t="s">
        <v>651</v>
      </c>
      <c r="O491" s="7" t="s">
        <v>665</v>
      </c>
      <c r="P491" s="7" t="s">
        <v>701</v>
      </c>
      <c r="Q491" s="7" t="s">
        <v>710</v>
      </c>
      <c r="R491" s="7" t="s">
        <v>720</v>
      </c>
      <c r="S491" s="7" t="s">
        <v>733</v>
      </c>
      <c r="T491" s="7" t="s">
        <v>1916</v>
      </c>
      <c r="U491" s="9">
        <v>187.22</v>
      </c>
      <c r="V491" s="9">
        <v>309.47000000000003</v>
      </c>
      <c r="W491" s="9">
        <v>309.47000000000003</v>
      </c>
      <c r="X491" s="9">
        <v>896.89750000000004</v>
      </c>
      <c r="Y491" s="9">
        <v>1624.7150000000001</v>
      </c>
      <c r="Z491" s="9" t="s">
        <v>2081</v>
      </c>
      <c r="AA491" t="s">
        <v>2065</v>
      </c>
      <c r="AB491" s="11">
        <v>0</v>
      </c>
      <c r="AC491" t="s">
        <v>2065</v>
      </c>
      <c r="AD491" s="13">
        <v>5</v>
      </c>
      <c r="AE491" s="9">
        <v>1547.3500000000001</v>
      </c>
      <c r="AF491" s="9">
        <v>936.1</v>
      </c>
      <c r="AG491" s="9">
        <v>611.25000000000011</v>
      </c>
      <c r="AH491" s="11">
        <v>0.39503021294471197</v>
      </c>
      <c r="AI491" s="9">
        <f>SUMIFS(AD491:AD1122, R491:R1122, S491)</f>
        <v>0</v>
      </c>
      <c r="AJ491" s="11" t="e">
        <f>SUMIFS(AD491:AD1122, R491:R1122, S491, AD491:AD1122, "&gt;" &amp; AE491) / AI491</f>
        <v>#DIV/0!</v>
      </c>
      <c r="AK491" s="7" t="e">
        <f>IF(AJ491&lt;=0.8,"A",IF(Table2[[#This Row],[Cumulative rev]]&lt;=0.95,"B","C"))</f>
        <v>#DIV/0!</v>
      </c>
    </row>
    <row r="492" spans="1:37" x14ac:dyDescent="0.3">
      <c r="A492" t="s">
        <v>505</v>
      </c>
      <c r="B492" s="4">
        <v>45523</v>
      </c>
      <c r="C492" s="4" t="s">
        <v>2113</v>
      </c>
      <c r="D492" s="4" t="s">
        <v>2106</v>
      </c>
      <c r="E492" s="4">
        <v>45542</v>
      </c>
      <c r="F492" t="s">
        <v>2064</v>
      </c>
      <c r="G492" s="4">
        <v>45542</v>
      </c>
      <c r="H492" s="4">
        <f>_xlfn.MINIFS(B492:B1123, N492:N1123, N492)</f>
        <v>45019</v>
      </c>
      <c r="I492" s="4" t="str">
        <f t="shared" si="14"/>
        <v>Apr-2023</v>
      </c>
      <c r="J492" s="13">
        <f t="shared" si="15"/>
        <v>17</v>
      </c>
      <c r="K492" s="13">
        <v>19</v>
      </c>
      <c r="L492" s="30" t="str">
        <f>IF(Table2[[#This Row],[LeadTimeDays]]&lt;7,"1","0")</f>
        <v>0</v>
      </c>
      <c r="M492" s="7" t="s">
        <v>649</v>
      </c>
      <c r="N492" s="7" t="s">
        <v>657</v>
      </c>
      <c r="O492" s="7" t="s">
        <v>679</v>
      </c>
      <c r="P492" s="7" t="s">
        <v>701</v>
      </c>
      <c r="Q492" s="7" t="s">
        <v>711</v>
      </c>
      <c r="R492" s="7" t="s">
        <v>713</v>
      </c>
      <c r="S492" s="7" t="s">
        <v>727</v>
      </c>
      <c r="T492" s="7" t="s">
        <v>1917</v>
      </c>
      <c r="U492" s="9">
        <v>297.58999999999997</v>
      </c>
      <c r="V492" s="9">
        <v>666.41</v>
      </c>
      <c r="W492" s="9">
        <v>666.41</v>
      </c>
      <c r="X492" s="9">
        <v>901.678</v>
      </c>
      <c r="Y492" s="9">
        <v>1624.97</v>
      </c>
      <c r="Z492" s="9" t="s">
        <v>2081</v>
      </c>
      <c r="AA492" t="s">
        <v>2065</v>
      </c>
      <c r="AB492" s="11">
        <v>0</v>
      </c>
      <c r="AC492" t="s">
        <v>2065</v>
      </c>
      <c r="AD492" s="13">
        <v>10</v>
      </c>
      <c r="AE492" s="9">
        <v>6664.0999999999995</v>
      </c>
      <c r="AF492" s="9">
        <v>2975.8999999999996</v>
      </c>
      <c r="AG492" s="9">
        <v>3688.2</v>
      </c>
      <c r="AH492" s="11">
        <v>0.55344307558409989</v>
      </c>
      <c r="AI492" s="9">
        <f>SUMIFS(AD492:AD1123, R492:R1123, S492)</f>
        <v>0</v>
      </c>
      <c r="AJ492" s="11" t="e">
        <f>SUMIFS(AD492:AD1123, R492:R1123, S492, AD492:AD1123, "&gt;" &amp; AE492) / AI492</f>
        <v>#DIV/0!</v>
      </c>
      <c r="AK492" s="7" t="e">
        <f>IF(AJ492&lt;=0.8,"A",IF(Table2[[#This Row],[Cumulative rev]]&lt;=0.95,"B","C"))</f>
        <v>#DIV/0!</v>
      </c>
    </row>
    <row r="493" spans="1:37" x14ac:dyDescent="0.3">
      <c r="A493" t="s">
        <v>506</v>
      </c>
      <c r="B493" s="4">
        <v>45861</v>
      </c>
      <c r="C493" s="4" t="s">
        <v>2104</v>
      </c>
      <c r="D493" s="4" t="s">
        <v>2101</v>
      </c>
      <c r="E493" s="4">
        <v>45888</v>
      </c>
      <c r="F493" t="s">
        <v>2064</v>
      </c>
      <c r="G493" s="4">
        <v>45888</v>
      </c>
      <c r="H493" s="4">
        <f>_xlfn.MINIFS(B493:B1124, N493:N1124, N493)</f>
        <v>44988</v>
      </c>
      <c r="I493" s="4" t="str">
        <f t="shared" si="14"/>
        <v>Mar-2023</v>
      </c>
      <c r="J493" s="13">
        <f t="shared" si="15"/>
        <v>29</v>
      </c>
      <c r="K493" s="13">
        <v>27</v>
      </c>
      <c r="L493" s="30" t="str">
        <f>IF(Table2[[#This Row],[LeadTimeDays]]&lt;7,"1","0")</f>
        <v>0</v>
      </c>
      <c r="M493" s="7" t="s">
        <v>647</v>
      </c>
      <c r="N493" s="7" t="s">
        <v>652</v>
      </c>
      <c r="O493" s="7" t="s">
        <v>694</v>
      </c>
      <c r="P493" s="7" t="s">
        <v>704</v>
      </c>
      <c r="Q493" s="7" t="s">
        <v>709</v>
      </c>
      <c r="R493" s="7" t="s">
        <v>717</v>
      </c>
      <c r="S493" s="7" t="s">
        <v>733</v>
      </c>
      <c r="T493" s="7" t="s">
        <v>1918</v>
      </c>
      <c r="U493" s="9">
        <v>896.09</v>
      </c>
      <c r="V493" s="9">
        <v>744.27</v>
      </c>
      <c r="W493" s="9">
        <v>744.27</v>
      </c>
      <c r="X493" s="9">
        <v>902.34130000000005</v>
      </c>
      <c r="Y493" s="9">
        <v>1625.2250000000001</v>
      </c>
      <c r="Z493" s="9" t="s">
        <v>2081</v>
      </c>
      <c r="AA493" t="s">
        <v>2065</v>
      </c>
      <c r="AB493" s="11">
        <v>8.3000000000000004E-2</v>
      </c>
      <c r="AC493" t="s">
        <v>2065</v>
      </c>
      <c r="AD493" s="13">
        <v>11</v>
      </c>
      <c r="AE493" s="9">
        <v>7507.4514899999995</v>
      </c>
      <c r="AF493" s="9">
        <v>9856.99</v>
      </c>
      <c r="AG493" s="9">
        <v>-2349.5385100000003</v>
      </c>
      <c r="AH493" s="11">
        <v>-0.31296086469950679</v>
      </c>
      <c r="AI493" s="9">
        <f>SUMIFS(AD493:AD1124, R493:R1124, S493)</f>
        <v>0</v>
      </c>
      <c r="AJ493" s="11" t="e">
        <f>SUMIFS(AD493:AD1124, R493:R1124, S493, AD493:AD1124, "&gt;" &amp; AE493) / AI493</f>
        <v>#DIV/0!</v>
      </c>
      <c r="AK493" s="7" t="e">
        <f>IF(AJ493&lt;=0.8,"A",IF(Table2[[#This Row],[Cumulative rev]]&lt;=0.95,"B","C"))</f>
        <v>#DIV/0!</v>
      </c>
    </row>
    <row r="494" spans="1:37" x14ac:dyDescent="0.3">
      <c r="A494" t="s">
        <v>507</v>
      </c>
      <c r="B494" s="4">
        <v>45352</v>
      </c>
      <c r="C494" s="4" t="s">
        <v>2079</v>
      </c>
      <c r="D494" s="4" t="s">
        <v>2080</v>
      </c>
      <c r="E494" s="4">
        <v>45351</v>
      </c>
      <c r="F494" t="s">
        <v>2066</v>
      </c>
      <c r="G494" s="4">
        <v>45352</v>
      </c>
      <c r="H494" s="4">
        <f>_xlfn.MINIFS(B494:B1125, N494:N1125, N494)</f>
        <v>44955</v>
      </c>
      <c r="I494" s="4" t="str">
        <f t="shared" si="14"/>
        <v>Jan-2023</v>
      </c>
      <c r="J494" s="13">
        <f t="shared" si="15"/>
        <v>14</v>
      </c>
      <c r="K494" s="13">
        <v>0</v>
      </c>
      <c r="L494" s="30" t="str">
        <f>IF(Table2[[#This Row],[LeadTimeDays]]&lt;7,"1","0")</f>
        <v>1</v>
      </c>
      <c r="M494" s="7" t="s">
        <v>648</v>
      </c>
      <c r="N494" s="7" t="s">
        <v>655</v>
      </c>
      <c r="O494" s="7" t="s">
        <v>670</v>
      </c>
      <c r="P494" s="7" t="s">
        <v>703</v>
      </c>
      <c r="Q494" s="7" t="s">
        <v>711</v>
      </c>
      <c r="R494" s="7" t="s">
        <v>714</v>
      </c>
      <c r="S494" s="7" t="s">
        <v>730</v>
      </c>
      <c r="T494" s="7" t="s">
        <v>1919</v>
      </c>
      <c r="U494" s="9">
        <v>5.34</v>
      </c>
      <c r="V494" s="9">
        <v>12.69</v>
      </c>
      <c r="W494" s="9">
        <v>12.69</v>
      </c>
      <c r="X494" s="9">
        <v>926.93200000000002</v>
      </c>
      <c r="Y494" s="9">
        <v>1625.8176000000001</v>
      </c>
      <c r="Z494" s="9" t="s">
        <v>2081</v>
      </c>
      <c r="AA494" t="s">
        <v>2065</v>
      </c>
      <c r="AB494" s="11">
        <v>0.13200000000000001</v>
      </c>
      <c r="AC494" t="s">
        <v>2065</v>
      </c>
      <c r="AD494" s="13">
        <v>10</v>
      </c>
      <c r="AE494" s="9">
        <v>110.14919999999999</v>
      </c>
      <c r="AF494" s="9">
        <v>53.4</v>
      </c>
      <c r="AG494" s="9">
        <v>56.749199999999995</v>
      </c>
      <c r="AH494" s="11">
        <v>0.51520301554618642</v>
      </c>
      <c r="AI494" s="9">
        <f>SUMIFS(AD494:AD1125, R494:R1125, S494)</f>
        <v>0</v>
      </c>
      <c r="AJ494" s="11" t="e">
        <f>SUMIFS(AD494:AD1125, R494:R1125, S494, AD494:AD1125, "&gt;" &amp; AE494) / AI494</f>
        <v>#DIV/0!</v>
      </c>
      <c r="AK494" s="7" t="e">
        <f>IF(AJ494&lt;=0.8,"A",IF(Table2[[#This Row],[Cumulative rev]]&lt;=0.95,"B","C"))</f>
        <v>#DIV/0!</v>
      </c>
    </row>
    <row r="495" spans="1:37" x14ac:dyDescent="0.3">
      <c r="A495" t="s">
        <v>508</v>
      </c>
      <c r="B495" s="4">
        <v>45439</v>
      </c>
      <c r="C495" s="4" t="s">
        <v>2093</v>
      </c>
      <c r="D495" s="4" t="s">
        <v>2094</v>
      </c>
      <c r="E495" s="4">
        <v>45460</v>
      </c>
      <c r="F495" t="s">
        <v>2064</v>
      </c>
      <c r="G495" s="4">
        <v>45460</v>
      </c>
      <c r="H495" s="4">
        <f>_xlfn.MINIFS(B495:B1126, N495:N1126, N495)</f>
        <v>45048</v>
      </c>
      <c r="I495" s="4" t="str">
        <f t="shared" si="14"/>
        <v>May-2023</v>
      </c>
      <c r="J495" s="13">
        <f t="shared" si="15"/>
        <v>13</v>
      </c>
      <c r="K495" s="13">
        <v>21</v>
      </c>
      <c r="L495" s="30" t="str">
        <f>IF(Table2[[#This Row],[LeadTimeDays]]&lt;7,"1","0")</f>
        <v>0</v>
      </c>
      <c r="M495" s="7" t="s">
        <v>647</v>
      </c>
      <c r="N495" s="7" t="s">
        <v>654</v>
      </c>
      <c r="O495" s="7" t="s">
        <v>680</v>
      </c>
      <c r="P495" s="7" t="s">
        <v>705</v>
      </c>
      <c r="Q495" s="7" t="s">
        <v>708</v>
      </c>
      <c r="R495" s="7" t="s">
        <v>722</v>
      </c>
      <c r="S495" s="7" t="s">
        <v>733</v>
      </c>
      <c r="T495" s="7" t="s">
        <v>1920</v>
      </c>
      <c r="U495" s="9">
        <v>465.02</v>
      </c>
      <c r="V495" s="9">
        <v>651.55999999999995</v>
      </c>
      <c r="W495" s="9">
        <v>651.55999999999995</v>
      </c>
      <c r="X495" s="9">
        <v>949.64530000000002</v>
      </c>
      <c r="Y495" s="9">
        <v>1627.5074000000002</v>
      </c>
      <c r="Z495" s="9" t="s">
        <v>2081</v>
      </c>
      <c r="AA495" t="s">
        <v>2065</v>
      </c>
      <c r="AB495" s="11">
        <v>4.2000000000000003E-2</v>
      </c>
      <c r="AC495" t="s">
        <v>2065</v>
      </c>
      <c r="AD495" s="13">
        <v>19</v>
      </c>
      <c r="AE495" s="9">
        <v>11859.695119999998</v>
      </c>
      <c r="AF495" s="9">
        <v>8835.3799999999992</v>
      </c>
      <c r="AG495" s="9">
        <v>3024.3151199999993</v>
      </c>
      <c r="AH495" s="11">
        <v>0.25500783025187918</v>
      </c>
      <c r="AI495" s="9">
        <f>SUMIFS(AD495:AD1126, R495:R1126, S495)</f>
        <v>0</v>
      </c>
      <c r="AJ495" s="11" t="e">
        <f>SUMIFS(AD495:AD1126, R495:R1126, S495, AD495:AD1126, "&gt;" &amp; AE495) / AI495</f>
        <v>#DIV/0!</v>
      </c>
      <c r="AK495" s="7" t="e">
        <f>IF(AJ495&lt;=0.8,"A",IF(Table2[[#This Row],[Cumulative rev]]&lt;=0.95,"B","C"))</f>
        <v>#DIV/0!</v>
      </c>
    </row>
    <row r="496" spans="1:37" x14ac:dyDescent="0.3">
      <c r="A496" t="s">
        <v>509</v>
      </c>
      <c r="B496" s="4">
        <v>45508</v>
      </c>
      <c r="C496" s="4" t="s">
        <v>2113</v>
      </c>
      <c r="D496" s="4" t="s">
        <v>2106</v>
      </c>
      <c r="E496" s="4">
        <v>45521</v>
      </c>
      <c r="F496" t="s">
        <v>2064</v>
      </c>
      <c r="G496" s="4">
        <v>45521</v>
      </c>
      <c r="H496" s="4">
        <f>_xlfn.MINIFS(B496:B1127, N496:N1127, N496)</f>
        <v>44984</v>
      </c>
      <c r="I496" s="4" t="str">
        <f t="shared" si="14"/>
        <v>Feb-2023</v>
      </c>
      <c r="J496" s="13">
        <f t="shared" si="15"/>
        <v>18</v>
      </c>
      <c r="K496" s="13">
        <v>13</v>
      </c>
      <c r="L496" s="30" t="str">
        <f>IF(Table2[[#This Row],[LeadTimeDays]]&lt;7,"1","0")</f>
        <v>0</v>
      </c>
      <c r="M496" s="7" t="s">
        <v>648</v>
      </c>
      <c r="N496" s="7" t="s">
        <v>1425</v>
      </c>
      <c r="O496" s="7" t="s">
        <v>697</v>
      </c>
      <c r="P496" s="7" t="s">
        <v>704</v>
      </c>
      <c r="Q496" s="7" t="s">
        <v>707</v>
      </c>
      <c r="R496" s="7" t="s">
        <v>726</v>
      </c>
      <c r="S496" s="7" t="s">
        <v>732</v>
      </c>
      <c r="T496" s="7" t="s">
        <v>1921</v>
      </c>
      <c r="U496" s="9">
        <v>352.79</v>
      </c>
      <c r="V496" s="9">
        <v>754.22</v>
      </c>
      <c r="W496" s="9">
        <v>754.22</v>
      </c>
      <c r="X496" s="9">
        <v>955.62840000000006</v>
      </c>
      <c r="Y496" s="9">
        <v>1629.1972000000001</v>
      </c>
      <c r="Z496" s="9" t="s">
        <v>2081</v>
      </c>
      <c r="AA496" t="s">
        <v>2065</v>
      </c>
      <c r="AB496" s="11">
        <v>0.113</v>
      </c>
      <c r="AC496" t="s">
        <v>2065</v>
      </c>
      <c r="AD496" s="13">
        <v>7</v>
      </c>
      <c r="AE496" s="9">
        <v>4682.9519799999998</v>
      </c>
      <c r="AF496" s="9">
        <v>2469.5300000000002</v>
      </c>
      <c r="AG496" s="9">
        <v>2213.4219799999996</v>
      </c>
      <c r="AH496" s="11">
        <v>0.47265528014233443</v>
      </c>
      <c r="AI496" s="9">
        <f>SUMIFS(AD496:AD1127, R496:R1127, S496)</f>
        <v>0</v>
      </c>
      <c r="AJ496" s="11" t="e">
        <f>SUMIFS(AD496:AD1127, R496:R1127, S496, AD496:AD1127, "&gt;" &amp; AE496) / AI496</f>
        <v>#DIV/0!</v>
      </c>
      <c r="AK496" s="7" t="e">
        <f>IF(AJ496&lt;=0.8,"A",IF(Table2[[#This Row],[Cumulative rev]]&lt;=0.95,"B","C"))</f>
        <v>#DIV/0!</v>
      </c>
    </row>
    <row r="497" spans="1:37" x14ac:dyDescent="0.3">
      <c r="A497" t="s">
        <v>510</v>
      </c>
      <c r="B497" s="4">
        <v>45097</v>
      </c>
      <c r="C497" s="4" t="s">
        <v>2115</v>
      </c>
      <c r="D497" s="4" t="s">
        <v>2103</v>
      </c>
      <c r="E497" s="4">
        <v>45111</v>
      </c>
      <c r="F497" t="s">
        <v>2064</v>
      </c>
      <c r="G497" s="4">
        <v>45111</v>
      </c>
      <c r="H497" s="4">
        <f>_xlfn.MINIFS(B497:B1128, N497:N1128, N497)</f>
        <v>44955</v>
      </c>
      <c r="I497" s="4" t="str">
        <f t="shared" si="14"/>
        <v>Jan-2023</v>
      </c>
      <c r="J497" s="13">
        <f t="shared" si="15"/>
        <v>5</v>
      </c>
      <c r="K497" s="13">
        <v>14</v>
      </c>
      <c r="L497" s="30" t="str">
        <f>IF(Table2[[#This Row],[LeadTimeDays]]&lt;7,"1","0")</f>
        <v>0</v>
      </c>
      <c r="M497" s="7" t="s">
        <v>648</v>
      </c>
      <c r="N497" s="7" t="s">
        <v>655</v>
      </c>
      <c r="O497" s="7" t="s">
        <v>672</v>
      </c>
      <c r="P497" s="7" t="s">
        <v>703</v>
      </c>
      <c r="Q497" s="7" t="s">
        <v>711</v>
      </c>
      <c r="R497" s="7" t="s">
        <v>712</v>
      </c>
      <c r="S497" s="7" t="s">
        <v>729</v>
      </c>
      <c r="T497" s="7" t="s">
        <v>1922</v>
      </c>
      <c r="U497" s="9">
        <v>1292.8599999999999</v>
      </c>
      <c r="V497" s="9">
        <v>2981.01</v>
      </c>
      <c r="W497" s="9">
        <v>2981.01</v>
      </c>
      <c r="X497" s="9">
        <v>959.89550000000008</v>
      </c>
      <c r="Y497" s="9">
        <v>1631.8990000000001</v>
      </c>
      <c r="Z497" s="9" t="s">
        <v>2095</v>
      </c>
      <c r="AA497" t="s">
        <v>2065</v>
      </c>
      <c r="AB497" s="11">
        <v>0.14199999999999999</v>
      </c>
      <c r="AC497" t="s">
        <v>2065</v>
      </c>
      <c r="AD497" s="13">
        <v>12</v>
      </c>
      <c r="AE497" s="9">
        <v>30692.47896</v>
      </c>
      <c r="AF497" s="9">
        <v>15514.32</v>
      </c>
      <c r="AG497" s="9">
        <v>15178.158960000001</v>
      </c>
      <c r="AH497" s="11">
        <v>0.49452372288927687</v>
      </c>
      <c r="AI497" s="9">
        <f>SUMIFS(AD497:AD1128, R497:R1128, S497)</f>
        <v>0</v>
      </c>
      <c r="AJ497" s="11" t="e">
        <f>SUMIFS(AD497:AD1128, R497:R1128, S497, AD497:AD1128, "&gt;" &amp; AE497) / AI497</f>
        <v>#DIV/0!</v>
      </c>
      <c r="AK497" s="7" t="e">
        <f>IF(AJ497&lt;=0.8,"A",IF(Table2[[#This Row],[Cumulative rev]]&lt;=0.95,"B","C"))</f>
        <v>#DIV/0!</v>
      </c>
    </row>
    <row r="498" spans="1:37" x14ac:dyDescent="0.3">
      <c r="A498" t="s">
        <v>511</v>
      </c>
      <c r="B498" s="4">
        <v>45544</v>
      </c>
      <c r="C498" s="4" t="s">
        <v>2122</v>
      </c>
      <c r="D498" s="4" t="s">
        <v>2106</v>
      </c>
      <c r="E498" s="4">
        <v>45548</v>
      </c>
      <c r="F498" t="s">
        <v>2064</v>
      </c>
      <c r="G498" s="4">
        <v>45548</v>
      </c>
      <c r="H498" s="4">
        <f>_xlfn.MINIFS(B498:B1129, N498:N1129, N498)</f>
        <v>45026</v>
      </c>
      <c r="I498" s="4" t="str">
        <f t="shared" si="14"/>
        <v>Apr-2023</v>
      </c>
      <c r="J498" s="13">
        <f t="shared" si="15"/>
        <v>17</v>
      </c>
      <c r="K498" s="13">
        <v>4</v>
      </c>
      <c r="L498" s="30" t="str">
        <f>IF(Table2[[#This Row],[LeadTimeDays]]&lt;7,"1","0")</f>
        <v>1</v>
      </c>
      <c r="M498" s="7" t="s">
        <v>649</v>
      </c>
      <c r="N498" s="7" t="s">
        <v>658</v>
      </c>
      <c r="O498" s="7" t="s">
        <v>683</v>
      </c>
      <c r="P498" s="7" t="s">
        <v>704</v>
      </c>
      <c r="Q498" s="7" t="s">
        <v>709</v>
      </c>
      <c r="R498" s="7" t="s">
        <v>721</v>
      </c>
      <c r="S498" s="7" t="s">
        <v>729</v>
      </c>
      <c r="T498" s="7" t="s">
        <v>1923</v>
      </c>
      <c r="U498" s="9">
        <v>1133.08</v>
      </c>
      <c r="V498" s="9">
        <v>976.17</v>
      </c>
      <c r="W498" s="9">
        <v>976.17</v>
      </c>
      <c r="X498" s="9">
        <v>957.97820000000002</v>
      </c>
      <c r="Y498" s="9">
        <v>1627.6068</v>
      </c>
      <c r="Z498" s="9" t="s">
        <v>2092</v>
      </c>
      <c r="AA498" t="s">
        <v>2065</v>
      </c>
      <c r="AB498" s="11">
        <v>4.2000000000000003E-2</v>
      </c>
      <c r="AC498" t="s">
        <v>2065</v>
      </c>
      <c r="AD498" s="13">
        <v>27</v>
      </c>
      <c r="AE498" s="9">
        <v>25249.613219999999</v>
      </c>
      <c r="AF498" s="9">
        <v>30593.159999999996</v>
      </c>
      <c r="AG498" s="9">
        <v>-5343.5467799999969</v>
      </c>
      <c r="AH498" s="11">
        <v>-0.21162885678452373</v>
      </c>
      <c r="AI498" s="9">
        <f>SUMIFS(AD498:AD1129, R498:R1129, S498)</f>
        <v>0</v>
      </c>
      <c r="AJ498" s="11" t="e">
        <f>SUMIFS(AD498:AD1129, R498:R1129, S498, AD498:AD1129, "&gt;" &amp; AE498) / AI498</f>
        <v>#DIV/0!</v>
      </c>
      <c r="AK498" s="7" t="e">
        <f>IF(AJ498&lt;=0.8,"A",IF(Table2[[#This Row],[Cumulative rev]]&lt;=0.95,"B","C"))</f>
        <v>#DIV/0!</v>
      </c>
    </row>
    <row r="499" spans="1:37" x14ac:dyDescent="0.3">
      <c r="A499" t="s">
        <v>512</v>
      </c>
      <c r="B499" s="4">
        <v>45224</v>
      </c>
      <c r="C499" s="4" t="s">
        <v>2125</v>
      </c>
      <c r="D499" s="4" t="s">
        <v>2089</v>
      </c>
      <c r="E499" s="4">
        <v>45227</v>
      </c>
      <c r="F499" t="s">
        <v>2064</v>
      </c>
      <c r="G499" s="4">
        <v>45227</v>
      </c>
      <c r="H499" s="4">
        <f>_xlfn.MINIFS(B499:B1130, N499:N1130, N499)</f>
        <v>44955</v>
      </c>
      <c r="I499" s="4" t="str">
        <f t="shared" si="14"/>
        <v>Jan-2023</v>
      </c>
      <c r="J499" s="13">
        <f t="shared" si="15"/>
        <v>9</v>
      </c>
      <c r="K499" s="13">
        <v>3</v>
      </c>
      <c r="L499" s="30" t="str">
        <f>IF(Table2[[#This Row],[LeadTimeDays]]&lt;7,"1","0")</f>
        <v>1</v>
      </c>
      <c r="M499" s="7" t="s">
        <v>648</v>
      </c>
      <c r="N499" s="7" t="s">
        <v>655</v>
      </c>
      <c r="O499" s="7" t="s">
        <v>672</v>
      </c>
      <c r="P499" s="7" t="s">
        <v>701</v>
      </c>
      <c r="Q499" s="7" t="s">
        <v>710</v>
      </c>
      <c r="R499" s="7" t="s">
        <v>716</v>
      </c>
      <c r="S499" s="7" t="s">
        <v>733</v>
      </c>
      <c r="T499" s="7" t="s">
        <v>1924</v>
      </c>
      <c r="U499" s="9">
        <v>509.31</v>
      </c>
      <c r="V499" s="9">
        <v>1145.9000000000001</v>
      </c>
      <c r="W499" s="9">
        <v>1145.9000000000001</v>
      </c>
      <c r="X499" s="9">
        <v>955.71770000000004</v>
      </c>
      <c r="Y499" s="9">
        <v>1629.2966000000001</v>
      </c>
      <c r="Z499" s="9" t="s">
        <v>2092</v>
      </c>
      <c r="AA499" t="s">
        <v>2065</v>
      </c>
      <c r="AB499" s="11">
        <v>5.7000000000000002E-2</v>
      </c>
      <c r="AC499" t="s">
        <v>2065</v>
      </c>
      <c r="AD499" s="13">
        <v>8</v>
      </c>
      <c r="AE499" s="9">
        <v>8644.6696000000011</v>
      </c>
      <c r="AF499" s="9">
        <v>4074.48</v>
      </c>
      <c r="AG499" s="9">
        <v>4570.1896000000015</v>
      </c>
      <c r="AH499" s="11">
        <v>0.52867140231709964</v>
      </c>
      <c r="AI499" s="9">
        <f>SUMIFS(AD499:AD1130, R499:R1130, S499)</f>
        <v>0</v>
      </c>
      <c r="AJ499" s="11" t="e">
        <f>SUMIFS(AD499:AD1130, R499:R1130, S499, AD499:AD1130, "&gt;" &amp; AE499) / AI499</f>
        <v>#DIV/0!</v>
      </c>
      <c r="AK499" s="7" t="e">
        <f>IF(AJ499&lt;=0.8,"A",IF(Table2[[#This Row],[Cumulative rev]]&lt;=0.95,"B","C"))</f>
        <v>#DIV/0!</v>
      </c>
    </row>
    <row r="500" spans="1:37" x14ac:dyDescent="0.3">
      <c r="A500" t="s">
        <v>513</v>
      </c>
      <c r="B500" s="4">
        <v>45908</v>
      </c>
      <c r="C500" s="4" t="s">
        <v>2100</v>
      </c>
      <c r="D500" s="4" t="s">
        <v>2101</v>
      </c>
      <c r="E500" s="4">
        <v>45935</v>
      </c>
      <c r="F500" t="s">
        <v>2064</v>
      </c>
      <c r="G500" s="4">
        <v>45935</v>
      </c>
      <c r="H500" s="4">
        <f>_xlfn.MINIFS(B500:B1131, N500:N1131, N500)</f>
        <v>44955</v>
      </c>
      <c r="I500" s="4" t="str">
        <f t="shared" si="14"/>
        <v>Jan-2023</v>
      </c>
      <c r="J500" s="13">
        <f t="shared" si="15"/>
        <v>32</v>
      </c>
      <c r="K500" s="13">
        <v>27</v>
      </c>
      <c r="L500" s="30" t="str">
        <f>IF(Table2[[#This Row],[LeadTimeDays]]&lt;7,"1","0")</f>
        <v>0</v>
      </c>
      <c r="M500" s="7" t="s">
        <v>648</v>
      </c>
      <c r="N500" s="7" t="s">
        <v>655</v>
      </c>
      <c r="O500" s="7" t="s">
        <v>1426</v>
      </c>
      <c r="P500" s="7" t="s">
        <v>702</v>
      </c>
      <c r="Q500" s="7" t="s">
        <v>708</v>
      </c>
      <c r="R500" s="7" t="s">
        <v>712</v>
      </c>
      <c r="S500" s="7" t="s">
        <v>732</v>
      </c>
      <c r="T500" s="7" t="s">
        <v>1925</v>
      </c>
      <c r="U500" s="9">
        <v>660.78</v>
      </c>
      <c r="V500" s="9">
        <v>1630.39</v>
      </c>
      <c r="W500" s="9">
        <v>1630.39</v>
      </c>
      <c r="X500" s="9">
        <v>952.77080000000001</v>
      </c>
      <c r="Y500" s="9">
        <v>1632.2008000000001</v>
      </c>
      <c r="Z500" s="9" t="s">
        <v>2092</v>
      </c>
      <c r="AA500" t="s">
        <v>2065</v>
      </c>
      <c r="AB500" s="11">
        <v>0.218</v>
      </c>
      <c r="AC500" t="s">
        <v>2065</v>
      </c>
      <c r="AD500" s="13">
        <v>13</v>
      </c>
      <c r="AE500" s="9">
        <v>16574.544740000001</v>
      </c>
      <c r="AF500" s="9">
        <v>8590.14</v>
      </c>
      <c r="AG500" s="9">
        <v>7984.4047400000018</v>
      </c>
      <c r="AH500" s="11">
        <v>0.48172694123724097</v>
      </c>
      <c r="AI500" s="9">
        <f>SUMIFS(AD500:AD1131, R500:R1131, S500)</f>
        <v>0</v>
      </c>
      <c r="AJ500" s="11" t="e">
        <f>SUMIFS(AD500:AD1131, R500:R1131, S500, AD500:AD1131, "&gt;" &amp; AE500) / AI500</f>
        <v>#DIV/0!</v>
      </c>
      <c r="AK500" s="7" t="e">
        <f>IF(AJ500&lt;=0.8,"A",IF(Table2[[#This Row],[Cumulative rev]]&lt;=0.95,"B","C"))</f>
        <v>#DIV/0!</v>
      </c>
    </row>
    <row r="501" spans="1:37" x14ac:dyDescent="0.3">
      <c r="A501" t="s">
        <v>514</v>
      </c>
      <c r="B501" s="4">
        <v>45048</v>
      </c>
      <c r="C501" s="4" t="s">
        <v>2107</v>
      </c>
      <c r="D501" s="4" t="s">
        <v>2103</v>
      </c>
      <c r="E501" s="4">
        <v>45062</v>
      </c>
      <c r="F501" t="s">
        <v>2064</v>
      </c>
      <c r="G501" s="4">
        <v>45062</v>
      </c>
      <c r="H501" s="4">
        <f>_xlfn.MINIFS(B501:B1132, N501:N1132, N501)</f>
        <v>45048</v>
      </c>
      <c r="I501" s="4" t="str">
        <f t="shared" si="14"/>
        <v>May-2023</v>
      </c>
      <c r="J501" s="13">
        <f t="shared" si="15"/>
        <v>1</v>
      </c>
      <c r="K501" s="13">
        <v>14</v>
      </c>
      <c r="L501" s="30" t="str">
        <f>IF(Table2[[#This Row],[LeadTimeDays]]&lt;7,"1","0")</f>
        <v>0</v>
      </c>
      <c r="M501" s="7" t="s">
        <v>647</v>
      </c>
      <c r="N501" s="7" t="s">
        <v>654</v>
      </c>
      <c r="O501" s="7" t="s">
        <v>668</v>
      </c>
      <c r="P501" s="7" t="s">
        <v>703</v>
      </c>
      <c r="Q501" s="7" t="s">
        <v>707</v>
      </c>
      <c r="R501" s="7" t="s">
        <v>716</v>
      </c>
      <c r="S501" s="7" t="s">
        <v>732</v>
      </c>
      <c r="T501" s="7" t="s">
        <v>1926</v>
      </c>
      <c r="U501" s="9">
        <v>475.37</v>
      </c>
      <c r="V501" s="9">
        <v>963.73</v>
      </c>
      <c r="W501" s="9">
        <v>963.73</v>
      </c>
      <c r="X501" s="9">
        <v>949.82389999999998</v>
      </c>
      <c r="Y501" s="9">
        <v>1634.6476000000002</v>
      </c>
      <c r="Z501" s="9" t="s">
        <v>2092</v>
      </c>
      <c r="AA501" t="s">
        <v>2065</v>
      </c>
      <c r="AB501" s="11">
        <v>4.1000000000000002E-2</v>
      </c>
      <c r="AC501" t="s">
        <v>2065</v>
      </c>
      <c r="AD501" s="13">
        <v>22</v>
      </c>
      <c r="AE501" s="9">
        <v>20332.775539999999</v>
      </c>
      <c r="AF501" s="9">
        <v>10458.14</v>
      </c>
      <c r="AG501" s="9">
        <v>9874.6355399999993</v>
      </c>
      <c r="AH501" s="11">
        <v>0.48565113604750881</v>
      </c>
      <c r="AI501" s="9">
        <f>SUMIFS(AD501:AD1132, R501:R1132, S501)</f>
        <v>0</v>
      </c>
      <c r="AJ501" s="11" t="e">
        <f>SUMIFS(AD501:AD1132, R501:R1132, S501, AD501:AD1132, "&gt;" &amp; AE501) / AI501</f>
        <v>#DIV/0!</v>
      </c>
      <c r="AK501" s="7" t="e">
        <f>IF(AJ501&lt;=0.8,"A",IF(Table2[[#This Row],[Cumulative rev]]&lt;=0.95,"B","C"))</f>
        <v>#DIV/0!</v>
      </c>
    </row>
    <row r="502" spans="1:37" x14ac:dyDescent="0.3">
      <c r="A502" t="s">
        <v>515</v>
      </c>
      <c r="B502" s="4">
        <v>45408</v>
      </c>
      <c r="C502" s="4" t="s">
        <v>2112</v>
      </c>
      <c r="D502" s="4" t="s">
        <v>2094</v>
      </c>
      <c r="E502" s="4">
        <v>45406</v>
      </c>
      <c r="F502" t="s">
        <v>2066</v>
      </c>
      <c r="G502" s="4">
        <v>45408</v>
      </c>
      <c r="H502" s="4">
        <f>_xlfn.MINIFS(B502:B1133, N502:N1133, N502)</f>
        <v>45026</v>
      </c>
      <c r="I502" s="4" t="str">
        <f t="shared" si="14"/>
        <v>Apr-2023</v>
      </c>
      <c r="J502" s="13">
        <f t="shared" si="15"/>
        <v>13</v>
      </c>
      <c r="K502" s="13">
        <v>0</v>
      </c>
      <c r="L502" s="30" t="str">
        <f>IF(Table2[[#This Row],[LeadTimeDays]]&lt;7,"1","0")</f>
        <v>1</v>
      </c>
      <c r="M502" s="7" t="s">
        <v>649</v>
      </c>
      <c r="N502" s="7" t="s">
        <v>658</v>
      </c>
      <c r="O502" s="7" t="s">
        <v>683</v>
      </c>
      <c r="P502" s="7" t="s">
        <v>703</v>
      </c>
      <c r="Q502" s="7" t="s">
        <v>710</v>
      </c>
      <c r="R502" s="7" t="s">
        <v>725</v>
      </c>
      <c r="S502" s="7" t="s">
        <v>730</v>
      </c>
      <c r="T502" s="7" t="s">
        <v>1927</v>
      </c>
      <c r="U502" s="9">
        <v>1232.77</v>
      </c>
      <c r="V502" s="9">
        <v>891.73</v>
      </c>
      <c r="W502" s="9">
        <v>891.73</v>
      </c>
      <c r="X502" s="9">
        <v>943.2399999999999</v>
      </c>
      <c r="Y502" s="9">
        <v>1641.4680000000001</v>
      </c>
      <c r="Z502" s="9" t="s">
        <v>2081</v>
      </c>
      <c r="AA502" t="s">
        <v>2065</v>
      </c>
      <c r="AB502" s="11">
        <v>0.16700000000000001</v>
      </c>
      <c r="AC502" t="s">
        <v>2065</v>
      </c>
      <c r="AD502" s="13">
        <v>10</v>
      </c>
      <c r="AE502" s="9">
        <v>7428.1108999999988</v>
      </c>
      <c r="AF502" s="9">
        <v>12327.7</v>
      </c>
      <c r="AG502" s="9">
        <v>-4899.589100000002</v>
      </c>
      <c r="AH502" s="11">
        <v>-0.65960096260813805</v>
      </c>
      <c r="AI502" s="9">
        <f>SUMIFS(AD502:AD1133, R502:R1133, S502)</f>
        <v>0</v>
      </c>
      <c r="AJ502" s="11" t="e">
        <f>SUMIFS(AD502:AD1133, R502:R1133, S502, AD502:AD1133, "&gt;" &amp; AE502) / AI502</f>
        <v>#DIV/0!</v>
      </c>
      <c r="AK502" s="7" t="e">
        <f>IF(AJ502&lt;=0.8,"A",IF(Table2[[#This Row],[Cumulative rev]]&lt;=0.95,"B","C"))</f>
        <v>#DIV/0!</v>
      </c>
    </row>
    <row r="503" spans="1:37" x14ac:dyDescent="0.3">
      <c r="A503" t="s">
        <v>516</v>
      </c>
      <c r="B503" s="4">
        <v>44980</v>
      </c>
      <c r="C503" s="4" t="s">
        <v>2084</v>
      </c>
      <c r="D503" s="4" t="s">
        <v>2085</v>
      </c>
      <c r="E503" s="4">
        <v>45003</v>
      </c>
      <c r="F503" t="s">
        <v>2064</v>
      </c>
      <c r="G503" s="4">
        <v>45003</v>
      </c>
      <c r="H503" s="4">
        <f>_xlfn.MINIFS(B503:B1134, N503:N1134, N503)</f>
        <v>44938</v>
      </c>
      <c r="I503" s="4" t="str">
        <f t="shared" si="14"/>
        <v>Jan-2023</v>
      </c>
      <c r="J503" s="13">
        <f t="shared" si="15"/>
        <v>2</v>
      </c>
      <c r="K503" s="13">
        <v>23</v>
      </c>
      <c r="L503" s="30" t="str">
        <f>IF(Table2[[#This Row],[LeadTimeDays]]&lt;7,"1","0")</f>
        <v>0</v>
      </c>
      <c r="M503" s="7" t="s">
        <v>647</v>
      </c>
      <c r="N503" s="7" t="s">
        <v>659</v>
      </c>
      <c r="O503" s="7" t="s">
        <v>699</v>
      </c>
      <c r="P503" s="7" t="s">
        <v>702</v>
      </c>
      <c r="Q503" s="7" t="s">
        <v>710</v>
      </c>
      <c r="R503" s="7" t="s">
        <v>723</v>
      </c>
      <c r="S503" s="7" t="s">
        <v>728</v>
      </c>
      <c r="T503" s="7" t="s">
        <v>1928</v>
      </c>
      <c r="U503" s="9">
        <v>770.11</v>
      </c>
      <c r="V503" s="9">
        <v>1667.82</v>
      </c>
      <c r="W503" s="9">
        <v>1667.82</v>
      </c>
      <c r="X503" s="9">
        <v>952.86009999999999</v>
      </c>
      <c r="Y503" s="9">
        <v>1647.3616</v>
      </c>
      <c r="Z503" s="9" t="s">
        <v>2095</v>
      </c>
      <c r="AA503" t="s">
        <v>2065</v>
      </c>
      <c r="AB503" s="11">
        <v>6.9000000000000006E-2</v>
      </c>
      <c r="AC503" t="s">
        <v>2065</v>
      </c>
      <c r="AD503" s="13">
        <v>7</v>
      </c>
      <c r="AE503" s="9">
        <v>10869.182940000001</v>
      </c>
      <c r="AF503" s="9">
        <v>5390.77</v>
      </c>
      <c r="AG503" s="9">
        <v>5478.4129400000002</v>
      </c>
      <c r="AH503" s="11">
        <v>0.50403171703355287</v>
      </c>
      <c r="AI503" s="9">
        <f>SUMIFS(AD503:AD1134, R503:R1134, S503)</f>
        <v>0</v>
      </c>
      <c r="AJ503" s="11" t="e">
        <f>SUMIFS(AD503:AD1134, R503:R1134, S503, AD503:AD1134, "&gt;" &amp; AE503) / AI503</f>
        <v>#DIV/0!</v>
      </c>
      <c r="AK503" s="7" t="e">
        <f>IF(AJ503&lt;=0.8,"A",IF(Table2[[#This Row],[Cumulative rev]]&lt;=0.95,"B","C"))</f>
        <v>#DIV/0!</v>
      </c>
    </row>
    <row r="504" spans="1:37" x14ac:dyDescent="0.3">
      <c r="A504" t="s">
        <v>517</v>
      </c>
      <c r="B504" s="4">
        <v>45740</v>
      </c>
      <c r="C504" s="4" t="s">
        <v>2086</v>
      </c>
      <c r="D504" s="4" t="s">
        <v>2087</v>
      </c>
      <c r="E504" s="4">
        <v>45741</v>
      </c>
      <c r="F504" t="s">
        <v>2064</v>
      </c>
      <c r="G504" s="4">
        <v>45741</v>
      </c>
      <c r="H504" s="4">
        <f>_xlfn.MINIFS(B504:B1135, N504:N1135, N504)</f>
        <v>44938</v>
      </c>
      <c r="I504" s="4" t="str">
        <f t="shared" si="14"/>
        <v>Jan-2023</v>
      </c>
      <c r="J504" s="13">
        <f t="shared" si="15"/>
        <v>27</v>
      </c>
      <c r="K504" s="13">
        <v>1</v>
      </c>
      <c r="L504" s="30" t="str">
        <f>IF(Table2[[#This Row],[LeadTimeDays]]&lt;7,"1","0")</f>
        <v>1</v>
      </c>
      <c r="M504" s="7" t="s">
        <v>647</v>
      </c>
      <c r="N504" s="7" t="s">
        <v>659</v>
      </c>
      <c r="O504" s="7" t="s">
        <v>699</v>
      </c>
      <c r="P504" s="7" t="s">
        <v>703</v>
      </c>
      <c r="Q504" s="7" t="s">
        <v>708</v>
      </c>
      <c r="R504" s="7" t="s">
        <v>715</v>
      </c>
      <c r="S504" s="7" t="s">
        <v>729</v>
      </c>
      <c r="T504" s="7" t="s">
        <v>1929</v>
      </c>
      <c r="U504" s="9">
        <v>1133.03</v>
      </c>
      <c r="V504" s="9">
        <v>1921.51</v>
      </c>
      <c r="W504" s="9">
        <v>1921.51</v>
      </c>
      <c r="X504" s="9">
        <v>949.91319999999996</v>
      </c>
      <c r="Y504" s="9">
        <v>1635.0488</v>
      </c>
      <c r="Z504" s="9" t="s">
        <v>2095</v>
      </c>
      <c r="AA504" t="s">
        <v>2065</v>
      </c>
      <c r="AB504" s="11">
        <v>0.10100000000000001</v>
      </c>
      <c r="AC504" t="s">
        <v>2065</v>
      </c>
      <c r="AD504" s="13">
        <v>5</v>
      </c>
      <c r="AE504" s="9">
        <v>8637.1874499999994</v>
      </c>
      <c r="AF504" s="9">
        <v>5665.15</v>
      </c>
      <c r="AG504" s="9">
        <v>2972.0374499999998</v>
      </c>
      <c r="AH504" s="11">
        <v>0.3440978289755654</v>
      </c>
      <c r="AI504" s="9">
        <f>SUMIFS(AD504:AD1135, R504:R1135, S504)</f>
        <v>0</v>
      </c>
      <c r="AJ504" s="11" t="e">
        <f>SUMIFS(AD504:AD1135, R504:R1135, S504, AD504:AD1135, "&gt;" &amp; AE504) / AI504</f>
        <v>#DIV/0!</v>
      </c>
      <c r="AK504" s="7" t="e">
        <f>IF(AJ504&lt;=0.8,"A",IF(Table2[[#This Row],[Cumulative rev]]&lt;=0.95,"B","C"))</f>
        <v>#DIV/0!</v>
      </c>
    </row>
    <row r="505" spans="1:37" x14ac:dyDescent="0.3">
      <c r="A505" t="s">
        <v>518</v>
      </c>
      <c r="B505" s="4">
        <v>45726</v>
      </c>
      <c r="C505" s="4" t="s">
        <v>2086</v>
      </c>
      <c r="D505" s="4" t="s">
        <v>2087</v>
      </c>
      <c r="E505" s="4">
        <v>45743</v>
      </c>
      <c r="F505" t="s">
        <v>2064</v>
      </c>
      <c r="G505" s="4">
        <v>45743</v>
      </c>
      <c r="H505" s="4">
        <f>_xlfn.MINIFS(B505:B1136, N505:N1136, N505)</f>
        <v>44955</v>
      </c>
      <c r="I505" s="4" t="str">
        <f t="shared" si="14"/>
        <v>Jan-2023</v>
      </c>
      <c r="J505" s="13">
        <f t="shared" si="15"/>
        <v>26</v>
      </c>
      <c r="K505" s="13">
        <v>17</v>
      </c>
      <c r="L505" s="30" t="str">
        <f>IF(Table2[[#This Row],[LeadTimeDays]]&lt;7,"1","0")</f>
        <v>0</v>
      </c>
      <c r="M505" s="7" t="s">
        <v>648</v>
      </c>
      <c r="N505" s="7" t="s">
        <v>655</v>
      </c>
      <c r="O505" s="7" t="s">
        <v>1426</v>
      </c>
      <c r="P505" s="7" t="s">
        <v>706</v>
      </c>
      <c r="Q505" s="7" t="s">
        <v>711</v>
      </c>
      <c r="R505" s="7" t="s">
        <v>721</v>
      </c>
      <c r="S505" s="7" t="s">
        <v>729</v>
      </c>
      <c r="T505" s="7" t="s">
        <v>1930</v>
      </c>
      <c r="U505" s="9">
        <v>996.73</v>
      </c>
      <c r="V505" s="9">
        <v>1217.43</v>
      </c>
      <c r="W505" s="9">
        <v>1217.43</v>
      </c>
      <c r="X505" s="9">
        <v>943.69300000000021</v>
      </c>
      <c r="Y505" s="9">
        <v>1625.2850000000001</v>
      </c>
      <c r="Z505" s="9" t="s">
        <v>2092</v>
      </c>
      <c r="AA505" t="s">
        <v>2065</v>
      </c>
      <c r="AB505" s="11">
        <v>7.0000000000000007E-2</v>
      </c>
      <c r="AC505" t="s">
        <v>2065</v>
      </c>
      <c r="AD505" s="13">
        <v>9</v>
      </c>
      <c r="AE505" s="9">
        <v>10189.8891</v>
      </c>
      <c r="AF505" s="9">
        <v>8970.57</v>
      </c>
      <c r="AG505" s="9">
        <v>1219.3191000000006</v>
      </c>
      <c r="AH505" s="11">
        <v>0.11965970267527255</v>
      </c>
      <c r="AI505" s="9">
        <f>SUMIFS(AD505:AD1136, R505:R1136, S505)</f>
        <v>0</v>
      </c>
      <c r="AJ505" s="11" t="e">
        <f>SUMIFS(AD505:AD1136, R505:R1136, S505, AD505:AD1136, "&gt;" &amp; AE505) / AI505</f>
        <v>#DIV/0!</v>
      </c>
      <c r="AK505" s="7" t="e">
        <f>IF(AJ505&lt;=0.8,"A",IF(Table2[[#This Row],[Cumulative rev]]&lt;=0.95,"B","C"))</f>
        <v>#DIV/0!</v>
      </c>
    </row>
    <row r="506" spans="1:37" x14ac:dyDescent="0.3">
      <c r="A506" t="s">
        <v>519</v>
      </c>
      <c r="B506" s="4">
        <v>45387</v>
      </c>
      <c r="C506" s="4" t="s">
        <v>2112</v>
      </c>
      <c r="D506" s="4" t="s">
        <v>2094</v>
      </c>
      <c r="E506" s="4">
        <v>45391</v>
      </c>
      <c r="F506" t="s">
        <v>2064</v>
      </c>
      <c r="G506" s="4">
        <v>45391</v>
      </c>
      <c r="H506" s="4">
        <f>_xlfn.MINIFS(B506:B1137, N506:N1137, N506)</f>
        <v>44968</v>
      </c>
      <c r="I506" s="4" t="str">
        <f t="shared" si="14"/>
        <v>Feb-2023</v>
      </c>
      <c r="J506" s="13">
        <f t="shared" si="15"/>
        <v>14</v>
      </c>
      <c r="K506" s="13">
        <v>4</v>
      </c>
      <c r="L506" s="30" t="str">
        <f>IF(Table2[[#This Row],[LeadTimeDays]]&lt;7,"1","0")</f>
        <v>1</v>
      </c>
      <c r="M506" s="7" t="s">
        <v>646</v>
      </c>
      <c r="N506" s="7" t="s">
        <v>651</v>
      </c>
      <c r="O506" s="7" t="s">
        <v>665</v>
      </c>
      <c r="P506" s="7" t="s">
        <v>703</v>
      </c>
      <c r="Q506" s="7" t="s">
        <v>711</v>
      </c>
      <c r="R506" s="7" t="s">
        <v>723</v>
      </c>
      <c r="S506" s="7" t="s">
        <v>727</v>
      </c>
      <c r="T506" s="7" t="s">
        <v>1931</v>
      </c>
      <c r="U506" s="9">
        <v>395.07</v>
      </c>
      <c r="V506" s="9">
        <v>970.27</v>
      </c>
      <c r="W506" s="9">
        <v>970.27</v>
      </c>
      <c r="X506" s="9">
        <v>928.74400000000026</v>
      </c>
      <c r="Y506" s="9">
        <v>1628.6296000000002</v>
      </c>
      <c r="Z506" s="9" t="s">
        <v>2092</v>
      </c>
      <c r="AA506" t="s">
        <v>2065</v>
      </c>
      <c r="AB506" s="11">
        <v>0.123</v>
      </c>
      <c r="AC506" t="s">
        <v>2065</v>
      </c>
      <c r="AD506" s="13">
        <v>38</v>
      </c>
      <c r="AE506" s="9">
        <v>32335.21802</v>
      </c>
      <c r="AF506" s="9">
        <v>15012.66</v>
      </c>
      <c r="AG506" s="9">
        <v>17322.55802</v>
      </c>
      <c r="AH506" s="11">
        <v>0.53571799049833657</v>
      </c>
      <c r="AI506" s="9">
        <f>SUMIFS(AD506:AD1137, R506:R1137, S506)</f>
        <v>0</v>
      </c>
      <c r="AJ506" s="11" t="e">
        <f>SUMIFS(AD506:AD1137, R506:R1137, S506, AD506:AD1137, "&gt;" &amp; AE506) / AI506</f>
        <v>#DIV/0!</v>
      </c>
      <c r="AK506" s="7" t="e">
        <f>IF(AJ506&lt;=0.8,"A",IF(Table2[[#This Row],[Cumulative rev]]&lt;=0.95,"B","C"))</f>
        <v>#DIV/0!</v>
      </c>
    </row>
    <row r="507" spans="1:37" x14ac:dyDescent="0.3">
      <c r="A507" t="s">
        <v>520</v>
      </c>
      <c r="B507" s="4">
        <v>45774</v>
      </c>
      <c r="C507" s="4" t="s">
        <v>2111</v>
      </c>
      <c r="D507" s="4" t="s">
        <v>2097</v>
      </c>
      <c r="E507" s="4">
        <v>45794</v>
      </c>
      <c r="F507" t="s">
        <v>2064</v>
      </c>
      <c r="G507" s="4">
        <v>45794</v>
      </c>
      <c r="H507" s="4">
        <f>_xlfn.MINIFS(B507:B1138, N507:N1138, N507)</f>
        <v>44984</v>
      </c>
      <c r="I507" s="4" t="str">
        <f t="shared" si="14"/>
        <v>Feb-2023</v>
      </c>
      <c r="J507" s="13">
        <f t="shared" si="15"/>
        <v>27</v>
      </c>
      <c r="K507" s="13">
        <v>20</v>
      </c>
      <c r="L507" s="30" t="str">
        <f>IF(Table2[[#This Row],[LeadTimeDays]]&lt;7,"1","0")</f>
        <v>0</v>
      </c>
      <c r="M507" s="7" t="s">
        <v>648</v>
      </c>
      <c r="N507" s="7" t="s">
        <v>1425</v>
      </c>
      <c r="O507" s="7" t="s">
        <v>697</v>
      </c>
      <c r="P507" s="7" t="s">
        <v>701</v>
      </c>
      <c r="Q507" s="7" t="s">
        <v>711</v>
      </c>
      <c r="R507" s="7" t="s">
        <v>725</v>
      </c>
      <c r="S507" s="7" t="s">
        <v>730</v>
      </c>
      <c r="T507" s="7" t="s">
        <v>1932</v>
      </c>
      <c r="U507" s="9">
        <v>932.26</v>
      </c>
      <c r="V507" s="9">
        <v>1624.67</v>
      </c>
      <c r="W507" s="9">
        <v>1624.67</v>
      </c>
      <c r="X507" s="9">
        <v>913.79500000000007</v>
      </c>
      <c r="Y507" s="9">
        <v>1635.45</v>
      </c>
      <c r="Z507" s="9" t="s">
        <v>2092</v>
      </c>
      <c r="AA507" t="s">
        <v>2065</v>
      </c>
      <c r="AB507" s="11">
        <v>0.23499999999999999</v>
      </c>
      <c r="AC507" t="s">
        <v>2065</v>
      </c>
      <c r="AD507" s="13">
        <v>28</v>
      </c>
      <c r="AE507" s="9">
        <v>34800.431400000001</v>
      </c>
      <c r="AF507" s="9">
        <v>26103.279999999999</v>
      </c>
      <c r="AG507" s="9">
        <v>8697.1514000000025</v>
      </c>
      <c r="AH507" s="11">
        <v>0.24991504559337163</v>
      </c>
      <c r="AI507" s="9">
        <f>SUMIFS(AD507:AD1138, R507:R1138, S507)</f>
        <v>0</v>
      </c>
      <c r="AJ507" s="11" t="e">
        <f>SUMIFS(AD507:AD1138, R507:R1138, S507, AD507:AD1138, "&gt;" &amp; AE507) / AI507</f>
        <v>#DIV/0!</v>
      </c>
      <c r="AK507" s="7" t="e">
        <f>IF(AJ507&lt;=0.8,"A",IF(Table2[[#This Row],[Cumulative rev]]&lt;=0.95,"B","C"))</f>
        <v>#DIV/0!</v>
      </c>
    </row>
    <row r="508" spans="1:37" x14ac:dyDescent="0.3">
      <c r="A508" t="s">
        <v>521</v>
      </c>
      <c r="B508" s="4">
        <v>45589</v>
      </c>
      <c r="C508" s="4" t="s">
        <v>2082</v>
      </c>
      <c r="D508" s="4" t="s">
        <v>2083</v>
      </c>
      <c r="E508" s="4">
        <v>45593</v>
      </c>
      <c r="F508" t="s">
        <v>2064</v>
      </c>
      <c r="G508" s="4">
        <v>45593</v>
      </c>
      <c r="H508" s="4">
        <f>_xlfn.MINIFS(B508:B1139, N508:N1139, N508)</f>
        <v>44938</v>
      </c>
      <c r="I508" s="4" t="str">
        <f t="shared" si="14"/>
        <v>Jan-2023</v>
      </c>
      <c r="J508" s="13">
        <f t="shared" si="15"/>
        <v>22</v>
      </c>
      <c r="K508" s="13">
        <v>4</v>
      </c>
      <c r="L508" s="30" t="str">
        <f>IF(Table2[[#This Row],[LeadTimeDays]]&lt;7,"1","0")</f>
        <v>1</v>
      </c>
      <c r="M508" s="7" t="s">
        <v>647</v>
      </c>
      <c r="N508" s="7" t="s">
        <v>659</v>
      </c>
      <c r="O508" s="7" t="s">
        <v>685</v>
      </c>
      <c r="P508" s="7" t="s">
        <v>705</v>
      </c>
      <c r="Q508" s="7" t="s">
        <v>710</v>
      </c>
      <c r="R508" s="7" t="s">
        <v>714</v>
      </c>
      <c r="S508" s="7" t="s">
        <v>729</v>
      </c>
      <c r="T508" s="7" t="s">
        <v>1933</v>
      </c>
      <c r="U508" s="9">
        <v>1331.77</v>
      </c>
      <c r="V508" s="9">
        <v>2606.11</v>
      </c>
      <c r="W508" s="9">
        <v>2606.11</v>
      </c>
      <c r="X508" s="9">
        <v>902.39080000000001</v>
      </c>
      <c r="Y508" s="9">
        <v>1642.2704000000001</v>
      </c>
      <c r="Z508" s="9" t="s">
        <v>2095</v>
      </c>
      <c r="AA508" t="s">
        <v>2065</v>
      </c>
      <c r="AB508" s="11">
        <v>0.02</v>
      </c>
      <c r="AC508" t="s">
        <v>2065</v>
      </c>
      <c r="AD508" s="13">
        <v>6</v>
      </c>
      <c r="AE508" s="9">
        <v>15323.926799999999</v>
      </c>
      <c r="AF508" s="9">
        <v>7990.62</v>
      </c>
      <c r="AG508" s="9">
        <v>7333.3067999999994</v>
      </c>
      <c r="AH508" s="11">
        <v>0.47855271665745619</v>
      </c>
      <c r="AI508" s="9">
        <f>SUMIFS(AD508:AD1139, R508:R1139, S508)</f>
        <v>0</v>
      </c>
      <c r="AJ508" s="11" t="e">
        <f>SUMIFS(AD508:AD1139, R508:R1139, S508, AD508:AD1139, "&gt;" &amp; AE508) / AI508</f>
        <v>#DIV/0!</v>
      </c>
      <c r="AK508" s="7" t="e">
        <f>IF(AJ508&lt;=0.8,"A",IF(Table2[[#This Row],[Cumulative rev]]&lt;=0.95,"B","C"))</f>
        <v>#DIV/0!</v>
      </c>
    </row>
    <row r="509" spans="1:37" x14ac:dyDescent="0.3">
      <c r="A509" t="s">
        <v>522</v>
      </c>
      <c r="B509" s="4">
        <v>45029</v>
      </c>
      <c r="C509" s="4" t="s">
        <v>2102</v>
      </c>
      <c r="D509" s="4" t="s">
        <v>2103</v>
      </c>
      <c r="E509" s="4">
        <v>45036</v>
      </c>
      <c r="F509" t="s">
        <v>2064</v>
      </c>
      <c r="G509" s="4">
        <v>45036</v>
      </c>
      <c r="H509" s="4">
        <f>_xlfn.MINIFS(B509:B1140, N509:N1140, N509)</f>
        <v>45019</v>
      </c>
      <c r="I509" s="4" t="str">
        <f t="shared" si="14"/>
        <v>Apr-2023</v>
      </c>
      <c r="J509" s="13">
        <f t="shared" si="15"/>
        <v>1</v>
      </c>
      <c r="K509" s="13">
        <v>7</v>
      </c>
      <c r="L509" s="30" t="str">
        <f>IF(Table2[[#This Row],[LeadTimeDays]]&lt;7,"1","0")</f>
        <v>0</v>
      </c>
      <c r="M509" s="7" t="s">
        <v>649</v>
      </c>
      <c r="N509" s="7" t="s">
        <v>657</v>
      </c>
      <c r="O509" s="7" t="s">
        <v>679</v>
      </c>
      <c r="P509" s="7" t="s">
        <v>705</v>
      </c>
      <c r="Q509" s="7" t="s">
        <v>708</v>
      </c>
      <c r="R509" s="7" t="s">
        <v>720</v>
      </c>
      <c r="S509" s="7" t="s">
        <v>731</v>
      </c>
      <c r="T509" s="7" t="s">
        <v>1934</v>
      </c>
      <c r="U509" s="9">
        <v>227.02</v>
      </c>
      <c r="V509" s="9">
        <v>434.72</v>
      </c>
      <c r="W509" s="9">
        <v>434.72</v>
      </c>
      <c r="X509" s="9">
        <v>902.06410000000005</v>
      </c>
      <c r="Y509" s="9">
        <v>1629.0308000000002</v>
      </c>
      <c r="Z509" s="9" t="s">
        <v>2081</v>
      </c>
      <c r="AA509" t="s">
        <v>2065</v>
      </c>
      <c r="AB509" s="11">
        <v>9.8000000000000004E-2</v>
      </c>
      <c r="AC509" t="s">
        <v>2065</v>
      </c>
      <c r="AD509" s="13">
        <v>10</v>
      </c>
      <c r="AE509" s="9">
        <v>3921.1744000000008</v>
      </c>
      <c r="AF509" s="9">
        <v>2270.2000000000003</v>
      </c>
      <c r="AG509" s="9">
        <v>1650.9744000000005</v>
      </c>
      <c r="AH509" s="11">
        <v>0.42104079838938052</v>
      </c>
      <c r="AI509" s="9">
        <f>SUMIFS(AD509:AD1140, R509:R1140, S509)</f>
        <v>0</v>
      </c>
      <c r="AJ509" s="11" t="e">
        <f>SUMIFS(AD509:AD1140, R509:R1140, S509, AD509:AD1140, "&gt;" &amp; AE509) / AI509</f>
        <v>#DIV/0!</v>
      </c>
      <c r="AK509" s="7" t="e">
        <f>IF(AJ509&lt;=0.8,"A",IF(Table2[[#This Row],[Cumulative rev]]&lt;=0.95,"B","C"))</f>
        <v>#DIV/0!</v>
      </c>
    </row>
    <row r="510" spans="1:37" x14ac:dyDescent="0.3">
      <c r="A510" t="s">
        <v>523</v>
      </c>
      <c r="B510" s="4">
        <v>45608</v>
      </c>
      <c r="C510" s="4" t="s">
        <v>2110</v>
      </c>
      <c r="D510" s="4" t="s">
        <v>2083</v>
      </c>
      <c r="E510" s="4">
        <v>45617</v>
      </c>
      <c r="F510" t="s">
        <v>2064</v>
      </c>
      <c r="G510" s="4">
        <v>45617</v>
      </c>
      <c r="H510" s="4">
        <f>_xlfn.MINIFS(B510:B1141, N510:N1141, N510)</f>
        <v>45053</v>
      </c>
      <c r="I510" s="4" t="str">
        <f t="shared" si="14"/>
        <v>May-2023</v>
      </c>
      <c r="J510" s="13">
        <f t="shared" si="15"/>
        <v>19</v>
      </c>
      <c r="K510" s="13">
        <v>9</v>
      </c>
      <c r="L510" s="30" t="str">
        <f>IF(Table2[[#This Row],[LeadTimeDays]]&lt;7,"1","0")</f>
        <v>0</v>
      </c>
      <c r="M510" s="7" t="s">
        <v>647</v>
      </c>
      <c r="N510" s="7" t="s">
        <v>654</v>
      </c>
      <c r="O510" s="7" t="s">
        <v>691</v>
      </c>
      <c r="P510" s="7" t="s">
        <v>701</v>
      </c>
      <c r="Q510" s="7" t="s">
        <v>711</v>
      </c>
      <c r="R510" s="7" t="s">
        <v>722</v>
      </c>
      <c r="S510" s="7" t="s">
        <v>731</v>
      </c>
      <c r="T510" s="7" t="s">
        <v>1935</v>
      </c>
      <c r="U510" s="9">
        <v>903.41</v>
      </c>
      <c r="V510" s="9">
        <v>1860.41</v>
      </c>
      <c r="W510" s="9">
        <v>1860.41</v>
      </c>
      <c r="X510" s="9">
        <v>914.24800000000027</v>
      </c>
      <c r="Y510" s="9">
        <v>1635.8512000000003</v>
      </c>
      <c r="Z510" s="9" t="s">
        <v>2095</v>
      </c>
      <c r="AA510" t="s">
        <v>2065</v>
      </c>
      <c r="AB510" s="11">
        <v>0.108</v>
      </c>
      <c r="AC510" t="s">
        <v>2065</v>
      </c>
      <c r="AD510" s="13">
        <v>5</v>
      </c>
      <c r="AE510" s="9">
        <v>8297.4286000000011</v>
      </c>
      <c r="AF510" s="9">
        <v>4517.05</v>
      </c>
      <c r="AG510" s="9">
        <v>3780.3786000000009</v>
      </c>
      <c r="AH510" s="11">
        <v>0.455608451996803</v>
      </c>
      <c r="AI510" s="9">
        <f>SUMIFS(AD510:AD1141, R510:R1141, S510)</f>
        <v>0</v>
      </c>
      <c r="AJ510" s="11" t="e">
        <f>SUMIFS(AD510:AD1141, R510:R1141, S510, AD510:AD1141, "&gt;" &amp; AE510) / AI510</f>
        <v>#DIV/0!</v>
      </c>
      <c r="AK510" s="7" t="e">
        <f>IF(AJ510&lt;=0.8,"A",IF(Table2[[#This Row],[Cumulative rev]]&lt;=0.95,"B","C"))</f>
        <v>#DIV/0!</v>
      </c>
    </row>
    <row r="511" spans="1:37" x14ac:dyDescent="0.3">
      <c r="A511" t="s">
        <v>524</v>
      </c>
      <c r="B511" s="4">
        <v>45056</v>
      </c>
      <c r="C511" s="4" t="s">
        <v>2107</v>
      </c>
      <c r="D511" s="4" t="s">
        <v>2103</v>
      </c>
      <c r="E511" s="4">
        <v>45060</v>
      </c>
      <c r="F511" t="s">
        <v>2064</v>
      </c>
      <c r="G511" s="4">
        <v>45060</v>
      </c>
      <c r="H511" s="4">
        <f>_xlfn.MINIFS(B511:B1142, N511:N1142, N511)</f>
        <v>45053</v>
      </c>
      <c r="I511" s="4" t="str">
        <f t="shared" si="14"/>
        <v>May-2023</v>
      </c>
      <c r="J511" s="13">
        <f t="shared" si="15"/>
        <v>1</v>
      </c>
      <c r="K511" s="13">
        <v>4</v>
      </c>
      <c r="L511" s="30" t="str">
        <f>IF(Table2[[#This Row],[LeadTimeDays]]&lt;7,"1","0")</f>
        <v>1</v>
      </c>
      <c r="M511" s="7" t="s">
        <v>647</v>
      </c>
      <c r="N511" s="7" t="s">
        <v>654</v>
      </c>
      <c r="O511" s="7" t="s">
        <v>680</v>
      </c>
      <c r="P511" s="7" t="s">
        <v>703</v>
      </c>
      <c r="Q511" s="7" t="s">
        <v>710</v>
      </c>
      <c r="R511" s="7" t="s">
        <v>712</v>
      </c>
      <c r="S511" s="7" t="s">
        <v>732</v>
      </c>
      <c r="T511" s="7" t="s">
        <v>1936</v>
      </c>
      <c r="U511" s="9">
        <v>622.6</v>
      </c>
      <c r="V511" s="9">
        <v>833.69</v>
      </c>
      <c r="W511" s="9">
        <v>833.69</v>
      </c>
      <c r="X511" s="9">
        <v>902.40070000000003</v>
      </c>
      <c r="Y511" s="9">
        <v>1621.2340000000002</v>
      </c>
      <c r="Z511" s="9" t="s">
        <v>2081</v>
      </c>
      <c r="AA511" t="s">
        <v>2065</v>
      </c>
      <c r="AB511" s="11">
        <v>0.20899999999999999</v>
      </c>
      <c r="AC511" t="s">
        <v>2065</v>
      </c>
      <c r="AD511" s="13">
        <v>14</v>
      </c>
      <c r="AE511" s="9">
        <v>9232.2830599999998</v>
      </c>
      <c r="AF511" s="9">
        <v>8716.4</v>
      </c>
      <c r="AG511" s="9">
        <v>515.88306000000011</v>
      </c>
      <c r="AH511" s="11">
        <v>5.5878167582959715E-2</v>
      </c>
      <c r="AI511" s="9">
        <f>SUMIFS(AD511:AD1142, R511:R1142, S511)</f>
        <v>0</v>
      </c>
      <c r="AJ511" s="11" t="e">
        <f>SUMIFS(AD511:AD1142, R511:R1142, S511, AD511:AD1142, "&gt;" &amp; AE511) / AI511</f>
        <v>#DIV/0!</v>
      </c>
      <c r="AK511" s="7" t="e">
        <f>IF(AJ511&lt;=0.8,"A",IF(Table2[[#This Row],[Cumulative rev]]&lt;=0.95,"B","C"))</f>
        <v>#DIV/0!</v>
      </c>
    </row>
    <row r="512" spans="1:37" x14ac:dyDescent="0.3">
      <c r="A512" t="s">
        <v>525</v>
      </c>
      <c r="B512" s="4">
        <v>45353</v>
      </c>
      <c r="C512" s="4" t="s">
        <v>2079</v>
      </c>
      <c r="D512" s="4" t="s">
        <v>2080</v>
      </c>
      <c r="E512" s="4">
        <v>45374</v>
      </c>
      <c r="F512" t="s">
        <v>2064</v>
      </c>
      <c r="G512" s="4">
        <v>45374</v>
      </c>
      <c r="H512" s="4">
        <f>_xlfn.MINIFS(B512:B1143, N512:N1143, N512)</f>
        <v>44984</v>
      </c>
      <c r="I512" s="4" t="str">
        <f t="shared" si="14"/>
        <v>Feb-2023</v>
      </c>
      <c r="J512" s="13">
        <f t="shared" si="15"/>
        <v>13</v>
      </c>
      <c r="K512" s="13">
        <v>21</v>
      </c>
      <c r="L512" s="30" t="str">
        <f>IF(Table2[[#This Row],[LeadTimeDays]]&lt;7,"1","0")</f>
        <v>0</v>
      </c>
      <c r="M512" s="7" t="s">
        <v>648</v>
      </c>
      <c r="N512" s="7" t="s">
        <v>1425</v>
      </c>
      <c r="O512" s="7" t="s">
        <v>677</v>
      </c>
      <c r="P512" s="7" t="s">
        <v>705</v>
      </c>
      <c r="Q512" s="7" t="s">
        <v>708</v>
      </c>
      <c r="R512" s="7" t="s">
        <v>721</v>
      </c>
      <c r="S512" s="7" t="s">
        <v>727</v>
      </c>
      <c r="T512" s="7" t="s">
        <v>1937</v>
      </c>
      <c r="U512" s="9">
        <v>225.01</v>
      </c>
      <c r="V512" s="9">
        <v>333.48</v>
      </c>
      <c r="W512" s="9">
        <v>333.48</v>
      </c>
      <c r="X512" s="9">
        <v>929.65000000000009</v>
      </c>
      <c r="Y512" s="9">
        <v>1629.432</v>
      </c>
      <c r="Z512" s="9" t="s">
        <v>2081</v>
      </c>
      <c r="AA512" t="s">
        <v>2065</v>
      </c>
      <c r="AB512" s="11">
        <v>0.11899999999999999</v>
      </c>
      <c r="AC512" t="s">
        <v>2065</v>
      </c>
      <c r="AD512" s="13">
        <v>12</v>
      </c>
      <c r="AE512" s="9">
        <v>3525.5505600000001</v>
      </c>
      <c r="AF512" s="9">
        <v>2700.12</v>
      </c>
      <c r="AG512" s="9">
        <v>825.43056000000024</v>
      </c>
      <c r="AH512" s="11">
        <v>0.23412813004729685</v>
      </c>
      <c r="AI512" s="9">
        <f>SUMIFS(AD512:AD1143, R512:R1143, S512)</f>
        <v>0</v>
      </c>
      <c r="AJ512" s="11" t="e">
        <f>SUMIFS(AD512:AD1143, R512:R1143, S512, AD512:AD1143, "&gt;" &amp; AE512) / AI512</f>
        <v>#DIV/0!</v>
      </c>
      <c r="AK512" s="7" t="e">
        <f>IF(AJ512&lt;=0.8,"A",IF(Table2[[#This Row],[Cumulative rev]]&lt;=0.95,"B","C"))</f>
        <v>#DIV/0!</v>
      </c>
    </row>
    <row r="513" spans="1:37" x14ac:dyDescent="0.3">
      <c r="A513" t="s">
        <v>526</v>
      </c>
      <c r="B513" s="4">
        <v>45575</v>
      </c>
      <c r="C513" s="4" t="s">
        <v>2082</v>
      </c>
      <c r="D513" s="4" t="s">
        <v>2083</v>
      </c>
      <c r="E513" s="4">
        <v>45576</v>
      </c>
      <c r="F513" t="s">
        <v>2064</v>
      </c>
      <c r="G513" s="4">
        <v>45576</v>
      </c>
      <c r="H513" s="4">
        <f>_xlfn.MINIFS(B513:B1144, N513:N1144, N513)</f>
        <v>45026</v>
      </c>
      <c r="I513" s="4" t="str">
        <f t="shared" si="14"/>
        <v>Apr-2023</v>
      </c>
      <c r="J513" s="13">
        <f t="shared" si="15"/>
        <v>19</v>
      </c>
      <c r="K513" s="13">
        <v>1</v>
      </c>
      <c r="L513" s="30" t="str">
        <f>IF(Table2[[#This Row],[LeadTimeDays]]&lt;7,"1","0")</f>
        <v>1</v>
      </c>
      <c r="M513" s="7" t="s">
        <v>649</v>
      </c>
      <c r="N513" s="7" t="s">
        <v>658</v>
      </c>
      <c r="O513" s="7" t="s">
        <v>693</v>
      </c>
      <c r="P513" s="7" t="s">
        <v>703</v>
      </c>
      <c r="Q513" s="7" t="s">
        <v>710</v>
      </c>
      <c r="R513" s="7" t="s">
        <v>716</v>
      </c>
      <c r="S513" s="7" t="s">
        <v>727</v>
      </c>
      <c r="T513" s="7" t="s">
        <v>1938</v>
      </c>
      <c r="U513" s="9">
        <v>1389.46</v>
      </c>
      <c r="V513" s="9">
        <v>1784.7</v>
      </c>
      <c r="W513" s="9">
        <v>1784.7</v>
      </c>
      <c r="X513" s="9">
        <v>950.18110000000001</v>
      </c>
      <c r="Y513" s="9">
        <v>1636.2524000000001</v>
      </c>
      <c r="Z513" s="9" t="s">
        <v>2095</v>
      </c>
      <c r="AA513" t="s">
        <v>2065</v>
      </c>
      <c r="AB513" s="11">
        <v>0.14599999999999999</v>
      </c>
      <c r="AC513" t="s">
        <v>2065</v>
      </c>
      <c r="AD513" s="13">
        <v>33</v>
      </c>
      <c r="AE513" s="9">
        <v>50296.415399999998</v>
      </c>
      <c r="AF513" s="9">
        <v>45852.18</v>
      </c>
      <c r="AG513" s="9">
        <v>4444.2353999999978</v>
      </c>
      <c r="AH513" s="11">
        <v>8.8360877503011831E-2</v>
      </c>
      <c r="AI513" s="9">
        <f>SUMIFS(AD513:AD1144, R513:R1144, S513)</f>
        <v>0</v>
      </c>
      <c r="AJ513" s="11" t="e">
        <f>SUMIFS(AD513:AD1144, R513:R1144, S513, AD513:AD1144, "&gt;" &amp; AE513) / AI513</f>
        <v>#DIV/0!</v>
      </c>
      <c r="AK513" s="7" t="e">
        <f>IF(AJ513&lt;=0.8,"A",IF(Table2[[#This Row],[Cumulative rev]]&lt;=0.95,"B","C"))</f>
        <v>#DIV/0!</v>
      </c>
    </row>
    <row r="514" spans="1:37" x14ac:dyDescent="0.3">
      <c r="A514" t="s">
        <v>527</v>
      </c>
      <c r="B514" s="4">
        <v>45078</v>
      </c>
      <c r="C514" s="4" t="s">
        <v>2115</v>
      </c>
      <c r="D514" s="4" t="s">
        <v>2103</v>
      </c>
      <c r="E514" s="4">
        <v>45085</v>
      </c>
      <c r="F514" t="s">
        <v>2064</v>
      </c>
      <c r="G514" s="4">
        <v>45085</v>
      </c>
      <c r="H514" s="4">
        <f>_xlfn.MINIFS(B514:B1145, N514:N1145, N514)</f>
        <v>44952</v>
      </c>
      <c r="I514" s="4" t="str">
        <f t="shared" si="14"/>
        <v>Jan-2023</v>
      </c>
      <c r="J514" s="13">
        <f t="shared" si="15"/>
        <v>5</v>
      </c>
      <c r="K514" s="13">
        <v>7</v>
      </c>
      <c r="L514" s="30" t="str">
        <f>IF(Table2[[#This Row],[LeadTimeDays]]&lt;7,"1","0")</f>
        <v>0</v>
      </c>
      <c r="M514" s="7" t="s">
        <v>649</v>
      </c>
      <c r="N514" s="7" t="s">
        <v>656</v>
      </c>
      <c r="O514" s="7" t="s">
        <v>698</v>
      </c>
      <c r="P514" s="7" t="s">
        <v>704</v>
      </c>
      <c r="Q514" s="7" t="s">
        <v>708</v>
      </c>
      <c r="R514" s="7" t="s">
        <v>720</v>
      </c>
      <c r="S514" s="7" t="s">
        <v>730</v>
      </c>
      <c r="T514" s="7" t="s">
        <v>1939</v>
      </c>
      <c r="U514" s="9">
        <v>804.17</v>
      </c>
      <c r="V514" s="9">
        <v>1072.29</v>
      </c>
      <c r="W514" s="9">
        <v>1072.29</v>
      </c>
      <c r="X514" s="9">
        <v>945.05200000000025</v>
      </c>
      <c r="Y514" s="9">
        <v>1621.8320000000003</v>
      </c>
      <c r="Z514" s="9" t="s">
        <v>2092</v>
      </c>
      <c r="AA514" t="s">
        <v>2065</v>
      </c>
      <c r="AB514" s="11">
        <v>3.2000000000000001E-2</v>
      </c>
      <c r="AC514" t="s">
        <v>2065</v>
      </c>
      <c r="AD514" s="13">
        <v>5</v>
      </c>
      <c r="AE514" s="9">
        <v>5189.8836000000001</v>
      </c>
      <c r="AF514" s="9">
        <v>4020.85</v>
      </c>
      <c r="AG514" s="9">
        <v>1169.0336000000002</v>
      </c>
      <c r="AH514" s="11">
        <v>0.2252523736755869</v>
      </c>
      <c r="AI514" s="9">
        <f>SUMIFS(AD514:AD1145, R514:R1145, S514)</f>
        <v>0</v>
      </c>
      <c r="AJ514" s="11" t="e">
        <f>SUMIFS(AD514:AD1145, R514:R1145, S514, AD514:AD1145, "&gt;" &amp; AE514) / AI514</f>
        <v>#DIV/0!</v>
      </c>
      <c r="AK514" s="7" t="e">
        <f>IF(AJ514&lt;=0.8,"A",IF(Table2[[#This Row],[Cumulative rev]]&lt;=0.95,"B","C"))</f>
        <v>#DIV/0!</v>
      </c>
    </row>
    <row r="515" spans="1:37" x14ac:dyDescent="0.3">
      <c r="A515" t="s">
        <v>528</v>
      </c>
      <c r="B515" s="4">
        <v>45661</v>
      </c>
      <c r="C515" s="4" t="s">
        <v>2099</v>
      </c>
      <c r="D515" s="4" t="s">
        <v>2087</v>
      </c>
      <c r="E515" s="4">
        <v>45662</v>
      </c>
      <c r="F515" t="s">
        <v>2064</v>
      </c>
      <c r="G515" s="4">
        <v>45662</v>
      </c>
      <c r="H515" s="4">
        <f>_xlfn.MINIFS(B515:B1146, N515:N1146, N515)</f>
        <v>45053</v>
      </c>
      <c r="I515" s="4" t="str">
        <f t="shared" ref="I515:I578" si="16">TEXT(H515,"mmm-yyyy")</f>
        <v>May-2023</v>
      </c>
      <c r="J515" s="13">
        <f t="shared" ref="J515:J578" si="17">DATEDIF(H515, B515, "m") + 1</f>
        <v>20</v>
      </c>
      <c r="K515" s="13">
        <v>1</v>
      </c>
      <c r="L515" s="30" t="str">
        <f>IF(Table2[[#This Row],[LeadTimeDays]]&lt;7,"1","0")</f>
        <v>1</v>
      </c>
      <c r="M515" s="7" t="s">
        <v>647</v>
      </c>
      <c r="N515" s="7" t="s">
        <v>654</v>
      </c>
      <c r="O515" s="7" t="s">
        <v>680</v>
      </c>
      <c r="P515" s="7" t="s">
        <v>702</v>
      </c>
      <c r="Q515" s="7" t="s">
        <v>707</v>
      </c>
      <c r="R515" s="7" t="s">
        <v>714</v>
      </c>
      <c r="S515" s="7" t="s">
        <v>727</v>
      </c>
      <c r="T515" s="7" t="s">
        <v>1940</v>
      </c>
      <c r="U515" s="9">
        <v>1428.33</v>
      </c>
      <c r="V515" s="9">
        <v>3028.05</v>
      </c>
      <c r="W515" s="9">
        <v>3028.05</v>
      </c>
      <c r="X515" s="9">
        <v>930.10299999999995</v>
      </c>
      <c r="Y515" s="9">
        <v>1629.8332</v>
      </c>
      <c r="Z515" s="9" t="s">
        <v>2095</v>
      </c>
      <c r="AA515" t="s">
        <v>2065</v>
      </c>
      <c r="AB515" s="11">
        <v>0</v>
      </c>
      <c r="AC515" t="s">
        <v>2065</v>
      </c>
      <c r="AD515" s="13">
        <v>11</v>
      </c>
      <c r="AE515" s="9">
        <v>33308.550000000003</v>
      </c>
      <c r="AF515" s="9">
        <v>15711.63</v>
      </c>
      <c r="AG515" s="9">
        <v>17596.920000000006</v>
      </c>
      <c r="AH515" s="11">
        <v>0.52830039134096207</v>
      </c>
      <c r="AI515" s="9">
        <f>SUMIFS(AD515:AD1146, R515:R1146, S515)</f>
        <v>0</v>
      </c>
      <c r="AJ515" s="11" t="e">
        <f>SUMIFS(AD515:AD1146, R515:R1146, S515, AD515:AD1146, "&gt;" &amp; AE515) / AI515</f>
        <v>#DIV/0!</v>
      </c>
      <c r="AK515" s="7" t="e">
        <f>IF(AJ515&lt;=0.8,"A",IF(Table2[[#This Row],[Cumulative rev]]&lt;=0.95,"B","C"))</f>
        <v>#DIV/0!</v>
      </c>
    </row>
    <row r="516" spans="1:37" x14ac:dyDescent="0.3">
      <c r="A516" t="s">
        <v>529</v>
      </c>
      <c r="B516" s="4">
        <v>45874</v>
      </c>
      <c r="C516" s="4" t="s">
        <v>2121</v>
      </c>
      <c r="D516" s="4" t="s">
        <v>2101</v>
      </c>
      <c r="E516" s="4">
        <v>45897</v>
      </c>
      <c r="F516" t="s">
        <v>2064</v>
      </c>
      <c r="G516" s="4">
        <v>45897</v>
      </c>
      <c r="H516" s="4">
        <f>_xlfn.MINIFS(B516:B1147, N516:N1147, N516)</f>
        <v>45053</v>
      </c>
      <c r="I516" s="4" t="str">
        <f t="shared" si="16"/>
        <v>May-2023</v>
      </c>
      <c r="J516" s="13">
        <f t="shared" si="17"/>
        <v>27</v>
      </c>
      <c r="K516" s="13">
        <v>23</v>
      </c>
      <c r="L516" s="30" t="str">
        <f>IF(Table2[[#This Row],[LeadTimeDays]]&lt;7,"1","0")</f>
        <v>0</v>
      </c>
      <c r="M516" s="7" t="s">
        <v>647</v>
      </c>
      <c r="N516" s="7" t="s">
        <v>654</v>
      </c>
      <c r="O516" s="7" t="s">
        <v>691</v>
      </c>
      <c r="P516" s="7" t="s">
        <v>703</v>
      </c>
      <c r="Q516" s="7" t="s">
        <v>710</v>
      </c>
      <c r="R516" s="7" t="s">
        <v>725</v>
      </c>
      <c r="S516" s="7" t="s">
        <v>731</v>
      </c>
      <c r="T516" s="7" t="s">
        <v>1941</v>
      </c>
      <c r="U516" s="9">
        <v>638.54</v>
      </c>
      <c r="V516" s="9">
        <v>987.24</v>
      </c>
      <c r="W516" s="9">
        <v>987.24</v>
      </c>
      <c r="X516" s="9">
        <v>915.15400000000011</v>
      </c>
      <c r="Y516" s="9">
        <v>1612.2640000000001</v>
      </c>
      <c r="Z516" s="9" t="s">
        <v>2092</v>
      </c>
      <c r="AA516" t="s">
        <v>2065</v>
      </c>
      <c r="AB516" s="11">
        <v>0</v>
      </c>
      <c r="AC516" t="s">
        <v>2065</v>
      </c>
      <c r="AD516" s="13">
        <v>11</v>
      </c>
      <c r="AE516" s="9">
        <v>10859.64</v>
      </c>
      <c r="AF516" s="9">
        <v>7023.94</v>
      </c>
      <c r="AG516" s="9">
        <v>3835.7</v>
      </c>
      <c r="AH516" s="11">
        <v>0.35320692030306716</v>
      </c>
      <c r="AI516" s="9">
        <f>SUMIFS(AD516:AD1147, R516:R1147, S516)</f>
        <v>0</v>
      </c>
      <c r="AJ516" s="11" t="e">
        <f>SUMIFS(AD516:AD1147, R516:R1147, S516, AD516:AD1147, "&gt;" &amp; AE516) / AI516</f>
        <v>#DIV/0!</v>
      </c>
      <c r="AK516" s="7" t="e">
        <f>IF(AJ516&lt;=0.8,"A",IF(Table2[[#This Row],[Cumulative rev]]&lt;=0.95,"B","C"))</f>
        <v>#DIV/0!</v>
      </c>
    </row>
    <row r="517" spans="1:37" x14ac:dyDescent="0.3">
      <c r="A517" t="s">
        <v>530</v>
      </c>
      <c r="B517" s="4">
        <v>45199</v>
      </c>
      <c r="C517" s="4" t="s">
        <v>2120</v>
      </c>
      <c r="D517" s="4" t="s">
        <v>2117</v>
      </c>
      <c r="E517" s="4">
        <v>45229</v>
      </c>
      <c r="F517" t="s">
        <v>2064</v>
      </c>
      <c r="G517" s="4">
        <v>45229</v>
      </c>
      <c r="H517" s="4">
        <f>_xlfn.MINIFS(B517:B1148, N517:N1148, N517)</f>
        <v>44988</v>
      </c>
      <c r="I517" s="4" t="str">
        <f t="shared" si="16"/>
        <v>Mar-2023</v>
      </c>
      <c r="J517" s="13">
        <f t="shared" si="17"/>
        <v>7</v>
      </c>
      <c r="K517" s="13">
        <v>30</v>
      </c>
      <c r="L517" s="30" t="str">
        <f>IF(Table2[[#This Row],[LeadTimeDays]]&lt;7,"1","0")</f>
        <v>0</v>
      </c>
      <c r="M517" s="7" t="s">
        <v>647</v>
      </c>
      <c r="N517" s="7" t="s">
        <v>652</v>
      </c>
      <c r="O517" s="7" t="s">
        <v>689</v>
      </c>
      <c r="P517" s="7" t="s">
        <v>706</v>
      </c>
      <c r="Q517" s="7" t="s">
        <v>708</v>
      </c>
      <c r="R517" s="7" t="s">
        <v>726</v>
      </c>
      <c r="S517" s="7" t="s">
        <v>728</v>
      </c>
      <c r="T517" s="7" t="s">
        <v>1942</v>
      </c>
      <c r="U517" s="9">
        <v>649.13</v>
      </c>
      <c r="V517" s="9">
        <v>975.43</v>
      </c>
      <c r="W517" s="9">
        <v>975.43</v>
      </c>
      <c r="X517" s="9">
        <v>902.42050000000006</v>
      </c>
      <c r="Y517" s="9">
        <v>1622.4300000000003</v>
      </c>
      <c r="Z517" s="9" t="s">
        <v>2092</v>
      </c>
      <c r="AA517" t="s">
        <v>2065</v>
      </c>
      <c r="AB517" s="11">
        <v>0.157</v>
      </c>
      <c r="AC517" t="s">
        <v>2065</v>
      </c>
      <c r="AD517" s="13">
        <v>27</v>
      </c>
      <c r="AE517" s="9">
        <v>22201.762229999997</v>
      </c>
      <c r="AF517" s="9">
        <v>17526.509999999998</v>
      </c>
      <c r="AG517" s="9">
        <v>4675.2522299999982</v>
      </c>
      <c r="AH517" s="11">
        <v>0.21058023149543473</v>
      </c>
      <c r="AI517" s="9">
        <f>SUMIFS(AD517:AD1148, R517:R1148, S517)</f>
        <v>0</v>
      </c>
      <c r="AJ517" s="11" t="e">
        <f>SUMIFS(AD517:AD1148, R517:R1148, S517, AD517:AD1148, "&gt;" &amp; AE517) / AI517</f>
        <v>#DIV/0!</v>
      </c>
      <c r="AK517" s="7" t="e">
        <f>IF(AJ517&lt;=0.8,"A",IF(Table2[[#This Row],[Cumulative rev]]&lt;=0.95,"B","C"))</f>
        <v>#DIV/0!</v>
      </c>
    </row>
    <row r="518" spans="1:37" x14ac:dyDescent="0.3">
      <c r="A518" t="s">
        <v>531</v>
      </c>
      <c r="B518" s="4">
        <v>45794</v>
      </c>
      <c r="C518" s="4" t="s">
        <v>2096</v>
      </c>
      <c r="D518" s="4" t="s">
        <v>2097</v>
      </c>
      <c r="E518" s="4">
        <v>45807</v>
      </c>
      <c r="F518" t="s">
        <v>2064</v>
      </c>
      <c r="G518" s="4">
        <v>45807</v>
      </c>
      <c r="H518" s="4">
        <f>_xlfn.MINIFS(B518:B1149, N518:N1149, N518)</f>
        <v>44968</v>
      </c>
      <c r="I518" s="4" t="str">
        <f t="shared" si="16"/>
        <v>Feb-2023</v>
      </c>
      <c r="J518" s="13">
        <f t="shared" si="17"/>
        <v>28</v>
      </c>
      <c r="K518" s="13">
        <v>13</v>
      </c>
      <c r="L518" s="30" t="str">
        <f>IF(Table2[[#This Row],[LeadTimeDays]]&lt;7,"1","0")</f>
        <v>0</v>
      </c>
      <c r="M518" s="7" t="s">
        <v>646</v>
      </c>
      <c r="N518" s="7" t="s">
        <v>651</v>
      </c>
      <c r="O518" s="7" t="s">
        <v>665</v>
      </c>
      <c r="P518" s="7" t="s">
        <v>704</v>
      </c>
      <c r="Q518" s="7" t="s">
        <v>710</v>
      </c>
      <c r="R518" s="7" t="s">
        <v>721</v>
      </c>
      <c r="S518" s="7" t="s">
        <v>733</v>
      </c>
      <c r="T518" s="7" t="s">
        <v>1943</v>
      </c>
      <c r="U518" s="9">
        <v>66.400000000000006</v>
      </c>
      <c r="V518" s="9">
        <v>141.43</v>
      </c>
      <c r="W518" s="9">
        <v>141.43</v>
      </c>
      <c r="X518" s="9">
        <v>902.09379999999999</v>
      </c>
      <c r="Y518" s="9">
        <v>1630.2344000000003</v>
      </c>
      <c r="Z518" s="9" t="s">
        <v>2081</v>
      </c>
      <c r="AA518" t="s">
        <v>2065</v>
      </c>
      <c r="AB518" s="11">
        <v>0.107</v>
      </c>
      <c r="AC518" t="s">
        <v>2065</v>
      </c>
      <c r="AD518" s="13">
        <v>8</v>
      </c>
      <c r="AE518" s="9">
        <v>1010.3759200000001</v>
      </c>
      <c r="AF518" s="9">
        <v>531.20000000000005</v>
      </c>
      <c r="AG518" s="9">
        <v>479.17592000000002</v>
      </c>
      <c r="AH518" s="11">
        <v>0.47425508715607551</v>
      </c>
      <c r="AI518" s="9">
        <f>SUMIFS(AD518:AD1149, R518:R1149, S518)</f>
        <v>0</v>
      </c>
      <c r="AJ518" s="11" t="e">
        <f>SUMIFS(AD518:AD1149, R518:R1149, S518, AD518:AD1149, "&gt;" &amp; AE518) / AI518</f>
        <v>#DIV/0!</v>
      </c>
      <c r="AK518" s="7" t="e">
        <f>IF(AJ518&lt;=0.8,"A",IF(Table2[[#This Row],[Cumulative rev]]&lt;=0.95,"B","C"))</f>
        <v>#DIV/0!</v>
      </c>
    </row>
    <row r="519" spans="1:37" x14ac:dyDescent="0.3">
      <c r="A519" t="s">
        <v>532</v>
      </c>
      <c r="B519" s="4">
        <v>45413</v>
      </c>
      <c r="C519" s="4" t="s">
        <v>2093</v>
      </c>
      <c r="D519" s="4" t="s">
        <v>2094</v>
      </c>
      <c r="E519" s="4">
        <v>45438</v>
      </c>
      <c r="F519" t="s">
        <v>2064</v>
      </c>
      <c r="G519" s="4">
        <v>45438</v>
      </c>
      <c r="H519" s="4">
        <f>_xlfn.MINIFS(B519:B1150, N519:N1150, N519)</f>
        <v>44952</v>
      </c>
      <c r="I519" s="4" t="str">
        <f t="shared" si="16"/>
        <v>Jan-2023</v>
      </c>
      <c r="J519" s="13">
        <f t="shared" si="17"/>
        <v>16</v>
      </c>
      <c r="K519" s="13">
        <v>25</v>
      </c>
      <c r="L519" s="30" t="str">
        <f>IF(Table2[[#This Row],[LeadTimeDays]]&lt;7,"1","0")</f>
        <v>0</v>
      </c>
      <c r="M519" s="7" t="s">
        <v>649</v>
      </c>
      <c r="N519" s="7" t="s">
        <v>656</v>
      </c>
      <c r="O519" s="7" t="s">
        <v>671</v>
      </c>
      <c r="P519" s="7" t="s">
        <v>703</v>
      </c>
      <c r="Q519" s="7" t="s">
        <v>707</v>
      </c>
      <c r="R519" s="7" t="s">
        <v>717</v>
      </c>
      <c r="S519" s="7" t="s">
        <v>729</v>
      </c>
      <c r="T519" s="7" t="s">
        <v>1944</v>
      </c>
      <c r="U519" s="9">
        <v>930.71</v>
      </c>
      <c r="V519" s="9">
        <v>1625.42</v>
      </c>
      <c r="W519" s="9">
        <v>1625.42</v>
      </c>
      <c r="X519" s="9">
        <v>915.60699999999997</v>
      </c>
      <c r="Y519" s="9">
        <v>1637.0548000000001</v>
      </c>
      <c r="Z519" s="9" t="s">
        <v>2092</v>
      </c>
      <c r="AA519" t="s">
        <v>2065</v>
      </c>
      <c r="AB519" s="11">
        <v>0.13800000000000001</v>
      </c>
      <c r="AC519" t="s">
        <v>2065</v>
      </c>
      <c r="AD519" s="13">
        <v>7</v>
      </c>
      <c r="AE519" s="9">
        <v>9807.7842799999999</v>
      </c>
      <c r="AF519" s="9">
        <v>6514.97</v>
      </c>
      <c r="AG519" s="9">
        <v>3292.8142799999996</v>
      </c>
      <c r="AH519" s="11">
        <v>0.33573477821231196</v>
      </c>
      <c r="AI519" s="9">
        <f>SUMIFS(AD519:AD1150, R519:R1150, S519)</f>
        <v>0</v>
      </c>
      <c r="AJ519" s="11" t="e">
        <f>SUMIFS(AD519:AD1150, R519:R1150, S519, AD519:AD1150, "&gt;" &amp; AE519) / AI519</f>
        <v>#DIV/0!</v>
      </c>
      <c r="AK519" s="7" t="e">
        <f>IF(AJ519&lt;=0.8,"A",IF(Table2[[#This Row],[Cumulative rev]]&lt;=0.95,"B","C"))</f>
        <v>#DIV/0!</v>
      </c>
    </row>
    <row r="520" spans="1:37" x14ac:dyDescent="0.3">
      <c r="A520" t="s">
        <v>533</v>
      </c>
      <c r="B520" s="4">
        <v>45047</v>
      </c>
      <c r="C520" s="4" t="s">
        <v>2107</v>
      </c>
      <c r="D520" s="4" t="s">
        <v>2103</v>
      </c>
      <c r="E520" s="4">
        <v>45064</v>
      </c>
      <c r="F520" t="s">
        <v>2064</v>
      </c>
      <c r="G520" s="4">
        <v>45064</v>
      </c>
      <c r="H520" s="4">
        <f>_xlfn.MINIFS(B520:B1151, N520:N1151, N520)</f>
        <v>44968</v>
      </c>
      <c r="I520" s="4" t="str">
        <f t="shared" si="16"/>
        <v>Feb-2023</v>
      </c>
      <c r="J520" s="13">
        <f t="shared" si="17"/>
        <v>3</v>
      </c>
      <c r="K520" s="13">
        <v>17</v>
      </c>
      <c r="L520" s="30" t="str">
        <f>IF(Table2[[#This Row],[LeadTimeDays]]&lt;7,"1","0")</f>
        <v>0</v>
      </c>
      <c r="M520" s="7" t="s">
        <v>646</v>
      </c>
      <c r="N520" s="7" t="s">
        <v>651</v>
      </c>
      <c r="O520" s="7" t="s">
        <v>663</v>
      </c>
      <c r="P520" s="7" t="s">
        <v>701</v>
      </c>
      <c r="Q520" s="7" t="s">
        <v>711</v>
      </c>
      <c r="R520" s="7" t="s">
        <v>721</v>
      </c>
      <c r="S520" s="7" t="s">
        <v>727</v>
      </c>
      <c r="T520" s="7" t="s">
        <v>1945</v>
      </c>
      <c r="U520" s="9">
        <v>327.97</v>
      </c>
      <c r="V520" s="9">
        <v>299.94</v>
      </c>
      <c r="W520" s="9">
        <v>299.94</v>
      </c>
      <c r="X520" s="9">
        <v>902.43040000000008</v>
      </c>
      <c r="Y520" s="9">
        <v>1641.4832000000001</v>
      </c>
      <c r="Z520" s="9" t="s">
        <v>2081</v>
      </c>
      <c r="AA520" t="s">
        <v>2065</v>
      </c>
      <c r="AB520" s="11">
        <v>4.9000000000000002E-2</v>
      </c>
      <c r="AC520" t="s">
        <v>2065</v>
      </c>
      <c r="AD520" s="13">
        <v>3</v>
      </c>
      <c r="AE520" s="9">
        <v>855.72881999999993</v>
      </c>
      <c r="AF520" s="9">
        <v>983.91000000000008</v>
      </c>
      <c r="AG520" s="9">
        <v>-128.18118000000015</v>
      </c>
      <c r="AH520" s="11">
        <v>-0.14979182306843442</v>
      </c>
      <c r="AI520" s="9">
        <f>SUMIFS(AD520:AD1151, R520:R1151, S520)</f>
        <v>0</v>
      </c>
      <c r="AJ520" s="11" t="e">
        <f>SUMIFS(AD520:AD1151, R520:R1151, S520, AD520:AD1151, "&gt;" &amp; AE520) / AI520</f>
        <v>#DIV/0!</v>
      </c>
      <c r="AK520" s="7" t="e">
        <f>IF(AJ520&lt;=0.8,"A",IF(Table2[[#This Row],[Cumulative rev]]&lt;=0.95,"B","C"))</f>
        <v>#DIV/0!</v>
      </c>
    </row>
    <row r="521" spans="1:37" x14ac:dyDescent="0.3">
      <c r="A521" t="s">
        <v>534</v>
      </c>
      <c r="B521" s="4">
        <v>45482</v>
      </c>
      <c r="C521" s="4" t="s">
        <v>2105</v>
      </c>
      <c r="D521" s="4" t="s">
        <v>2106</v>
      </c>
      <c r="E521" s="4">
        <v>45512</v>
      </c>
      <c r="F521" t="s">
        <v>2064</v>
      </c>
      <c r="G521" s="4">
        <v>45512</v>
      </c>
      <c r="H521" s="4">
        <f>_xlfn.MINIFS(B521:B1152, N521:N1152, N521)</f>
        <v>45019</v>
      </c>
      <c r="I521" s="4" t="str">
        <f t="shared" si="16"/>
        <v>Apr-2023</v>
      </c>
      <c r="J521" s="13">
        <f t="shared" si="17"/>
        <v>16</v>
      </c>
      <c r="K521" s="13">
        <v>30</v>
      </c>
      <c r="L521" s="30" t="str">
        <f>IF(Table2[[#This Row],[LeadTimeDays]]&lt;7,"1","0")</f>
        <v>0</v>
      </c>
      <c r="M521" s="7" t="s">
        <v>649</v>
      </c>
      <c r="N521" s="7" t="s">
        <v>657</v>
      </c>
      <c r="O521" s="7" t="s">
        <v>673</v>
      </c>
      <c r="P521" s="7" t="s">
        <v>701</v>
      </c>
      <c r="Q521" s="7" t="s">
        <v>711</v>
      </c>
      <c r="R521" s="7" t="s">
        <v>713</v>
      </c>
      <c r="S521" s="7" t="s">
        <v>727</v>
      </c>
      <c r="T521" s="7" t="s">
        <v>1946</v>
      </c>
      <c r="U521" s="9">
        <v>1062.3800000000001</v>
      </c>
      <c r="V521" s="9">
        <v>1503.96</v>
      </c>
      <c r="W521" s="9">
        <v>1503.96</v>
      </c>
      <c r="X521" s="9">
        <v>931.00900000000013</v>
      </c>
      <c r="Y521" s="9">
        <v>1648.9744000000001</v>
      </c>
      <c r="Z521" s="9" t="s">
        <v>2092</v>
      </c>
      <c r="AA521" t="s">
        <v>2065</v>
      </c>
      <c r="AB521" s="11">
        <v>0.18</v>
      </c>
      <c r="AC521" t="s">
        <v>2065</v>
      </c>
      <c r="AD521" s="13">
        <v>6</v>
      </c>
      <c r="AE521" s="9">
        <v>7399.4832000000006</v>
      </c>
      <c r="AF521" s="9">
        <v>6374.2800000000007</v>
      </c>
      <c r="AG521" s="9">
        <v>1025.2031999999999</v>
      </c>
      <c r="AH521" s="11">
        <v>0.13855064905073369</v>
      </c>
      <c r="AI521" s="9">
        <f>SUMIFS(AD521:AD1152, R521:R1152, S521)</f>
        <v>0</v>
      </c>
      <c r="AJ521" s="11" t="e">
        <f>SUMIFS(AD521:AD1152, R521:R1152, S521, AD521:AD1152, "&gt;" &amp; AE521) / AI521</f>
        <v>#DIV/0!</v>
      </c>
      <c r="AK521" s="7" t="e">
        <f>IF(AJ521&lt;=0.8,"A",IF(Table2[[#This Row],[Cumulative rev]]&lt;=0.95,"B","C"))</f>
        <v>#DIV/0!</v>
      </c>
    </row>
    <row r="522" spans="1:37" x14ac:dyDescent="0.3">
      <c r="A522" t="s">
        <v>535</v>
      </c>
      <c r="B522" s="4">
        <v>45056</v>
      </c>
      <c r="C522" s="4" t="s">
        <v>2107</v>
      </c>
      <c r="D522" s="4" t="s">
        <v>2103</v>
      </c>
      <c r="E522" s="4">
        <v>45073</v>
      </c>
      <c r="F522" t="s">
        <v>2064</v>
      </c>
      <c r="G522" s="4">
        <v>45073</v>
      </c>
      <c r="H522" s="4">
        <f>_xlfn.MINIFS(B522:B1153, N522:N1153, N522)</f>
        <v>45053</v>
      </c>
      <c r="I522" s="4" t="str">
        <f t="shared" si="16"/>
        <v>May-2023</v>
      </c>
      <c r="J522" s="13">
        <f t="shared" si="17"/>
        <v>1</v>
      </c>
      <c r="K522" s="13">
        <v>17</v>
      </c>
      <c r="L522" s="30" t="str">
        <f>IF(Table2[[#This Row],[LeadTimeDays]]&lt;7,"1","0")</f>
        <v>0</v>
      </c>
      <c r="M522" s="7" t="s">
        <v>647</v>
      </c>
      <c r="N522" s="7" t="s">
        <v>654</v>
      </c>
      <c r="O522" s="7" t="s">
        <v>691</v>
      </c>
      <c r="P522" s="7" t="s">
        <v>704</v>
      </c>
      <c r="Q522" s="7" t="s">
        <v>707</v>
      </c>
      <c r="R522" s="7" t="s">
        <v>724</v>
      </c>
      <c r="S522" s="7" t="s">
        <v>731</v>
      </c>
      <c r="T522" s="7" t="s">
        <v>1947</v>
      </c>
      <c r="U522" s="9">
        <v>1286.1600000000001</v>
      </c>
      <c r="V522" s="9">
        <v>3101.11</v>
      </c>
      <c r="W522" s="9">
        <v>3101.11</v>
      </c>
      <c r="X522" s="9">
        <v>916.06000000000017</v>
      </c>
      <c r="Y522" s="9">
        <v>1653.5440000000001</v>
      </c>
      <c r="Z522" s="9" t="s">
        <v>2095</v>
      </c>
      <c r="AA522" t="s">
        <v>2065</v>
      </c>
      <c r="AB522" s="11">
        <v>0.1</v>
      </c>
      <c r="AC522" t="s">
        <v>2065</v>
      </c>
      <c r="AD522" s="13">
        <v>23</v>
      </c>
      <c r="AE522" s="9">
        <v>64192.976999999999</v>
      </c>
      <c r="AF522" s="9">
        <v>29581.68</v>
      </c>
      <c r="AG522" s="9">
        <v>34611.296999999999</v>
      </c>
      <c r="AH522" s="11">
        <v>0.53917575749758417</v>
      </c>
      <c r="AI522" s="9">
        <f>SUMIFS(AD522:AD1153, R522:R1153, S522)</f>
        <v>0</v>
      </c>
      <c r="AJ522" s="11" t="e">
        <f>SUMIFS(AD522:AD1153, R522:R1153, S522, AD522:AD1153, "&gt;" &amp; AE522) / AI522</f>
        <v>#DIV/0!</v>
      </c>
      <c r="AK522" s="7" t="e">
        <f>IF(AJ522&lt;=0.8,"A",IF(Table2[[#This Row],[Cumulative rev]]&lt;=0.95,"B","C"))</f>
        <v>#DIV/0!</v>
      </c>
    </row>
    <row r="523" spans="1:37" x14ac:dyDescent="0.3">
      <c r="A523" t="s">
        <v>536</v>
      </c>
      <c r="B523" s="4">
        <v>45482</v>
      </c>
      <c r="C523" s="4" t="s">
        <v>2105</v>
      </c>
      <c r="D523" s="4" t="s">
        <v>2106</v>
      </c>
      <c r="E523" s="4">
        <v>45485</v>
      </c>
      <c r="F523" t="s">
        <v>2064</v>
      </c>
      <c r="G523" s="4">
        <v>45485</v>
      </c>
      <c r="H523" s="4">
        <f>_xlfn.MINIFS(B523:B1154, N523:N1154, N523)</f>
        <v>44938</v>
      </c>
      <c r="I523" s="4" t="str">
        <f t="shared" si="16"/>
        <v>Jan-2023</v>
      </c>
      <c r="J523" s="13">
        <f t="shared" si="17"/>
        <v>18</v>
      </c>
      <c r="K523" s="13">
        <v>3</v>
      </c>
      <c r="L523" s="30" t="str">
        <f>IF(Table2[[#This Row],[LeadTimeDays]]&lt;7,"1","0")</f>
        <v>1</v>
      </c>
      <c r="M523" s="7" t="s">
        <v>647</v>
      </c>
      <c r="N523" s="7" t="s">
        <v>659</v>
      </c>
      <c r="O523" s="7" t="s">
        <v>685</v>
      </c>
      <c r="P523" s="7" t="s">
        <v>705</v>
      </c>
      <c r="Q523" s="7" t="s">
        <v>707</v>
      </c>
      <c r="R523" s="7" t="s">
        <v>726</v>
      </c>
      <c r="S523" s="7" t="s">
        <v>733</v>
      </c>
      <c r="T523" s="7" t="s">
        <v>1948</v>
      </c>
      <c r="U523" s="9">
        <v>748.39</v>
      </c>
      <c r="V523" s="9">
        <v>979.42</v>
      </c>
      <c r="W523" s="9">
        <v>979.42</v>
      </c>
      <c r="X523" s="9">
        <v>902.44029999999998</v>
      </c>
      <c r="Y523" s="9">
        <v>1642.4823999999999</v>
      </c>
      <c r="Z523" s="9" t="s">
        <v>2092</v>
      </c>
      <c r="AA523" t="s">
        <v>2065</v>
      </c>
      <c r="AB523" s="11">
        <v>0</v>
      </c>
      <c r="AC523" t="s">
        <v>2065</v>
      </c>
      <c r="AD523" s="13">
        <v>23</v>
      </c>
      <c r="AE523" s="9">
        <v>22526.66</v>
      </c>
      <c r="AF523" s="9">
        <v>17212.97</v>
      </c>
      <c r="AG523" s="9">
        <v>5313.6899999999987</v>
      </c>
      <c r="AH523" s="11">
        <v>0.23588450307324738</v>
      </c>
      <c r="AI523" s="9">
        <f>SUMIFS(AD523:AD1154, R523:R1154, S523)</f>
        <v>0</v>
      </c>
      <c r="AJ523" s="11" t="e">
        <f>SUMIFS(AD523:AD1154, R523:R1154, S523, AD523:AD1154, "&gt;" &amp; AE523) / AI523</f>
        <v>#DIV/0!</v>
      </c>
      <c r="AK523" s="7" t="e">
        <f>IF(AJ523&lt;=0.8,"A",IF(Table2[[#This Row],[Cumulative rev]]&lt;=0.95,"B","C"))</f>
        <v>#DIV/0!</v>
      </c>
    </row>
    <row r="524" spans="1:37" x14ac:dyDescent="0.3">
      <c r="A524" t="s">
        <v>537</v>
      </c>
      <c r="B524" s="4">
        <v>45406</v>
      </c>
      <c r="C524" s="4" t="s">
        <v>2112</v>
      </c>
      <c r="D524" s="4" t="s">
        <v>2094</v>
      </c>
      <c r="E524" s="4">
        <v>45422</v>
      </c>
      <c r="F524" t="s">
        <v>2064</v>
      </c>
      <c r="G524" s="4">
        <v>45422</v>
      </c>
      <c r="H524" s="4">
        <f>_xlfn.MINIFS(B524:B1155, N524:N1155, N524)</f>
        <v>45115</v>
      </c>
      <c r="I524" s="4" t="str">
        <f t="shared" si="16"/>
        <v>Jul-2023</v>
      </c>
      <c r="J524" s="13">
        <f t="shared" si="17"/>
        <v>10</v>
      </c>
      <c r="K524" s="13">
        <v>16</v>
      </c>
      <c r="L524" s="30" t="str">
        <f>IF(Table2[[#This Row],[LeadTimeDays]]&lt;7,"1","0")</f>
        <v>0</v>
      </c>
      <c r="M524" s="7" t="s">
        <v>646</v>
      </c>
      <c r="N524" s="7" t="s">
        <v>650</v>
      </c>
      <c r="O524" s="7" t="s">
        <v>662</v>
      </c>
      <c r="P524" s="7" t="s">
        <v>703</v>
      </c>
      <c r="Q524" s="7" t="s">
        <v>708</v>
      </c>
      <c r="R524" s="7" t="s">
        <v>725</v>
      </c>
      <c r="S524" s="7" t="s">
        <v>732</v>
      </c>
      <c r="T524" s="7" t="s">
        <v>1949</v>
      </c>
      <c r="U524" s="9">
        <v>513.30999999999995</v>
      </c>
      <c r="V524" s="9">
        <v>1186.26</v>
      </c>
      <c r="W524" s="9">
        <v>1186.26</v>
      </c>
      <c r="X524" s="9">
        <v>902.11360000000002</v>
      </c>
      <c r="Y524" s="9">
        <v>1649.2432000000001</v>
      </c>
      <c r="Z524" s="9" t="s">
        <v>2092</v>
      </c>
      <c r="AA524" t="s">
        <v>2065</v>
      </c>
      <c r="AB524" s="11">
        <v>9.4E-2</v>
      </c>
      <c r="AC524" t="s">
        <v>2065</v>
      </c>
      <c r="AD524" s="13">
        <v>15</v>
      </c>
      <c r="AE524" s="9">
        <v>16121.273400000002</v>
      </c>
      <c r="AF524" s="9">
        <v>7699.65</v>
      </c>
      <c r="AG524" s="9">
        <v>8421.6234000000022</v>
      </c>
      <c r="AH524" s="11">
        <v>0.52239194702820446</v>
      </c>
      <c r="AI524" s="9">
        <f>SUMIFS(AD524:AD1155, R524:R1155, S524)</f>
        <v>0</v>
      </c>
      <c r="AJ524" s="11" t="e">
        <f>SUMIFS(AD524:AD1155, R524:R1155, S524, AD524:AD1155, "&gt;" &amp; AE524) / AI524</f>
        <v>#DIV/0!</v>
      </c>
      <c r="AK524" s="7" t="e">
        <f>IF(AJ524&lt;=0.8,"A",IF(Table2[[#This Row],[Cumulative rev]]&lt;=0.95,"B","C"))</f>
        <v>#DIV/0!</v>
      </c>
    </row>
    <row r="525" spans="1:37" x14ac:dyDescent="0.3">
      <c r="A525" t="s">
        <v>538</v>
      </c>
      <c r="B525" s="4">
        <v>45304</v>
      </c>
      <c r="C525" s="4" t="s">
        <v>2098</v>
      </c>
      <c r="D525" s="4" t="s">
        <v>2080</v>
      </c>
      <c r="E525" s="4">
        <v>45306</v>
      </c>
      <c r="F525" t="s">
        <v>2064</v>
      </c>
      <c r="G525" s="4">
        <v>45306</v>
      </c>
      <c r="H525" s="4">
        <f>_xlfn.MINIFS(B525:B1156, N525:N1156, N525)</f>
        <v>44984</v>
      </c>
      <c r="I525" s="4" t="str">
        <f t="shared" si="16"/>
        <v>Feb-2023</v>
      </c>
      <c r="J525" s="13">
        <f t="shared" si="17"/>
        <v>11</v>
      </c>
      <c r="K525" s="13">
        <v>2</v>
      </c>
      <c r="L525" s="30" t="str">
        <f>IF(Table2[[#This Row],[LeadTimeDays]]&lt;7,"1","0")</f>
        <v>1</v>
      </c>
      <c r="M525" s="7" t="s">
        <v>648</v>
      </c>
      <c r="N525" s="7" t="s">
        <v>1425</v>
      </c>
      <c r="O525" s="7" t="s">
        <v>686</v>
      </c>
      <c r="P525" s="7" t="s">
        <v>703</v>
      </c>
      <c r="Q525" s="7" t="s">
        <v>711</v>
      </c>
      <c r="R525" s="7" t="s">
        <v>718</v>
      </c>
      <c r="S525" s="7" t="s">
        <v>727</v>
      </c>
      <c r="T525" s="7" t="s">
        <v>1950</v>
      </c>
      <c r="U525" s="9">
        <v>1061.3699999999999</v>
      </c>
      <c r="V525" s="9">
        <v>1938.33</v>
      </c>
      <c r="W525" s="9">
        <v>1938.33</v>
      </c>
      <c r="X525" s="9">
        <v>901.78690000000006</v>
      </c>
      <c r="Y525" s="9">
        <v>1653.8128000000002</v>
      </c>
      <c r="Z525" s="9" t="s">
        <v>2095</v>
      </c>
      <c r="AA525" t="s">
        <v>2065</v>
      </c>
      <c r="AB525" s="11">
        <v>0.17</v>
      </c>
      <c r="AC525" t="s">
        <v>2065</v>
      </c>
      <c r="AD525" s="13">
        <v>4</v>
      </c>
      <c r="AE525" s="9">
        <v>6435.2555999999995</v>
      </c>
      <c r="AF525" s="9">
        <v>4245.4799999999996</v>
      </c>
      <c r="AG525" s="9">
        <v>2189.7755999999999</v>
      </c>
      <c r="AH525" s="11">
        <v>0.34027795259600879</v>
      </c>
      <c r="AI525" s="9">
        <f>SUMIFS(AD525:AD1156, R525:R1156, S525)</f>
        <v>0</v>
      </c>
      <c r="AJ525" s="11" t="e">
        <f>SUMIFS(AD525:AD1156, R525:R1156, S525, AD525:AD1156, "&gt;" &amp; AE525) / AI525</f>
        <v>#DIV/0!</v>
      </c>
      <c r="AK525" s="7" t="e">
        <f>IF(AJ525&lt;=0.8,"A",IF(Table2[[#This Row],[Cumulative rev]]&lt;=0.95,"B","C"))</f>
        <v>#DIV/0!</v>
      </c>
    </row>
    <row r="526" spans="1:37" x14ac:dyDescent="0.3">
      <c r="A526" t="s">
        <v>539</v>
      </c>
      <c r="B526" s="4">
        <v>45398</v>
      </c>
      <c r="C526" s="4" t="s">
        <v>2112</v>
      </c>
      <c r="D526" s="4" t="s">
        <v>2094</v>
      </c>
      <c r="E526" s="4">
        <v>45409</v>
      </c>
      <c r="F526" t="s">
        <v>2064</v>
      </c>
      <c r="G526" s="4">
        <v>45409</v>
      </c>
      <c r="H526" s="4">
        <f>_xlfn.MINIFS(B526:B1157, N526:N1157, N526)</f>
        <v>45115</v>
      </c>
      <c r="I526" s="4" t="str">
        <f t="shared" si="16"/>
        <v>Jul-2023</v>
      </c>
      <c r="J526" s="13">
        <f t="shared" si="17"/>
        <v>10</v>
      </c>
      <c r="K526" s="13">
        <v>11</v>
      </c>
      <c r="L526" s="30" t="str">
        <f>IF(Table2[[#This Row],[LeadTimeDays]]&lt;7,"1","0")</f>
        <v>0</v>
      </c>
      <c r="M526" s="7" t="s">
        <v>646</v>
      </c>
      <c r="N526" s="7" t="s">
        <v>650</v>
      </c>
      <c r="O526" s="7" t="s">
        <v>678</v>
      </c>
      <c r="P526" s="7" t="s">
        <v>706</v>
      </c>
      <c r="Q526" s="7" t="s">
        <v>708</v>
      </c>
      <c r="R526" s="7" t="s">
        <v>726</v>
      </c>
      <c r="S526" s="7" t="s">
        <v>728</v>
      </c>
      <c r="T526" s="7" t="s">
        <v>1951</v>
      </c>
      <c r="U526" s="9">
        <v>401.3</v>
      </c>
      <c r="V526" s="9">
        <v>826.47</v>
      </c>
      <c r="W526" s="9">
        <v>826.47</v>
      </c>
      <c r="X526" s="9">
        <v>900.82280000000014</v>
      </c>
      <c r="Y526" s="9">
        <v>1643.4816000000005</v>
      </c>
      <c r="Z526" s="9" t="s">
        <v>2081</v>
      </c>
      <c r="AA526" t="s">
        <v>2065</v>
      </c>
      <c r="AB526" s="11">
        <v>0.22500000000000001</v>
      </c>
      <c r="AC526" t="s">
        <v>2065</v>
      </c>
      <c r="AD526" s="13">
        <v>13</v>
      </c>
      <c r="AE526" s="9">
        <v>8326.6852500000005</v>
      </c>
      <c r="AF526" s="9">
        <v>5216.9000000000005</v>
      </c>
      <c r="AG526" s="9">
        <v>3109.7852499999999</v>
      </c>
      <c r="AH526" s="11">
        <v>0.37347217489696755</v>
      </c>
      <c r="AI526" s="9">
        <f>SUMIFS(AD526:AD1157, R526:R1157, S526)</f>
        <v>0</v>
      </c>
      <c r="AJ526" s="11" t="e">
        <f>SUMIFS(AD526:AD1157, R526:R1157, S526, AD526:AD1157, "&gt;" &amp; AE526) / AI526</f>
        <v>#DIV/0!</v>
      </c>
      <c r="AK526" s="7" t="e">
        <f>IF(AJ526&lt;=0.8,"A",IF(Table2[[#This Row],[Cumulative rev]]&lt;=0.95,"B","C"))</f>
        <v>#DIV/0!</v>
      </c>
    </row>
    <row r="527" spans="1:37" x14ac:dyDescent="0.3">
      <c r="A527" t="s">
        <v>540</v>
      </c>
      <c r="B527" s="4">
        <v>45695</v>
      </c>
      <c r="C527" s="4" t="s">
        <v>2119</v>
      </c>
      <c r="D527" s="4" t="s">
        <v>2087</v>
      </c>
      <c r="E527" s="4">
        <v>45704</v>
      </c>
      <c r="F527" t="s">
        <v>2064</v>
      </c>
      <c r="G527" s="4">
        <v>45704</v>
      </c>
      <c r="H527" s="4">
        <f>_xlfn.MINIFS(B527:B1158, N527:N1158, N527)</f>
        <v>44968</v>
      </c>
      <c r="I527" s="4" t="str">
        <f t="shared" si="16"/>
        <v>Feb-2023</v>
      </c>
      <c r="J527" s="13">
        <f t="shared" si="17"/>
        <v>24</v>
      </c>
      <c r="K527" s="13">
        <v>9</v>
      </c>
      <c r="L527" s="30" t="str">
        <f>IF(Table2[[#This Row],[LeadTimeDays]]&lt;7,"1","0")</f>
        <v>0</v>
      </c>
      <c r="M527" s="7" t="s">
        <v>646</v>
      </c>
      <c r="N527" s="7" t="s">
        <v>651</v>
      </c>
      <c r="O527" s="7" t="s">
        <v>665</v>
      </c>
      <c r="P527" s="7" t="s">
        <v>705</v>
      </c>
      <c r="Q527" s="7" t="s">
        <v>710</v>
      </c>
      <c r="R527" s="7" t="s">
        <v>712</v>
      </c>
      <c r="S527" s="7" t="s">
        <v>728</v>
      </c>
      <c r="T527" s="7" t="s">
        <v>1952</v>
      </c>
      <c r="U527" s="9">
        <v>90.68</v>
      </c>
      <c r="V527" s="9">
        <v>118.17</v>
      </c>
      <c r="W527" s="9">
        <v>118.17</v>
      </c>
      <c r="X527" s="9">
        <v>902.12350000000004</v>
      </c>
      <c r="Y527" s="9">
        <v>1649.5119999999999</v>
      </c>
      <c r="Z527" s="9" t="s">
        <v>2081</v>
      </c>
      <c r="AA527" t="s">
        <v>2065</v>
      </c>
      <c r="AB527" s="11">
        <v>0.13500000000000001</v>
      </c>
      <c r="AC527" t="s">
        <v>2065</v>
      </c>
      <c r="AD527" s="13">
        <v>21</v>
      </c>
      <c r="AE527" s="9">
        <v>2146.5580500000001</v>
      </c>
      <c r="AF527" s="9">
        <v>1904.2800000000002</v>
      </c>
      <c r="AG527" s="9">
        <v>242.27804999999989</v>
      </c>
      <c r="AH527" s="11">
        <v>0.11286815653552899</v>
      </c>
      <c r="AI527" s="9">
        <f>SUMIFS(AD527:AD1158, R527:R1158, S527)</f>
        <v>0</v>
      </c>
      <c r="AJ527" s="11" t="e">
        <f>SUMIFS(AD527:AD1158, R527:R1158, S527, AD527:AD1158, "&gt;" &amp; AE527) / AI527</f>
        <v>#DIV/0!</v>
      </c>
      <c r="AK527" s="7" t="e">
        <f>IF(AJ527&lt;=0.8,"A",IF(Table2[[#This Row],[Cumulative rev]]&lt;=0.95,"B","C"))</f>
        <v>#DIV/0!</v>
      </c>
    </row>
    <row r="528" spans="1:37" x14ac:dyDescent="0.3">
      <c r="A528" t="s">
        <v>541</v>
      </c>
      <c r="B528" s="4">
        <v>44938</v>
      </c>
      <c r="C528" s="4" t="s">
        <v>2090</v>
      </c>
      <c r="D528" s="4" t="s">
        <v>2085</v>
      </c>
      <c r="E528" s="4">
        <v>44952</v>
      </c>
      <c r="F528" t="s">
        <v>2064</v>
      </c>
      <c r="G528" s="4">
        <v>44952</v>
      </c>
      <c r="H528" s="4">
        <f>_xlfn.MINIFS(B528:B1159, N528:N1159, N528)</f>
        <v>44938</v>
      </c>
      <c r="I528" s="4" t="str">
        <f t="shared" si="16"/>
        <v>Jan-2023</v>
      </c>
      <c r="J528" s="13">
        <f t="shared" si="17"/>
        <v>1</v>
      </c>
      <c r="K528" s="13">
        <v>14</v>
      </c>
      <c r="L528" s="30" t="str">
        <f>IF(Table2[[#This Row],[LeadTimeDays]]&lt;7,"1","0")</f>
        <v>0</v>
      </c>
      <c r="M528" s="7" t="s">
        <v>647</v>
      </c>
      <c r="N528" s="7" t="s">
        <v>659</v>
      </c>
      <c r="O528" s="7" t="s">
        <v>676</v>
      </c>
      <c r="P528" s="7" t="s">
        <v>703</v>
      </c>
      <c r="Q528" s="7" t="s">
        <v>707</v>
      </c>
      <c r="R528" s="7" t="s">
        <v>724</v>
      </c>
      <c r="S528" s="7" t="s">
        <v>728</v>
      </c>
      <c r="T528" s="7" t="s">
        <v>1953</v>
      </c>
      <c r="U528" s="9">
        <v>1083.0899999999999</v>
      </c>
      <c r="V528" s="9">
        <v>1425.87</v>
      </c>
      <c r="W528" s="9">
        <v>1425.87</v>
      </c>
      <c r="X528" s="9">
        <v>916.96600000000001</v>
      </c>
      <c r="Y528" s="9">
        <v>1654.0816</v>
      </c>
      <c r="Z528" s="9" t="s">
        <v>2092</v>
      </c>
      <c r="AA528" t="s">
        <v>2065</v>
      </c>
      <c r="AB528" s="11">
        <v>0</v>
      </c>
      <c r="AC528" t="s">
        <v>2065</v>
      </c>
      <c r="AD528" s="13">
        <v>8</v>
      </c>
      <c r="AE528" s="9">
        <v>11406.96</v>
      </c>
      <c r="AF528" s="9">
        <v>8664.7199999999993</v>
      </c>
      <c r="AG528" s="9">
        <v>2742.24</v>
      </c>
      <c r="AH528" s="11">
        <v>0.24040059752992909</v>
      </c>
      <c r="AI528" s="9">
        <f>SUMIFS(AD528:AD1159, R528:R1159, S528)</f>
        <v>0</v>
      </c>
      <c r="AJ528" s="11" t="e">
        <f>SUMIFS(AD528:AD1159, R528:R1159, S528, AD528:AD1159, "&gt;" &amp; AE528) / AI528</f>
        <v>#DIV/0!</v>
      </c>
      <c r="AK528" s="7" t="e">
        <f>IF(AJ528&lt;=0.8,"A",IF(Table2[[#This Row],[Cumulative rev]]&lt;=0.95,"B","C"))</f>
        <v>#DIV/0!</v>
      </c>
    </row>
    <row r="529" spans="1:37" x14ac:dyDescent="0.3">
      <c r="A529" t="s">
        <v>542</v>
      </c>
      <c r="B529" s="4">
        <v>45448</v>
      </c>
      <c r="C529" s="4" t="s">
        <v>2109</v>
      </c>
      <c r="D529" s="4" t="s">
        <v>2094</v>
      </c>
      <c r="E529" s="4">
        <v>45466</v>
      </c>
      <c r="F529" t="s">
        <v>2064</v>
      </c>
      <c r="G529" s="4">
        <v>45466</v>
      </c>
      <c r="H529" s="4">
        <f>_xlfn.MINIFS(B529:B1160, N529:N1160, N529)</f>
        <v>45115</v>
      </c>
      <c r="I529" s="4" t="str">
        <f t="shared" si="16"/>
        <v>Jul-2023</v>
      </c>
      <c r="J529" s="13">
        <f t="shared" si="17"/>
        <v>11</v>
      </c>
      <c r="K529" s="13">
        <v>18</v>
      </c>
      <c r="L529" s="30" t="str">
        <f>IF(Table2[[#This Row],[LeadTimeDays]]&lt;7,"1","0")</f>
        <v>0</v>
      </c>
      <c r="M529" s="7" t="s">
        <v>646</v>
      </c>
      <c r="N529" s="7" t="s">
        <v>650</v>
      </c>
      <c r="O529" s="7" t="s">
        <v>664</v>
      </c>
      <c r="P529" s="7" t="s">
        <v>704</v>
      </c>
      <c r="Q529" s="7" t="s">
        <v>710</v>
      </c>
      <c r="R529" s="7" t="s">
        <v>726</v>
      </c>
      <c r="S529" s="7" t="s">
        <v>731</v>
      </c>
      <c r="T529" s="7" t="s">
        <v>1954</v>
      </c>
      <c r="U529" s="9">
        <v>1208.74</v>
      </c>
      <c r="V529" s="9">
        <v>1594.78</v>
      </c>
      <c r="W529" s="9">
        <v>1594.78</v>
      </c>
      <c r="X529" s="9">
        <v>902.46010000000001</v>
      </c>
      <c r="Y529" s="9">
        <v>1658.6512</v>
      </c>
      <c r="Z529" s="9" t="s">
        <v>2092</v>
      </c>
      <c r="AA529" t="s">
        <v>2065</v>
      </c>
      <c r="AB529" s="11">
        <v>5.8999999999999997E-2</v>
      </c>
      <c r="AC529" t="s">
        <v>2065</v>
      </c>
      <c r="AD529" s="13">
        <v>39</v>
      </c>
      <c r="AE529" s="9">
        <v>58526.83122</v>
      </c>
      <c r="AF529" s="9">
        <v>47140.86</v>
      </c>
      <c r="AG529" s="9">
        <v>11385.971219999999</v>
      </c>
      <c r="AH529" s="11">
        <v>0.1945427589817838</v>
      </c>
      <c r="AI529" s="9">
        <f>SUMIFS(AD529:AD1160, R529:R1160, S529)</f>
        <v>0</v>
      </c>
      <c r="AJ529" s="11" t="e">
        <f>SUMIFS(AD529:AD1160, R529:R1160, S529, AD529:AD1160, "&gt;" &amp; AE529) / AI529</f>
        <v>#DIV/0!</v>
      </c>
      <c r="AK529" s="7" t="e">
        <f>IF(AJ529&lt;=0.8,"A",IF(Table2[[#This Row],[Cumulative rev]]&lt;=0.95,"B","C"))</f>
        <v>#DIV/0!</v>
      </c>
    </row>
    <row r="530" spans="1:37" x14ac:dyDescent="0.3">
      <c r="A530" t="s">
        <v>543</v>
      </c>
      <c r="B530" s="4">
        <v>45162</v>
      </c>
      <c r="C530" s="4" t="s">
        <v>2118</v>
      </c>
      <c r="D530" s="4" t="s">
        <v>2117</v>
      </c>
      <c r="E530" s="4">
        <v>45189</v>
      </c>
      <c r="F530" t="s">
        <v>2064</v>
      </c>
      <c r="G530" s="4">
        <v>45189</v>
      </c>
      <c r="H530" s="4">
        <f>_xlfn.MINIFS(B530:B1161, N530:N1161, N530)</f>
        <v>44933</v>
      </c>
      <c r="I530" s="4" t="str">
        <f t="shared" si="16"/>
        <v>Jan-2023</v>
      </c>
      <c r="J530" s="13">
        <f t="shared" si="17"/>
        <v>8</v>
      </c>
      <c r="K530" s="13">
        <v>27</v>
      </c>
      <c r="L530" s="30" t="str">
        <f>IF(Table2[[#This Row],[LeadTimeDays]]&lt;7,"1","0")</f>
        <v>0</v>
      </c>
      <c r="M530" s="7" t="s">
        <v>646</v>
      </c>
      <c r="N530" s="7" t="s">
        <v>661</v>
      </c>
      <c r="O530" s="7" t="s">
        <v>687</v>
      </c>
      <c r="P530" s="7" t="s">
        <v>705</v>
      </c>
      <c r="Q530" s="7" t="s">
        <v>709</v>
      </c>
      <c r="R530" s="7" t="s">
        <v>724</v>
      </c>
      <c r="S530" s="7" t="s">
        <v>728</v>
      </c>
      <c r="T530" s="7" t="s">
        <v>1955</v>
      </c>
      <c r="U530" s="9">
        <v>1399.64</v>
      </c>
      <c r="V530" s="9">
        <v>3342.11</v>
      </c>
      <c r="W530" s="9">
        <v>3342.11</v>
      </c>
      <c r="X530" s="9">
        <v>902.13340000000005</v>
      </c>
      <c r="Y530" s="9">
        <v>1671.6656000000003</v>
      </c>
      <c r="Z530" s="9" t="s">
        <v>2095</v>
      </c>
      <c r="AA530" t="s">
        <v>2065</v>
      </c>
      <c r="AB530" s="11">
        <v>0</v>
      </c>
      <c r="AC530" t="s">
        <v>2065</v>
      </c>
      <c r="AD530" s="13">
        <v>10</v>
      </c>
      <c r="AE530" s="9">
        <v>33421.1</v>
      </c>
      <c r="AF530" s="9">
        <v>13996.400000000001</v>
      </c>
      <c r="AG530" s="9">
        <v>19424.699999999997</v>
      </c>
      <c r="AH530" s="11">
        <v>0.58121067229983447</v>
      </c>
      <c r="AI530" s="9">
        <f>SUMIFS(AD530:AD1161, R530:R1161, S530)</f>
        <v>0</v>
      </c>
      <c r="AJ530" s="11" t="e">
        <f>SUMIFS(AD530:AD1161, R530:R1161, S530, AD530:AD1161, "&gt;" &amp; AE530) / AI530</f>
        <v>#DIV/0!</v>
      </c>
      <c r="AK530" s="7" t="e">
        <f>IF(AJ530&lt;=0.8,"A",IF(Table2[[#This Row],[Cumulative rev]]&lt;=0.95,"B","C"))</f>
        <v>#DIV/0!</v>
      </c>
    </row>
    <row r="531" spans="1:37" x14ac:dyDescent="0.3">
      <c r="A531" t="s">
        <v>544</v>
      </c>
      <c r="B531" s="4">
        <v>45316</v>
      </c>
      <c r="C531" s="4" t="s">
        <v>2098</v>
      </c>
      <c r="D531" s="4" t="s">
        <v>2080</v>
      </c>
      <c r="E531" s="4">
        <v>45330</v>
      </c>
      <c r="F531" t="s">
        <v>2064</v>
      </c>
      <c r="G531" s="4">
        <v>45330</v>
      </c>
      <c r="H531" s="4">
        <f>_xlfn.MINIFS(B531:B1162, N531:N1162, N531)</f>
        <v>44988</v>
      </c>
      <c r="I531" s="4" t="str">
        <f t="shared" si="16"/>
        <v>Mar-2023</v>
      </c>
      <c r="J531" s="13">
        <f t="shared" si="17"/>
        <v>11</v>
      </c>
      <c r="K531" s="13">
        <v>14</v>
      </c>
      <c r="L531" s="30" t="str">
        <f>IF(Table2[[#This Row],[LeadTimeDays]]&lt;7,"1","0")</f>
        <v>0</v>
      </c>
      <c r="M531" s="7" t="s">
        <v>647</v>
      </c>
      <c r="N531" s="7" t="s">
        <v>652</v>
      </c>
      <c r="O531" s="7" t="s">
        <v>666</v>
      </c>
      <c r="P531" s="7" t="s">
        <v>704</v>
      </c>
      <c r="Q531" s="7" t="s">
        <v>709</v>
      </c>
      <c r="R531" s="7" t="s">
        <v>714</v>
      </c>
      <c r="S531" s="7" t="s">
        <v>729</v>
      </c>
      <c r="T531" s="7" t="s">
        <v>1956</v>
      </c>
      <c r="U531" s="9">
        <v>937.16</v>
      </c>
      <c r="V531" s="9">
        <v>1069.77</v>
      </c>
      <c r="W531" s="9">
        <v>1069.77</v>
      </c>
      <c r="X531" s="9">
        <v>901.80669999999998</v>
      </c>
      <c r="Y531" s="9">
        <v>1654.3504</v>
      </c>
      <c r="Z531" s="9" t="s">
        <v>2092</v>
      </c>
      <c r="AA531" t="s">
        <v>2065</v>
      </c>
      <c r="AB531" s="11">
        <v>3.7999999999999999E-2</v>
      </c>
      <c r="AC531" t="s">
        <v>2065</v>
      </c>
      <c r="AD531" s="13">
        <v>9</v>
      </c>
      <c r="AE531" s="9">
        <v>9262.0686600000008</v>
      </c>
      <c r="AF531" s="9">
        <v>8434.44</v>
      </c>
      <c r="AG531" s="9">
        <v>827.62866000000031</v>
      </c>
      <c r="AH531" s="11">
        <v>8.9356783066645962E-2</v>
      </c>
      <c r="AI531" s="9">
        <f>SUMIFS(AD531:AD1162, R531:R1162, S531)</f>
        <v>0</v>
      </c>
      <c r="AJ531" s="11" t="e">
        <f>SUMIFS(AD531:AD1162, R531:R1162, S531, AD531:AD1162, "&gt;" &amp; AE531) / AI531</f>
        <v>#DIV/0!</v>
      </c>
      <c r="AK531" s="7" t="e">
        <f>IF(AJ531&lt;=0.8,"A",IF(Table2[[#This Row],[Cumulative rev]]&lt;=0.95,"B","C"))</f>
        <v>#DIV/0!</v>
      </c>
    </row>
    <row r="532" spans="1:37" x14ac:dyDescent="0.3">
      <c r="A532" t="s">
        <v>545</v>
      </c>
      <c r="B532" s="4">
        <v>45727</v>
      </c>
      <c r="C532" s="4" t="s">
        <v>2086</v>
      </c>
      <c r="D532" s="4" t="s">
        <v>2087</v>
      </c>
      <c r="E532" s="4">
        <v>45742</v>
      </c>
      <c r="F532" t="s">
        <v>2064</v>
      </c>
      <c r="G532" s="4">
        <v>45742</v>
      </c>
      <c r="H532" s="4">
        <f>_xlfn.MINIFS(B532:B1163, N532:N1163, N532)</f>
        <v>44952</v>
      </c>
      <c r="I532" s="4" t="str">
        <f t="shared" si="16"/>
        <v>Jan-2023</v>
      </c>
      <c r="J532" s="13">
        <f t="shared" si="17"/>
        <v>26</v>
      </c>
      <c r="K532" s="13">
        <v>15</v>
      </c>
      <c r="L532" s="30" t="str">
        <f>IF(Table2[[#This Row],[LeadTimeDays]]&lt;7,"1","0")</f>
        <v>0</v>
      </c>
      <c r="M532" s="7" t="s">
        <v>649</v>
      </c>
      <c r="N532" s="7" t="s">
        <v>656</v>
      </c>
      <c r="O532" s="7" t="s">
        <v>671</v>
      </c>
      <c r="P532" s="7" t="s">
        <v>705</v>
      </c>
      <c r="Q532" s="7" t="s">
        <v>708</v>
      </c>
      <c r="R532" s="7" t="s">
        <v>714</v>
      </c>
      <c r="S532" s="7" t="s">
        <v>730</v>
      </c>
      <c r="T532" s="7" t="s">
        <v>1957</v>
      </c>
      <c r="U532" s="9">
        <v>116.97</v>
      </c>
      <c r="V532" s="9">
        <v>140.82</v>
      </c>
      <c r="W532" s="9">
        <v>140.82</v>
      </c>
      <c r="X532" s="9">
        <v>901.48</v>
      </c>
      <c r="Y532" s="9">
        <v>1658.92</v>
      </c>
      <c r="Z532" s="9" t="s">
        <v>2081</v>
      </c>
      <c r="AA532" t="s">
        <v>2065</v>
      </c>
      <c r="AB532" s="11">
        <v>0.122</v>
      </c>
      <c r="AC532" t="s">
        <v>2065</v>
      </c>
      <c r="AD532" s="13">
        <v>5</v>
      </c>
      <c r="AE532" s="9">
        <v>618.19979999999987</v>
      </c>
      <c r="AF532" s="9">
        <v>584.85</v>
      </c>
      <c r="AG532" s="9">
        <v>33.349799999999846</v>
      </c>
      <c r="AH532" s="11">
        <v>5.3946636669891926E-2</v>
      </c>
      <c r="AI532" s="9">
        <f>SUMIFS(AD532:AD1163, R532:R1163, S532)</f>
        <v>0</v>
      </c>
      <c r="AJ532" s="11" t="e">
        <f>SUMIFS(AD532:AD1163, R532:R1163, S532, AD532:AD1163, "&gt;" &amp; AE532) / AI532</f>
        <v>#DIV/0!</v>
      </c>
      <c r="AK532" s="7" t="e">
        <f>IF(AJ532&lt;=0.8,"A",IF(Table2[[#This Row],[Cumulative rev]]&lt;=0.95,"B","C"))</f>
        <v>#DIV/0!</v>
      </c>
    </row>
    <row r="533" spans="1:37" x14ac:dyDescent="0.3">
      <c r="A533" t="s">
        <v>546</v>
      </c>
      <c r="B533" s="4">
        <v>45769</v>
      </c>
      <c r="C533" s="4" t="s">
        <v>2111</v>
      </c>
      <c r="D533" s="4" t="s">
        <v>2097</v>
      </c>
      <c r="E533" s="4">
        <v>45789</v>
      </c>
      <c r="F533" t="s">
        <v>2064</v>
      </c>
      <c r="G533" s="4">
        <v>45789</v>
      </c>
      <c r="H533" s="4">
        <f>_xlfn.MINIFS(B533:B1164, N533:N1164, N533)</f>
        <v>45019</v>
      </c>
      <c r="I533" s="4" t="str">
        <f t="shared" si="16"/>
        <v>Apr-2023</v>
      </c>
      <c r="J533" s="13">
        <f t="shared" si="17"/>
        <v>25</v>
      </c>
      <c r="K533" s="13">
        <v>20</v>
      </c>
      <c r="L533" s="30" t="str">
        <f>IF(Table2[[#This Row],[LeadTimeDays]]&lt;7,"1","0")</f>
        <v>0</v>
      </c>
      <c r="M533" s="7" t="s">
        <v>649</v>
      </c>
      <c r="N533" s="7" t="s">
        <v>657</v>
      </c>
      <c r="O533" s="7" t="s">
        <v>679</v>
      </c>
      <c r="P533" s="7" t="s">
        <v>706</v>
      </c>
      <c r="Q533" s="7" t="s">
        <v>709</v>
      </c>
      <c r="R533" s="7" t="s">
        <v>723</v>
      </c>
      <c r="S533" s="7" t="s">
        <v>732</v>
      </c>
      <c r="T533" s="7" t="s">
        <v>1958</v>
      </c>
      <c r="U533" s="9">
        <v>59.51</v>
      </c>
      <c r="V533" s="9">
        <v>67.040000000000006</v>
      </c>
      <c r="W533" s="9">
        <v>67.040000000000006</v>
      </c>
      <c r="X533" s="9">
        <v>902.14330000000007</v>
      </c>
      <c r="Y533" s="9">
        <v>1672.4622000000002</v>
      </c>
      <c r="Z533" s="9" t="s">
        <v>2081</v>
      </c>
      <c r="AA533" t="s">
        <v>2065</v>
      </c>
      <c r="AB533" s="11">
        <v>0.114</v>
      </c>
      <c r="AC533" t="s">
        <v>2065</v>
      </c>
      <c r="AD533" s="13">
        <v>9</v>
      </c>
      <c r="AE533" s="9">
        <v>534.57695999999999</v>
      </c>
      <c r="AF533" s="9">
        <v>535.59</v>
      </c>
      <c r="AG533" s="9">
        <v>-1.0130400000000463</v>
      </c>
      <c r="AH533" s="11">
        <v>-1.8950311663264469E-3</v>
      </c>
      <c r="AI533" s="9">
        <f>SUMIFS(AD533:AD1164, R533:R1164, S533)</f>
        <v>0</v>
      </c>
      <c r="AJ533" s="11" t="e">
        <f>SUMIFS(AD533:AD1164, R533:R1164, S533, AD533:AD1164, "&gt;" &amp; AE533) / AI533</f>
        <v>#DIV/0!</v>
      </c>
      <c r="AK533" s="7" t="e">
        <f>IF(AJ533&lt;=0.8,"A",IF(Table2[[#This Row],[Cumulative rev]]&lt;=0.95,"B","C"))</f>
        <v>#DIV/0!</v>
      </c>
    </row>
    <row r="534" spans="1:37" x14ac:dyDescent="0.3">
      <c r="A534" t="s">
        <v>547</v>
      </c>
      <c r="B534" s="4">
        <v>45155</v>
      </c>
      <c r="C534" s="4" t="s">
        <v>2118</v>
      </c>
      <c r="D534" s="4" t="s">
        <v>2117</v>
      </c>
      <c r="E534" s="4">
        <v>45172</v>
      </c>
      <c r="F534" t="s">
        <v>2064</v>
      </c>
      <c r="G534" s="4">
        <v>45172</v>
      </c>
      <c r="H534" s="4">
        <f>_xlfn.MINIFS(B534:B1165, N534:N1165, N534)</f>
        <v>44933</v>
      </c>
      <c r="I534" s="4" t="str">
        <f t="shared" si="16"/>
        <v>Jan-2023</v>
      </c>
      <c r="J534" s="13">
        <f t="shared" si="17"/>
        <v>8</v>
      </c>
      <c r="K534" s="13">
        <v>17</v>
      </c>
      <c r="L534" s="30" t="str">
        <f>IF(Table2[[#This Row],[LeadTimeDays]]&lt;7,"1","0")</f>
        <v>0</v>
      </c>
      <c r="M534" s="7" t="s">
        <v>646</v>
      </c>
      <c r="N534" s="7" t="s">
        <v>661</v>
      </c>
      <c r="O534" s="7" t="s">
        <v>687</v>
      </c>
      <c r="P534" s="7" t="s">
        <v>706</v>
      </c>
      <c r="Q534" s="7" t="s">
        <v>707</v>
      </c>
      <c r="R534" s="7" t="s">
        <v>720</v>
      </c>
      <c r="S534" s="7" t="s">
        <v>730</v>
      </c>
      <c r="T534" s="7" t="s">
        <v>1959</v>
      </c>
      <c r="U534" s="9">
        <v>676.37</v>
      </c>
      <c r="V534" s="9">
        <v>1276.67</v>
      </c>
      <c r="W534" s="9">
        <v>1276.67</v>
      </c>
      <c r="X534" s="9">
        <v>917.87200000000018</v>
      </c>
      <c r="Y534" s="9">
        <v>1686.0044000000003</v>
      </c>
      <c r="Z534" s="9" t="s">
        <v>2092</v>
      </c>
      <c r="AA534" t="s">
        <v>2065</v>
      </c>
      <c r="AB534" s="11">
        <v>6.6000000000000003E-2</v>
      </c>
      <c r="AC534" t="s">
        <v>2065</v>
      </c>
      <c r="AD534" s="13">
        <v>10</v>
      </c>
      <c r="AE534" s="9">
        <v>11924.0978</v>
      </c>
      <c r="AF534" s="9">
        <v>6763.7</v>
      </c>
      <c r="AG534" s="9">
        <v>5160.3977999999997</v>
      </c>
      <c r="AH534" s="11">
        <v>0.4327705027712872</v>
      </c>
      <c r="AI534" s="9">
        <f>SUMIFS(AD534:AD1165, R534:R1165, S534)</f>
        <v>0</v>
      </c>
      <c r="AJ534" s="11" t="e">
        <f>SUMIFS(AD534:AD1165, R534:R1165, S534, AD534:AD1165, "&gt;" &amp; AE534) / AI534</f>
        <v>#DIV/0!</v>
      </c>
      <c r="AK534" s="7" t="e">
        <f>IF(AJ534&lt;=0.8,"A",IF(Table2[[#This Row],[Cumulative rev]]&lt;=0.95,"B","C"))</f>
        <v>#DIV/0!</v>
      </c>
    </row>
    <row r="535" spans="1:37" x14ac:dyDescent="0.3">
      <c r="A535" t="s">
        <v>548</v>
      </c>
      <c r="B535" s="4">
        <v>45832</v>
      </c>
      <c r="C535" s="4" t="s">
        <v>2108</v>
      </c>
      <c r="D535" s="4" t="s">
        <v>2097</v>
      </c>
      <c r="E535" s="4">
        <v>45852</v>
      </c>
      <c r="F535" t="s">
        <v>2064</v>
      </c>
      <c r="G535" s="4">
        <v>45852</v>
      </c>
      <c r="H535" s="4">
        <f>_xlfn.MINIFS(B535:B1166, N535:N1166, N535)</f>
        <v>44933</v>
      </c>
      <c r="I535" s="4" t="str">
        <f t="shared" si="16"/>
        <v>Jan-2023</v>
      </c>
      <c r="J535" s="13">
        <f t="shared" si="17"/>
        <v>30</v>
      </c>
      <c r="K535" s="13">
        <v>20</v>
      </c>
      <c r="L535" s="30" t="str">
        <f>IF(Table2[[#This Row],[LeadTimeDays]]&lt;7,"1","0")</f>
        <v>0</v>
      </c>
      <c r="M535" s="7" t="s">
        <v>646</v>
      </c>
      <c r="N535" s="7" t="s">
        <v>661</v>
      </c>
      <c r="O535" s="7" t="s">
        <v>682</v>
      </c>
      <c r="P535" s="7" t="s">
        <v>706</v>
      </c>
      <c r="Q535" s="7" t="s">
        <v>709</v>
      </c>
      <c r="R535" s="7" t="s">
        <v>713</v>
      </c>
      <c r="S535" s="7" t="s">
        <v>731</v>
      </c>
      <c r="T535" s="7" t="s">
        <v>1960</v>
      </c>
      <c r="U535" s="9">
        <v>1151.06</v>
      </c>
      <c r="V535" s="9">
        <v>2821.36</v>
      </c>
      <c r="W535" s="9">
        <v>2821.36</v>
      </c>
      <c r="X535" s="9">
        <v>902.92299999999989</v>
      </c>
      <c r="Y535" s="9">
        <v>1699.0155999999999</v>
      </c>
      <c r="Z535" s="9" t="s">
        <v>2095</v>
      </c>
      <c r="AA535" t="s">
        <v>2065</v>
      </c>
      <c r="AB535" s="11">
        <v>0.248</v>
      </c>
      <c r="AC535" t="s">
        <v>2065</v>
      </c>
      <c r="AD535" s="13">
        <v>20</v>
      </c>
      <c r="AE535" s="9">
        <v>42433.254400000005</v>
      </c>
      <c r="AF535" s="9">
        <v>23021.199999999997</v>
      </c>
      <c r="AG535" s="9">
        <v>19412.054400000008</v>
      </c>
      <c r="AH535" s="11">
        <v>0.45747267501594235</v>
      </c>
      <c r="AI535" s="9">
        <f>SUMIFS(AD535:AD1166, R535:R1166, S535)</f>
        <v>0</v>
      </c>
      <c r="AJ535" s="11" t="e">
        <f>SUMIFS(AD535:AD1166, R535:R1166, S535, AD535:AD1166, "&gt;" &amp; AE535) / AI535</f>
        <v>#DIV/0!</v>
      </c>
      <c r="AK535" s="7" t="e">
        <f>IF(AJ535&lt;=0.8,"A",IF(Table2[[#This Row],[Cumulative rev]]&lt;=0.95,"B","C"))</f>
        <v>#DIV/0!</v>
      </c>
    </row>
    <row r="536" spans="1:37" x14ac:dyDescent="0.3">
      <c r="A536" t="s">
        <v>549</v>
      </c>
      <c r="B536" s="4">
        <v>45667</v>
      </c>
      <c r="C536" s="4" t="s">
        <v>2099</v>
      </c>
      <c r="D536" s="4" t="s">
        <v>2087</v>
      </c>
      <c r="E536" s="4">
        <v>45694</v>
      </c>
      <c r="F536" t="s">
        <v>2064</v>
      </c>
      <c r="G536" s="4">
        <v>45694</v>
      </c>
      <c r="H536" s="4">
        <f>_xlfn.MINIFS(B536:B1167, N536:N1167, N536)</f>
        <v>44955</v>
      </c>
      <c r="I536" s="4" t="str">
        <f t="shared" si="16"/>
        <v>Jan-2023</v>
      </c>
      <c r="J536" s="13">
        <f t="shared" si="17"/>
        <v>24</v>
      </c>
      <c r="K536" s="13">
        <v>27</v>
      </c>
      <c r="L536" s="30" t="str">
        <f>IF(Table2[[#This Row],[LeadTimeDays]]&lt;7,"1","0")</f>
        <v>0</v>
      </c>
      <c r="M536" s="7" t="s">
        <v>648</v>
      </c>
      <c r="N536" s="7" t="s">
        <v>655</v>
      </c>
      <c r="O536" s="7" t="s">
        <v>672</v>
      </c>
      <c r="P536" s="7" t="s">
        <v>703</v>
      </c>
      <c r="Q536" s="7" t="s">
        <v>707</v>
      </c>
      <c r="R536" s="7" t="s">
        <v>717</v>
      </c>
      <c r="S536" s="7" t="s">
        <v>731</v>
      </c>
      <c r="T536" s="7" t="s">
        <v>1961</v>
      </c>
      <c r="U536" s="9">
        <v>725.62</v>
      </c>
      <c r="V536" s="9">
        <v>1559.19</v>
      </c>
      <c r="W536" s="9">
        <v>1559.19</v>
      </c>
      <c r="X536" s="9">
        <v>902.15319999999997</v>
      </c>
      <c r="Y536" s="9">
        <v>1673.2588000000001</v>
      </c>
      <c r="Z536" s="9" t="s">
        <v>2092</v>
      </c>
      <c r="AA536" t="s">
        <v>2065</v>
      </c>
      <c r="AB536" s="11">
        <v>0.19</v>
      </c>
      <c r="AC536" t="s">
        <v>2065</v>
      </c>
      <c r="AD536" s="13">
        <v>12</v>
      </c>
      <c r="AE536" s="9">
        <v>15155.326800000001</v>
      </c>
      <c r="AF536" s="9">
        <v>8707.44</v>
      </c>
      <c r="AG536" s="9">
        <v>6447.8868000000002</v>
      </c>
      <c r="AH536" s="11">
        <v>0.42545349797405885</v>
      </c>
      <c r="AI536" s="9">
        <f>SUMIFS(AD536:AD1167, R536:R1167, S536)</f>
        <v>0</v>
      </c>
      <c r="AJ536" s="11" t="e">
        <f>SUMIFS(AD536:AD1167, R536:R1167, S536, AD536:AD1167, "&gt;" &amp; AE536) / AI536</f>
        <v>#DIV/0!</v>
      </c>
      <c r="AK536" s="7" t="e">
        <f>IF(AJ536&lt;=0.8,"A",IF(Table2[[#This Row],[Cumulative rev]]&lt;=0.95,"B","C"))</f>
        <v>#DIV/0!</v>
      </c>
    </row>
    <row r="537" spans="1:37" x14ac:dyDescent="0.3">
      <c r="A537" t="s">
        <v>550</v>
      </c>
      <c r="B537" s="4">
        <v>45108</v>
      </c>
      <c r="C537" s="4" t="s">
        <v>2116</v>
      </c>
      <c r="D537" s="4" t="s">
        <v>2117</v>
      </c>
      <c r="E537" s="4">
        <v>45118</v>
      </c>
      <c r="F537" t="s">
        <v>2064</v>
      </c>
      <c r="G537" s="4">
        <v>45118</v>
      </c>
      <c r="H537" s="4">
        <f>_xlfn.MINIFS(B537:B1168, N537:N1168, N537)</f>
        <v>45019</v>
      </c>
      <c r="I537" s="4" t="str">
        <f t="shared" si="16"/>
        <v>Apr-2023</v>
      </c>
      <c r="J537" s="13">
        <f t="shared" si="17"/>
        <v>3</v>
      </c>
      <c r="K537" s="13">
        <v>10</v>
      </c>
      <c r="L537" s="30" t="str">
        <f>IF(Table2[[#This Row],[LeadTimeDays]]&lt;7,"1","0")</f>
        <v>0</v>
      </c>
      <c r="M537" s="7" t="s">
        <v>649</v>
      </c>
      <c r="N537" s="7" t="s">
        <v>657</v>
      </c>
      <c r="O537" s="7" t="s">
        <v>690</v>
      </c>
      <c r="P537" s="7" t="s">
        <v>701</v>
      </c>
      <c r="Q537" s="7" t="s">
        <v>711</v>
      </c>
      <c r="R537" s="7" t="s">
        <v>721</v>
      </c>
      <c r="S537" s="7" t="s">
        <v>729</v>
      </c>
      <c r="T537" s="7" t="s">
        <v>1962</v>
      </c>
      <c r="U537" s="9">
        <v>479.5</v>
      </c>
      <c r="V537" s="9">
        <v>656.66</v>
      </c>
      <c r="W537" s="9">
        <v>656.66</v>
      </c>
      <c r="X537" s="9">
        <v>901.82650000000001</v>
      </c>
      <c r="Y537" s="9">
        <v>1686.8010000000002</v>
      </c>
      <c r="Z537" s="9" t="s">
        <v>2081</v>
      </c>
      <c r="AA537" t="s">
        <v>2065</v>
      </c>
      <c r="AB537" s="11">
        <v>0.14899999999999999</v>
      </c>
      <c r="AC537" t="s">
        <v>2065</v>
      </c>
      <c r="AD537" s="13">
        <v>14</v>
      </c>
      <c r="AE537" s="9">
        <v>7823.4472399999995</v>
      </c>
      <c r="AF537" s="9">
        <v>6713</v>
      </c>
      <c r="AG537" s="9">
        <v>1110.4472399999995</v>
      </c>
      <c r="AH537" s="11">
        <v>0.14193835606412289</v>
      </c>
      <c r="AI537" s="9">
        <f>SUMIFS(AD537:AD1168, R537:R1168, S537)</f>
        <v>0</v>
      </c>
      <c r="AJ537" s="11" t="e">
        <f>SUMIFS(AD537:AD1168, R537:R1168, S537, AD537:AD1168, "&gt;" &amp; AE537) / AI537</f>
        <v>#DIV/0!</v>
      </c>
      <c r="AK537" s="7" t="e">
        <f>IF(AJ537&lt;=0.8,"A",IF(Table2[[#This Row],[Cumulative rev]]&lt;=0.95,"B","C"))</f>
        <v>#DIV/0!</v>
      </c>
    </row>
    <row r="538" spans="1:37" x14ac:dyDescent="0.3">
      <c r="A538" t="s">
        <v>551</v>
      </c>
      <c r="B538" s="4">
        <v>45520</v>
      </c>
      <c r="C538" s="4" t="s">
        <v>2113</v>
      </c>
      <c r="D538" s="4" t="s">
        <v>2106</v>
      </c>
      <c r="E538" s="4">
        <v>45530</v>
      </c>
      <c r="F538" t="s">
        <v>2064</v>
      </c>
      <c r="G538" s="4">
        <v>45530</v>
      </c>
      <c r="H538" s="4">
        <f>_xlfn.MINIFS(B538:B1169, N538:N1169, N538)</f>
        <v>44984</v>
      </c>
      <c r="I538" s="4" t="str">
        <f t="shared" si="16"/>
        <v>Feb-2023</v>
      </c>
      <c r="J538" s="13">
        <f t="shared" si="17"/>
        <v>18</v>
      </c>
      <c r="K538" s="13">
        <v>10</v>
      </c>
      <c r="L538" s="30" t="str">
        <f>IF(Table2[[#This Row],[LeadTimeDays]]&lt;7,"1","0")</f>
        <v>0</v>
      </c>
      <c r="M538" s="7" t="s">
        <v>648</v>
      </c>
      <c r="N538" s="7" t="s">
        <v>1425</v>
      </c>
      <c r="O538" s="7" t="s">
        <v>677</v>
      </c>
      <c r="P538" s="7" t="s">
        <v>701</v>
      </c>
      <c r="Q538" s="7" t="s">
        <v>710</v>
      </c>
      <c r="R538" s="7" t="s">
        <v>716</v>
      </c>
      <c r="S538" s="7" t="s">
        <v>731</v>
      </c>
      <c r="T538" s="7" t="s">
        <v>1814</v>
      </c>
      <c r="U538" s="9">
        <v>1291.7</v>
      </c>
      <c r="V538" s="9">
        <v>2657.84</v>
      </c>
      <c r="W538" s="9">
        <v>2657.84</v>
      </c>
      <c r="X538" s="9">
        <v>903.3760000000002</v>
      </c>
      <c r="Y538" s="9">
        <v>1699.2812000000001</v>
      </c>
      <c r="Z538" s="9" t="s">
        <v>2095</v>
      </c>
      <c r="AA538" t="s">
        <v>2065</v>
      </c>
      <c r="AB538" s="11">
        <v>8.6999999999999994E-2</v>
      </c>
      <c r="AC538" t="s">
        <v>2065</v>
      </c>
      <c r="AD538" s="13">
        <v>21</v>
      </c>
      <c r="AE538" s="9">
        <v>50958.766320000002</v>
      </c>
      <c r="AF538" s="9">
        <v>27125.7</v>
      </c>
      <c r="AG538" s="9">
        <v>23833.066320000002</v>
      </c>
      <c r="AH538" s="11">
        <v>0.46769315745083367</v>
      </c>
      <c r="AI538" s="9">
        <f>SUMIFS(AD538:AD1169, R538:R1169, S538)</f>
        <v>0</v>
      </c>
      <c r="AJ538" s="11" t="e">
        <f>SUMIFS(AD538:AD1169, R538:R1169, S538, AD538:AD1169, "&gt;" &amp; AE538) / AI538</f>
        <v>#DIV/0!</v>
      </c>
      <c r="AK538" s="7" t="e">
        <f>IF(AJ538&lt;=0.8,"A",IF(Table2[[#This Row],[Cumulative rev]]&lt;=0.95,"B","C"))</f>
        <v>#DIV/0!</v>
      </c>
    </row>
    <row r="539" spans="1:37" x14ac:dyDescent="0.3">
      <c r="A539" t="s">
        <v>552</v>
      </c>
      <c r="B539" s="4">
        <v>45114</v>
      </c>
      <c r="C539" s="4" t="s">
        <v>2116</v>
      </c>
      <c r="D539" s="4" t="s">
        <v>2117</v>
      </c>
      <c r="E539" s="4">
        <v>45120</v>
      </c>
      <c r="F539" t="s">
        <v>2064</v>
      </c>
      <c r="G539" s="4">
        <v>45120</v>
      </c>
      <c r="H539" s="4">
        <f>_xlfn.MINIFS(B539:B1170, N539:N1170, N539)</f>
        <v>44933</v>
      </c>
      <c r="I539" s="4" t="str">
        <f t="shared" si="16"/>
        <v>Jan-2023</v>
      </c>
      <c r="J539" s="13">
        <f t="shared" si="17"/>
        <v>7</v>
      </c>
      <c r="K539" s="13">
        <v>6</v>
      </c>
      <c r="L539" s="30" t="str">
        <f>IF(Table2[[#This Row],[LeadTimeDays]]&lt;7,"1","0")</f>
        <v>1</v>
      </c>
      <c r="M539" s="7" t="s">
        <v>646</v>
      </c>
      <c r="N539" s="7" t="s">
        <v>661</v>
      </c>
      <c r="O539" s="7" t="s">
        <v>695</v>
      </c>
      <c r="P539" s="7" t="s">
        <v>705</v>
      </c>
      <c r="Q539" s="7" t="s">
        <v>709</v>
      </c>
      <c r="R539" s="7" t="s">
        <v>717</v>
      </c>
      <c r="S539" s="7" t="s">
        <v>733</v>
      </c>
      <c r="T539" s="7" t="s">
        <v>1963</v>
      </c>
      <c r="U539" s="9">
        <v>612.59</v>
      </c>
      <c r="V539" s="9">
        <v>1424.74</v>
      </c>
      <c r="W539" s="9">
        <v>1424.74</v>
      </c>
      <c r="X539" s="9">
        <v>902.16309999999999</v>
      </c>
      <c r="Y539" s="9">
        <v>1674.0554000000002</v>
      </c>
      <c r="Z539" s="9" t="s">
        <v>2092</v>
      </c>
      <c r="AA539" t="s">
        <v>2065</v>
      </c>
      <c r="AB539" s="11">
        <v>4.3999999999999997E-2</v>
      </c>
      <c r="AC539" t="s">
        <v>2065</v>
      </c>
      <c r="AD539" s="13">
        <v>15</v>
      </c>
      <c r="AE539" s="9">
        <v>20430.771599999996</v>
      </c>
      <c r="AF539" s="9">
        <v>9188.85</v>
      </c>
      <c r="AG539" s="9">
        <v>11241.921599999996</v>
      </c>
      <c r="AH539" s="11">
        <v>0.55024459281802152</v>
      </c>
      <c r="AI539" s="9">
        <f>SUMIFS(AD539:AD1170, R539:R1170, S539)</f>
        <v>0</v>
      </c>
      <c r="AJ539" s="11" t="e">
        <f>SUMIFS(AD539:AD1170, R539:R1170, S539, AD539:AD1170, "&gt;" &amp; AE539) / AI539</f>
        <v>#DIV/0!</v>
      </c>
      <c r="AK539" s="7" t="e">
        <f>IF(AJ539&lt;=0.8,"A",IF(Table2[[#This Row],[Cumulative rev]]&lt;=0.95,"B","C"))</f>
        <v>#DIV/0!</v>
      </c>
    </row>
    <row r="540" spans="1:37" x14ac:dyDescent="0.3">
      <c r="A540" t="s">
        <v>553</v>
      </c>
      <c r="B540" s="4">
        <v>45288</v>
      </c>
      <c r="C540" s="4" t="s">
        <v>2088</v>
      </c>
      <c r="D540" s="4" t="s">
        <v>2089</v>
      </c>
      <c r="E540" s="4">
        <v>45292</v>
      </c>
      <c r="F540" t="s">
        <v>2064</v>
      </c>
      <c r="G540" s="4">
        <v>45292</v>
      </c>
      <c r="H540" s="4">
        <f>_xlfn.MINIFS(B540:B1171, N540:N1171, N540)</f>
        <v>44933</v>
      </c>
      <c r="I540" s="4" t="str">
        <f t="shared" si="16"/>
        <v>Jan-2023</v>
      </c>
      <c r="J540" s="13">
        <f t="shared" si="17"/>
        <v>12</v>
      </c>
      <c r="K540" s="13">
        <v>4</v>
      </c>
      <c r="L540" s="30" t="str">
        <f>IF(Table2[[#This Row],[LeadTimeDays]]&lt;7,"1","0")</f>
        <v>1</v>
      </c>
      <c r="M540" s="7" t="s">
        <v>646</v>
      </c>
      <c r="N540" s="7" t="s">
        <v>661</v>
      </c>
      <c r="O540" s="7" t="s">
        <v>695</v>
      </c>
      <c r="P540" s="7" t="s">
        <v>702</v>
      </c>
      <c r="Q540" s="7" t="s">
        <v>710</v>
      </c>
      <c r="R540" s="7" t="s">
        <v>720</v>
      </c>
      <c r="S540" s="7" t="s">
        <v>728</v>
      </c>
      <c r="T540" s="7" t="s">
        <v>1964</v>
      </c>
      <c r="U540" s="9">
        <v>1141.8</v>
      </c>
      <c r="V540" s="9">
        <v>2318.7399999999998</v>
      </c>
      <c r="W540" s="9">
        <v>2318.7399999999998</v>
      </c>
      <c r="X540" s="9">
        <v>901.83640000000003</v>
      </c>
      <c r="Y540" s="9">
        <v>1687.5976000000003</v>
      </c>
      <c r="Z540" s="9" t="s">
        <v>2095</v>
      </c>
      <c r="AA540" t="s">
        <v>2065</v>
      </c>
      <c r="AB540" s="11">
        <v>0.107</v>
      </c>
      <c r="AC540" t="s">
        <v>2065</v>
      </c>
      <c r="AD540" s="13">
        <v>32</v>
      </c>
      <c r="AE540" s="9">
        <v>66260.314239999992</v>
      </c>
      <c r="AF540" s="9">
        <v>36537.599999999999</v>
      </c>
      <c r="AG540" s="9">
        <v>29722.714239999994</v>
      </c>
      <c r="AH540" s="11">
        <v>0.44857490612468304</v>
      </c>
      <c r="AI540" s="9">
        <f>SUMIFS(AD540:AD1171, R540:R1171, S540)</f>
        <v>0</v>
      </c>
      <c r="AJ540" s="11" t="e">
        <f>SUMIFS(AD540:AD1171, R540:R1171, S540, AD540:AD1171, "&gt;" &amp; AE540) / AI540</f>
        <v>#DIV/0!</v>
      </c>
      <c r="AK540" s="7" t="e">
        <f>IF(AJ540&lt;=0.8,"A",IF(Table2[[#This Row],[Cumulative rev]]&lt;=0.95,"B","C"))</f>
        <v>#DIV/0!</v>
      </c>
    </row>
    <row r="541" spans="1:37" x14ac:dyDescent="0.3">
      <c r="A541" t="s">
        <v>554</v>
      </c>
      <c r="B541" s="4">
        <v>44952</v>
      </c>
      <c r="C541" s="4" t="s">
        <v>2090</v>
      </c>
      <c r="D541" s="4" t="s">
        <v>2085</v>
      </c>
      <c r="E541" s="4">
        <v>44972</v>
      </c>
      <c r="F541" t="s">
        <v>2064</v>
      </c>
      <c r="G541" s="4">
        <v>44972</v>
      </c>
      <c r="H541" s="4">
        <f>_xlfn.MINIFS(B541:B1172, N541:N1172, N541)</f>
        <v>44952</v>
      </c>
      <c r="I541" s="4" t="str">
        <f t="shared" si="16"/>
        <v>Jan-2023</v>
      </c>
      <c r="J541" s="13">
        <f t="shared" si="17"/>
        <v>1</v>
      </c>
      <c r="K541" s="13">
        <v>20</v>
      </c>
      <c r="L541" s="30" t="str">
        <f>IF(Table2[[#This Row],[LeadTimeDays]]&lt;7,"1","0")</f>
        <v>0</v>
      </c>
      <c r="M541" s="7" t="s">
        <v>649</v>
      </c>
      <c r="N541" s="7" t="s">
        <v>656</v>
      </c>
      <c r="O541" s="7" t="s">
        <v>671</v>
      </c>
      <c r="P541" s="7" t="s">
        <v>705</v>
      </c>
      <c r="Q541" s="7" t="s">
        <v>708</v>
      </c>
      <c r="R541" s="7" t="s">
        <v>719</v>
      </c>
      <c r="S541" s="7" t="s">
        <v>729</v>
      </c>
      <c r="T541" s="7" t="s">
        <v>1965</v>
      </c>
      <c r="U541" s="9">
        <v>492.62</v>
      </c>
      <c r="V541" s="9">
        <v>366.7</v>
      </c>
      <c r="W541" s="9">
        <v>366.7</v>
      </c>
      <c r="X541" s="9">
        <v>901.50970000000007</v>
      </c>
      <c r="Y541" s="9">
        <v>1661.3098000000002</v>
      </c>
      <c r="Z541" s="9" t="s">
        <v>2081</v>
      </c>
      <c r="AA541" t="s">
        <v>2065</v>
      </c>
      <c r="AB541" s="11">
        <v>8.8999999999999996E-2</v>
      </c>
      <c r="AC541" t="s">
        <v>2065</v>
      </c>
      <c r="AD541" s="13">
        <v>10</v>
      </c>
      <c r="AE541" s="9">
        <v>3340.6370000000002</v>
      </c>
      <c r="AF541" s="9">
        <v>4926.2</v>
      </c>
      <c r="AG541" s="9">
        <v>-1585.5629999999996</v>
      </c>
      <c r="AH541" s="11">
        <v>-0.47462894052840809</v>
      </c>
      <c r="AI541" s="9">
        <f>SUMIFS(AD541:AD1172, R541:R1172, S541)</f>
        <v>0</v>
      </c>
      <c r="AJ541" s="11" t="e">
        <f>SUMIFS(AD541:AD1172, R541:R1172, S541, AD541:AD1172, "&gt;" &amp; AE541) / AI541</f>
        <v>#DIV/0!</v>
      </c>
      <c r="AK541" s="7" t="e">
        <f>IF(AJ541&lt;=0.8,"A",IF(Table2[[#This Row],[Cumulative rev]]&lt;=0.95,"B","C"))</f>
        <v>#DIV/0!</v>
      </c>
    </row>
    <row r="542" spans="1:37" x14ac:dyDescent="0.3">
      <c r="A542" t="s">
        <v>555</v>
      </c>
      <c r="B542" s="4">
        <v>45115</v>
      </c>
      <c r="C542" s="4" t="s">
        <v>2116</v>
      </c>
      <c r="D542" s="4" t="s">
        <v>2117</v>
      </c>
      <c r="E542" s="4">
        <v>45116</v>
      </c>
      <c r="F542" t="s">
        <v>2064</v>
      </c>
      <c r="G542" s="4">
        <v>45116</v>
      </c>
      <c r="H542" s="4">
        <f>_xlfn.MINIFS(B542:B1173, N542:N1173, N542)</f>
        <v>45115</v>
      </c>
      <c r="I542" s="4" t="str">
        <f t="shared" si="16"/>
        <v>Jul-2023</v>
      </c>
      <c r="J542" s="13">
        <f t="shared" si="17"/>
        <v>1</v>
      </c>
      <c r="K542" s="13">
        <v>1</v>
      </c>
      <c r="L542" s="30" t="str">
        <f>IF(Table2[[#This Row],[LeadTimeDays]]&lt;7,"1","0")</f>
        <v>1</v>
      </c>
      <c r="M542" s="7" t="s">
        <v>646</v>
      </c>
      <c r="N542" s="7" t="s">
        <v>650</v>
      </c>
      <c r="O542" s="7" t="s">
        <v>664</v>
      </c>
      <c r="P542" s="7" t="s">
        <v>704</v>
      </c>
      <c r="Q542" s="7" t="s">
        <v>708</v>
      </c>
      <c r="R542" s="7" t="s">
        <v>726</v>
      </c>
      <c r="S542" s="7" t="s">
        <v>731</v>
      </c>
      <c r="T542" s="7" t="s">
        <v>1966</v>
      </c>
      <c r="U542" s="9">
        <v>1258.72</v>
      </c>
      <c r="V542" s="9">
        <v>2797.41</v>
      </c>
      <c r="W542" s="9">
        <v>2797.41</v>
      </c>
      <c r="X542" s="9">
        <v>902.173</v>
      </c>
      <c r="Y542" s="9">
        <v>1674.8520000000003</v>
      </c>
      <c r="Z542" s="9" t="s">
        <v>2095</v>
      </c>
      <c r="AA542" t="s">
        <v>2065</v>
      </c>
      <c r="AB542" s="11">
        <v>0</v>
      </c>
      <c r="AC542" t="s">
        <v>2065</v>
      </c>
      <c r="AD542" s="13">
        <v>7</v>
      </c>
      <c r="AE542" s="9">
        <v>19581.87</v>
      </c>
      <c r="AF542" s="9">
        <v>8811.0400000000009</v>
      </c>
      <c r="AG542" s="9">
        <v>10770.829999999998</v>
      </c>
      <c r="AH542" s="11">
        <v>0.55004093071805704</v>
      </c>
      <c r="AI542" s="9">
        <f>SUMIFS(AD542:AD1173, R542:R1173, S542)</f>
        <v>0</v>
      </c>
      <c r="AJ542" s="11" t="e">
        <f>SUMIFS(AD542:AD1173, R542:R1173, S542, AD542:AD1173, "&gt;" &amp; AE542) / AI542</f>
        <v>#DIV/0!</v>
      </c>
      <c r="AK542" s="7" t="e">
        <f>IF(AJ542&lt;=0.8,"A",IF(Table2[[#This Row],[Cumulative rev]]&lt;=0.95,"B","C"))</f>
        <v>#DIV/0!</v>
      </c>
    </row>
    <row r="543" spans="1:37" x14ac:dyDescent="0.3">
      <c r="A543" t="s">
        <v>556</v>
      </c>
      <c r="B543" s="4">
        <v>45450</v>
      </c>
      <c r="C543" s="4" t="s">
        <v>2109</v>
      </c>
      <c r="D543" s="4" t="s">
        <v>2094</v>
      </c>
      <c r="E543" s="4">
        <v>45452</v>
      </c>
      <c r="F543" t="s">
        <v>2064</v>
      </c>
      <c r="G543" s="4">
        <v>45452</v>
      </c>
      <c r="H543" s="4">
        <f>_xlfn.MINIFS(B543:B1174, N543:N1174, N543)</f>
        <v>45141</v>
      </c>
      <c r="I543" s="4" t="str">
        <f t="shared" si="16"/>
        <v>Aug-2023</v>
      </c>
      <c r="J543" s="13">
        <f t="shared" si="17"/>
        <v>11</v>
      </c>
      <c r="K543" s="13">
        <v>2</v>
      </c>
      <c r="L543" s="30" t="str">
        <f>IF(Table2[[#This Row],[LeadTimeDays]]&lt;7,"1","0")</f>
        <v>1</v>
      </c>
      <c r="M543" s="7" t="s">
        <v>647</v>
      </c>
      <c r="N543" s="7" t="s">
        <v>659</v>
      </c>
      <c r="O543" s="7" t="s">
        <v>685</v>
      </c>
      <c r="P543" s="7" t="s">
        <v>701</v>
      </c>
      <c r="Q543" s="7" t="s">
        <v>707</v>
      </c>
      <c r="R543" s="7" t="s">
        <v>719</v>
      </c>
      <c r="S543" s="7" t="s">
        <v>732</v>
      </c>
      <c r="T543" s="7" t="s">
        <v>1967</v>
      </c>
      <c r="U543" s="9">
        <v>1370.28</v>
      </c>
      <c r="V543" s="9">
        <v>2209.66</v>
      </c>
      <c r="W543" s="9">
        <v>2209.66</v>
      </c>
      <c r="X543" s="9">
        <v>901.84630000000004</v>
      </c>
      <c r="Y543" s="9">
        <v>1655.4256</v>
      </c>
      <c r="Z543" s="9" t="s">
        <v>2095</v>
      </c>
      <c r="AA543" t="s">
        <v>2065</v>
      </c>
      <c r="AB543" s="11">
        <v>0.13300000000000001</v>
      </c>
      <c r="AC543" t="s">
        <v>2065</v>
      </c>
      <c r="AD543" s="13">
        <v>16</v>
      </c>
      <c r="AE543" s="9">
        <v>30652.403519999996</v>
      </c>
      <c r="AF543" s="9">
        <v>21924.48</v>
      </c>
      <c r="AG543" s="9">
        <v>8727.9235199999966</v>
      </c>
      <c r="AH543" s="11">
        <v>0.28473863442079589</v>
      </c>
      <c r="AI543" s="9">
        <f>SUMIFS(AD543:AD1174, R543:R1174, S543)</f>
        <v>0</v>
      </c>
      <c r="AJ543" s="11" t="e">
        <f>SUMIFS(AD543:AD1174, R543:R1174, S543, AD543:AD1174, "&gt;" &amp; AE543) / AI543</f>
        <v>#DIV/0!</v>
      </c>
      <c r="AK543" s="7" t="e">
        <f>IF(AJ543&lt;=0.8,"A",IF(Table2[[#This Row],[Cumulative rev]]&lt;=0.95,"B","C"))</f>
        <v>#DIV/0!</v>
      </c>
    </row>
    <row r="544" spans="1:37" x14ac:dyDescent="0.3">
      <c r="A544" t="s">
        <v>557</v>
      </c>
      <c r="B544" s="4">
        <v>44968</v>
      </c>
      <c r="C544" s="4" t="s">
        <v>2084</v>
      </c>
      <c r="D544" s="4" t="s">
        <v>2085</v>
      </c>
      <c r="E544" s="4">
        <v>44969</v>
      </c>
      <c r="F544" t="s">
        <v>2064</v>
      </c>
      <c r="G544" s="4">
        <v>44969</v>
      </c>
      <c r="H544" s="4">
        <f>_xlfn.MINIFS(B544:B1175, N544:N1175, N544)</f>
        <v>44968</v>
      </c>
      <c r="I544" s="4" t="str">
        <f t="shared" si="16"/>
        <v>Feb-2023</v>
      </c>
      <c r="J544" s="13">
        <f t="shared" si="17"/>
        <v>1</v>
      </c>
      <c r="K544" s="13">
        <v>1</v>
      </c>
      <c r="L544" s="30" t="str">
        <f>IF(Table2[[#This Row],[LeadTimeDays]]&lt;7,"1","0")</f>
        <v>1</v>
      </c>
      <c r="M544" s="7" t="s">
        <v>646</v>
      </c>
      <c r="N544" s="7" t="s">
        <v>651</v>
      </c>
      <c r="O544" s="7" t="s">
        <v>663</v>
      </c>
      <c r="P544" s="7" t="s">
        <v>703</v>
      </c>
      <c r="Q544" s="7" t="s">
        <v>711</v>
      </c>
      <c r="R544" s="7" t="s">
        <v>726</v>
      </c>
      <c r="S544" s="7" t="s">
        <v>733</v>
      </c>
      <c r="T544" s="7" t="s">
        <v>1968</v>
      </c>
      <c r="U544" s="9">
        <v>944.61</v>
      </c>
      <c r="V544" s="9">
        <v>839.04</v>
      </c>
      <c r="W544" s="9">
        <v>839.04</v>
      </c>
      <c r="X544" s="9">
        <v>901.51959999999997</v>
      </c>
      <c r="Y544" s="9">
        <v>1646.5552</v>
      </c>
      <c r="Z544" s="9" t="s">
        <v>2081</v>
      </c>
      <c r="AA544" t="s">
        <v>2065</v>
      </c>
      <c r="AB544" s="11">
        <v>5.8999999999999997E-2</v>
      </c>
      <c r="AC544" t="s">
        <v>2065</v>
      </c>
      <c r="AD544" s="13">
        <v>6</v>
      </c>
      <c r="AE544" s="9">
        <v>4737.2198399999997</v>
      </c>
      <c r="AF544" s="9">
        <v>5667.66</v>
      </c>
      <c r="AG544" s="9">
        <v>-930.44016000000011</v>
      </c>
      <c r="AH544" s="11">
        <v>-0.19641059343363726</v>
      </c>
      <c r="AI544" s="9">
        <f>SUMIFS(AD544:AD1175, R544:R1175, S544)</f>
        <v>0</v>
      </c>
      <c r="AJ544" s="11" t="e">
        <f>SUMIFS(AD544:AD1175, R544:R1175, S544, AD544:AD1175, "&gt;" &amp; AE544) / AI544</f>
        <v>#DIV/0!</v>
      </c>
      <c r="AK544" s="7" t="e">
        <f>IF(AJ544&lt;=0.8,"A",IF(Table2[[#This Row],[Cumulative rev]]&lt;=0.95,"B","C"))</f>
        <v>#DIV/0!</v>
      </c>
    </row>
    <row r="545" spans="1:37" x14ac:dyDescent="0.3">
      <c r="A545" t="s">
        <v>558</v>
      </c>
      <c r="B545" s="4">
        <v>45108</v>
      </c>
      <c r="C545" s="4" t="s">
        <v>2116</v>
      </c>
      <c r="D545" s="4" t="s">
        <v>2117</v>
      </c>
      <c r="E545" s="4">
        <v>45115</v>
      </c>
      <c r="F545" t="s">
        <v>2064</v>
      </c>
      <c r="G545" s="4">
        <v>45115</v>
      </c>
      <c r="H545" s="4">
        <f>_xlfn.MINIFS(B545:B1176, N545:N1176, N545)</f>
        <v>44985</v>
      </c>
      <c r="I545" s="4" t="str">
        <f t="shared" si="16"/>
        <v>Feb-2023</v>
      </c>
      <c r="J545" s="13">
        <f t="shared" si="17"/>
        <v>5</v>
      </c>
      <c r="K545" s="13">
        <v>7</v>
      </c>
      <c r="L545" s="30" t="str">
        <f>IF(Table2[[#This Row],[LeadTimeDays]]&lt;7,"1","0")</f>
        <v>0</v>
      </c>
      <c r="M545" s="7" t="s">
        <v>649</v>
      </c>
      <c r="N545" s="7" t="s">
        <v>656</v>
      </c>
      <c r="O545" s="7" t="s">
        <v>698</v>
      </c>
      <c r="P545" s="7" t="s">
        <v>705</v>
      </c>
      <c r="Q545" s="7" t="s">
        <v>710</v>
      </c>
      <c r="R545" s="7" t="s">
        <v>725</v>
      </c>
      <c r="S545" s="7" t="s">
        <v>731</v>
      </c>
      <c r="T545" s="7" t="s">
        <v>1969</v>
      </c>
      <c r="U545" s="9">
        <v>460.21</v>
      </c>
      <c r="V545" s="9">
        <v>1139.1500000000001</v>
      </c>
      <c r="W545" s="9">
        <v>1139.1500000000001</v>
      </c>
      <c r="X545" s="9">
        <v>902.18290000000002</v>
      </c>
      <c r="Y545" s="9">
        <v>1651.1248000000001</v>
      </c>
      <c r="Z545" s="9" t="s">
        <v>2092</v>
      </c>
      <c r="AA545" t="s">
        <v>2065</v>
      </c>
      <c r="AB545" s="11">
        <v>0.115</v>
      </c>
      <c r="AC545" t="s">
        <v>2065</v>
      </c>
      <c r="AD545" s="13">
        <v>14</v>
      </c>
      <c r="AE545" s="9">
        <v>14114.068500000001</v>
      </c>
      <c r="AF545" s="9">
        <v>6442.94</v>
      </c>
      <c r="AG545" s="9">
        <v>7671.1285000000016</v>
      </c>
      <c r="AH545" s="11">
        <v>0.54350937151821255</v>
      </c>
      <c r="AI545" s="9">
        <f>SUMIFS(AD545:AD1176, R545:R1176, S545)</f>
        <v>0</v>
      </c>
      <c r="AJ545" s="11" t="e">
        <f>SUMIFS(AD545:AD1176, R545:R1176, S545, AD545:AD1176, "&gt;" &amp; AE545) / AI545</f>
        <v>#DIV/0!</v>
      </c>
      <c r="AK545" s="7" t="e">
        <f>IF(AJ545&lt;=0.8,"A",IF(Table2[[#This Row],[Cumulative rev]]&lt;=0.95,"B","C"))</f>
        <v>#DIV/0!</v>
      </c>
    </row>
    <row r="546" spans="1:37" x14ac:dyDescent="0.3">
      <c r="A546" t="s">
        <v>559</v>
      </c>
      <c r="B546" s="4">
        <v>45889</v>
      </c>
      <c r="C546" s="4" t="s">
        <v>2121</v>
      </c>
      <c r="D546" s="4" t="s">
        <v>2101</v>
      </c>
      <c r="E546" s="4">
        <v>45895</v>
      </c>
      <c r="F546" t="s">
        <v>2064</v>
      </c>
      <c r="G546" s="4">
        <v>45895</v>
      </c>
      <c r="H546" s="4">
        <f>_xlfn.MINIFS(B546:B1177, N546:N1177, N546)</f>
        <v>44984</v>
      </c>
      <c r="I546" s="4" t="str">
        <f t="shared" si="16"/>
        <v>Feb-2023</v>
      </c>
      <c r="J546" s="13">
        <f t="shared" si="17"/>
        <v>30</v>
      </c>
      <c r="K546" s="13">
        <v>6</v>
      </c>
      <c r="L546" s="30" t="str">
        <f>IF(Table2[[#This Row],[LeadTimeDays]]&lt;7,"1","0")</f>
        <v>1</v>
      </c>
      <c r="M546" s="7" t="s">
        <v>648</v>
      </c>
      <c r="N546" s="7" t="s">
        <v>1425</v>
      </c>
      <c r="O546" s="7" t="s">
        <v>700</v>
      </c>
      <c r="P546" s="7" t="s">
        <v>701</v>
      </c>
      <c r="Q546" s="7" t="s">
        <v>707</v>
      </c>
      <c r="R546" s="7" t="s">
        <v>724</v>
      </c>
      <c r="S546" s="7" t="s">
        <v>729</v>
      </c>
      <c r="T546" s="7" t="s">
        <v>1970</v>
      </c>
      <c r="U546" s="9">
        <v>1304.95</v>
      </c>
      <c r="V546" s="9">
        <v>1712.03</v>
      </c>
      <c r="W546" s="9">
        <v>1712.03</v>
      </c>
      <c r="X546" s="9">
        <v>901.85620000000006</v>
      </c>
      <c r="Y546" s="9">
        <v>1655.6944000000001</v>
      </c>
      <c r="Z546" s="9" t="s">
        <v>2095</v>
      </c>
      <c r="AA546" t="s">
        <v>2065</v>
      </c>
      <c r="AB546" s="11">
        <v>0.21199999999999999</v>
      </c>
      <c r="AC546" t="s">
        <v>2065</v>
      </c>
      <c r="AD546" s="13">
        <v>8</v>
      </c>
      <c r="AE546" s="9">
        <v>10792.637119999999</v>
      </c>
      <c r="AF546" s="9">
        <v>10439.6</v>
      </c>
      <c r="AG546" s="9">
        <v>353.03711999999905</v>
      </c>
      <c r="AH546" s="11">
        <v>3.2710922833287949E-2</v>
      </c>
      <c r="AI546" s="9">
        <f>SUMIFS(AD546:AD1177, R546:R1177, S546)</f>
        <v>0</v>
      </c>
      <c r="AJ546" s="11" t="e">
        <f>SUMIFS(AD546:AD1177, R546:R1177, S546, AD546:AD1177, "&gt;" &amp; AE546) / AI546</f>
        <v>#DIV/0!</v>
      </c>
      <c r="AK546" s="7" t="e">
        <f>IF(AJ546&lt;=0.8,"A",IF(Table2[[#This Row],[Cumulative rev]]&lt;=0.95,"B","C"))</f>
        <v>#DIV/0!</v>
      </c>
    </row>
    <row r="547" spans="1:37" x14ac:dyDescent="0.3">
      <c r="A547" t="s">
        <v>560</v>
      </c>
      <c r="B547" s="4">
        <v>45355</v>
      </c>
      <c r="C547" s="4" t="s">
        <v>2079</v>
      </c>
      <c r="D547" s="4" t="s">
        <v>2080</v>
      </c>
      <c r="E547" s="4">
        <v>45367</v>
      </c>
      <c r="F547" t="s">
        <v>2064</v>
      </c>
      <c r="G547" s="4">
        <v>45367</v>
      </c>
      <c r="H547" s="4">
        <f>_xlfn.MINIFS(B547:B1178, N547:N1178, N547)</f>
        <v>44933</v>
      </c>
      <c r="I547" s="4" t="str">
        <f t="shared" si="16"/>
        <v>Jan-2023</v>
      </c>
      <c r="J547" s="13">
        <f t="shared" si="17"/>
        <v>14</v>
      </c>
      <c r="K547" s="13">
        <v>12</v>
      </c>
      <c r="L547" s="30" t="str">
        <f>IF(Table2[[#This Row],[LeadTimeDays]]&lt;7,"1","0")</f>
        <v>0</v>
      </c>
      <c r="M547" s="7" t="s">
        <v>646</v>
      </c>
      <c r="N547" s="7" t="s">
        <v>661</v>
      </c>
      <c r="O547" s="7" t="s">
        <v>682</v>
      </c>
      <c r="P547" s="7" t="s">
        <v>706</v>
      </c>
      <c r="Q547" s="7" t="s">
        <v>710</v>
      </c>
      <c r="R547" s="7" t="s">
        <v>724</v>
      </c>
      <c r="S547" s="7" t="s">
        <v>732</v>
      </c>
      <c r="T547" s="7" t="s">
        <v>1971</v>
      </c>
      <c r="U547" s="9">
        <v>441.08</v>
      </c>
      <c r="V547" s="9">
        <v>1054.29</v>
      </c>
      <c r="W547" s="9">
        <v>1054.29</v>
      </c>
      <c r="X547" s="9">
        <v>901.52949999999998</v>
      </c>
      <c r="Y547" s="9">
        <v>1646.8240000000001</v>
      </c>
      <c r="Z547" s="9" t="s">
        <v>2092</v>
      </c>
      <c r="AA547" t="s">
        <v>2065</v>
      </c>
      <c r="AB547" s="11">
        <v>0.23699999999999999</v>
      </c>
      <c r="AC547" t="s">
        <v>2065</v>
      </c>
      <c r="AD547" s="13">
        <v>6</v>
      </c>
      <c r="AE547" s="9">
        <v>4826.5396199999996</v>
      </c>
      <c r="AF547" s="9">
        <v>2646.48</v>
      </c>
      <c r="AG547" s="9">
        <v>2180.0596199999995</v>
      </c>
      <c r="AH547" s="11">
        <v>0.45168169985932899</v>
      </c>
      <c r="AI547" s="9">
        <f>SUMIFS(AD547:AD1178, R547:R1178, S547)</f>
        <v>0</v>
      </c>
      <c r="AJ547" s="11" t="e">
        <f>SUMIFS(AD547:AD1178, R547:R1178, S547, AD547:AD1178, "&gt;" &amp; AE547) / AI547</f>
        <v>#DIV/0!</v>
      </c>
      <c r="AK547" s="7" t="e">
        <f>IF(AJ547&lt;=0.8,"A",IF(Table2[[#This Row],[Cumulative rev]]&lt;=0.95,"B","C"))</f>
        <v>#DIV/0!</v>
      </c>
    </row>
    <row r="548" spans="1:37" x14ac:dyDescent="0.3">
      <c r="A548" t="s">
        <v>561</v>
      </c>
      <c r="B548" s="4">
        <v>45177</v>
      </c>
      <c r="C548" s="4" t="s">
        <v>2120</v>
      </c>
      <c r="D548" s="4" t="s">
        <v>2117</v>
      </c>
      <c r="E548" s="4">
        <v>45201</v>
      </c>
      <c r="F548" t="s">
        <v>2064</v>
      </c>
      <c r="G548" s="4">
        <v>45201</v>
      </c>
      <c r="H548" s="4">
        <f>_xlfn.MINIFS(B548:B1179, N548:N1179, N548)</f>
        <v>45029</v>
      </c>
      <c r="I548" s="4" t="str">
        <f t="shared" si="16"/>
        <v>Apr-2023</v>
      </c>
      <c r="J548" s="13">
        <f t="shared" si="17"/>
        <v>5</v>
      </c>
      <c r="K548" s="13">
        <v>24</v>
      </c>
      <c r="L548" s="30" t="str">
        <f>IF(Table2[[#This Row],[LeadTimeDays]]&lt;7,"1","0")</f>
        <v>0</v>
      </c>
      <c r="M548" s="7" t="s">
        <v>648</v>
      </c>
      <c r="N548" s="7" t="s">
        <v>653</v>
      </c>
      <c r="O548" s="7" t="s">
        <v>667</v>
      </c>
      <c r="P548" s="7" t="s">
        <v>702</v>
      </c>
      <c r="Q548" s="7" t="s">
        <v>711</v>
      </c>
      <c r="R548" s="7" t="s">
        <v>720</v>
      </c>
      <c r="S548" s="7" t="s">
        <v>733</v>
      </c>
      <c r="T548" s="7" t="s">
        <v>1972</v>
      </c>
      <c r="U548" s="9">
        <v>1299.03</v>
      </c>
      <c r="V548" s="9">
        <v>2451.2199999999998</v>
      </c>
      <c r="W548" s="9">
        <v>2451.2199999999998</v>
      </c>
      <c r="X548" s="9">
        <v>892.27920000000006</v>
      </c>
      <c r="Y548" s="9">
        <v>1651.3936000000001</v>
      </c>
      <c r="Z548" s="9" t="s">
        <v>2095</v>
      </c>
      <c r="AA548" t="s">
        <v>2065</v>
      </c>
      <c r="AB548" s="11">
        <v>0.20799999999999999</v>
      </c>
      <c r="AC548" t="s">
        <v>2065</v>
      </c>
      <c r="AD548" s="13">
        <v>8</v>
      </c>
      <c r="AE548" s="9">
        <v>15530.929919999999</v>
      </c>
      <c r="AF548" s="9">
        <v>10392.24</v>
      </c>
      <c r="AG548" s="9">
        <v>5138.6899199999989</v>
      </c>
      <c r="AH548" s="11">
        <v>0.3308681416032041</v>
      </c>
      <c r="AI548" s="9">
        <f>SUMIFS(AD548:AD1179, R548:R1179, S548)</f>
        <v>0</v>
      </c>
      <c r="AJ548" s="11" t="e">
        <f>SUMIFS(AD548:AD1179, R548:R1179, S548, AD548:AD1179, "&gt;" &amp; AE548) / AI548</f>
        <v>#DIV/0!</v>
      </c>
      <c r="AK548" s="7" t="e">
        <f>IF(AJ548&lt;=0.8,"A",IF(Table2[[#This Row],[Cumulative rev]]&lt;=0.95,"B","C"))</f>
        <v>#DIV/0!</v>
      </c>
    </row>
    <row r="549" spans="1:37" x14ac:dyDescent="0.3">
      <c r="A549" t="s">
        <v>562</v>
      </c>
      <c r="B549" s="4">
        <v>44985</v>
      </c>
      <c r="C549" s="4" t="s">
        <v>2084</v>
      </c>
      <c r="D549" s="4" t="s">
        <v>2085</v>
      </c>
      <c r="E549" s="4">
        <v>44991</v>
      </c>
      <c r="F549" t="s">
        <v>2064</v>
      </c>
      <c r="G549" s="4">
        <v>44991</v>
      </c>
      <c r="H549" s="4">
        <f>_xlfn.MINIFS(B549:B1180, N549:N1180, N549)</f>
        <v>44985</v>
      </c>
      <c r="I549" s="4" t="str">
        <f t="shared" si="16"/>
        <v>Feb-2023</v>
      </c>
      <c r="J549" s="13">
        <f t="shared" si="17"/>
        <v>1</v>
      </c>
      <c r="K549" s="13">
        <v>6</v>
      </c>
      <c r="L549" s="30" t="str">
        <f>IF(Table2[[#This Row],[LeadTimeDays]]&lt;7,"1","0")</f>
        <v>1</v>
      </c>
      <c r="M549" s="7" t="s">
        <v>649</v>
      </c>
      <c r="N549" s="7" t="s">
        <v>656</v>
      </c>
      <c r="O549" s="7" t="s">
        <v>698</v>
      </c>
      <c r="P549" s="7" t="s">
        <v>705</v>
      </c>
      <c r="Q549" s="7" t="s">
        <v>709</v>
      </c>
      <c r="R549" s="7" t="s">
        <v>726</v>
      </c>
      <c r="S549" s="7" t="s">
        <v>728</v>
      </c>
      <c r="T549" s="7" t="s">
        <v>1973</v>
      </c>
      <c r="U549" s="9">
        <v>880.02</v>
      </c>
      <c r="V549" s="9">
        <v>1251.21</v>
      </c>
      <c r="W549" s="9">
        <v>1251.21</v>
      </c>
      <c r="X549" s="9">
        <v>881.43540000000007</v>
      </c>
      <c r="Y549" s="9">
        <v>1634.4888000000001</v>
      </c>
      <c r="Z549" s="9" t="s">
        <v>2092</v>
      </c>
      <c r="AA549" t="s">
        <v>2065</v>
      </c>
      <c r="AB549" s="11">
        <v>0.123</v>
      </c>
      <c r="AC549" t="s">
        <v>2065</v>
      </c>
      <c r="AD549" s="13">
        <v>29</v>
      </c>
      <c r="AE549" s="9">
        <v>31822.023930000003</v>
      </c>
      <c r="AF549" s="9">
        <v>25520.579999999998</v>
      </c>
      <c r="AG549" s="9">
        <v>6301.4439300000049</v>
      </c>
      <c r="AH549" s="11">
        <v>0.19802146915172672</v>
      </c>
      <c r="AI549" s="9">
        <f>SUMIFS(AD549:AD1180, R549:R1180, S549)</f>
        <v>0</v>
      </c>
      <c r="AJ549" s="11" t="e">
        <f>SUMIFS(AD549:AD1180, R549:R1180, S549, AD549:AD1180, "&gt;" &amp; AE549) / AI549</f>
        <v>#DIV/0!</v>
      </c>
      <c r="AK549" s="7" t="e">
        <f>IF(AJ549&lt;=0.8,"A",IF(Table2[[#This Row],[Cumulative rev]]&lt;=0.95,"B","C"))</f>
        <v>#DIV/0!</v>
      </c>
    </row>
    <row r="550" spans="1:37" x14ac:dyDescent="0.3">
      <c r="A550" t="s">
        <v>563</v>
      </c>
      <c r="B550" s="4">
        <v>45486</v>
      </c>
      <c r="C550" s="4" t="s">
        <v>2105</v>
      </c>
      <c r="D550" s="4" t="s">
        <v>2106</v>
      </c>
      <c r="E550" s="4">
        <v>45507</v>
      </c>
      <c r="F550" t="s">
        <v>2064</v>
      </c>
      <c r="G550" s="4">
        <v>45507</v>
      </c>
      <c r="H550" s="4">
        <f>_xlfn.MINIFS(B550:B1181, N550:N1181, N550)</f>
        <v>44955</v>
      </c>
      <c r="I550" s="4" t="str">
        <f t="shared" si="16"/>
        <v>Jan-2023</v>
      </c>
      <c r="J550" s="13">
        <f t="shared" si="17"/>
        <v>18</v>
      </c>
      <c r="K550" s="13">
        <v>21</v>
      </c>
      <c r="L550" s="30" t="str">
        <f>IF(Table2[[#This Row],[LeadTimeDays]]&lt;7,"1","0")</f>
        <v>0</v>
      </c>
      <c r="M550" s="7" t="s">
        <v>648</v>
      </c>
      <c r="N550" s="7" t="s">
        <v>655</v>
      </c>
      <c r="O550" s="7" t="s">
        <v>1426</v>
      </c>
      <c r="P550" s="7" t="s">
        <v>701</v>
      </c>
      <c r="Q550" s="7" t="s">
        <v>709</v>
      </c>
      <c r="R550" s="7" t="s">
        <v>724</v>
      </c>
      <c r="S550" s="7" t="s">
        <v>732</v>
      </c>
      <c r="T550" s="7" t="s">
        <v>1974</v>
      </c>
      <c r="U550" s="9">
        <v>702.98</v>
      </c>
      <c r="V550" s="9">
        <v>1104.8</v>
      </c>
      <c r="W550" s="9">
        <v>1104.8</v>
      </c>
      <c r="X550" s="9">
        <v>870.59160000000008</v>
      </c>
      <c r="Y550" s="9">
        <v>1647.0928000000001</v>
      </c>
      <c r="Z550" s="9" t="s">
        <v>2092</v>
      </c>
      <c r="AA550" t="s">
        <v>2065</v>
      </c>
      <c r="AB550" s="11">
        <v>0.17499999999999999</v>
      </c>
      <c r="AC550" t="s">
        <v>2065</v>
      </c>
      <c r="AD550" s="13">
        <v>12</v>
      </c>
      <c r="AE550" s="9">
        <v>10937.519999999999</v>
      </c>
      <c r="AF550" s="9">
        <v>8435.76</v>
      </c>
      <c r="AG550" s="9">
        <v>2501.7599999999984</v>
      </c>
      <c r="AH550" s="11">
        <v>0.22873192460448061</v>
      </c>
      <c r="AI550" s="9">
        <f>SUMIFS(AD550:AD1181, R550:R1181, S550)</f>
        <v>0</v>
      </c>
      <c r="AJ550" s="11" t="e">
        <f>SUMIFS(AD550:AD1181, R550:R1181, S550, AD550:AD1181, "&gt;" &amp; AE550) / AI550</f>
        <v>#DIV/0!</v>
      </c>
      <c r="AK550" s="7" t="e">
        <f>IF(AJ550&lt;=0.8,"A",IF(Table2[[#This Row],[Cumulative rev]]&lt;=0.95,"B","C"))</f>
        <v>#DIV/0!</v>
      </c>
    </row>
    <row r="551" spans="1:37" x14ac:dyDescent="0.3">
      <c r="A551" t="s">
        <v>564</v>
      </c>
      <c r="B551" s="4">
        <v>45633</v>
      </c>
      <c r="C551" s="4" t="s">
        <v>2091</v>
      </c>
      <c r="D551" s="4" t="s">
        <v>2083</v>
      </c>
      <c r="E551" s="4">
        <v>45652</v>
      </c>
      <c r="F551" t="s">
        <v>2064</v>
      </c>
      <c r="G551" s="4">
        <v>45652</v>
      </c>
      <c r="H551" s="4">
        <f>_xlfn.MINIFS(B551:B1182, N551:N1182, N551)</f>
        <v>45026</v>
      </c>
      <c r="I551" s="4" t="str">
        <f t="shared" si="16"/>
        <v>Apr-2023</v>
      </c>
      <c r="J551" s="13">
        <f t="shared" si="17"/>
        <v>20</v>
      </c>
      <c r="K551" s="13">
        <v>19</v>
      </c>
      <c r="L551" s="30" t="str">
        <f>IF(Table2[[#This Row],[LeadTimeDays]]&lt;7,"1","0")</f>
        <v>0</v>
      </c>
      <c r="M551" s="7" t="s">
        <v>649</v>
      </c>
      <c r="N551" s="7" t="s">
        <v>658</v>
      </c>
      <c r="O551" s="7" t="s">
        <v>683</v>
      </c>
      <c r="P551" s="7" t="s">
        <v>706</v>
      </c>
      <c r="Q551" s="7" t="s">
        <v>708</v>
      </c>
      <c r="R551" s="7" t="s">
        <v>726</v>
      </c>
      <c r="S551" s="7" t="s">
        <v>729</v>
      </c>
      <c r="T551" s="7" t="s">
        <v>1975</v>
      </c>
      <c r="U551" s="9">
        <v>1035.24</v>
      </c>
      <c r="V551" s="9">
        <v>2383.41</v>
      </c>
      <c r="W551" s="9">
        <v>2383.41</v>
      </c>
      <c r="X551" s="9">
        <v>866.60580000000004</v>
      </c>
      <c r="Y551" s="9">
        <v>1651.6624000000002</v>
      </c>
      <c r="Z551" s="9" t="s">
        <v>2095</v>
      </c>
      <c r="AA551" t="s">
        <v>2065</v>
      </c>
      <c r="AB551" s="11">
        <v>0.17</v>
      </c>
      <c r="AC551" t="s">
        <v>2065</v>
      </c>
      <c r="AD551" s="13">
        <v>15</v>
      </c>
      <c r="AE551" s="9">
        <v>29673.454499999993</v>
      </c>
      <c r="AF551" s="9">
        <v>15528.6</v>
      </c>
      <c r="AG551" s="9">
        <v>14144.854499999992</v>
      </c>
      <c r="AH551" s="11">
        <v>0.47668378145860962</v>
      </c>
      <c r="AI551" s="9">
        <f>SUMIFS(AD551:AD1182, R551:R1182, S551)</f>
        <v>0</v>
      </c>
      <c r="AJ551" s="11" t="e">
        <f>SUMIFS(AD551:AD1182, R551:R1182, S551, AD551:AD1182, "&gt;" &amp; AE551) / AI551</f>
        <v>#DIV/0!</v>
      </c>
      <c r="AK551" s="7" t="e">
        <f>IF(AJ551&lt;=0.8,"A",IF(Table2[[#This Row],[Cumulative rev]]&lt;=0.95,"B","C"))</f>
        <v>#DIV/0!</v>
      </c>
    </row>
    <row r="552" spans="1:37" x14ac:dyDescent="0.3">
      <c r="A552" t="s">
        <v>565</v>
      </c>
      <c r="B552" s="4">
        <v>45875</v>
      </c>
      <c r="C552" s="4" t="s">
        <v>2121</v>
      </c>
      <c r="D552" s="4" t="s">
        <v>2101</v>
      </c>
      <c r="E552" s="4">
        <v>45892</v>
      </c>
      <c r="F552" t="s">
        <v>2064</v>
      </c>
      <c r="G552" s="4">
        <v>45892</v>
      </c>
      <c r="H552" s="4">
        <f>_xlfn.MINIFS(B552:B1183, N552:N1183, N552)</f>
        <v>44955</v>
      </c>
      <c r="I552" s="4" t="str">
        <f t="shared" si="16"/>
        <v>Jan-2023</v>
      </c>
      <c r="J552" s="13">
        <f t="shared" si="17"/>
        <v>31</v>
      </c>
      <c r="K552" s="13">
        <v>17</v>
      </c>
      <c r="L552" s="30" t="str">
        <f>IF(Table2[[#This Row],[LeadTimeDays]]&lt;7,"1","0")</f>
        <v>0</v>
      </c>
      <c r="M552" s="7" t="s">
        <v>648</v>
      </c>
      <c r="N552" s="7" t="s">
        <v>655</v>
      </c>
      <c r="O552" s="7" t="s">
        <v>672</v>
      </c>
      <c r="P552" s="7" t="s">
        <v>704</v>
      </c>
      <c r="Q552" s="7" t="s">
        <v>710</v>
      </c>
      <c r="R552" s="7" t="s">
        <v>720</v>
      </c>
      <c r="S552" s="7" t="s">
        <v>732</v>
      </c>
      <c r="T552" s="7" t="s">
        <v>1976</v>
      </c>
      <c r="U552" s="9">
        <v>86.64</v>
      </c>
      <c r="V552" s="9">
        <v>213.06</v>
      </c>
      <c r="W552" s="9">
        <v>213.06</v>
      </c>
      <c r="X552" s="9">
        <v>864.14400000000001</v>
      </c>
      <c r="Y552" s="9">
        <v>1635.4880000000003</v>
      </c>
      <c r="Z552" s="9" t="s">
        <v>2081</v>
      </c>
      <c r="AA552" t="s">
        <v>2065</v>
      </c>
      <c r="AB552" s="11">
        <v>0.21199999999999999</v>
      </c>
      <c r="AC552" t="s">
        <v>2065</v>
      </c>
      <c r="AD552" s="13">
        <v>11</v>
      </c>
      <c r="AE552" s="9">
        <v>1846.8040799999999</v>
      </c>
      <c r="AF552" s="9">
        <v>953.04</v>
      </c>
      <c r="AG552" s="9">
        <v>893.76407999999992</v>
      </c>
      <c r="AH552" s="11">
        <v>0.48395175735154322</v>
      </c>
      <c r="AI552" s="9">
        <f>SUMIFS(AD552:AD1183, R552:R1183, S552)</f>
        <v>0</v>
      </c>
      <c r="AJ552" s="11" t="e">
        <f>SUMIFS(AD552:AD1183, R552:R1183, S552, AD552:AD1183, "&gt;" &amp; AE552) / AI552</f>
        <v>#DIV/0!</v>
      </c>
      <c r="AK552" s="7" t="e">
        <f>IF(AJ552&lt;=0.8,"A",IF(Table2[[#This Row],[Cumulative rev]]&lt;=0.95,"B","C"))</f>
        <v>#DIV/0!</v>
      </c>
    </row>
    <row r="553" spans="1:37" x14ac:dyDescent="0.3">
      <c r="A553" t="s">
        <v>566</v>
      </c>
      <c r="B553" s="4">
        <v>44988</v>
      </c>
      <c r="C553" s="4" t="s">
        <v>2114</v>
      </c>
      <c r="D553" s="4" t="s">
        <v>2085</v>
      </c>
      <c r="E553" s="4">
        <v>45005</v>
      </c>
      <c r="F553" t="s">
        <v>2064</v>
      </c>
      <c r="G553" s="4">
        <v>45005</v>
      </c>
      <c r="H553" s="4">
        <f>_xlfn.MINIFS(B553:B1184, N553:N1184, N553)</f>
        <v>44988</v>
      </c>
      <c r="I553" s="4" t="str">
        <f t="shared" si="16"/>
        <v>Mar-2023</v>
      </c>
      <c r="J553" s="13">
        <f t="shared" si="17"/>
        <v>1</v>
      </c>
      <c r="K553" s="13">
        <v>17</v>
      </c>
      <c r="L553" s="30" t="str">
        <f>IF(Table2[[#This Row],[LeadTimeDays]]&lt;7,"1","0")</f>
        <v>0</v>
      </c>
      <c r="M553" s="7" t="s">
        <v>647</v>
      </c>
      <c r="N553" s="7" t="s">
        <v>652</v>
      </c>
      <c r="O553" s="7" t="s">
        <v>694</v>
      </c>
      <c r="P553" s="7" t="s">
        <v>705</v>
      </c>
      <c r="Q553" s="7" t="s">
        <v>708</v>
      </c>
      <c r="R553" s="7" t="s">
        <v>726</v>
      </c>
      <c r="S553" s="7" t="s">
        <v>729</v>
      </c>
      <c r="T553" s="7" t="s">
        <v>1977</v>
      </c>
      <c r="U553" s="9">
        <v>1171.17</v>
      </c>
      <c r="V553" s="9">
        <v>2030.64</v>
      </c>
      <c r="W553" s="9">
        <v>2030.64</v>
      </c>
      <c r="X553" s="9">
        <v>870.92020000000002</v>
      </c>
      <c r="Y553" s="9">
        <v>1647.3616</v>
      </c>
      <c r="Z553" s="9" t="s">
        <v>2095</v>
      </c>
      <c r="AA553" t="s">
        <v>2065</v>
      </c>
      <c r="AB553" s="11">
        <v>0.157</v>
      </c>
      <c r="AC553" t="s">
        <v>2065</v>
      </c>
      <c r="AD553" s="13">
        <v>11</v>
      </c>
      <c r="AE553" s="9">
        <v>18830.12472</v>
      </c>
      <c r="AF553" s="9">
        <v>12882.87</v>
      </c>
      <c r="AG553" s="9">
        <v>5947.254719999999</v>
      </c>
      <c r="AH553" s="11">
        <v>0.31583724528830415</v>
      </c>
      <c r="AI553" s="9">
        <f>SUMIFS(AD553:AD1184, R553:R1184, S553)</f>
        <v>0</v>
      </c>
      <c r="AJ553" s="11" t="e">
        <f>SUMIFS(AD553:AD1184, R553:R1184, S553, AD553:AD1184, "&gt;" &amp; AE553) / AI553</f>
        <v>#DIV/0!</v>
      </c>
      <c r="AK553" s="7" t="e">
        <f>IF(AJ553&lt;=0.8,"A",IF(Table2[[#This Row],[Cumulative rev]]&lt;=0.95,"B","C"))</f>
        <v>#DIV/0!</v>
      </c>
    </row>
    <row r="554" spans="1:37" x14ac:dyDescent="0.3">
      <c r="A554" t="s">
        <v>567</v>
      </c>
      <c r="B554" s="4">
        <v>45704</v>
      </c>
      <c r="C554" s="4" t="s">
        <v>2119</v>
      </c>
      <c r="D554" s="4" t="s">
        <v>2087</v>
      </c>
      <c r="E554" s="4">
        <v>45733</v>
      </c>
      <c r="F554" t="s">
        <v>2064</v>
      </c>
      <c r="G554" s="4">
        <v>45733</v>
      </c>
      <c r="H554" s="4">
        <f>_xlfn.MINIFS(B554:B1185, N554:N1185, N554)</f>
        <v>45267</v>
      </c>
      <c r="I554" s="4" t="str">
        <f t="shared" si="16"/>
        <v>Dec-2023</v>
      </c>
      <c r="J554" s="13">
        <f t="shared" si="17"/>
        <v>15</v>
      </c>
      <c r="K554" s="13">
        <v>29</v>
      </c>
      <c r="L554" s="30" t="str">
        <f>IF(Table2[[#This Row],[LeadTimeDays]]&lt;7,"1","0")</f>
        <v>0</v>
      </c>
      <c r="M554" s="7" t="s">
        <v>649</v>
      </c>
      <c r="N554" s="7" t="s">
        <v>656</v>
      </c>
      <c r="O554" s="7" t="s">
        <v>684</v>
      </c>
      <c r="P554" s="7" t="s">
        <v>704</v>
      </c>
      <c r="Q554" s="7" t="s">
        <v>707</v>
      </c>
      <c r="R554" s="7" t="s">
        <v>716</v>
      </c>
      <c r="S554" s="7" t="s">
        <v>733</v>
      </c>
      <c r="T554" s="7" t="s">
        <v>1978</v>
      </c>
      <c r="U554" s="9">
        <v>730.42</v>
      </c>
      <c r="V554" s="9">
        <v>956.7</v>
      </c>
      <c r="W554" s="9">
        <v>956.7</v>
      </c>
      <c r="X554" s="9">
        <v>866.68039999999996</v>
      </c>
      <c r="Y554" s="9">
        <v>1619.5008000000003</v>
      </c>
      <c r="Z554" s="9" t="s">
        <v>2092</v>
      </c>
      <c r="AA554" t="s">
        <v>2065</v>
      </c>
      <c r="AB554" s="11">
        <v>4.2000000000000003E-2</v>
      </c>
      <c r="AC554" t="s">
        <v>2065</v>
      </c>
      <c r="AD554" s="13">
        <v>22</v>
      </c>
      <c r="AE554" s="9">
        <v>20163.409200000002</v>
      </c>
      <c r="AF554" s="9">
        <v>16069.24</v>
      </c>
      <c r="AG554" s="9">
        <v>4094.1692000000021</v>
      </c>
      <c r="AH554" s="11">
        <v>0.20304945256975698</v>
      </c>
      <c r="AI554" s="9">
        <f>SUMIFS(AD554:AD1185, R554:R1185, S554)</f>
        <v>0</v>
      </c>
      <c r="AJ554" s="11" t="e">
        <f>SUMIFS(AD554:AD1185, R554:R1185, S554, AD554:AD1185, "&gt;" &amp; AE554) / AI554</f>
        <v>#DIV/0!</v>
      </c>
      <c r="AK554" s="7" t="e">
        <f>IF(AJ554&lt;=0.8,"A",IF(Table2[[#This Row],[Cumulative rev]]&lt;=0.95,"B","C"))</f>
        <v>#DIV/0!</v>
      </c>
    </row>
    <row r="555" spans="1:37" x14ac:dyDescent="0.3">
      <c r="A555" t="s">
        <v>568</v>
      </c>
      <c r="B555" s="4">
        <v>45703</v>
      </c>
      <c r="C555" s="4" t="s">
        <v>2119</v>
      </c>
      <c r="D555" s="4" t="s">
        <v>2087</v>
      </c>
      <c r="E555" s="4">
        <v>45717</v>
      </c>
      <c r="F555" t="s">
        <v>2064</v>
      </c>
      <c r="G555" s="4">
        <v>45717</v>
      </c>
      <c r="H555" s="4">
        <f>_xlfn.MINIFS(B555:B1186, N555:N1186, N555)</f>
        <v>45177</v>
      </c>
      <c r="I555" s="4" t="str">
        <f t="shared" si="16"/>
        <v>Sep-2023</v>
      </c>
      <c r="J555" s="13">
        <f t="shared" si="17"/>
        <v>18</v>
      </c>
      <c r="K555" s="13">
        <v>14</v>
      </c>
      <c r="L555" s="30" t="str">
        <f>IF(Table2[[#This Row],[LeadTimeDays]]&lt;7,"1","0")</f>
        <v>0</v>
      </c>
      <c r="M555" s="7" t="s">
        <v>646</v>
      </c>
      <c r="N555" s="7" t="s">
        <v>650</v>
      </c>
      <c r="O555" s="7" t="s">
        <v>675</v>
      </c>
      <c r="P555" s="7" t="s">
        <v>702</v>
      </c>
      <c r="Q555" s="7" t="s">
        <v>711</v>
      </c>
      <c r="R555" s="7" t="s">
        <v>716</v>
      </c>
      <c r="S555" s="7" t="s">
        <v>733</v>
      </c>
      <c r="T555" s="7" t="s">
        <v>1979</v>
      </c>
      <c r="U555" s="9">
        <v>1162.8599999999999</v>
      </c>
      <c r="V555" s="9">
        <v>1447.68</v>
      </c>
      <c r="W555" s="9">
        <v>1447.68</v>
      </c>
      <c r="X555" s="9">
        <v>864.21860000000004</v>
      </c>
      <c r="Y555" s="9">
        <v>1636.4872</v>
      </c>
      <c r="Z555" s="9" t="s">
        <v>2092</v>
      </c>
      <c r="AA555" t="s">
        <v>2065</v>
      </c>
      <c r="AB555" s="11">
        <v>8.6999999999999994E-2</v>
      </c>
      <c r="AC555" t="s">
        <v>2065</v>
      </c>
      <c r="AD555" s="13">
        <v>12</v>
      </c>
      <c r="AE555" s="9">
        <v>15860.782080000001</v>
      </c>
      <c r="AF555" s="9">
        <v>13954.32</v>
      </c>
      <c r="AG555" s="9">
        <v>1906.4620800000012</v>
      </c>
      <c r="AH555" s="11">
        <v>0.12019975247021369</v>
      </c>
      <c r="AI555" s="9">
        <f>SUMIFS(AD555:AD1186, R555:R1186, S555)</f>
        <v>0</v>
      </c>
      <c r="AJ555" s="11" t="e">
        <f>SUMIFS(AD555:AD1186, R555:R1186, S555, AD555:AD1186, "&gt;" &amp; AE555) / AI555</f>
        <v>#DIV/0!</v>
      </c>
      <c r="AK555" s="7" t="e">
        <f>IF(AJ555&lt;=0.8,"A",IF(Table2[[#This Row],[Cumulative rev]]&lt;=0.95,"B","C"))</f>
        <v>#DIV/0!</v>
      </c>
    </row>
    <row r="556" spans="1:37" x14ac:dyDescent="0.3">
      <c r="A556" t="s">
        <v>569</v>
      </c>
      <c r="B556" s="4">
        <v>45535</v>
      </c>
      <c r="C556" s="4" t="s">
        <v>2113</v>
      </c>
      <c r="D556" s="4" t="s">
        <v>2106</v>
      </c>
      <c r="E556" s="4">
        <v>45561</v>
      </c>
      <c r="F556" t="s">
        <v>2064</v>
      </c>
      <c r="G556" s="4">
        <v>45561</v>
      </c>
      <c r="H556" s="4">
        <f>_xlfn.MINIFS(B556:B1187, N556:N1187, N556)</f>
        <v>45038</v>
      </c>
      <c r="I556" s="4" t="str">
        <f t="shared" si="16"/>
        <v>Apr-2023</v>
      </c>
      <c r="J556" s="13">
        <f t="shared" si="17"/>
        <v>17</v>
      </c>
      <c r="K556" s="13">
        <v>26</v>
      </c>
      <c r="L556" s="30" t="str">
        <f>IF(Table2[[#This Row],[LeadTimeDays]]&lt;7,"1","0")</f>
        <v>0</v>
      </c>
      <c r="M556" s="7" t="s">
        <v>647</v>
      </c>
      <c r="N556" s="7" t="s">
        <v>652</v>
      </c>
      <c r="O556" s="7" t="s">
        <v>689</v>
      </c>
      <c r="P556" s="7" t="s">
        <v>702</v>
      </c>
      <c r="Q556" s="7" t="s">
        <v>708</v>
      </c>
      <c r="R556" s="7" t="s">
        <v>714</v>
      </c>
      <c r="S556" s="7" t="s">
        <v>730</v>
      </c>
      <c r="T556" s="7" t="s">
        <v>1980</v>
      </c>
      <c r="U556" s="9">
        <v>1189.03</v>
      </c>
      <c r="V556" s="9">
        <v>2949.62</v>
      </c>
      <c r="W556" s="9">
        <v>2949.62</v>
      </c>
      <c r="X556" s="9">
        <v>861.7568</v>
      </c>
      <c r="Y556" s="9">
        <v>1647.6304</v>
      </c>
      <c r="Z556" s="9" t="s">
        <v>2095</v>
      </c>
      <c r="AA556" t="s">
        <v>2065</v>
      </c>
      <c r="AB556" s="11">
        <v>0.125</v>
      </c>
      <c r="AC556" t="s">
        <v>2065</v>
      </c>
      <c r="AD556" s="13">
        <v>13</v>
      </c>
      <c r="AE556" s="9">
        <v>33551.927499999998</v>
      </c>
      <c r="AF556" s="9">
        <v>15457.39</v>
      </c>
      <c r="AG556" s="9">
        <v>18094.537499999999</v>
      </c>
      <c r="AH556" s="11">
        <v>0.53929949330034765</v>
      </c>
      <c r="AI556" s="9">
        <f>SUMIFS(AD556:AD1187, R556:R1187, S556)</f>
        <v>0</v>
      </c>
      <c r="AJ556" s="11" t="e">
        <f>SUMIFS(AD556:AD1187, R556:R1187, S556, AD556:AD1187, "&gt;" &amp; AE556) / AI556</f>
        <v>#DIV/0!</v>
      </c>
      <c r="AK556" s="7" t="e">
        <f>IF(AJ556&lt;=0.8,"A",IF(Table2[[#This Row],[Cumulative rev]]&lt;=0.95,"B","C"))</f>
        <v>#DIV/0!</v>
      </c>
    </row>
    <row r="557" spans="1:37" x14ac:dyDescent="0.3">
      <c r="A557" t="s">
        <v>570</v>
      </c>
      <c r="B557" s="4">
        <v>45053</v>
      </c>
      <c r="C557" s="4" t="s">
        <v>2107</v>
      </c>
      <c r="D557" s="4" t="s">
        <v>2103</v>
      </c>
      <c r="E557" s="4">
        <v>45066</v>
      </c>
      <c r="F557" t="s">
        <v>2064</v>
      </c>
      <c r="G557" s="4">
        <v>45066</v>
      </c>
      <c r="H557" s="4">
        <f>_xlfn.MINIFS(B557:B1188, N557:N1188, N557)</f>
        <v>45053</v>
      </c>
      <c r="I557" s="4" t="str">
        <f t="shared" si="16"/>
        <v>May-2023</v>
      </c>
      <c r="J557" s="13">
        <f t="shared" si="17"/>
        <v>1</v>
      </c>
      <c r="K557" s="13">
        <v>13</v>
      </c>
      <c r="L557" s="30" t="str">
        <f>IF(Table2[[#This Row],[LeadTimeDays]]&lt;7,"1","0")</f>
        <v>0</v>
      </c>
      <c r="M557" s="7" t="s">
        <v>647</v>
      </c>
      <c r="N557" s="7" t="s">
        <v>654</v>
      </c>
      <c r="O557" s="7" t="s">
        <v>691</v>
      </c>
      <c r="P557" s="7" t="s">
        <v>706</v>
      </c>
      <c r="Q557" s="7" t="s">
        <v>707</v>
      </c>
      <c r="R557" s="7" t="s">
        <v>726</v>
      </c>
      <c r="S557" s="7" t="s">
        <v>733</v>
      </c>
      <c r="T557" s="7" t="s">
        <v>1981</v>
      </c>
      <c r="U557" s="9">
        <v>1443.28</v>
      </c>
      <c r="V557" s="9">
        <v>2580.5700000000002</v>
      </c>
      <c r="W557" s="9">
        <v>2580.5700000000002</v>
      </c>
      <c r="X557" s="9">
        <v>834.43</v>
      </c>
      <c r="Y557" s="9">
        <v>1620.5</v>
      </c>
      <c r="Z557" s="9" t="s">
        <v>2095</v>
      </c>
      <c r="AA557" t="s">
        <v>2065</v>
      </c>
      <c r="AB557" s="11">
        <v>0</v>
      </c>
      <c r="AC557" t="s">
        <v>2065</v>
      </c>
      <c r="AD557" s="13">
        <v>18</v>
      </c>
      <c r="AE557" s="9">
        <v>46450.26</v>
      </c>
      <c r="AF557" s="9">
        <v>25979.040000000001</v>
      </c>
      <c r="AG557" s="9">
        <v>20471.22</v>
      </c>
      <c r="AH557" s="11">
        <v>0.4407127107577008</v>
      </c>
      <c r="AI557" s="9">
        <f>SUMIFS(AD557:AD1188, R557:R1188, S557)</f>
        <v>0</v>
      </c>
      <c r="AJ557" s="11" t="e">
        <f>SUMIFS(AD557:AD1188, R557:R1188, S557, AD557:AD1188, "&gt;" &amp; AE557) / AI557</f>
        <v>#DIV/0!</v>
      </c>
      <c r="AK557" s="7" t="e">
        <f>IF(AJ557&lt;=0.8,"A",IF(Table2[[#This Row],[Cumulative rev]]&lt;=0.95,"B","C"))</f>
        <v>#DIV/0!</v>
      </c>
    </row>
    <row r="558" spans="1:37" x14ac:dyDescent="0.3">
      <c r="A558" t="s">
        <v>571</v>
      </c>
      <c r="B558" s="4">
        <v>45791</v>
      </c>
      <c r="C558" s="4" t="s">
        <v>2096</v>
      </c>
      <c r="D558" s="4" t="s">
        <v>2097</v>
      </c>
      <c r="E558" s="4">
        <v>45789</v>
      </c>
      <c r="F558" t="s">
        <v>2066</v>
      </c>
      <c r="G558" s="4">
        <v>45791</v>
      </c>
      <c r="H558" s="4">
        <f>_xlfn.MINIFS(B558:B1189, N558:N1189, N558)</f>
        <v>45029</v>
      </c>
      <c r="I558" s="4" t="str">
        <f t="shared" si="16"/>
        <v>Apr-2023</v>
      </c>
      <c r="J558" s="13">
        <f t="shared" si="17"/>
        <v>26</v>
      </c>
      <c r="K558" s="13">
        <v>0</v>
      </c>
      <c r="L558" s="30" t="str">
        <f>IF(Table2[[#This Row],[LeadTimeDays]]&lt;7,"1","0")</f>
        <v>1</v>
      </c>
      <c r="M558" s="7" t="s">
        <v>648</v>
      </c>
      <c r="N558" s="7" t="s">
        <v>653</v>
      </c>
      <c r="O558" s="7" t="s">
        <v>688</v>
      </c>
      <c r="P558" s="7" t="s">
        <v>703</v>
      </c>
      <c r="Q558" s="7" t="s">
        <v>710</v>
      </c>
      <c r="R558" s="7" t="s">
        <v>721</v>
      </c>
      <c r="S558" s="7" t="s">
        <v>728</v>
      </c>
      <c r="T558" s="7" t="s">
        <v>1982</v>
      </c>
      <c r="U558" s="9">
        <v>883.5</v>
      </c>
      <c r="V558" s="9">
        <v>1978.91</v>
      </c>
      <c r="W558" s="9">
        <v>1978.91</v>
      </c>
      <c r="X558" s="9">
        <v>799.1464000000002</v>
      </c>
      <c r="Y558" s="9">
        <v>1589.6592000000001</v>
      </c>
      <c r="Z558" s="9" t="s">
        <v>2095</v>
      </c>
      <c r="AA558" t="s">
        <v>2065</v>
      </c>
      <c r="AB558" s="11">
        <v>5.3999999999999999E-2</v>
      </c>
      <c r="AC558" t="s">
        <v>2065</v>
      </c>
      <c r="AD558" s="13">
        <v>27</v>
      </c>
      <c r="AE558" s="9">
        <v>50545.319219999998</v>
      </c>
      <c r="AF558" s="9">
        <v>23854.5</v>
      </c>
      <c r="AG558" s="9">
        <v>26690.819219999998</v>
      </c>
      <c r="AH558" s="11">
        <v>0.52805718970390547</v>
      </c>
      <c r="AI558" s="9">
        <f>SUMIFS(AD558:AD1189, R558:R1189, S558)</f>
        <v>0</v>
      </c>
      <c r="AJ558" s="11" t="e">
        <f>SUMIFS(AD558:AD1189, R558:R1189, S558, AD558:AD1189, "&gt;" &amp; AE558) / AI558</f>
        <v>#DIV/0!</v>
      </c>
      <c r="AK558" s="7" t="e">
        <f>IF(AJ558&lt;=0.8,"A",IF(Table2[[#This Row],[Cumulative rev]]&lt;=0.95,"B","C"))</f>
        <v>#DIV/0!</v>
      </c>
    </row>
    <row r="559" spans="1:37" x14ac:dyDescent="0.3">
      <c r="A559" t="s">
        <v>572</v>
      </c>
      <c r="B559" s="4">
        <v>45362</v>
      </c>
      <c r="C559" s="4" t="s">
        <v>2079</v>
      </c>
      <c r="D559" s="4" t="s">
        <v>2080</v>
      </c>
      <c r="E559" s="4">
        <v>45380</v>
      </c>
      <c r="F559" t="s">
        <v>2064</v>
      </c>
      <c r="G559" s="4">
        <v>45380</v>
      </c>
      <c r="H559" s="4">
        <f>_xlfn.MINIFS(B559:B1190, N559:N1190, N559)</f>
        <v>44984</v>
      </c>
      <c r="I559" s="4" t="str">
        <f t="shared" si="16"/>
        <v>Feb-2023</v>
      </c>
      <c r="J559" s="13">
        <f t="shared" si="17"/>
        <v>13</v>
      </c>
      <c r="K559" s="13">
        <v>18</v>
      </c>
      <c r="L559" s="30" t="str">
        <f>IF(Table2[[#This Row],[LeadTimeDays]]&lt;7,"1","0")</f>
        <v>0</v>
      </c>
      <c r="M559" s="7" t="s">
        <v>648</v>
      </c>
      <c r="N559" s="7" t="s">
        <v>1425</v>
      </c>
      <c r="O559" s="7" t="s">
        <v>700</v>
      </c>
      <c r="P559" s="7" t="s">
        <v>701</v>
      </c>
      <c r="Q559" s="7" t="s">
        <v>707</v>
      </c>
      <c r="R559" s="7" t="s">
        <v>724</v>
      </c>
      <c r="S559" s="7" t="s">
        <v>732</v>
      </c>
      <c r="T559" s="7" t="s">
        <v>1983</v>
      </c>
      <c r="U559" s="9">
        <v>710.98</v>
      </c>
      <c r="V559" s="9">
        <v>1481.45</v>
      </c>
      <c r="W559" s="9">
        <v>1481.45</v>
      </c>
      <c r="X559" s="9">
        <v>763.86279999999999</v>
      </c>
      <c r="Y559" s="9">
        <v>1565.4834000000001</v>
      </c>
      <c r="Z559" s="9" t="s">
        <v>2092</v>
      </c>
      <c r="AA559" t="s">
        <v>2065</v>
      </c>
      <c r="AB559" s="11">
        <v>0.21099999999999999</v>
      </c>
      <c r="AC559" t="s">
        <v>2065</v>
      </c>
      <c r="AD559" s="13">
        <v>9</v>
      </c>
      <c r="AE559" s="9">
        <v>10519.776450000001</v>
      </c>
      <c r="AF559" s="9">
        <v>6398.82</v>
      </c>
      <c r="AG559" s="9">
        <v>4120.9564500000015</v>
      </c>
      <c r="AH559" s="11">
        <v>0.39173422264120461</v>
      </c>
      <c r="AI559" s="9">
        <f>SUMIFS(AD559:AD1190, R559:R1190, S559)</f>
        <v>0</v>
      </c>
      <c r="AJ559" s="11" t="e">
        <f>SUMIFS(AD559:AD1190, R559:R1190, S559, AD559:AD1190, "&gt;" &amp; AE559) / AI559</f>
        <v>#DIV/0!</v>
      </c>
      <c r="AK559" s="7" t="e">
        <f>IF(AJ559&lt;=0.8,"A",IF(Table2[[#This Row],[Cumulative rev]]&lt;=0.95,"B","C"))</f>
        <v>#DIV/0!</v>
      </c>
    </row>
    <row r="560" spans="1:37" x14ac:dyDescent="0.3">
      <c r="A560" t="s">
        <v>573</v>
      </c>
      <c r="B560" s="4">
        <v>45430</v>
      </c>
      <c r="C560" s="4" t="s">
        <v>2093</v>
      </c>
      <c r="D560" s="4" t="s">
        <v>2094</v>
      </c>
      <c r="E560" s="4">
        <v>45434</v>
      </c>
      <c r="F560" t="s">
        <v>2064</v>
      </c>
      <c r="G560" s="4">
        <v>45434</v>
      </c>
      <c r="H560" s="4">
        <f>_xlfn.MINIFS(B560:B1191, N560:N1191, N560)</f>
        <v>45177</v>
      </c>
      <c r="I560" s="4" t="str">
        <f t="shared" si="16"/>
        <v>Sep-2023</v>
      </c>
      <c r="J560" s="13">
        <f t="shared" si="17"/>
        <v>9</v>
      </c>
      <c r="K560" s="13">
        <v>4</v>
      </c>
      <c r="L560" s="30" t="str">
        <f>IF(Table2[[#This Row],[LeadTimeDays]]&lt;7,"1","0")</f>
        <v>1</v>
      </c>
      <c r="M560" s="7" t="s">
        <v>646</v>
      </c>
      <c r="N560" s="7" t="s">
        <v>650</v>
      </c>
      <c r="O560" s="7" t="s">
        <v>664</v>
      </c>
      <c r="P560" s="7" t="s">
        <v>701</v>
      </c>
      <c r="Q560" s="7" t="s">
        <v>711</v>
      </c>
      <c r="R560" s="7" t="s">
        <v>722</v>
      </c>
      <c r="S560" s="7" t="s">
        <v>733</v>
      </c>
      <c r="T560" s="7" t="s">
        <v>1984</v>
      </c>
      <c r="U560" s="9">
        <v>857.42</v>
      </c>
      <c r="V560" s="9">
        <v>1658.92</v>
      </c>
      <c r="W560" s="9">
        <v>1658.92</v>
      </c>
      <c r="X560" s="9">
        <v>747.75520000000006</v>
      </c>
      <c r="Y560" s="9">
        <v>1577.9376000000002</v>
      </c>
      <c r="Z560" s="9" t="s">
        <v>2095</v>
      </c>
      <c r="AA560" t="s">
        <v>2065</v>
      </c>
      <c r="AB560" s="11">
        <v>0.122</v>
      </c>
      <c r="AC560" t="s">
        <v>2065</v>
      </c>
      <c r="AD560" s="13">
        <v>9</v>
      </c>
      <c r="AE560" s="9">
        <v>13108.78584</v>
      </c>
      <c r="AF560" s="9">
        <v>7716.78</v>
      </c>
      <c r="AG560" s="9">
        <v>5392.0058400000007</v>
      </c>
      <c r="AH560" s="11">
        <v>0.41132763215544305</v>
      </c>
      <c r="AI560" s="9">
        <f>SUMIFS(AD560:AD1191, R560:R1191, S560)</f>
        <v>0</v>
      </c>
      <c r="AJ560" s="11" t="e">
        <f>SUMIFS(AD560:AD1191, R560:R1191, S560, AD560:AD1191, "&gt;" &amp; AE560) / AI560</f>
        <v>#DIV/0!</v>
      </c>
      <c r="AK560" s="7" t="e">
        <f>IF(AJ560&lt;=0.8,"A",IF(Table2[[#This Row],[Cumulative rev]]&lt;=0.95,"B","C"))</f>
        <v>#DIV/0!</v>
      </c>
    </row>
    <row r="561" spans="1:37" x14ac:dyDescent="0.3">
      <c r="A561" t="s">
        <v>574</v>
      </c>
      <c r="B561" s="4">
        <v>45299</v>
      </c>
      <c r="C561" s="4" t="s">
        <v>2098</v>
      </c>
      <c r="D561" s="4" t="s">
        <v>2080</v>
      </c>
      <c r="E561" s="4">
        <v>45303</v>
      </c>
      <c r="F561" t="s">
        <v>2064</v>
      </c>
      <c r="G561" s="4">
        <v>45303</v>
      </c>
      <c r="H561" s="4">
        <f>_xlfn.MINIFS(B561:B1192, N561:N1192, N561)</f>
        <v>45078</v>
      </c>
      <c r="I561" s="4" t="str">
        <f t="shared" si="16"/>
        <v>Jun-2023</v>
      </c>
      <c r="J561" s="13">
        <f t="shared" si="17"/>
        <v>8</v>
      </c>
      <c r="K561" s="13">
        <v>4</v>
      </c>
      <c r="L561" s="30" t="str">
        <f>IF(Table2[[#This Row],[LeadTimeDays]]&lt;7,"1","0")</f>
        <v>1</v>
      </c>
      <c r="M561" s="7" t="s">
        <v>647</v>
      </c>
      <c r="N561" s="7" t="s">
        <v>654</v>
      </c>
      <c r="O561" s="7" t="s">
        <v>668</v>
      </c>
      <c r="P561" s="7" t="s">
        <v>701</v>
      </c>
      <c r="Q561" s="7" t="s">
        <v>711</v>
      </c>
      <c r="R561" s="7" t="s">
        <v>718</v>
      </c>
      <c r="S561" s="7" t="s">
        <v>728</v>
      </c>
      <c r="T561" s="7" t="s">
        <v>1985</v>
      </c>
      <c r="U561" s="9">
        <v>802.32</v>
      </c>
      <c r="V561" s="9">
        <v>602.34</v>
      </c>
      <c r="W561" s="9">
        <v>602.34</v>
      </c>
      <c r="X561" s="9">
        <v>738.83860000000004</v>
      </c>
      <c r="Y561" s="9">
        <v>1556.7718</v>
      </c>
      <c r="Z561" s="9" t="s">
        <v>2081</v>
      </c>
      <c r="AA561" t="s">
        <v>2065</v>
      </c>
      <c r="AB561" s="11">
        <v>0.12</v>
      </c>
      <c r="AC561" t="s">
        <v>2065</v>
      </c>
      <c r="AD561" s="13">
        <v>25</v>
      </c>
      <c r="AE561" s="9">
        <v>13251.48</v>
      </c>
      <c r="AF561" s="9">
        <v>20058</v>
      </c>
      <c r="AG561" s="9">
        <v>-6806.52</v>
      </c>
      <c r="AH561" s="11">
        <v>-0.51364224977134632</v>
      </c>
      <c r="AI561" s="9">
        <f>SUMIFS(AD561:AD1192, R561:R1192, S561)</f>
        <v>0</v>
      </c>
      <c r="AJ561" s="11" t="e">
        <f>SUMIFS(AD561:AD1192, R561:R1192, S561, AD561:AD1192, "&gt;" &amp; AE561) / AI561</f>
        <v>#DIV/0!</v>
      </c>
      <c r="AK561" s="7" t="e">
        <f>IF(AJ561&lt;=0.8,"A",IF(Table2[[#This Row],[Cumulative rev]]&lt;=0.95,"B","C"))</f>
        <v>#DIV/0!</v>
      </c>
    </row>
    <row r="562" spans="1:37" x14ac:dyDescent="0.3">
      <c r="A562" t="s">
        <v>575</v>
      </c>
      <c r="B562" s="4">
        <v>45590</v>
      </c>
      <c r="C562" s="4" t="s">
        <v>2082</v>
      </c>
      <c r="D562" s="4" t="s">
        <v>2083</v>
      </c>
      <c r="E562" s="4">
        <v>45601</v>
      </c>
      <c r="F562" t="s">
        <v>2064</v>
      </c>
      <c r="G562" s="4">
        <v>45601</v>
      </c>
      <c r="H562" s="4">
        <f>_xlfn.MINIFS(B562:B1193, N562:N1193, N562)</f>
        <v>44984</v>
      </c>
      <c r="I562" s="4" t="str">
        <f t="shared" si="16"/>
        <v>Feb-2023</v>
      </c>
      <c r="J562" s="13">
        <f t="shared" si="17"/>
        <v>20</v>
      </c>
      <c r="K562" s="13">
        <v>11</v>
      </c>
      <c r="L562" s="30" t="str">
        <f>IF(Table2[[#This Row],[LeadTimeDays]]&lt;7,"1","0")</f>
        <v>0</v>
      </c>
      <c r="M562" s="7" t="s">
        <v>648</v>
      </c>
      <c r="N562" s="7" t="s">
        <v>1425</v>
      </c>
      <c r="O562" s="7" t="s">
        <v>700</v>
      </c>
      <c r="P562" s="7" t="s">
        <v>701</v>
      </c>
      <c r="Q562" s="7" t="s">
        <v>710</v>
      </c>
      <c r="R562" s="7" t="s">
        <v>725</v>
      </c>
      <c r="S562" s="7" t="s">
        <v>727</v>
      </c>
      <c r="T562" s="7" t="s">
        <v>1986</v>
      </c>
      <c r="U562" s="9">
        <v>446.66</v>
      </c>
      <c r="V562" s="9">
        <v>527.64</v>
      </c>
      <c r="W562" s="9">
        <v>527.64</v>
      </c>
      <c r="X562" s="9">
        <v>764.93200000000013</v>
      </c>
      <c r="Y562" s="9">
        <v>1566.2160000000001</v>
      </c>
      <c r="Z562" s="9" t="s">
        <v>2081</v>
      </c>
      <c r="AA562" t="s">
        <v>2065</v>
      </c>
      <c r="AB562" s="11">
        <v>0.14499999999999999</v>
      </c>
      <c r="AC562" t="s">
        <v>2065</v>
      </c>
      <c r="AD562" s="13">
        <v>15</v>
      </c>
      <c r="AE562" s="9">
        <v>6766.9829999999993</v>
      </c>
      <c r="AF562" s="9">
        <v>6699.9000000000005</v>
      </c>
      <c r="AG562" s="9">
        <v>67.082999999998719</v>
      </c>
      <c r="AH562" s="11">
        <v>9.9132804087137105E-3</v>
      </c>
      <c r="AI562" s="9">
        <f>SUMIFS(AD562:AD1193, R562:R1193, S562)</f>
        <v>0</v>
      </c>
      <c r="AJ562" s="11" t="e">
        <f>SUMIFS(AD562:AD1193, R562:R1193, S562, AD562:AD1193, "&gt;" &amp; AE562) / AI562</f>
        <v>#DIV/0!</v>
      </c>
      <c r="AK562" s="7" t="e">
        <f>IF(AJ562&lt;=0.8,"A",IF(Table2[[#This Row],[Cumulative rev]]&lt;=0.95,"B","C"))</f>
        <v>#DIV/0!</v>
      </c>
    </row>
    <row r="563" spans="1:37" x14ac:dyDescent="0.3">
      <c r="A563" t="s">
        <v>576</v>
      </c>
      <c r="B563" s="4">
        <v>45626</v>
      </c>
      <c r="C563" s="4" t="s">
        <v>2110</v>
      </c>
      <c r="D563" s="4" t="s">
        <v>2083</v>
      </c>
      <c r="E563" s="4">
        <v>45645</v>
      </c>
      <c r="F563" t="s">
        <v>2064</v>
      </c>
      <c r="G563" s="4">
        <v>45645</v>
      </c>
      <c r="H563" s="4">
        <f>_xlfn.MINIFS(B563:B1194, N563:N1194, N563)</f>
        <v>45177</v>
      </c>
      <c r="I563" s="4" t="str">
        <f t="shared" si="16"/>
        <v>Sep-2023</v>
      </c>
      <c r="J563" s="13">
        <f t="shared" si="17"/>
        <v>15</v>
      </c>
      <c r="K563" s="13">
        <v>19</v>
      </c>
      <c r="L563" s="30" t="str">
        <f>IF(Table2[[#This Row],[LeadTimeDays]]&lt;7,"1","0")</f>
        <v>0</v>
      </c>
      <c r="M563" s="7" t="s">
        <v>646</v>
      </c>
      <c r="N563" s="7" t="s">
        <v>650</v>
      </c>
      <c r="O563" s="7" t="s">
        <v>662</v>
      </c>
      <c r="P563" s="7" t="s">
        <v>701</v>
      </c>
      <c r="Q563" s="7" t="s">
        <v>708</v>
      </c>
      <c r="R563" s="7" t="s">
        <v>716</v>
      </c>
      <c r="S563" s="7" t="s">
        <v>730</v>
      </c>
      <c r="T563" s="7" t="s">
        <v>1987</v>
      </c>
      <c r="U563" s="9">
        <v>1195.98</v>
      </c>
      <c r="V563" s="9">
        <v>1841.9</v>
      </c>
      <c r="W563" s="9">
        <v>1841.9</v>
      </c>
      <c r="X563" s="9">
        <v>836.56839999999988</v>
      </c>
      <c r="Y563" s="9">
        <v>1578.6702</v>
      </c>
      <c r="Z563" s="9" t="s">
        <v>2095</v>
      </c>
      <c r="AA563" t="s">
        <v>2065</v>
      </c>
      <c r="AB563" s="11">
        <v>5.5E-2</v>
      </c>
      <c r="AC563" t="s">
        <v>2065</v>
      </c>
      <c r="AD563" s="13">
        <v>19</v>
      </c>
      <c r="AE563" s="9">
        <v>33071.3145</v>
      </c>
      <c r="AF563" s="9">
        <v>22723.62</v>
      </c>
      <c r="AG563" s="9">
        <v>10347.694500000001</v>
      </c>
      <c r="AH563" s="11">
        <v>0.31289032977506842</v>
      </c>
      <c r="AI563" s="9">
        <f>SUMIFS(AD563:AD1194, R563:R1194, S563)</f>
        <v>0</v>
      </c>
      <c r="AJ563" s="11" t="e">
        <f>SUMIFS(AD563:AD1194, R563:R1194, S563, AD563:AD1194, "&gt;" &amp; AE563) / AI563</f>
        <v>#DIV/0!</v>
      </c>
      <c r="AK563" s="7" t="e">
        <f>IF(AJ563&lt;=0.8,"A",IF(Table2[[#This Row],[Cumulative rev]]&lt;=0.95,"B","C"))</f>
        <v>#DIV/0!</v>
      </c>
    </row>
    <row r="564" spans="1:37" x14ac:dyDescent="0.3">
      <c r="A564" t="s">
        <v>577</v>
      </c>
      <c r="B564" s="4">
        <v>45029</v>
      </c>
      <c r="C564" s="4" t="s">
        <v>2102</v>
      </c>
      <c r="D564" s="4" t="s">
        <v>2103</v>
      </c>
      <c r="E564" s="4">
        <v>45048</v>
      </c>
      <c r="F564" t="s">
        <v>2064</v>
      </c>
      <c r="G564" s="4">
        <v>45048</v>
      </c>
      <c r="H564" s="4">
        <f>_xlfn.MINIFS(B564:B1195, N564:N1195, N564)</f>
        <v>45029</v>
      </c>
      <c r="I564" s="4" t="str">
        <f t="shared" si="16"/>
        <v>Apr-2023</v>
      </c>
      <c r="J564" s="13">
        <f t="shared" si="17"/>
        <v>1</v>
      </c>
      <c r="K564" s="13">
        <v>19</v>
      </c>
      <c r="L564" s="30" t="str">
        <f>IF(Table2[[#This Row],[LeadTimeDays]]&lt;7,"1","0")</f>
        <v>0</v>
      </c>
      <c r="M564" s="7" t="s">
        <v>648</v>
      </c>
      <c r="N564" s="7" t="s">
        <v>653</v>
      </c>
      <c r="O564" s="7" t="s">
        <v>681</v>
      </c>
      <c r="P564" s="7" t="s">
        <v>704</v>
      </c>
      <c r="Q564" s="7" t="s">
        <v>710</v>
      </c>
      <c r="R564" s="7" t="s">
        <v>718</v>
      </c>
      <c r="S564" s="7" t="s">
        <v>732</v>
      </c>
      <c r="T564" s="7" t="s">
        <v>1988</v>
      </c>
      <c r="U564" s="9">
        <v>671.05</v>
      </c>
      <c r="V564" s="9">
        <v>1645.48</v>
      </c>
      <c r="W564" s="9">
        <v>1645.48</v>
      </c>
      <c r="X564" s="9">
        <v>801.28480000000013</v>
      </c>
      <c r="Y564" s="9">
        <v>1557.0744000000002</v>
      </c>
      <c r="Z564" s="9" t="s">
        <v>2095</v>
      </c>
      <c r="AA564" t="s">
        <v>2065</v>
      </c>
      <c r="AB564" s="11">
        <v>0.13700000000000001</v>
      </c>
      <c r="AC564" t="s">
        <v>2065</v>
      </c>
      <c r="AD564" s="13">
        <v>6</v>
      </c>
      <c r="AE564" s="9">
        <v>8520.2954399999999</v>
      </c>
      <c r="AF564" s="9">
        <v>4026.2999999999997</v>
      </c>
      <c r="AG564" s="9">
        <v>4493.9954400000006</v>
      </c>
      <c r="AH564" s="11">
        <v>0.52744596377517172</v>
      </c>
      <c r="AI564" s="9">
        <f>SUMIFS(AD564:AD1195, R564:R1195, S564)</f>
        <v>0</v>
      </c>
      <c r="AJ564" s="11" t="e">
        <f>SUMIFS(AD564:AD1195, R564:R1195, S564, AD564:AD1195, "&gt;" &amp; AE564) / AI564</f>
        <v>#DIV/0!</v>
      </c>
      <c r="AK564" s="7" t="e">
        <f>IF(AJ564&lt;=0.8,"A",IF(Table2[[#This Row],[Cumulative rev]]&lt;=0.95,"B","C"))</f>
        <v>#DIV/0!</v>
      </c>
    </row>
    <row r="565" spans="1:37" x14ac:dyDescent="0.3">
      <c r="A565" t="s">
        <v>578</v>
      </c>
      <c r="B565" s="4">
        <v>45692</v>
      </c>
      <c r="C565" s="4" t="s">
        <v>2119</v>
      </c>
      <c r="D565" s="4" t="s">
        <v>2087</v>
      </c>
      <c r="E565" s="4">
        <v>45696</v>
      </c>
      <c r="F565" t="s">
        <v>2064</v>
      </c>
      <c r="G565" s="4">
        <v>45696</v>
      </c>
      <c r="H565" s="4">
        <f>_xlfn.MINIFS(B565:B1196, N565:N1196, N565)</f>
        <v>45026</v>
      </c>
      <c r="I565" s="4" t="str">
        <f t="shared" si="16"/>
        <v>Apr-2023</v>
      </c>
      <c r="J565" s="13">
        <f t="shared" si="17"/>
        <v>22</v>
      </c>
      <c r="K565" s="13">
        <v>4</v>
      </c>
      <c r="L565" s="30" t="str">
        <f>IF(Table2[[#This Row],[LeadTimeDays]]&lt;7,"1","0")</f>
        <v>1</v>
      </c>
      <c r="M565" s="7" t="s">
        <v>649</v>
      </c>
      <c r="N565" s="7" t="s">
        <v>658</v>
      </c>
      <c r="O565" s="7" t="s">
        <v>693</v>
      </c>
      <c r="P565" s="7" t="s">
        <v>706</v>
      </c>
      <c r="Q565" s="7" t="s">
        <v>709</v>
      </c>
      <c r="R565" s="7" t="s">
        <v>716</v>
      </c>
      <c r="S565" s="7" t="s">
        <v>729</v>
      </c>
      <c r="T565" s="7" t="s">
        <v>1989</v>
      </c>
      <c r="U565" s="9">
        <v>586.21</v>
      </c>
      <c r="V565" s="9">
        <v>727.22</v>
      </c>
      <c r="W565" s="9">
        <v>727.22</v>
      </c>
      <c r="X565" s="9">
        <v>766.00119999999993</v>
      </c>
      <c r="Y565" s="9">
        <v>1547.0886</v>
      </c>
      <c r="Z565" s="9" t="s">
        <v>2081</v>
      </c>
      <c r="AA565" t="s">
        <v>2065</v>
      </c>
      <c r="AB565" s="11">
        <v>6.8000000000000005E-2</v>
      </c>
      <c r="AC565" t="s">
        <v>2065</v>
      </c>
      <c r="AD565" s="13">
        <v>15</v>
      </c>
      <c r="AE565" s="9">
        <v>10166.535600000001</v>
      </c>
      <c r="AF565" s="9">
        <v>8793.1500000000015</v>
      </c>
      <c r="AG565" s="9">
        <v>1373.3855999999996</v>
      </c>
      <c r="AH565" s="11">
        <v>0.13508884973559721</v>
      </c>
      <c r="AI565" s="9">
        <f>SUMIFS(AD565:AD1196, R565:R1196, S565)</f>
        <v>0</v>
      </c>
      <c r="AJ565" s="11" t="e">
        <f>SUMIFS(AD565:AD1196, R565:R1196, S565, AD565:AD1196, "&gt;" &amp; AE565) / AI565</f>
        <v>#DIV/0!</v>
      </c>
      <c r="AK565" s="7" t="e">
        <f>IF(AJ565&lt;=0.8,"A",IF(Table2[[#This Row],[Cumulative rev]]&lt;=0.95,"B","C"))</f>
        <v>#DIV/0!</v>
      </c>
    </row>
    <row r="566" spans="1:37" x14ac:dyDescent="0.3">
      <c r="A566" t="s">
        <v>579</v>
      </c>
      <c r="B566" s="4">
        <v>45315</v>
      </c>
      <c r="C566" s="4" t="s">
        <v>2098</v>
      </c>
      <c r="D566" s="4" t="s">
        <v>2080</v>
      </c>
      <c r="E566" s="4">
        <v>45326</v>
      </c>
      <c r="F566" t="s">
        <v>2064</v>
      </c>
      <c r="G566" s="4">
        <v>45326</v>
      </c>
      <c r="H566" s="4">
        <f>_xlfn.MINIFS(B566:B1197, N566:N1197, N566)</f>
        <v>45026</v>
      </c>
      <c r="I566" s="4" t="str">
        <f t="shared" si="16"/>
        <v>Apr-2023</v>
      </c>
      <c r="J566" s="13">
        <f t="shared" si="17"/>
        <v>10</v>
      </c>
      <c r="K566" s="13">
        <v>11</v>
      </c>
      <c r="L566" s="30" t="str">
        <f>IF(Table2[[#This Row],[LeadTimeDays]]&lt;7,"1","0")</f>
        <v>0</v>
      </c>
      <c r="M566" s="7" t="s">
        <v>649</v>
      </c>
      <c r="N566" s="7" t="s">
        <v>658</v>
      </c>
      <c r="O566" s="7" t="s">
        <v>693</v>
      </c>
      <c r="P566" s="7" t="s">
        <v>704</v>
      </c>
      <c r="Q566" s="7" t="s">
        <v>707</v>
      </c>
      <c r="R566" s="7" t="s">
        <v>717</v>
      </c>
      <c r="S566" s="7" t="s">
        <v>731</v>
      </c>
      <c r="T566" s="7" t="s">
        <v>1990</v>
      </c>
      <c r="U566" s="9">
        <v>525.34</v>
      </c>
      <c r="V566" s="9">
        <v>1233.79</v>
      </c>
      <c r="W566" s="9">
        <v>1233.79</v>
      </c>
      <c r="X566" s="9">
        <v>837.63760000000013</v>
      </c>
      <c r="Y566" s="9">
        <v>1552.2328</v>
      </c>
      <c r="Z566" s="9" t="s">
        <v>2092</v>
      </c>
      <c r="AA566" t="s">
        <v>2065</v>
      </c>
      <c r="AB566" s="11">
        <v>0.14299999999999999</v>
      </c>
      <c r="AC566" t="s">
        <v>2065</v>
      </c>
      <c r="AD566" s="13">
        <v>4</v>
      </c>
      <c r="AE566" s="9">
        <v>4229.4321199999995</v>
      </c>
      <c r="AF566" s="9">
        <v>2101.36</v>
      </c>
      <c r="AG566" s="9">
        <v>2128.0721199999994</v>
      </c>
      <c r="AH566" s="11">
        <v>0.50315788494082736</v>
      </c>
      <c r="AI566" s="9">
        <f>SUMIFS(AD566:AD1197, R566:R1197, S566)</f>
        <v>0</v>
      </c>
      <c r="AJ566" s="11" t="e">
        <f>SUMIFS(AD566:AD1197, R566:R1197, S566, AD566:AD1197, "&gt;" &amp; AE566) / AI566</f>
        <v>#DIV/0!</v>
      </c>
      <c r="AK566" s="7" t="e">
        <f>IF(AJ566&lt;=0.8,"A",IF(Table2[[#This Row],[Cumulative rev]]&lt;=0.95,"B","C"))</f>
        <v>#DIV/0!</v>
      </c>
    </row>
    <row r="567" spans="1:37" x14ac:dyDescent="0.3">
      <c r="A567" t="s">
        <v>580</v>
      </c>
      <c r="B567" s="4">
        <v>45330</v>
      </c>
      <c r="C567" s="4" t="s">
        <v>2124</v>
      </c>
      <c r="D567" s="4" t="s">
        <v>2080</v>
      </c>
      <c r="E567" s="4">
        <v>45331</v>
      </c>
      <c r="F567" t="s">
        <v>2064</v>
      </c>
      <c r="G567" s="4">
        <v>45331</v>
      </c>
      <c r="H567" s="4">
        <f>_xlfn.MINIFS(B567:B1198, N567:N1198, N567)</f>
        <v>45177</v>
      </c>
      <c r="I567" s="4" t="str">
        <f t="shared" si="16"/>
        <v>Sep-2023</v>
      </c>
      <c r="J567" s="13">
        <f t="shared" si="17"/>
        <v>6</v>
      </c>
      <c r="K567" s="13">
        <v>1</v>
      </c>
      <c r="L567" s="30" t="str">
        <f>IF(Table2[[#This Row],[LeadTimeDays]]&lt;7,"1","0")</f>
        <v>1</v>
      </c>
      <c r="M567" s="7" t="s">
        <v>646</v>
      </c>
      <c r="N567" s="7" t="s">
        <v>650</v>
      </c>
      <c r="O567" s="7" t="s">
        <v>675</v>
      </c>
      <c r="P567" s="7" t="s">
        <v>701</v>
      </c>
      <c r="Q567" s="7" t="s">
        <v>711</v>
      </c>
      <c r="R567" s="7" t="s">
        <v>721</v>
      </c>
      <c r="S567" s="7" t="s">
        <v>727</v>
      </c>
      <c r="T567" s="7" t="s">
        <v>1991</v>
      </c>
      <c r="U567" s="9">
        <v>1233.52</v>
      </c>
      <c r="V567" s="9">
        <v>1543.76</v>
      </c>
      <c r="W567" s="9">
        <v>1543.76</v>
      </c>
      <c r="X567" s="9">
        <v>802.35399999999993</v>
      </c>
      <c r="Y567" s="9">
        <v>1557.3770000000002</v>
      </c>
      <c r="Z567" s="9" t="s">
        <v>2092</v>
      </c>
      <c r="AA567" t="s">
        <v>2065</v>
      </c>
      <c r="AB567" s="11">
        <v>0.126</v>
      </c>
      <c r="AC567" t="s">
        <v>2065</v>
      </c>
      <c r="AD567" s="13">
        <v>13</v>
      </c>
      <c r="AE567" s="9">
        <v>17540.201120000002</v>
      </c>
      <c r="AF567" s="9">
        <v>16035.76</v>
      </c>
      <c r="AG567" s="9">
        <v>1504.4411200000013</v>
      </c>
      <c r="AH567" s="11">
        <v>8.5771030201277493E-2</v>
      </c>
      <c r="AI567" s="9">
        <f>SUMIFS(AD567:AD1198, R567:R1198, S567)</f>
        <v>0</v>
      </c>
      <c r="AJ567" s="11" t="e">
        <f>SUMIFS(AD567:AD1198, R567:R1198, S567, AD567:AD1198, "&gt;" &amp; AE567) / AI567</f>
        <v>#DIV/0!</v>
      </c>
      <c r="AK567" s="7" t="e">
        <f>IF(AJ567&lt;=0.8,"A",IF(Table2[[#This Row],[Cumulative rev]]&lt;=0.95,"B","C"))</f>
        <v>#DIV/0!</v>
      </c>
    </row>
    <row r="568" spans="1:37" x14ac:dyDescent="0.3">
      <c r="A568" t="s">
        <v>581</v>
      </c>
      <c r="B568" s="4">
        <v>45834</v>
      </c>
      <c r="C568" s="4" t="s">
        <v>2108</v>
      </c>
      <c r="D568" s="4" t="s">
        <v>2097</v>
      </c>
      <c r="E568" s="4">
        <v>45849</v>
      </c>
      <c r="F568" t="s">
        <v>2064</v>
      </c>
      <c r="G568" s="4">
        <v>45849</v>
      </c>
      <c r="H568" s="4">
        <f>_xlfn.MINIFS(B568:B1199, N568:N1199, N568)</f>
        <v>45208</v>
      </c>
      <c r="I568" s="4" t="str">
        <f t="shared" si="16"/>
        <v>Oct-2023</v>
      </c>
      <c r="J568" s="13">
        <f t="shared" si="17"/>
        <v>21</v>
      </c>
      <c r="K568" s="13">
        <v>15</v>
      </c>
      <c r="L568" s="30" t="str">
        <f>IF(Table2[[#This Row],[LeadTimeDays]]&lt;7,"1","0")</f>
        <v>0</v>
      </c>
      <c r="M568" s="7" t="s">
        <v>646</v>
      </c>
      <c r="N568" s="7" t="s">
        <v>651</v>
      </c>
      <c r="O568" s="7" t="s">
        <v>663</v>
      </c>
      <c r="P568" s="7" t="s">
        <v>705</v>
      </c>
      <c r="Q568" s="7" t="s">
        <v>708</v>
      </c>
      <c r="R568" s="7" t="s">
        <v>720</v>
      </c>
      <c r="S568" s="7" t="s">
        <v>731</v>
      </c>
      <c r="T568" s="7" t="s">
        <v>1992</v>
      </c>
      <c r="U568" s="9">
        <v>1170.1500000000001</v>
      </c>
      <c r="V568" s="9">
        <v>2115.19</v>
      </c>
      <c r="W568" s="9">
        <v>2115.19</v>
      </c>
      <c r="X568" s="9">
        <v>767.07040000000006</v>
      </c>
      <c r="Y568" s="9">
        <v>1567.6812000000002</v>
      </c>
      <c r="Z568" s="9" t="s">
        <v>2095</v>
      </c>
      <c r="AA568" t="s">
        <v>2065</v>
      </c>
      <c r="AB568" s="11">
        <v>9.1999999999999998E-2</v>
      </c>
      <c r="AC568" t="s">
        <v>2065</v>
      </c>
      <c r="AD568" s="13">
        <v>23</v>
      </c>
      <c r="AE568" s="9">
        <v>44173.627960000005</v>
      </c>
      <c r="AF568" s="9">
        <v>26913.45</v>
      </c>
      <c r="AG568" s="9">
        <v>17260.177960000005</v>
      </c>
      <c r="AH568" s="11">
        <v>0.39073489674946776</v>
      </c>
      <c r="AI568" s="9">
        <f>SUMIFS(AD568:AD1199, R568:R1199, S568)</f>
        <v>0</v>
      </c>
      <c r="AJ568" s="11" t="e">
        <f>SUMIFS(AD568:AD1199, R568:R1199, S568, AD568:AD1199, "&gt;" &amp; AE568) / AI568</f>
        <v>#DIV/0!</v>
      </c>
      <c r="AK568" s="7" t="e">
        <f>IF(AJ568&lt;=0.8,"A",IF(Table2[[#This Row],[Cumulative rev]]&lt;=0.95,"B","C"))</f>
        <v>#DIV/0!</v>
      </c>
    </row>
    <row r="569" spans="1:37" x14ac:dyDescent="0.3">
      <c r="A569" t="s">
        <v>582</v>
      </c>
      <c r="B569" s="4">
        <v>45600</v>
      </c>
      <c r="C569" s="4" t="s">
        <v>2110</v>
      </c>
      <c r="D569" s="4" t="s">
        <v>2083</v>
      </c>
      <c r="E569" s="4">
        <v>45603</v>
      </c>
      <c r="F569" t="s">
        <v>2064</v>
      </c>
      <c r="G569" s="4">
        <v>45603</v>
      </c>
      <c r="H569" s="4">
        <f>_xlfn.MINIFS(B569:B1200, N569:N1200, N569)</f>
        <v>45019</v>
      </c>
      <c r="I569" s="4" t="str">
        <f t="shared" si="16"/>
        <v>Apr-2023</v>
      </c>
      <c r="J569" s="13">
        <f t="shared" si="17"/>
        <v>20</v>
      </c>
      <c r="K569" s="13">
        <v>3</v>
      </c>
      <c r="L569" s="30" t="str">
        <f>IF(Table2[[#This Row],[LeadTimeDays]]&lt;7,"1","0")</f>
        <v>1</v>
      </c>
      <c r="M569" s="7" t="s">
        <v>649</v>
      </c>
      <c r="N569" s="7" t="s">
        <v>657</v>
      </c>
      <c r="O569" s="7" t="s">
        <v>679</v>
      </c>
      <c r="P569" s="7" t="s">
        <v>701</v>
      </c>
      <c r="Q569" s="7" t="s">
        <v>708</v>
      </c>
      <c r="R569" s="7" t="s">
        <v>719</v>
      </c>
      <c r="S569" s="7" t="s">
        <v>732</v>
      </c>
      <c r="T569" s="7" t="s">
        <v>1993</v>
      </c>
      <c r="U569" s="9">
        <v>740.68</v>
      </c>
      <c r="V569" s="9">
        <v>1837.19</v>
      </c>
      <c r="W569" s="9">
        <v>1837.19</v>
      </c>
      <c r="X569" s="9">
        <v>748.03660000000013</v>
      </c>
      <c r="Y569" s="9">
        <v>1507.0830000000008</v>
      </c>
      <c r="Z569" s="9" t="s">
        <v>2095</v>
      </c>
      <c r="AA569" t="s">
        <v>2065</v>
      </c>
      <c r="AB569" s="11">
        <v>0.19700000000000001</v>
      </c>
      <c r="AC569" t="s">
        <v>2065</v>
      </c>
      <c r="AD569" s="13">
        <v>17</v>
      </c>
      <c r="AE569" s="9">
        <v>25079.480689999997</v>
      </c>
      <c r="AF569" s="9">
        <v>12591.56</v>
      </c>
      <c r="AG569" s="9">
        <v>12487.920689999997</v>
      </c>
      <c r="AH569" s="11">
        <v>0.4979337827748298</v>
      </c>
      <c r="AI569" s="9">
        <f>SUMIFS(AD569:AD1200, R569:R1200, S569)</f>
        <v>0</v>
      </c>
      <c r="AJ569" s="11" t="e">
        <f>SUMIFS(AD569:AD1200, R569:R1200, S569, AD569:AD1200, "&gt;" &amp; AE569) / AI569</f>
        <v>#DIV/0!</v>
      </c>
      <c r="AK569" s="7" t="e">
        <f>IF(AJ569&lt;=0.8,"A",IF(Table2[[#This Row],[Cumulative rev]]&lt;=0.95,"B","C"))</f>
        <v>#DIV/0!</v>
      </c>
    </row>
    <row r="570" spans="1:37" x14ac:dyDescent="0.3">
      <c r="A570" t="s">
        <v>583</v>
      </c>
      <c r="B570" s="4">
        <v>45342</v>
      </c>
      <c r="C570" s="4" t="s">
        <v>2124</v>
      </c>
      <c r="D570" s="4" t="s">
        <v>2080</v>
      </c>
      <c r="E570" s="4">
        <v>45342</v>
      </c>
      <c r="F570" t="s">
        <v>2064</v>
      </c>
      <c r="G570" s="4">
        <v>45342</v>
      </c>
      <c r="H570" s="4">
        <f>_xlfn.MINIFS(B570:B1201, N570:N1201, N570)</f>
        <v>44984</v>
      </c>
      <c r="I570" s="4" t="str">
        <f t="shared" si="16"/>
        <v>Feb-2023</v>
      </c>
      <c r="J570" s="13">
        <f t="shared" si="17"/>
        <v>12</v>
      </c>
      <c r="K570" s="13">
        <v>0</v>
      </c>
      <c r="L570" s="30" t="str">
        <f>IF(Table2[[#This Row],[LeadTimeDays]]&lt;7,"1","0")</f>
        <v>1</v>
      </c>
      <c r="M570" s="7" t="s">
        <v>648</v>
      </c>
      <c r="N570" s="7" t="s">
        <v>1425</v>
      </c>
      <c r="O570" s="7" t="s">
        <v>700</v>
      </c>
      <c r="P570" s="7" t="s">
        <v>706</v>
      </c>
      <c r="Q570" s="7" t="s">
        <v>708</v>
      </c>
      <c r="R570" s="7" t="s">
        <v>712</v>
      </c>
      <c r="S570" s="7" t="s">
        <v>729</v>
      </c>
      <c r="T570" s="7" t="s">
        <v>1994</v>
      </c>
      <c r="U570" s="9">
        <v>1407.05</v>
      </c>
      <c r="V570" s="9">
        <v>2858.93</v>
      </c>
      <c r="W570" s="9">
        <v>2858.93</v>
      </c>
      <c r="X570" s="9">
        <v>738.28840000000002</v>
      </c>
      <c r="Y570" s="9">
        <v>1435.2064</v>
      </c>
      <c r="Z570" s="9" t="s">
        <v>2095</v>
      </c>
      <c r="AA570" t="s">
        <v>2065</v>
      </c>
      <c r="AB570" s="11">
        <v>0</v>
      </c>
      <c r="AC570" t="s">
        <v>2065</v>
      </c>
      <c r="AD570" s="13">
        <v>12</v>
      </c>
      <c r="AE570" s="9">
        <v>34307.159999999996</v>
      </c>
      <c r="AF570" s="9">
        <v>16884.599999999999</v>
      </c>
      <c r="AG570" s="9">
        <v>17422.559999999998</v>
      </c>
      <c r="AH570" s="11">
        <v>0.50784034586366222</v>
      </c>
      <c r="AI570" s="9">
        <f>SUMIFS(AD570:AD1201, R570:R1201, S570)</f>
        <v>0</v>
      </c>
      <c r="AJ570" s="11" t="e">
        <f>SUMIFS(AD570:AD1201, R570:R1201, S570, AD570:AD1201, "&gt;" &amp; AE570) / AI570</f>
        <v>#DIV/0!</v>
      </c>
      <c r="AK570" s="7" t="e">
        <f>IF(AJ570&lt;=0.8,"A",IF(Table2[[#This Row],[Cumulative rev]]&lt;=0.95,"B","C"))</f>
        <v>#DIV/0!</v>
      </c>
    </row>
    <row r="571" spans="1:37" x14ac:dyDescent="0.3">
      <c r="A571" t="s">
        <v>584</v>
      </c>
      <c r="B571" s="4">
        <v>45760</v>
      </c>
      <c r="C571" s="4" t="s">
        <v>2111</v>
      </c>
      <c r="D571" s="4" t="s">
        <v>2097</v>
      </c>
      <c r="E571" s="4">
        <v>45761</v>
      </c>
      <c r="F571" t="s">
        <v>2064</v>
      </c>
      <c r="G571" s="4">
        <v>45761</v>
      </c>
      <c r="H571" s="4">
        <f>_xlfn.MINIFS(B571:B1202, N571:N1202, N571)</f>
        <v>45038</v>
      </c>
      <c r="I571" s="4" t="str">
        <f t="shared" si="16"/>
        <v>Apr-2023</v>
      </c>
      <c r="J571" s="13">
        <f t="shared" si="17"/>
        <v>24</v>
      </c>
      <c r="K571" s="13">
        <v>1</v>
      </c>
      <c r="L571" s="30" t="str">
        <f>IF(Table2[[#This Row],[LeadTimeDays]]&lt;7,"1","0")</f>
        <v>1</v>
      </c>
      <c r="M571" s="7" t="s">
        <v>647</v>
      </c>
      <c r="N571" s="7" t="s">
        <v>652</v>
      </c>
      <c r="O571" s="7" t="s">
        <v>666</v>
      </c>
      <c r="P571" s="7" t="s">
        <v>706</v>
      </c>
      <c r="Q571" s="7" t="s">
        <v>708</v>
      </c>
      <c r="R571" s="7" t="s">
        <v>715</v>
      </c>
      <c r="S571" s="7" t="s">
        <v>727</v>
      </c>
      <c r="T571" s="7" t="s">
        <v>1995</v>
      </c>
      <c r="U571" s="9">
        <v>138.9</v>
      </c>
      <c r="V571" s="9">
        <v>289.92</v>
      </c>
      <c r="W571" s="9">
        <v>289.92</v>
      </c>
      <c r="X571" s="9">
        <v>728.54020000000014</v>
      </c>
      <c r="Y571" s="9">
        <v>1432.4541999999999</v>
      </c>
      <c r="Z571" s="9" t="s">
        <v>2081</v>
      </c>
      <c r="AA571" t="s">
        <v>2065</v>
      </c>
      <c r="AB571" s="11">
        <v>2.9000000000000001E-2</v>
      </c>
      <c r="AC571" t="s">
        <v>2065</v>
      </c>
      <c r="AD571" s="13">
        <v>12</v>
      </c>
      <c r="AE571" s="9">
        <v>3378.1478400000001</v>
      </c>
      <c r="AF571" s="9">
        <v>1666.8000000000002</v>
      </c>
      <c r="AG571" s="9">
        <v>1711.3478399999999</v>
      </c>
      <c r="AH571" s="11">
        <v>0.50659353025828491</v>
      </c>
      <c r="AI571" s="9">
        <f>SUMIFS(AD571:AD1202, R571:R1202, S571)</f>
        <v>0</v>
      </c>
      <c r="AJ571" s="11" t="e">
        <f>SUMIFS(AD571:AD1202, R571:R1202, S571, AD571:AD1202, "&gt;" &amp; AE571) / AI571</f>
        <v>#DIV/0!</v>
      </c>
      <c r="AK571" s="7" t="e">
        <f>IF(AJ571&lt;=0.8,"A",IF(Table2[[#This Row],[Cumulative rev]]&lt;=0.95,"B","C"))</f>
        <v>#DIV/0!</v>
      </c>
    </row>
    <row r="572" spans="1:37" x14ac:dyDescent="0.3">
      <c r="A572" t="s">
        <v>585</v>
      </c>
      <c r="B572" s="4">
        <v>45078</v>
      </c>
      <c r="C572" s="4" t="s">
        <v>2115</v>
      </c>
      <c r="D572" s="4" t="s">
        <v>2103</v>
      </c>
      <c r="E572" s="4">
        <v>45078</v>
      </c>
      <c r="F572" t="s">
        <v>2064</v>
      </c>
      <c r="G572" s="4">
        <v>45078</v>
      </c>
      <c r="H572" s="4">
        <f>_xlfn.MINIFS(B572:B1203, N572:N1203, N572)</f>
        <v>45078</v>
      </c>
      <c r="I572" s="4" t="str">
        <f t="shared" si="16"/>
        <v>Jun-2023</v>
      </c>
      <c r="J572" s="13">
        <f t="shared" si="17"/>
        <v>1</v>
      </c>
      <c r="K572" s="13">
        <v>0</v>
      </c>
      <c r="L572" s="30" t="str">
        <f>IF(Table2[[#This Row],[LeadTimeDays]]&lt;7,"1","0")</f>
        <v>1</v>
      </c>
      <c r="M572" s="7" t="s">
        <v>647</v>
      </c>
      <c r="N572" s="7" t="s">
        <v>654</v>
      </c>
      <c r="O572" s="7" t="s">
        <v>668</v>
      </c>
      <c r="P572" s="7" t="s">
        <v>701</v>
      </c>
      <c r="Q572" s="7" t="s">
        <v>707</v>
      </c>
      <c r="R572" s="7" t="s">
        <v>718</v>
      </c>
      <c r="S572" s="7" t="s">
        <v>733</v>
      </c>
      <c r="T572" s="7" t="s">
        <v>1996</v>
      </c>
      <c r="U572" s="9">
        <v>669.37</v>
      </c>
      <c r="V572" s="9">
        <v>997.2</v>
      </c>
      <c r="W572" s="9">
        <v>997.2</v>
      </c>
      <c r="X572" s="9">
        <v>748.33199999999999</v>
      </c>
      <c r="Y572" s="9">
        <v>1433.8719999999998</v>
      </c>
      <c r="Z572" s="9" t="s">
        <v>2092</v>
      </c>
      <c r="AA572" t="s">
        <v>2065</v>
      </c>
      <c r="AB572" s="11">
        <v>8.2000000000000003E-2</v>
      </c>
      <c r="AC572" t="s">
        <v>2065</v>
      </c>
      <c r="AD572" s="13">
        <v>5</v>
      </c>
      <c r="AE572" s="9">
        <v>4577.1480000000001</v>
      </c>
      <c r="AF572" s="9">
        <v>3346.85</v>
      </c>
      <c r="AG572" s="9">
        <v>1230.2980000000002</v>
      </c>
      <c r="AH572" s="11">
        <v>0.26879139586484863</v>
      </c>
      <c r="AI572" s="9">
        <f>SUMIFS(AD572:AD1203, R572:R1203, S572)</f>
        <v>0</v>
      </c>
      <c r="AJ572" s="11" t="e">
        <f>SUMIFS(AD572:AD1203, R572:R1203, S572, AD572:AD1203, "&gt;" &amp; AE572) / AI572</f>
        <v>#DIV/0!</v>
      </c>
      <c r="AK572" s="7" t="e">
        <f>IF(AJ572&lt;=0.8,"A",IF(Table2[[#This Row],[Cumulative rev]]&lt;=0.95,"B","C"))</f>
        <v>#DIV/0!</v>
      </c>
    </row>
    <row r="573" spans="1:37" x14ac:dyDescent="0.3">
      <c r="A573" t="s">
        <v>586</v>
      </c>
      <c r="B573" s="4">
        <v>45740</v>
      </c>
      <c r="C573" s="4" t="s">
        <v>2086</v>
      </c>
      <c r="D573" s="4" t="s">
        <v>2087</v>
      </c>
      <c r="E573" s="4">
        <v>45751</v>
      </c>
      <c r="F573" t="s">
        <v>2064</v>
      </c>
      <c r="G573" s="4">
        <v>45751</v>
      </c>
      <c r="H573" s="4">
        <f>_xlfn.MINIFS(B573:B1204, N573:N1204, N573)</f>
        <v>45249</v>
      </c>
      <c r="I573" s="4" t="str">
        <f t="shared" si="16"/>
        <v>Nov-2023</v>
      </c>
      <c r="J573" s="13">
        <f t="shared" si="17"/>
        <v>17</v>
      </c>
      <c r="K573" s="13">
        <v>11</v>
      </c>
      <c r="L573" s="30" t="str">
        <f>IF(Table2[[#This Row],[LeadTimeDays]]&lt;7,"1","0")</f>
        <v>0</v>
      </c>
      <c r="M573" s="7" t="s">
        <v>647</v>
      </c>
      <c r="N573" s="7" t="s">
        <v>654</v>
      </c>
      <c r="O573" s="7" t="s">
        <v>691</v>
      </c>
      <c r="P573" s="7" t="s">
        <v>702</v>
      </c>
      <c r="Q573" s="7" t="s">
        <v>709</v>
      </c>
      <c r="R573" s="7" t="s">
        <v>713</v>
      </c>
      <c r="S573" s="7" t="s">
        <v>730</v>
      </c>
      <c r="T573" s="7" t="s">
        <v>1997</v>
      </c>
      <c r="U573" s="9">
        <v>23.83</v>
      </c>
      <c r="V573" s="9">
        <v>47.29</v>
      </c>
      <c r="W573" s="9">
        <v>47.29</v>
      </c>
      <c r="X573" s="9">
        <v>738.58380000000011</v>
      </c>
      <c r="Y573" s="9">
        <v>1435.2898</v>
      </c>
      <c r="Z573" s="9" t="s">
        <v>2081</v>
      </c>
      <c r="AA573" t="s">
        <v>2065</v>
      </c>
      <c r="AB573" s="11">
        <v>6.4000000000000001E-2</v>
      </c>
      <c r="AC573" t="s">
        <v>2065</v>
      </c>
      <c r="AD573" s="13">
        <v>19</v>
      </c>
      <c r="AE573" s="9">
        <v>841.00536</v>
      </c>
      <c r="AF573" s="9">
        <v>452.77</v>
      </c>
      <c r="AG573" s="9">
        <v>388.23536000000001</v>
      </c>
      <c r="AH573" s="11">
        <v>0.46163244429262618</v>
      </c>
      <c r="AI573" s="9">
        <f>SUMIFS(AD573:AD1204, R573:R1204, S573)</f>
        <v>0</v>
      </c>
      <c r="AJ573" s="11" t="e">
        <f>SUMIFS(AD573:AD1204, R573:R1204, S573, AD573:AD1204, "&gt;" &amp; AE573) / AI573</f>
        <v>#DIV/0!</v>
      </c>
      <c r="AK573" s="7" t="e">
        <f>IF(AJ573&lt;=0.8,"A",IF(Table2[[#This Row],[Cumulative rev]]&lt;=0.95,"B","C"))</f>
        <v>#DIV/0!</v>
      </c>
    </row>
    <row r="574" spans="1:37" x14ac:dyDescent="0.3">
      <c r="A574" t="s">
        <v>587</v>
      </c>
      <c r="B574" s="4">
        <v>45293</v>
      </c>
      <c r="C574" s="4" t="s">
        <v>2098</v>
      </c>
      <c r="D574" s="4" t="s">
        <v>2080</v>
      </c>
      <c r="E574" s="4">
        <v>45293</v>
      </c>
      <c r="F574" t="s">
        <v>2064</v>
      </c>
      <c r="G574" s="4">
        <v>45293</v>
      </c>
      <c r="H574" s="4">
        <f>_xlfn.MINIFS(B574:B1205, N574:N1205, N574)</f>
        <v>45100</v>
      </c>
      <c r="I574" s="4" t="str">
        <f t="shared" si="16"/>
        <v>Jun-2023</v>
      </c>
      <c r="J574" s="13">
        <f t="shared" si="17"/>
        <v>7</v>
      </c>
      <c r="K574" s="13">
        <v>0</v>
      </c>
      <c r="L574" s="30" t="str">
        <f>IF(Table2[[#This Row],[LeadTimeDays]]&lt;7,"1","0")</f>
        <v>1</v>
      </c>
      <c r="M574" s="7" t="s">
        <v>648</v>
      </c>
      <c r="N574" s="7" t="s">
        <v>653</v>
      </c>
      <c r="O574" s="7" t="s">
        <v>688</v>
      </c>
      <c r="P574" s="7" t="s">
        <v>702</v>
      </c>
      <c r="Q574" s="7" t="s">
        <v>711</v>
      </c>
      <c r="R574" s="7" t="s">
        <v>720</v>
      </c>
      <c r="S574" s="7" t="s">
        <v>731</v>
      </c>
      <c r="T574" s="7" t="s">
        <v>1998</v>
      </c>
      <c r="U574" s="9">
        <v>444.41</v>
      </c>
      <c r="V574" s="9">
        <v>754.24</v>
      </c>
      <c r="W574" s="9">
        <v>754.24</v>
      </c>
      <c r="X574" s="9">
        <v>769.20880000000011</v>
      </c>
      <c r="Y574" s="9">
        <v>1470.0780000000002</v>
      </c>
      <c r="Z574" s="9" t="s">
        <v>2081</v>
      </c>
      <c r="AA574" t="s">
        <v>2065</v>
      </c>
      <c r="AB574" s="11">
        <v>0.20699999999999999</v>
      </c>
      <c r="AC574" t="s">
        <v>2065</v>
      </c>
      <c r="AD574" s="13">
        <v>32</v>
      </c>
      <c r="AE574" s="9">
        <v>19139.594240000002</v>
      </c>
      <c r="AF574" s="9">
        <v>14221.12</v>
      </c>
      <c r="AG574" s="9">
        <v>4918.4742400000014</v>
      </c>
      <c r="AH574" s="11">
        <v>0.25697902360546598</v>
      </c>
      <c r="AI574" s="9">
        <f>SUMIFS(AD574:AD1205, R574:R1205, S574)</f>
        <v>0</v>
      </c>
      <c r="AJ574" s="11" t="e">
        <f>SUMIFS(AD574:AD1205, R574:R1205, S574, AD574:AD1205, "&gt;" &amp; AE574) / AI574</f>
        <v>#DIV/0!</v>
      </c>
      <c r="AK574" s="7" t="e">
        <f>IF(AJ574&lt;=0.8,"A",IF(Table2[[#This Row],[Cumulative rev]]&lt;=0.95,"B","C"))</f>
        <v>#DIV/0!</v>
      </c>
    </row>
    <row r="575" spans="1:37" x14ac:dyDescent="0.3">
      <c r="A575" t="s">
        <v>588</v>
      </c>
      <c r="B575" s="4">
        <v>45279</v>
      </c>
      <c r="C575" s="4" t="s">
        <v>2088</v>
      </c>
      <c r="D575" s="4" t="s">
        <v>2089</v>
      </c>
      <c r="E575" s="4">
        <v>45292</v>
      </c>
      <c r="F575" t="s">
        <v>2064</v>
      </c>
      <c r="G575" s="4">
        <v>45292</v>
      </c>
      <c r="H575" s="4">
        <f>_xlfn.MINIFS(B575:B1206, N575:N1206, N575)</f>
        <v>45100</v>
      </c>
      <c r="I575" s="4" t="str">
        <f t="shared" si="16"/>
        <v>Jun-2023</v>
      </c>
      <c r="J575" s="13">
        <f t="shared" si="17"/>
        <v>6</v>
      </c>
      <c r="K575" s="13">
        <v>13</v>
      </c>
      <c r="L575" s="30" t="str">
        <f>IF(Table2[[#This Row],[LeadTimeDays]]&lt;7,"1","0")</f>
        <v>0</v>
      </c>
      <c r="M575" s="7" t="s">
        <v>648</v>
      </c>
      <c r="N575" s="7" t="s">
        <v>653</v>
      </c>
      <c r="O575" s="7" t="s">
        <v>667</v>
      </c>
      <c r="P575" s="7" t="s">
        <v>706</v>
      </c>
      <c r="Q575" s="7" t="s">
        <v>707</v>
      </c>
      <c r="R575" s="7" t="s">
        <v>723</v>
      </c>
      <c r="S575" s="7" t="s">
        <v>732</v>
      </c>
      <c r="T575" s="7" t="s">
        <v>1999</v>
      </c>
      <c r="U575" s="9">
        <v>856.1</v>
      </c>
      <c r="V575" s="9">
        <v>901.48</v>
      </c>
      <c r="W575" s="9">
        <v>901.48</v>
      </c>
      <c r="X575" s="9">
        <v>835.23260000000028</v>
      </c>
      <c r="Y575" s="9">
        <v>1512.0170000000005</v>
      </c>
      <c r="Z575" s="9" t="s">
        <v>2092</v>
      </c>
      <c r="AA575" t="s">
        <v>2065</v>
      </c>
      <c r="AB575" s="11">
        <v>5.6000000000000001E-2</v>
      </c>
      <c r="AC575" t="s">
        <v>2065</v>
      </c>
      <c r="AD575" s="13">
        <v>17</v>
      </c>
      <c r="AE575" s="9">
        <v>14466.95104</v>
      </c>
      <c r="AF575" s="9">
        <v>14553.7</v>
      </c>
      <c r="AG575" s="9">
        <v>-86.748960000000807</v>
      </c>
      <c r="AH575" s="11">
        <v>-5.9963540182134192E-3</v>
      </c>
      <c r="AI575" s="9">
        <f>SUMIFS(AD575:AD1206, R575:R1206, S575)</f>
        <v>0</v>
      </c>
      <c r="AJ575" s="11" t="e">
        <f>SUMIFS(AD575:AD1206, R575:R1206, S575, AD575:AD1206, "&gt;" &amp; AE575) / AI575</f>
        <v>#DIV/0!</v>
      </c>
      <c r="AK575" s="7" t="e">
        <f>IF(AJ575&lt;=0.8,"A",IF(Table2[[#This Row],[Cumulative rev]]&lt;=0.95,"B","C"))</f>
        <v>#DIV/0!</v>
      </c>
    </row>
    <row r="576" spans="1:37" x14ac:dyDescent="0.3">
      <c r="A576" t="s">
        <v>589</v>
      </c>
      <c r="B576" s="4">
        <v>45042</v>
      </c>
      <c r="C576" s="4" t="s">
        <v>2102</v>
      </c>
      <c r="D576" s="4" t="s">
        <v>2103</v>
      </c>
      <c r="E576" s="4">
        <v>45042</v>
      </c>
      <c r="F576" t="s">
        <v>2064</v>
      </c>
      <c r="G576" s="4">
        <v>45042</v>
      </c>
      <c r="H576" s="4">
        <f>_xlfn.MINIFS(B576:B1207, N576:N1207, N576)</f>
        <v>45019</v>
      </c>
      <c r="I576" s="4" t="str">
        <f t="shared" si="16"/>
        <v>Apr-2023</v>
      </c>
      <c r="J576" s="13">
        <f t="shared" si="17"/>
        <v>1</v>
      </c>
      <c r="K576" s="13">
        <v>0</v>
      </c>
      <c r="L576" s="30" t="str">
        <f>IF(Table2[[#This Row],[LeadTimeDays]]&lt;7,"1","0")</f>
        <v>1</v>
      </c>
      <c r="M576" s="7" t="s">
        <v>649</v>
      </c>
      <c r="N576" s="7" t="s">
        <v>657</v>
      </c>
      <c r="O576" s="7" t="s">
        <v>673</v>
      </c>
      <c r="P576" s="7" t="s">
        <v>704</v>
      </c>
      <c r="Q576" s="7" t="s">
        <v>711</v>
      </c>
      <c r="R576" s="7" t="s">
        <v>724</v>
      </c>
      <c r="S576" s="7" t="s">
        <v>727</v>
      </c>
      <c r="T576" s="7" t="s">
        <v>2000</v>
      </c>
      <c r="U576" s="9">
        <v>81.489999999999995</v>
      </c>
      <c r="V576" s="9">
        <v>113.08</v>
      </c>
      <c r="W576" s="9">
        <v>113.08</v>
      </c>
      <c r="X576" s="9">
        <v>790.20080000000007</v>
      </c>
      <c r="Y576" s="9">
        <v>1553.9560000000001</v>
      </c>
      <c r="Z576" s="9" t="s">
        <v>2081</v>
      </c>
      <c r="AA576" t="s">
        <v>2065</v>
      </c>
      <c r="AB576" s="11">
        <v>0.121</v>
      </c>
      <c r="AC576" t="s">
        <v>2065</v>
      </c>
      <c r="AD576" s="13">
        <v>5</v>
      </c>
      <c r="AE576" s="9">
        <v>496.98660000000001</v>
      </c>
      <c r="AF576" s="9">
        <v>407.45</v>
      </c>
      <c r="AG576" s="9">
        <v>89.536600000000021</v>
      </c>
      <c r="AH576" s="11">
        <v>0.18015898215364362</v>
      </c>
      <c r="AI576" s="9">
        <f>SUMIFS(AD576:AD1207, R576:R1207, S576)</f>
        <v>0</v>
      </c>
      <c r="AJ576" s="11" t="e">
        <f>SUMIFS(AD576:AD1207, R576:R1207, S576, AD576:AD1207, "&gt;" &amp; AE576) / AI576</f>
        <v>#DIV/0!</v>
      </c>
      <c r="AK576" s="7" t="e">
        <f>IF(AJ576&lt;=0.8,"A",IF(Table2[[#This Row],[Cumulative rev]]&lt;=0.95,"B","C"))</f>
        <v>#DIV/0!</v>
      </c>
    </row>
    <row r="577" spans="1:37" x14ac:dyDescent="0.3">
      <c r="A577" t="s">
        <v>590</v>
      </c>
      <c r="B577" s="4">
        <v>45872</v>
      </c>
      <c r="C577" s="4" t="s">
        <v>2121</v>
      </c>
      <c r="D577" s="4" t="s">
        <v>2101</v>
      </c>
      <c r="E577" s="4">
        <v>45885</v>
      </c>
      <c r="F577" t="s">
        <v>2064</v>
      </c>
      <c r="G577" s="4">
        <v>45885</v>
      </c>
      <c r="H577" s="4">
        <f>_xlfn.MINIFS(B577:B1208, N577:N1208, N577)</f>
        <v>45100</v>
      </c>
      <c r="I577" s="4" t="str">
        <f t="shared" si="16"/>
        <v>Jun-2023</v>
      </c>
      <c r="J577" s="13">
        <f t="shared" si="17"/>
        <v>26</v>
      </c>
      <c r="K577" s="13">
        <v>13</v>
      </c>
      <c r="L577" s="30" t="str">
        <f>IF(Table2[[#This Row],[LeadTimeDays]]&lt;7,"1","0")</f>
        <v>0</v>
      </c>
      <c r="M577" s="7" t="s">
        <v>648</v>
      </c>
      <c r="N577" s="7" t="s">
        <v>653</v>
      </c>
      <c r="O577" s="7" t="s">
        <v>681</v>
      </c>
      <c r="P577" s="7" t="s">
        <v>706</v>
      </c>
      <c r="Q577" s="7" t="s">
        <v>710</v>
      </c>
      <c r="R577" s="7" t="s">
        <v>719</v>
      </c>
      <c r="S577" s="7" t="s">
        <v>729</v>
      </c>
      <c r="T577" s="7" t="s">
        <v>2001</v>
      </c>
      <c r="U577" s="9">
        <v>698.66</v>
      </c>
      <c r="V577" s="9">
        <v>868.62</v>
      </c>
      <c r="W577" s="9">
        <v>868.62</v>
      </c>
      <c r="X577" s="9">
        <v>862.279</v>
      </c>
      <c r="Y577" s="9">
        <v>1569.8790000000001</v>
      </c>
      <c r="Z577" s="9" t="s">
        <v>2092</v>
      </c>
      <c r="AA577" t="s">
        <v>2065</v>
      </c>
      <c r="AB577" s="11">
        <v>7.1999999999999995E-2</v>
      </c>
      <c r="AC577" t="s">
        <v>2065</v>
      </c>
      <c r="AD577" s="13">
        <v>15</v>
      </c>
      <c r="AE577" s="9">
        <v>12091.190399999999</v>
      </c>
      <c r="AF577" s="9">
        <v>10479.9</v>
      </c>
      <c r="AG577" s="9">
        <v>1611.2903999999999</v>
      </c>
      <c r="AH577" s="11">
        <v>0.13326151906432637</v>
      </c>
      <c r="AI577" s="9">
        <f>SUMIFS(AD577:AD1208, R577:R1208, S577)</f>
        <v>0</v>
      </c>
      <c r="AJ577" s="11" t="e">
        <f>SUMIFS(AD577:AD1208, R577:R1208, S577, AD577:AD1208, "&gt;" &amp; AE577) / AI577</f>
        <v>#DIV/0!</v>
      </c>
      <c r="AK577" s="7" t="e">
        <f>IF(AJ577&lt;=0.8,"A",IF(Table2[[#This Row],[Cumulative rev]]&lt;=0.95,"B","C"))</f>
        <v>#DIV/0!</v>
      </c>
    </row>
    <row r="578" spans="1:37" x14ac:dyDescent="0.3">
      <c r="A578" t="s">
        <v>591</v>
      </c>
      <c r="B578" s="4">
        <v>45140</v>
      </c>
      <c r="C578" s="4" t="s">
        <v>2118</v>
      </c>
      <c r="D578" s="4" t="s">
        <v>2117</v>
      </c>
      <c r="E578" s="4">
        <v>45157</v>
      </c>
      <c r="F578" t="s">
        <v>2064</v>
      </c>
      <c r="G578" s="4">
        <v>45157</v>
      </c>
      <c r="H578" s="4">
        <f>_xlfn.MINIFS(B578:B1209, N578:N1209, N578)</f>
        <v>45100</v>
      </c>
      <c r="I578" s="4" t="str">
        <f t="shared" si="16"/>
        <v>Jun-2023</v>
      </c>
      <c r="J578" s="13">
        <f t="shared" si="17"/>
        <v>2</v>
      </c>
      <c r="K578" s="13">
        <v>17</v>
      </c>
      <c r="L578" s="30" t="str">
        <f>IF(Table2[[#This Row],[LeadTimeDays]]&lt;7,"1","0")</f>
        <v>0</v>
      </c>
      <c r="M578" s="7" t="s">
        <v>648</v>
      </c>
      <c r="N578" s="7" t="s">
        <v>653</v>
      </c>
      <c r="O578" s="7" t="s">
        <v>688</v>
      </c>
      <c r="P578" s="7" t="s">
        <v>701</v>
      </c>
      <c r="Q578" s="7" t="s">
        <v>708</v>
      </c>
      <c r="R578" s="7" t="s">
        <v>721</v>
      </c>
      <c r="S578" s="7" t="s">
        <v>729</v>
      </c>
      <c r="T578" s="7" t="s">
        <v>2002</v>
      </c>
      <c r="U578" s="9">
        <v>175.38</v>
      </c>
      <c r="V578" s="9">
        <v>347.9</v>
      </c>
      <c r="W578" s="9">
        <v>347.9</v>
      </c>
      <c r="X578" s="9">
        <v>836.59720000000004</v>
      </c>
      <c r="Y578" s="9">
        <v>1582.3332</v>
      </c>
      <c r="Z578" s="9" t="s">
        <v>2081</v>
      </c>
      <c r="AA578" t="s">
        <v>2065</v>
      </c>
      <c r="AB578" s="11">
        <v>7.1999999999999995E-2</v>
      </c>
      <c r="AC578" t="s">
        <v>2065</v>
      </c>
      <c r="AD578" s="13">
        <v>43</v>
      </c>
      <c r="AE578" s="9">
        <v>13882.6016</v>
      </c>
      <c r="AF578" s="9">
        <v>7541.34</v>
      </c>
      <c r="AG578" s="9">
        <v>6341.2615999999998</v>
      </c>
      <c r="AH578" s="11">
        <v>0.45677761148169804</v>
      </c>
      <c r="AI578" s="9">
        <f>SUMIFS(AD578:AD1209, R578:R1209, S578)</f>
        <v>0</v>
      </c>
      <c r="AJ578" s="11" t="e">
        <f>SUMIFS(AD578:AD1209, R578:R1209, S578, AD578:AD1209, "&gt;" &amp; AE578) / AI578</f>
        <v>#DIV/0!</v>
      </c>
      <c r="AK578" s="7" t="e">
        <f>IF(AJ578&lt;=0.8,"A",IF(Table2[[#This Row],[Cumulative rev]]&lt;=0.95,"B","C"))</f>
        <v>#DIV/0!</v>
      </c>
    </row>
    <row r="579" spans="1:37" x14ac:dyDescent="0.3">
      <c r="A579" t="s">
        <v>592</v>
      </c>
      <c r="B579" s="4">
        <v>45092</v>
      </c>
      <c r="C579" s="4" t="s">
        <v>2115</v>
      </c>
      <c r="D579" s="4" t="s">
        <v>2103</v>
      </c>
      <c r="E579" s="4">
        <v>45119</v>
      </c>
      <c r="F579" t="s">
        <v>2064</v>
      </c>
      <c r="G579" s="4">
        <v>45119</v>
      </c>
      <c r="H579" s="4">
        <f>_xlfn.MINIFS(B579:B1210, N579:N1210, N579)</f>
        <v>45026</v>
      </c>
      <c r="I579" s="4" t="str">
        <f t="shared" ref="I579:I632" si="18">TEXT(H579,"mmm-yyyy")</f>
        <v>Apr-2023</v>
      </c>
      <c r="J579" s="13">
        <f t="shared" ref="J579:J632" si="19">DATEDIF(H579, B579, "m") + 1</f>
        <v>3</v>
      </c>
      <c r="K579" s="13">
        <v>27</v>
      </c>
      <c r="L579" s="30" t="str">
        <f>IF(Table2[[#This Row],[LeadTimeDays]]&lt;7,"1","0")</f>
        <v>0</v>
      </c>
      <c r="M579" s="7" t="s">
        <v>649</v>
      </c>
      <c r="N579" s="7" t="s">
        <v>658</v>
      </c>
      <c r="O579" s="7" t="s">
        <v>693</v>
      </c>
      <c r="P579" s="7" t="s">
        <v>704</v>
      </c>
      <c r="Q579" s="7" t="s">
        <v>711</v>
      </c>
      <c r="R579" s="7" t="s">
        <v>714</v>
      </c>
      <c r="S579" s="7" t="s">
        <v>733</v>
      </c>
      <c r="T579" s="7" t="s">
        <v>2003</v>
      </c>
      <c r="U579" s="9">
        <v>751.28</v>
      </c>
      <c r="V579" s="9">
        <v>1111.8800000000001</v>
      </c>
      <c r="W579" s="9">
        <v>1111.8800000000001</v>
      </c>
      <c r="X579" s="9">
        <v>881.40190000000007</v>
      </c>
      <c r="Y579" s="9">
        <v>1594.7874000000002</v>
      </c>
      <c r="Z579" s="9" t="s">
        <v>2092</v>
      </c>
      <c r="AA579" t="s">
        <v>2065</v>
      </c>
      <c r="AB579" s="11">
        <v>0.13500000000000001</v>
      </c>
      <c r="AC579" t="s">
        <v>2065</v>
      </c>
      <c r="AD579" s="13">
        <v>7</v>
      </c>
      <c r="AE579" s="9">
        <v>6732.4334000000008</v>
      </c>
      <c r="AF579" s="9">
        <v>5258.96</v>
      </c>
      <c r="AG579" s="9">
        <v>1473.4734000000008</v>
      </c>
      <c r="AH579" s="11">
        <v>0.21886193482433863</v>
      </c>
      <c r="AI579" s="9">
        <f>SUMIFS(AD579:AD1210, R579:R1210, S579)</f>
        <v>0</v>
      </c>
      <c r="AJ579" s="11" t="e">
        <f>SUMIFS(AD579:AD1210, R579:R1210, S579, AD579:AD1210, "&gt;" &amp; AE579) / AI579</f>
        <v>#DIV/0!</v>
      </c>
      <c r="AK579" s="7" t="e">
        <f>IF(AJ579&lt;=0.8,"A",IF(Table2[[#This Row],[Cumulative rev]]&lt;=0.95,"B","C"))</f>
        <v>#DIV/0!</v>
      </c>
    </row>
    <row r="580" spans="1:37" x14ac:dyDescent="0.3">
      <c r="A580" t="s">
        <v>593</v>
      </c>
      <c r="B580" s="4">
        <v>45607</v>
      </c>
      <c r="C580" s="4" t="s">
        <v>2110</v>
      </c>
      <c r="D580" s="4" t="s">
        <v>2083</v>
      </c>
      <c r="E580" s="4">
        <v>45620</v>
      </c>
      <c r="F580" t="s">
        <v>2064</v>
      </c>
      <c r="G580" s="4">
        <v>45620</v>
      </c>
      <c r="H580" s="4">
        <f>_xlfn.MINIFS(B580:B1211, N580:N1211, N580)</f>
        <v>45026</v>
      </c>
      <c r="I580" s="4" t="str">
        <f t="shared" si="18"/>
        <v>Apr-2023</v>
      </c>
      <c r="J580" s="13">
        <f t="shared" si="19"/>
        <v>20</v>
      </c>
      <c r="K580" s="13">
        <v>13</v>
      </c>
      <c r="L580" s="30" t="str">
        <f>IF(Table2[[#This Row],[LeadTimeDays]]&lt;7,"1","0")</f>
        <v>0</v>
      </c>
      <c r="M580" s="7" t="s">
        <v>649</v>
      </c>
      <c r="N580" s="7" t="s">
        <v>658</v>
      </c>
      <c r="O580" s="7" t="s">
        <v>683</v>
      </c>
      <c r="P580" s="7" t="s">
        <v>701</v>
      </c>
      <c r="Q580" s="7" t="s">
        <v>707</v>
      </c>
      <c r="R580" s="7" t="s">
        <v>718</v>
      </c>
      <c r="S580" s="7" t="s">
        <v>729</v>
      </c>
      <c r="T580" s="7" t="s">
        <v>2004</v>
      </c>
      <c r="U580" s="9">
        <v>164.53</v>
      </c>
      <c r="V580" s="9">
        <v>327.72</v>
      </c>
      <c r="W580" s="9">
        <v>327.72</v>
      </c>
      <c r="X580" s="9">
        <v>867.76959999999997</v>
      </c>
      <c r="Y580" s="9">
        <v>1628.5536</v>
      </c>
      <c r="Z580" s="9" t="s">
        <v>2081</v>
      </c>
      <c r="AA580" t="s">
        <v>2065</v>
      </c>
      <c r="AB580" s="11">
        <v>6.7000000000000004E-2</v>
      </c>
      <c r="AC580" t="s">
        <v>2065</v>
      </c>
      <c r="AD580" s="13">
        <v>14</v>
      </c>
      <c r="AE580" s="9">
        <v>4280.6786400000001</v>
      </c>
      <c r="AF580" s="9">
        <v>2303.42</v>
      </c>
      <c r="AG580" s="9">
        <v>1977.25864</v>
      </c>
      <c r="AH580" s="11">
        <v>0.46190307805960412</v>
      </c>
      <c r="AI580" s="9">
        <f>SUMIFS(AD580:AD1211, R580:R1211, S580)</f>
        <v>0</v>
      </c>
      <c r="AJ580" s="11" t="e">
        <f>SUMIFS(AD580:AD1211, R580:R1211, S580, AD580:AD1211, "&gt;" &amp; AE580) / AI580</f>
        <v>#DIV/0!</v>
      </c>
      <c r="AK580" s="7" t="e">
        <f>IF(AJ580&lt;=0.8,"A",IF(Table2[[#This Row],[Cumulative rev]]&lt;=0.95,"B","C"))</f>
        <v>#DIV/0!</v>
      </c>
    </row>
    <row r="581" spans="1:37" x14ac:dyDescent="0.3">
      <c r="A581" t="s">
        <v>594</v>
      </c>
      <c r="B581" s="4">
        <v>45849</v>
      </c>
      <c r="C581" s="4" t="s">
        <v>2104</v>
      </c>
      <c r="D581" s="4" t="s">
        <v>2101</v>
      </c>
      <c r="E581" s="4">
        <v>45872</v>
      </c>
      <c r="F581" t="s">
        <v>2064</v>
      </c>
      <c r="G581" s="4">
        <v>45872</v>
      </c>
      <c r="H581" s="4">
        <f>_xlfn.MINIFS(B581:B1212, N581:N1212, N581)</f>
        <v>45177</v>
      </c>
      <c r="I581" s="4" t="str">
        <f t="shared" si="18"/>
        <v>Sep-2023</v>
      </c>
      <c r="J581" s="13">
        <f t="shared" si="19"/>
        <v>23</v>
      </c>
      <c r="K581" s="13">
        <v>23</v>
      </c>
      <c r="L581" s="30" t="str">
        <f>IF(Table2[[#This Row],[LeadTimeDays]]&lt;7,"1","0")</f>
        <v>0</v>
      </c>
      <c r="M581" s="7" t="s">
        <v>646</v>
      </c>
      <c r="N581" s="7" t="s">
        <v>650</v>
      </c>
      <c r="O581" s="7" t="s">
        <v>678</v>
      </c>
      <c r="P581" s="7" t="s">
        <v>705</v>
      </c>
      <c r="Q581" s="7" t="s">
        <v>707</v>
      </c>
      <c r="R581" s="7" t="s">
        <v>712</v>
      </c>
      <c r="S581" s="7" t="s">
        <v>730</v>
      </c>
      <c r="T581" s="7" t="s">
        <v>2005</v>
      </c>
      <c r="U581" s="9">
        <v>389.93</v>
      </c>
      <c r="V581" s="9">
        <v>486.13</v>
      </c>
      <c r="W581" s="9">
        <v>486.13</v>
      </c>
      <c r="X581" s="9">
        <v>895.44730000000004</v>
      </c>
      <c r="Y581" s="9">
        <v>1663.6518000000003</v>
      </c>
      <c r="Z581" s="9" t="s">
        <v>2081</v>
      </c>
      <c r="AA581" t="s">
        <v>2065</v>
      </c>
      <c r="AB581" s="11">
        <v>0.13200000000000001</v>
      </c>
      <c r="AC581" t="s">
        <v>2065</v>
      </c>
      <c r="AD581" s="13">
        <v>17</v>
      </c>
      <c r="AE581" s="9">
        <v>7173.3342799999991</v>
      </c>
      <c r="AF581" s="9">
        <v>6628.81</v>
      </c>
      <c r="AG581" s="9">
        <v>544.52427999999873</v>
      </c>
      <c r="AH581" s="11">
        <v>7.5909508569562828E-2</v>
      </c>
      <c r="AI581" s="9">
        <f>SUMIFS(AD581:AD1212, R581:R1212, S581)</f>
        <v>0</v>
      </c>
      <c r="AJ581" s="11" t="e">
        <f>SUMIFS(AD581:AD1212, R581:R1212, S581, AD581:AD1212, "&gt;" &amp; AE581) / AI581</f>
        <v>#DIV/0!</v>
      </c>
      <c r="AK581" s="7" t="e">
        <f>IF(AJ581&lt;=0.8,"A",IF(Table2[[#This Row],[Cumulative rev]]&lt;=0.95,"B","C"))</f>
        <v>#DIV/0!</v>
      </c>
    </row>
    <row r="582" spans="1:37" x14ac:dyDescent="0.3">
      <c r="A582" t="s">
        <v>595</v>
      </c>
      <c r="B582" s="4">
        <v>45080</v>
      </c>
      <c r="C582" s="4" t="s">
        <v>2115</v>
      </c>
      <c r="D582" s="4" t="s">
        <v>2103</v>
      </c>
      <c r="E582" s="4">
        <v>45108</v>
      </c>
      <c r="F582" t="s">
        <v>2064</v>
      </c>
      <c r="G582" s="4">
        <v>45108</v>
      </c>
      <c r="H582" s="4">
        <f>_xlfn.MINIFS(B582:B1213, N582:N1213, N582)</f>
        <v>44955</v>
      </c>
      <c r="I582" s="4" t="str">
        <f t="shared" si="18"/>
        <v>Jan-2023</v>
      </c>
      <c r="J582" s="13">
        <f t="shared" si="19"/>
        <v>5</v>
      </c>
      <c r="K582" s="13">
        <v>28</v>
      </c>
      <c r="L582" s="30" t="str">
        <f>IF(Table2[[#This Row],[LeadTimeDays]]&lt;7,"1","0")</f>
        <v>0</v>
      </c>
      <c r="M582" s="7" t="s">
        <v>648</v>
      </c>
      <c r="N582" s="7" t="s">
        <v>655</v>
      </c>
      <c r="O582" s="7" t="s">
        <v>672</v>
      </c>
      <c r="P582" s="7" t="s">
        <v>705</v>
      </c>
      <c r="Q582" s="7" t="s">
        <v>709</v>
      </c>
      <c r="R582" s="7" t="s">
        <v>720</v>
      </c>
      <c r="S582" s="7" t="s">
        <v>727</v>
      </c>
      <c r="T582" s="7" t="s">
        <v>2006</v>
      </c>
      <c r="U582" s="9">
        <v>860.4</v>
      </c>
      <c r="V582" s="9">
        <v>2066.6</v>
      </c>
      <c r="W582" s="9">
        <v>2066.6</v>
      </c>
      <c r="X582" s="9">
        <v>925.12</v>
      </c>
      <c r="Y582" s="9">
        <v>1698.75</v>
      </c>
      <c r="Z582" s="9" t="s">
        <v>2095</v>
      </c>
      <c r="AA582" t="s">
        <v>2065</v>
      </c>
      <c r="AB582" s="11">
        <v>0.01</v>
      </c>
      <c r="AC582" t="s">
        <v>2065</v>
      </c>
      <c r="AD582" s="13">
        <v>3</v>
      </c>
      <c r="AE582" s="9">
        <v>6137.8019999999988</v>
      </c>
      <c r="AF582" s="9">
        <v>2581.1999999999998</v>
      </c>
      <c r="AG582" s="9">
        <v>3556.601999999999</v>
      </c>
      <c r="AH582" s="11">
        <v>0.57945857491004105</v>
      </c>
      <c r="AI582" s="9">
        <f>SUMIFS(AD582:AD1213, R582:R1213, S582)</f>
        <v>0</v>
      </c>
      <c r="AJ582" s="11" t="e">
        <f>SUMIFS(AD582:AD1213, R582:R1213, S582, AD582:AD1213, "&gt;" &amp; AE582) / AI582</f>
        <v>#DIV/0!</v>
      </c>
      <c r="AK582" s="7" t="e">
        <f>IF(AJ582&lt;=0.8,"A",IF(Table2[[#This Row],[Cumulative rev]]&lt;=0.95,"B","C"))</f>
        <v>#DIV/0!</v>
      </c>
    </row>
    <row r="583" spans="1:37" x14ac:dyDescent="0.3">
      <c r="A583" t="s">
        <v>596</v>
      </c>
      <c r="B583" s="4">
        <v>44955</v>
      </c>
      <c r="C583" s="4" t="s">
        <v>2090</v>
      </c>
      <c r="D583" s="4" t="s">
        <v>2085</v>
      </c>
      <c r="E583" s="4">
        <v>44963</v>
      </c>
      <c r="F583" t="s">
        <v>2064</v>
      </c>
      <c r="G583" s="4">
        <v>44963</v>
      </c>
      <c r="H583" s="4">
        <f>_xlfn.MINIFS(B583:B1214, N583:N1214, N583)</f>
        <v>44955</v>
      </c>
      <c r="I583" s="4" t="str">
        <f t="shared" si="18"/>
        <v>Jan-2023</v>
      </c>
      <c r="J583" s="13">
        <f t="shared" si="19"/>
        <v>1</v>
      </c>
      <c r="K583" s="13">
        <v>8</v>
      </c>
      <c r="L583" s="30" t="str">
        <f>IF(Table2[[#This Row],[LeadTimeDays]]&lt;7,"1","0")</f>
        <v>0</v>
      </c>
      <c r="M583" s="7" t="s">
        <v>648</v>
      </c>
      <c r="N583" s="7" t="s">
        <v>655</v>
      </c>
      <c r="O583" s="7" t="s">
        <v>672</v>
      </c>
      <c r="P583" s="7" t="s">
        <v>701</v>
      </c>
      <c r="Q583" s="7" t="s">
        <v>709</v>
      </c>
      <c r="R583" s="7" t="s">
        <v>726</v>
      </c>
      <c r="S583" s="7" t="s">
        <v>732</v>
      </c>
      <c r="T583" s="7" t="s">
        <v>2007</v>
      </c>
      <c r="U583" s="9">
        <v>41.84</v>
      </c>
      <c r="V583" s="9">
        <v>86.2</v>
      </c>
      <c r="W583" s="9">
        <v>86.2</v>
      </c>
      <c r="X583" s="9">
        <v>910.17100000000005</v>
      </c>
      <c r="Y583" s="9">
        <v>1630.6182000000003</v>
      </c>
      <c r="Z583" s="9" t="s">
        <v>2081</v>
      </c>
      <c r="AA583" t="s">
        <v>2065</v>
      </c>
      <c r="AB583" s="11">
        <v>0.22600000000000001</v>
      </c>
      <c r="AC583" t="s">
        <v>2065</v>
      </c>
      <c r="AD583" s="13">
        <v>27</v>
      </c>
      <c r="AE583" s="9">
        <v>1801.4076000000002</v>
      </c>
      <c r="AF583" s="9">
        <v>1129.68</v>
      </c>
      <c r="AG583" s="9">
        <v>671.72760000000017</v>
      </c>
      <c r="AH583" s="11">
        <v>0.37289039970742882</v>
      </c>
      <c r="AI583" s="9">
        <f>SUMIFS(AD583:AD1214, R583:R1214, S583)</f>
        <v>0</v>
      </c>
      <c r="AJ583" s="11" t="e">
        <f>SUMIFS(AD583:AD1214, R583:R1214, S583, AD583:AD1214, "&gt;" &amp; AE583) / AI583</f>
        <v>#DIV/0!</v>
      </c>
      <c r="AK583" s="7" t="e">
        <f>IF(AJ583&lt;=0.8,"A",IF(Table2[[#This Row],[Cumulative rev]]&lt;=0.95,"B","C"))</f>
        <v>#DIV/0!</v>
      </c>
    </row>
    <row r="584" spans="1:37" x14ac:dyDescent="0.3">
      <c r="A584" t="s">
        <v>597</v>
      </c>
      <c r="B584" s="4">
        <v>45541</v>
      </c>
      <c r="C584" s="4" t="s">
        <v>2122</v>
      </c>
      <c r="D584" s="4" t="s">
        <v>2106</v>
      </c>
      <c r="E584" s="4">
        <v>45539</v>
      </c>
      <c r="F584" t="s">
        <v>2066</v>
      </c>
      <c r="G584" s="4">
        <v>45541</v>
      </c>
      <c r="H584" s="4">
        <f>_xlfn.MINIFS(B584:B1215, N584:N1215, N584)</f>
        <v>45038</v>
      </c>
      <c r="I584" s="4" t="str">
        <f t="shared" si="18"/>
        <v>Apr-2023</v>
      </c>
      <c r="J584" s="13">
        <f t="shared" si="19"/>
        <v>17</v>
      </c>
      <c r="K584" s="13">
        <v>0</v>
      </c>
      <c r="L584" s="30" t="str">
        <f>IF(Table2[[#This Row],[LeadTimeDays]]&lt;7,"1","0")</f>
        <v>1</v>
      </c>
      <c r="M584" s="7" t="s">
        <v>647</v>
      </c>
      <c r="N584" s="7" t="s">
        <v>652</v>
      </c>
      <c r="O584" s="7" t="s">
        <v>666</v>
      </c>
      <c r="P584" s="7" t="s">
        <v>701</v>
      </c>
      <c r="Q584" s="7" t="s">
        <v>711</v>
      </c>
      <c r="R584" s="7" t="s">
        <v>720</v>
      </c>
      <c r="S584" s="7" t="s">
        <v>731</v>
      </c>
      <c r="T584" s="7" t="s">
        <v>2008</v>
      </c>
      <c r="U584" s="9">
        <v>1368.17</v>
      </c>
      <c r="V584" s="9">
        <v>2307.75</v>
      </c>
      <c r="W584" s="9">
        <v>2307.75</v>
      </c>
      <c r="X584" s="9">
        <v>940.52199999999993</v>
      </c>
      <c r="Y584" s="9">
        <v>1665.7164</v>
      </c>
      <c r="Z584" s="9" t="s">
        <v>2095</v>
      </c>
      <c r="AA584" t="s">
        <v>2065</v>
      </c>
      <c r="AB584" s="11">
        <v>0.16300000000000001</v>
      </c>
      <c r="AC584" t="s">
        <v>2065</v>
      </c>
      <c r="AD584" s="13">
        <v>21</v>
      </c>
      <c r="AE584" s="9">
        <v>40563.321749999996</v>
      </c>
      <c r="AF584" s="9">
        <v>28731.57</v>
      </c>
      <c r="AG584" s="9">
        <v>11831.751749999996</v>
      </c>
      <c r="AH584" s="11">
        <v>0.29168596750831921</v>
      </c>
      <c r="AI584" s="9">
        <f>SUMIFS(AD584:AD1215, R584:R1215, S584)</f>
        <v>0</v>
      </c>
      <c r="AJ584" s="11" t="e">
        <f>SUMIFS(AD584:AD1215, R584:R1215, S584, AD584:AD1215, "&gt;" &amp; AE584) / AI584</f>
        <v>#DIV/0!</v>
      </c>
      <c r="AK584" s="7" t="e">
        <f>IF(AJ584&lt;=0.8,"A",IF(Table2[[#This Row],[Cumulative rev]]&lt;=0.95,"B","C"))</f>
        <v>#DIV/0!</v>
      </c>
    </row>
    <row r="585" spans="1:37" x14ac:dyDescent="0.3">
      <c r="A585" t="s">
        <v>598</v>
      </c>
      <c r="B585" s="4">
        <v>45507</v>
      </c>
      <c r="C585" s="4" t="s">
        <v>2113</v>
      </c>
      <c r="D585" s="4" t="s">
        <v>2106</v>
      </c>
      <c r="E585" s="4">
        <v>45513</v>
      </c>
      <c r="F585" t="s">
        <v>2064</v>
      </c>
      <c r="G585" s="4">
        <v>45513</v>
      </c>
      <c r="H585" s="4">
        <f>_xlfn.MINIFS(B585:B1216, N585:N1216, N585)</f>
        <v>45177</v>
      </c>
      <c r="I585" s="4" t="str">
        <f t="shared" si="18"/>
        <v>Sep-2023</v>
      </c>
      <c r="J585" s="13">
        <f t="shared" si="19"/>
        <v>11</v>
      </c>
      <c r="K585" s="13">
        <v>6</v>
      </c>
      <c r="L585" s="30" t="str">
        <f>IF(Table2[[#This Row],[LeadTimeDays]]&lt;7,"1","0")</f>
        <v>1</v>
      </c>
      <c r="M585" s="7" t="s">
        <v>646</v>
      </c>
      <c r="N585" s="7" t="s">
        <v>650</v>
      </c>
      <c r="O585" s="7" t="s">
        <v>675</v>
      </c>
      <c r="P585" s="7" t="s">
        <v>704</v>
      </c>
      <c r="Q585" s="7" t="s">
        <v>709</v>
      </c>
      <c r="R585" s="7" t="s">
        <v>722</v>
      </c>
      <c r="S585" s="7" t="s">
        <v>731</v>
      </c>
      <c r="T585" s="7" t="s">
        <v>2009</v>
      </c>
      <c r="U585" s="9">
        <v>643.21</v>
      </c>
      <c r="V585" s="9">
        <v>1112.81</v>
      </c>
      <c r="W585" s="9">
        <v>1112.81</v>
      </c>
      <c r="X585" s="9">
        <v>925.57300000000009</v>
      </c>
      <c r="Y585" s="9">
        <v>1597.5846000000004</v>
      </c>
      <c r="Z585" s="9" t="s">
        <v>2092</v>
      </c>
      <c r="AA585" t="s">
        <v>2065</v>
      </c>
      <c r="AB585" s="11">
        <v>0.14099999999999999</v>
      </c>
      <c r="AC585" t="s">
        <v>2065</v>
      </c>
      <c r="AD585" s="13">
        <v>4</v>
      </c>
      <c r="AE585" s="9">
        <v>3823.6151599999998</v>
      </c>
      <c r="AF585" s="9">
        <v>2572.84</v>
      </c>
      <c r="AG585" s="9">
        <v>1250.7751599999997</v>
      </c>
      <c r="AH585" s="11">
        <v>0.32711847496702562</v>
      </c>
      <c r="AI585" s="9">
        <f>SUMIFS(AD585:AD1216, R585:R1216, S585)</f>
        <v>0</v>
      </c>
      <c r="AJ585" s="11" t="e">
        <f>SUMIFS(AD585:AD1216, R585:R1216, S585, AD585:AD1216, "&gt;" &amp; AE585) / AI585</f>
        <v>#DIV/0!</v>
      </c>
      <c r="AK585" s="7" t="e">
        <f>IF(AJ585&lt;=0.8,"A",IF(Table2[[#This Row],[Cumulative rev]]&lt;=0.95,"B","C"))</f>
        <v>#DIV/0!</v>
      </c>
    </row>
    <row r="586" spans="1:37" x14ac:dyDescent="0.3">
      <c r="A586" t="s">
        <v>599</v>
      </c>
      <c r="B586" s="4">
        <v>45764</v>
      </c>
      <c r="C586" s="4" t="s">
        <v>2111</v>
      </c>
      <c r="D586" s="4" t="s">
        <v>2097</v>
      </c>
      <c r="E586" s="4">
        <v>45764</v>
      </c>
      <c r="F586" t="s">
        <v>2064</v>
      </c>
      <c r="G586" s="4">
        <v>45764</v>
      </c>
      <c r="H586" s="4">
        <f>_xlfn.MINIFS(B586:B1217, N586:N1217, N586)</f>
        <v>45186</v>
      </c>
      <c r="I586" s="4" t="str">
        <f t="shared" si="18"/>
        <v>Sep-2023</v>
      </c>
      <c r="J586" s="13">
        <f t="shared" si="19"/>
        <v>20</v>
      </c>
      <c r="K586" s="13">
        <v>0</v>
      </c>
      <c r="L586" s="30" t="str">
        <f>IF(Table2[[#This Row],[LeadTimeDays]]&lt;7,"1","0")</f>
        <v>1</v>
      </c>
      <c r="M586" s="7" t="s">
        <v>648</v>
      </c>
      <c r="N586" s="7" t="s">
        <v>655</v>
      </c>
      <c r="O586" s="7" t="s">
        <v>670</v>
      </c>
      <c r="P586" s="7" t="s">
        <v>701</v>
      </c>
      <c r="Q586" s="7" t="s">
        <v>710</v>
      </c>
      <c r="R586" s="7" t="s">
        <v>716</v>
      </c>
      <c r="S586" s="7" t="s">
        <v>730</v>
      </c>
      <c r="T586" s="7" t="s">
        <v>2010</v>
      </c>
      <c r="U586" s="9">
        <v>719.41</v>
      </c>
      <c r="V586" s="9">
        <v>1125.99</v>
      </c>
      <c r="W586" s="9">
        <v>1125.99</v>
      </c>
      <c r="X586" s="9">
        <v>910.62400000000002</v>
      </c>
      <c r="Y586" s="9">
        <v>1632.6828000000003</v>
      </c>
      <c r="Z586" s="9" t="s">
        <v>2092</v>
      </c>
      <c r="AA586" t="s">
        <v>2065</v>
      </c>
      <c r="AB586" s="11">
        <v>4.1000000000000002E-2</v>
      </c>
      <c r="AC586" t="s">
        <v>2065</v>
      </c>
      <c r="AD586" s="13">
        <v>21</v>
      </c>
      <c r="AE586" s="9">
        <v>22676.312610000001</v>
      </c>
      <c r="AF586" s="9">
        <v>15107.609999999999</v>
      </c>
      <c r="AG586" s="9">
        <v>7568.7026100000021</v>
      </c>
      <c r="AH586" s="11">
        <v>0.33377131194876403</v>
      </c>
      <c r="AI586" s="9">
        <f>SUMIFS(AD586:AD1217, R586:R1217, S586)</f>
        <v>0</v>
      </c>
      <c r="AJ586" s="11" t="e">
        <f>SUMIFS(AD586:AD1217, R586:R1217, S586, AD586:AD1217, "&gt;" &amp; AE586) / AI586</f>
        <v>#DIV/0!</v>
      </c>
      <c r="AK586" s="7" t="e">
        <f>IF(AJ586&lt;=0.8,"A",IF(Table2[[#This Row],[Cumulative rev]]&lt;=0.95,"B","C"))</f>
        <v>#DIV/0!</v>
      </c>
    </row>
    <row r="587" spans="1:37" x14ac:dyDescent="0.3">
      <c r="A587" t="s">
        <v>600</v>
      </c>
      <c r="B587" s="4">
        <v>45049</v>
      </c>
      <c r="C587" s="4" t="s">
        <v>2107</v>
      </c>
      <c r="D587" s="4" t="s">
        <v>2103</v>
      </c>
      <c r="E587" s="4">
        <v>45062</v>
      </c>
      <c r="F587" t="s">
        <v>2064</v>
      </c>
      <c r="G587" s="4">
        <v>45062</v>
      </c>
      <c r="H587" s="4">
        <f>_xlfn.MINIFS(B587:B1218, N587:N1218, N587)</f>
        <v>44984</v>
      </c>
      <c r="I587" s="4" t="str">
        <f t="shared" si="18"/>
        <v>Feb-2023</v>
      </c>
      <c r="J587" s="13">
        <f t="shared" si="19"/>
        <v>3</v>
      </c>
      <c r="K587" s="13">
        <v>13</v>
      </c>
      <c r="L587" s="30" t="str">
        <f>IF(Table2[[#This Row],[LeadTimeDays]]&lt;7,"1","0")</f>
        <v>0</v>
      </c>
      <c r="M587" s="7" t="s">
        <v>648</v>
      </c>
      <c r="N587" s="7" t="s">
        <v>1425</v>
      </c>
      <c r="O587" s="7" t="s">
        <v>700</v>
      </c>
      <c r="P587" s="7" t="s">
        <v>701</v>
      </c>
      <c r="Q587" s="7" t="s">
        <v>709</v>
      </c>
      <c r="R587" s="7" t="s">
        <v>716</v>
      </c>
      <c r="S587" s="7" t="s">
        <v>730</v>
      </c>
      <c r="T587" s="7" t="s">
        <v>2011</v>
      </c>
      <c r="U587" s="9">
        <v>64.5</v>
      </c>
      <c r="V587" s="9">
        <v>123.62</v>
      </c>
      <c r="W587" s="9">
        <v>123.62</v>
      </c>
      <c r="X587" s="9">
        <v>896.27350000000013</v>
      </c>
      <c r="Y587" s="9">
        <v>1667.7810000000004</v>
      </c>
      <c r="Z587" s="9" t="s">
        <v>2081</v>
      </c>
      <c r="AA587" t="s">
        <v>2065</v>
      </c>
      <c r="AB587" s="11">
        <v>0</v>
      </c>
      <c r="AC587" t="s">
        <v>2065</v>
      </c>
      <c r="AD587" s="13">
        <v>3</v>
      </c>
      <c r="AE587" s="9">
        <v>370.86</v>
      </c>
      <c r="AF587" s="9">
        <v>193.5</v>
      </c>
      <c r="AG587" s="9">
        <v>177.36</v>
      </c>
      <c r="AH587" s="11">
        <v>0.47823976702798904</v>
      </c>
      <c r="AI587" s="9">
        <f>SUMIFS(AD587:AD1218, R587:R1218, S587)</f>
        <v>0</v>
      </c>
      <c r="AJ587" s="11" t="e">
        <f>SUMIFS(AD587:AD1218, R587:R1218, S587, AD587:AD1218, "&gt;" &amp; AE587) / AI587</f>
        <v>#DIV/0!</v>
      </c>
      <c r="AK587" s="7" t="e">
        <f>IF(AJ587&lt;=0.8,"A",IF(Table2[[#This Row],[Cumulative rev]]&lt;=0.95,"B","C"))</f>
        <v>#DIV/0!</v>
      </c>
    </row>
    <row r="588" spans="1:37" x14ac:dyDescent="0.3">
      <c r="A588" t="s">
        <v>601</v>
      </c>
      <c r="B588" s="4">
        <v>45364</v>
      </c>
      <c r="C588" s="4" t="s">
        <v>2079</v>
      </c>
      <c r="D588" s="4" t="s">
        <v>2080</v>
      </c>
      <c r="E588" s="4">
        <v>45388</v>
      </c>
      <c r="F588" t="s">
        <v>2064</v>
      </c>
      <c r="G588" s="4">
        <v>45388</v>
      </c>
      <c r="H588" s="4">
        <f>_xlfn.MINIFS(B588:B1219, N588:N1219, N588)</f>
        <v>45208</v>
      </c>
      <c r="I588" s="4" t="str">
        <f t="shared" si="18"/>
        <v>Oct-2023</v>
      </c>
      <c r="J588" s="13">
        <f t="shared" si="19"/>
        <v>6</v>
      </c>
      <c r="K588" s="13">
        <v>24</v>
      </c>
      <c r="L588" s="30" t="str">
        <f>IF(Table2[[#This Row],[LeadTimeDays]]&lt;7,"1","0")</f>
        <v>0</v>
      </c>
      <c r="M588" s="7" t="s">
        <v>646</v>
      </c>
      <c r="N588" s="7" t="s">
        <v>651</v>
      </c>
      <c r="O588" s="7" t="s">
        <v>669</v>
      </c>
      <c r="P588" s="7" t="s">
        <v>704</v>
      </c>
      <c r="Q588" s="7" t="s">
        <v>710</v>
      </c>
      <c r="R588" s="7" t="s">
        <v>716</v>
      </c>
      <c r="S588" s="7" t="s">
        <v>727</v>
      </c>
      <c r="T588" s="7" t="s">
        <v>2012</v>
      </c>
      <c r="U588" s="9">
        <v>1232.78</v>
      </c>
      <c r="V588" s="9">
        <v>1731.75</v>
      </c>
      <c r="W588" s="9">
        <v>1731.75</v>
      </c>
      <c r="X588" s="9">
        <v>926.02600000000007</v>
      </c>
      <c r="Y588" s="9">
        <v>1700.0700000000002</v>
      </c>
      <c r="Z588" s="9" t="s">
        <v>2095</v>
      </c>
      <c r="AA588" t="s">
        <v>2065</v>
      </c>
      <c r="AB588" s="11">
        <v>9.2999999999999999E-2</v>
      </c>
      <c r="AC588" t="s">
        <v>2065</v>
      </c>
      <c r="AD588" s="13">
        <v>16</v>
      </c>
      <c r="AE588" s="9">
        <v>25131.155999999999</v>
      </c>
      <c r="AF588" s="9">
        <v>19724.48</v>
      </c>
      <c r="AG588" s="9">
        <v>5406.6759999999995</v>
      </c>
      <c r="AH588" s="11">
        <v>0.21513837246484005</v>
      </c>
      <c r="AI588" s="9">
        <f>SUMIFS(AD588:AD1219, R588:R1219, S588)</f>
        <v>0</v>
      </c>
      <c r="AJ588" s="11" t="e">
        <f>SUMIFS(AD588:AD1219, R588:R1219, S588, AD588:AD1219, "&gt;" &amp; AE588) / AI588</f>
        <v>#DIV/0!</v>
      </c>
      <c r="AK588" s="7" t="e">
        <f>IF(AJ588&lt;=0.8,"A",IF(Table2[[#This Row],[Cumulative rev]]&lt;=0.95,"B","C"))</f>
        <v>#DIV/0!</v>
      </c>
    </row>
    <row r="589" spans="1:37" x14ac:dyDescent="0.3">
      <c r="A589" t="s">
        <v>602</v>
      </c>
      <c r="B589" s="4">
        <v>45459</v>
      </c>
      <c r="C589" s="4" t="s">
        <v>2109</v>
      </c>
      <c r="D589" s="4" t="s">
        <v>2094</v>
      </c>
      <c r="E589" s="4">
        <v>45464</v>
      </c>
      <c r="F589" t="s">
        <v>2064</v>
      </c>
      <c r="G589" s="4">
        <v>45464</v>
      </c>
      <c r="H589" s="4">
        <f>_xlfn.MINIFS(B589:B1220, N589:N1220, N589)</f>
        <v>45038</v>
      </c>
      <c r="I589" s="4" t="str">
        <f t="shared" si="18"/>
        <v>Apr-2023</v>
      </c>
      <c r="J589" s="13">
        <f t="shared" si="19"/>
        <v>14</v>
      </c>
      <c r="K589" s="13">
        <v>5</v>
      </c>
      <c r="L589" s="30" t="str">
        <f>IF(Table2[[#This Row],[LeadTimeDays]]&lt;7,"1","0")</f>
        <v>1</v>
      </c>
      <c r="M589" s="7" t="s">
        <v>647</v>
      </c>
      <c r="N589" s="7" t="s">
        <v>652</v>
      </c>
      <c r="O589" s="7" t="s">
        <v>689</v>
      </c>
      <c r="P589" s="7" t="s">
        <v>705</v>
      </c>
      <c r="Q589" s="7" t="s">
        <v>710</v>
      </c>
      <c r="R589" s="7" t="s">
        <v>721</v>
      </c>
      <c r="S589" s="7" t="s">
        <v>730</v>
      </c>
      <c r="T589" s="7" t="s">
        <v>2013</v>
      </c>
      <c r="U589" s="9">
        <v>1367.13</v>
      </c>
      <c r="V589" s="9">
        <v>3062.01</v>
      </c>
      <c r="W589" s="9">
        <v>3062.01</v>
      </c>
      <c r="X589" s="9">
        <v>911.07700000000011</v>
      </c>
      <c r="Y589" s="9">
        <v>1634.7474000000002</v>
      </c>
      <c r="Z589" s="9" t="s">
        <v>2095</v>
      </c>
      <c r="AA589" t="s">
        <v>2065</v>
      </c>
      <c r="AB589" s="11">
        <v>0.10299999999999999</v>
      </c>
      <c r="AC589" t="s">
        <v>2065</v>
      </c>
      <c r="AD589" s="13">
        <v>25</v>
      </c>
      <c r="AE589" s="9">
        <v>68665.574250000005</v>
      </c>
      <c r="AF589" s="9">
        <v>34178.25</v>
      </c>
      <c r="AG589" s="9">
        <v>34487.324250000005</v>
      </c>
      <c r="AH589" s="11">
        <v>0.50225057645971705</v>
      </c>
      <c r="AI589" s="9">
        <f>SUMIFS(AD589:AD1220, R589:R1220, S589)</f>
        <v>0</v>
      </c>
      <c r="AJ589" s="11" t="e">
        <f>SUMIFS(AD589:AD1220, R589:R1220, S589, AD589:AD1220, "&gt;" &amp; AE589) / AI589</f>
        <v>#DIV/0!</v>
      </c>
      <c r="AK589" s="7" t="e">
        <f>IF(AJ589&lt;=0.8,"A",IF(Table2[[#This Row],[Cumulative rev]]&lt;=0.95,"B","C"))</f>
        <v>#DIV/0!</v>
      </c>
    </row>
    <row r="590" spans="1:37" x14ac:dyDescent="0.3">
      <c r="A590" t="s">
        <v>603</v>
      </c>
      <c r="B590" s="4">
        <v>45703</v>
      </c>
      <c r="C590" s="4" t="s">
        <v>2119</v>
      </c>
      <c r="D590" s="4" t="s">
        <v>2087</v>
      </c>
      <c r="E590" s="4">
        <v>45715</v>
      </c>
      <c r="F590" t="s">
        <v>2064</v>
      </c>
      <c r="G590" s="4">
        <v>45715</v>
      </c>
      <c r="H590" s="4">
        <f>_xlfn.MINIFS(B590:B1221, N590:N1221, N590)</f>
        <v>45019</v>
      </c>
      <c r="I590" s="4" t="str">
        <f t="shared" si="18"/>
        <v>Apr-2023</v>
      </c>
      <c r="J590" s="13">
        <f t="shared" si="19"/>
        <v>23</v>
      </c>
      <c r="K590" s="13">
        <v>12</v>
      </c>
      <c r="L590" s="30" t="str">
        <f>IF(Table2[[#This Row],[LeadTimeDays]]&lt;7,"1","0")</f>
        <v>0</v>
      </c>
      <c r="M590" s="7" t="s">
        <v>649</v>
      </c>
      <c r="N590" s="7" t="s">
        <v>657</v>
      </c>
      <c r="O590" s="7" t="s">
        <v>679</v>
      </c>
      <c r="P590" s="7" t="s">
        <v>703</v>
      </c>
      <c r="Q590" s="7" t="s">
        <v>711</v>
      </c>
      <c r="R590" s="7" t="s">
        <v>723</v>
      </c>
      <c r="S590" s="7" t="s">
        <v>733</v>
      </c>
      <c r="T590" s="7" t="s">
        <v>2014</v>
      </c>
      <c r="U590" s="9">
        <v>1027.26</v>
      </c>
      <c r="V590" s="9">
        <v>2200.41</v>
      </c>
      <c r="W590" s="9">
        <v>2200.41</v>
      </c>
      <c r="X590" s="9">
        <v>896.68660000000011</v>
      </c>
      <c r="Y590" s="9">
        <v>1585.2636</v>
      </c>
      <c r="Z590" s="9" t="s">
        <v>2095</v>
      </c>
      <c r="AA590" t="s">
        <v>2065</v>
      </c>
      <c r="AB590" s="11">
        <v>8.7999999999999995E-2</v>
      </c>
      <c r="AC590" t="s">
        <v>2065</v>
      </c>
      <c r="AD590" s="13">
        <v>6</v>
      </c>
      <c r="AE590" s="9">
        <v>12040.64352</v>
      </c>
      <c r="AF590" s="9">
        <v>6163.5599999999995</v>
      </c>
      <c r="AG590" s="9">
        <v>5877.0835200000001</v>
      </c>
      <c r="AH590" s="11">
        <v>0.48810377204822358</v>
      </c>
      <c r="AI590" s="9">
        <f>SUMIFS(AD590:AD1221, R590:R1221, S590)</f>
        <v>0</v>
      </c>
      <c r="AJ590" s="11" t="e">
        <f>SUMIFS(AD590:AD1221, R590:R1221, S590, AD590:AD1221, "&gt;" &amp; AE590) / AI590</f>
        <v>#DIV/0!</v>
      </c>
      <c r="AK590" s="7" t="e">
        <f>IF(AJ590&lt;=0.8,"A",IF(Table2[[#This Row],[Cumulative rev]]&lt;=0.95,"B","C"))</f>
        <v>#DIV/0!</v>
      </c>
    </row>
    <row r="591" spans="1:37" x14ac:dyDescent="0.3">
      <c r="A591" t="s">
        <v>604</v>
      </c>
      <c r="B591" s="4">
        <v>45019</v>
      </c>
      <c r="C591" s="4" t="s">
        <v>2102</v>
      </c>
      <c r="D591" s="4" t="s">
        <v>2103</v>
      </c>
      <c r="E591" s="4">
        <v>45032</v>
      </c>
      <c r="F591" t="s">
        <v>2064</v>
      </c>
      <c r="G591" s="4">
        <v>45032</v>
      </c>
      <c r="H591" s="4">
        <f>_xlfn.MINIFS(B591:B1222, N591:N1222, N591)</f>
        <v>45019</v>
      </c>
      <c r="I591" s="4" t="str">
        <f t="shared" si="18"/>
        <v>Apr-2023</v>
      </c>
      <c r="J591" s="13">
        <f t="shared" si="19"/>
        <v>1</v>
      </c>
      <c r="K591" s="13">
        <v>13</v>
      </c>
      <c r="L591" s="30" t="str">
        <f>IF(Table2[[#This Row],[LeadTimeDays]]&lt;7,"1","0")</f>
        <v>0</v>
      </c>
      <c r="M591" s="7" t="s">
        <v>649</v>
      </c>
      <c r="N591" s="7" t="s">
        <v>657</v>
      </c>
      <c r="O591" s="7" t="s">
        <v>673</v>
      </c>
      <c r="P591" s="7" t="s">
        <v>703</v>
      </c>
      <c r="Q591" s="7" t="s">
        <v>709</v>
      </c>
      <c r="R591" s="7" t="s">
        <v>724</v>
      </c>
      <c r="S591" s="7" t="s">
        <v>733</v>
      </c>
      <c r="T591" s="7" t="s">
        <v>2015</v>
      </c>
      <c r="U591" s="9">
        <v>790.54</v>
      </c>
      <c r="V591" s="9">
        <v>601.49</v>
      </c>
      <c r="W591" s="9">
        <v>601.49</v>
      </c>
      <c r="X591" s="9">
        <v>883.05430000000001</v>
      </c>
      <c r="Y591" s="9">
        <v>1561.0878000000002</v>
      </c>
      <c r="Z591" s="9" t="s">
        <v>2081</v>
      </c>
      <c r="AA591" t="s">
        <v>2065</v>
      </c>
      <c r="AB591" s="11">
        <v>0</v>
      </c>
      <c r="AC591" t="s">
        <v>2065</v>
      </c>
      <c r="AD591" s="13">
        <v>15</v>
      </c>
      <c r="AE591" s="9">
        <v>9022.35</v>
      </c>
      <c r="AF591" s="9">
        <v>11858.099999999999</v>
      </c>
      <c r="AG591" s="9">
        <v>-2835.7499999999982</v>
      </c>
      <c r="AH591" s="11">
        <v>-0.31430281467688553</v>
      </c>
      <c r="AI591" s="9">
        <f>SUMIFS(AD591:AD1222, R591:R1222, S591)</f>
        <v>0</v>
      </c>
      <c r="AJ591" s="11" t="e">
        <f>SUMIFS(AD591:AD1222, R591:R1222, S591, AD591:AD1222, "&gt;" &amp; AE591) / AI591</f>
        <v>#DIV/0!</v>
      </c>
      <c r="AK591" s="7" t="e">
        <f>IF(AJ591&lt;=0.8,"A",IF(Table2[[#This Row],[Cumulative rev]]&lt;=0.95,"B","C"))</f>
        <v>#DIV/0!</v>
      </c>
    </row>
    <row r="592" spans="1:37" x14ac:dyDescent="0.3">
      <c r="A592" t="s">
        <v>605</v>
      </c>
      <c r="B592" s="4">
        <v>45899</v>
      </c>
      <c r="C592" s="4" t="s">
        <v>2121</v>
      </c>
      <c r="D592" s="4" t="s">
        <v>2101</v>
      </c>
      <c r="E592" s="4">
        <v>45922</v>
      </c>
      <c r="F592" t="s">
        <v>2064</v>
      </c>
      <c r="G592" s="4">
        <v>45922</v>
      </c>
      <c r="H592" s="4">
        <f>_xlfn.MINIFS(B592:B1223, N592:N1223, N592)</f>
        <v>45137</v>
      </c>
      <c r="I592" s="4" t="str">
        <f t="shared" si="18"/>
        <v>Jul-2023</v>
      </c>
      <c r="J592" s="13">
        <f t="shared" si="19"/>
        <v>26</v>
      </c>
      <c r="K592" s="13">
        <v>23</v>
      </c>
      <c r="L592" s="30" t="str">
        <f>IF(Table2[[#This Row],[LeadTimeDays]]&lt;7,"1","0")</f>
        <v>0</v>
      </c>
      <c r="M592" s="7" t="s">
        <v>649</v>
      </c>
      <c r="N592" s="7" t="s">
        <v>657</v>
      </c>
      <c r="O592" s="7" t="s">
        <v>673</v>
      </c>
      <c r="P592" s="7" t="s">
        <v>701</v>
      </c>
      <c r="Q592" s="7" t="s">
        <v>711</v>
      </c>
      <c r="R592" s="7" t="s">
        <v>718</v>
      </c>
      <c r="S592" s="7" t="s">
        <v>727</v>
      </c>
      <c r="T592" s="7" t="s">
        <v>2016</v>
      </c>
      <c r="U592" s="9">
        <v>663.9</v>
      </c>
      <c r="V592" s="9">
        <v>947.77</v>
      </c>
      <c r="W592" s="9">
        <v>947.77</v>
      </c>
      <c r="X592" s="9">
        <v>911.53000000000009</v>
      </c>
      <c r="Y592" s="9">
        <v>1573.5420000000001</v>
      </c>
      <c r="Z592" s="9" t="s">
        <v>2092</v>
      </c>
      <c r="AA592" t="s">
        <v>2065</v>
      </c>
      <c r="AB592" s="11">
        <v>0.17399999999999999</v>
      </c>
      <c r="AC592" t="s">
        <v>2065</v>
      </c>
      <c r="AD592" s="13">
        <v>15</v>
      </c>
      <c r="AE592" s="9">
        <v>11742.8703</v>
      </c>
      <c r="AF592" s="9">
        <v>9958.5</v>
      </c>
      <c r="AG592" s="9">
        <v>1784.3703000000005</v>
      </c>
      <c r="AH592" s="11">
        <v>0.1519535049280073</v>
      </c>
      <c r="AI592" s="9">
        <f>SUMIFS(AD592:AD1223, R592:R1223, S592)</f>
        <v>0</v>
      </c>
      <c r="AJ592" s="11" t="e">
        <f>SUMIFS(AD592:AD1223, R592:R1223, S592, AD592:AD1223, "&gt;" &amp; AE592) / AI592</f>
        <v>#DIV/0!</v>
      </c>
      <c r="AK592" s="7" t="e">
        <f>IF(AJ592&lt;=0.8,"A",IF(Table2[[#This Row],[Cumulative rev]]&lt;=0.95,"B","C"))</f>
        <v>#DIV/0!</v>
      </c>
    </row>
    <row r="593" spans="1:37" x14ac:dyDescent="0.3">
      <c r="A593" t="s">
        <v>606</v>
      </c>
      <c r="B593" s="4">
        <v>44984</v>
      </c>
      <c r="C593" s="4" t="s">
        <v>2084</v>
      </c>
      <c r="D593" s="4" t="s">
        <v>2085</v>
      </c>
      <c r="E593" s="4">
        <v>44983</v>
      </c>
      <c r="F593" t="s">
        <v>2066</v>
      </c>
      <c r="G593" s="4">
        <v>44984</v>
      </c>
      <c r="H593" s="4">
        <f>_xlfn.MINIFS(B593:B1224, N593:N1224, N593)</f>
        <v>44984</v>
      </c>
      <c r="I593" s="4" t="str">
        <f t="shared" si="18"/>
        <v>Feb-2023</v>
      </c>
      <c r="J593" s="13">
        <f t="shared" si="19"/>
        <v>1</v>
      </c>
      <c r="K593" s="13">
        <v>0</v>
      </c>
      <c r="L593" s="30" t="str">
        <f>IF(Table2[[#This Row],[LeadTimeDays]]&lt;7,"1","0")</f>
        <v>1</v>
      </c>
      <c r="M593" s="7" t="s">
        <v>648</v>
      </c>
      <c r="N593" s="7" t="s">
        <v>1425</v>
      </c>
      <c r="O593" s="7" t="s">
        <v>686</v>
      </c>
      <c r="P593" s="7" t="s">
        <v>703</v>
      </c>
      <c r="Q593" s="7" t="s">
        <v>708</v>
      </c>
      <c r="R593" s="7" t="s">
        <v>716</v>
      </c>
      <c r="S593" s="7" t="s">
        <v>729</v>
      </c>
      <c r="T593" s="7" t="s">
        <v>2017</v>
      </c>
      <c r="U593" s="9">
        <v>1015.91</v>
      </c>
      <c r="V593" s="9">
        <v>2331.48</v>
      </c>
      <c r="W593" s="9">
        <v>2331.48</v>
      </c>
      <c r="X593" s="9">
        <v>897.0997000000001</v>
      </c>
      <c r="Y593" s="9">
        <v>1585.9962</v>
      </c>
      <c r="Z593" s="9" t="s">
        <v>2095</v>
      </c>
      <c r="AA593" t="s">
        <v>2065</v>
      </c>
      <c r="AB593" s="11">
        <v>0.14599999999999999</v>
      </c>
      <c r="AC593" t="s">
        <v>2065</v>
      </c>
      <c r="AD593" s="13">
        <v>26</v>
      </c>
      <c r="AE593" s="9">
        <v>51768.181920000003</v>
      </c>
      <c r="AF593" s="9">
        <v>26413.66</v>
      </c>
      <c r="AG593" s="9">
        <v>25354.521920000003</v>
      </c>
      <c r="AH593" s="11">
        <v>0.48977037592669626</v>
      </c>
      <c r="AI593" s="9">
        <f>SUMIFS(AD593:AD1224, R593:R1224, S593)</f>
        <v>0</v>
      </c>
      <c r="AJ593" s="11" t="e">
        <f>SUMIFS(AD593:AD1224, R593:R1224, S593, AD593:AD1224, "&gt;" &amp; AE593) / AI593</f>
        <v>#DIV/0!</v>
      </c>
      <c r="AK593" s="7" t="e">
        <f>IF(AJ593&lt;=0.8,"A",IF(Table2[[#This Row],[Cumulative rev]]&lt;=0.95,"B","C"))</f>
        <v>#DIV/0!</v>
      </c>
    </row>
    <row r="594" spans="1:37" x14ac:dyDescent="0.3">
      <c r="A594" t="s">
        <v>607</v>
      </c>
      <c r="B594" s="4">
        <v>45504</v>
      </c>
      <c r="C594" s="4" t="s">
        <v>2105</v>
      </c>
      <c r="D594" s="4" t="s">
        <v>2106</v>
      </c>
      <c r="E594" s="4">
        <v>45519</v>
      </c>
      <c r="F594" t="s">
        <v>2064</v>
      </c>
      <c r="G594" s="4">
        <v>45519</v>
      </c>
      <c r="H594" s="4">
        <f>_xlfn.MINIFS(B594:B1225, N594:N1225, N594)</f>
        <v>45038</v>
      </c>
      <c r="I594" s="4" t="str">
        <f t="shared" si="18"/>
        <v>Apr-2023</v>
      </c>
      <c r="J594" s="13">
        <f t="shared" si="19"/>
        <v>16</v>
      </c>
      <c r="K594" s="13">
        <v>15</v>
      </c>
      <c r="L594" s="30" t="str">
        <f>IF(Table2[[#This Row],[LeadTimeDays]]&lt;7,"1","0")</f>
        <v>0</v>
      </c>
      <c r="M594" s="7" t="s">
        <v>647</v>
      </c>
      <c r="N594" s="7" t="s">
        <v>652</v>
      </c>
      <c r="O594" s="7" t="s">
        <v>689</v>
      </c>
      <c r="P594" s="7" t="s">
        <v>701</v>
      </c>
      <c r="Q594" s="7" t="s">
        <v>709</v>
      </c>
      <c r="R594" s="7" t="s">
        <v>721</v>
      </c>
      <c r="S594" s="7" t="s">
        <v>732</v>
      </c>
      <c r="T594" s="7" t="s">
        <v>2018</v>
      </c>
      <c r="U594" s="9">
        <v>1252.52</v>
      </c>
      <c r="V594" s="9">
        <v>1417.24</v>
      </c>
      <c r="W594" s="9">
        <v>1417.24</v>
      </c>
      <c r="X594" s="9">
        <v>883.4674</v>
      </c>
      <c r="Y594" s="9">
        <v>1561.8204000000001</v>
      </c>
      <c r="Z594" s="9" t="s">
        <v>2092</v>
      </c>
      <c r="AA594" t="s">
        <v>2065</v>
      </c>
      <c r="AB594" s="11">
        <v>0.192</v>
      </c>
      <c r="AC594" t="s">
        <v>2065</v>
      </c>
      <c r="AD594" s="13">
        <v>5</v>
      </c>
      <c r="AE594" s="9">
        <v>5725.6496000000006</v>
      </c>
      <c r="AF594" s="9">
        <v>6262.6</v>
      </c>
      <c r="AG594" s="9">
        <v>-536.95039999999972</v>
      </c>
      <c r="AH594" s="11">
        <v>-9.3779821943696953E-2</v>
      </c>
      <c r="AI594" s="9">
        <f>SUMIFS(AD594:AD1225, R594:R1225, S594)</f>
        <v>0</v>
      </c>
      <c r="AJ594" s="11" t="e">
        <f>SUMIFS(AD594:AD1225, R594:R1225, S594, AD594:AD1225, "&gt;" &amp; AE594) / AI594</f>
        <v>#DIV/0!</v>
      </c>
      <c r="AK594" s="7" t="e">
        <f>IF(AJ594&lt;=0.8,"A",IF(Table2[[#This Row],[Cumulative rev]]&lt;=0.95,"B","C"))</f>
        <v>#DIV/0!</v>
      </c>
    </row>
    <row r="595" spans="1:37" x14ac:dyDescent="0.3">
      <c r="A595" t="s">
        <v>608</v>
      </c>
      <c r="B595" s="4">
        <v>45823</v>
      </c>
      <c r="C595" s="4" t="s">
        <v>2108</v>
      </c>
      <c r="D595" s="4" t="s">
        <v>2097</v>
      </c>
      <c r="E595" s="4">
        <v>45850</v>
      </c>
      <c r="F595" t="s">
        <v>2064</v>
      </c>
      <c r="G595" s="4">
        <v>45850</v>
      </c>
      <c r="H595" s="4">
        <f>_xlfn.MINIFS(B595:B1226, N595:N1226, N595)</f>
        <v>45137</v>
      </c>
      <c r="I595" s="4" t="str">
        <f t="shared" si="18"/>
        <v>Jul-2023</v>
      </c>
      <c r="J595" s="13">
        <f t="shared" si="19"/>
        <v>23</v>
      </c>
      <c r="K595" s="13">
        <v>27</v>
      </c>
      <c r="L595" s="30" t="str">
        <f>IF(Table2[[#This Row],[LeadTimeDays]]&lt;7,"1","0")</f>
        <v>0</v>
      </c>
      <c r="M595" s="7" t="s">
        <v>649</v>
      </c>
      <c r="N595" s="7" t="s">
        <v>657</v>
      </c>
      <c r="O595" s="7" t="s">
        <v>673</v>
      </c>
      <c r="P595" s="7" t="s">
        <v>704</v>
      </c>
      <c r="Q595" s="7" t="s">
        <v>711</v>
      </c>
      <c r="R595" s="7" t="s">
        <v>712</v>
      </c>
      <c r="S595" s="7" t="s">
        <v>733</v>
      </c>
      <c r="T595" s="7" t="s">
        <v>2019</v>
      </c>
      <c r="U595" s="9">
        <v>318.83</v>
      </c>
      <c r="V595" s="9">
        <v>699.5</v>
      </c>
      <c r="W595" s="9">
        <v>699.5</v>
      </c>
      <c r="X595" s="9">
        <v>869.83510000000001</v>
      </c>
      <c r="Y595" s="9">
        <v>1574.2746000000002</v>
      </c>
      <c r="Z595" s="9" t="s">
        <v>2081</v>
      </c>
      <c r="AA595" t="s">
        <v>2065</v>
      </c>
      <c r="AB595" s="11">
        <v>0.08</v>
      </c>
      <c r="AC595" t="s">
        <v>2065</v>
      </c>
      <c r="AD595" s="13">
        <v>13</v>
      </c>
      <c r="AE595" s="9">
        <v>8366.02</v>
      </c>
      <c r="AF595" s="9">
        <v>4144.79</v>
      </c>
      <c r="AG595" s="9">
        <v>4221.2300000000005</v>
      </c>
      <c r="AH595" s="11">
        <v>0.50456848059172699</v>
      </c>
      <c r="AI595" s="9">
        <f>SUMIFS(AD595:AD1226, R595:R1226, S595)</f>
        <v>0</v>
      </c>
      <c r="AJ595" s="11" t="e">
        <f>SUMIFS(AD595:AD1226, R595:R1226, S595, AD595:AD1226, "&gt;" &amp; AE595) / AI595</f>
        <v>#DIV/0!</v>
      </c>
      <c r="AK595" s="7" t="e">
        <f>IF(AJ595&lt;=0.8,"A",IF(Table2[[#This Row],[Cumulative rev]]&lt;=0.95,"B","C"))</f>
        <v>#DIV/0!</v>
      </c>
    </row>
    <row r="596" spans="1:37" x14ac:dyDescent="0.3">
      <c r="A596" t="s">
        <v>609</v>
      </c>
      <c r="B596" s="4">
        <v>45473</v>
      </c>
      <c r="C596" s="4" t="s">
        <v>2109</v>
      </c>
      <c r="D596" s="4" t="s">
        <v>2094</v>
      </c>
      <c r="E596" s="4">
        <v>45494</v>
      </c>
      <c r="F596" t="s">
        <v>2064</v>
      </c>
      <c r="G596" s="4">
        <v>45494</v>
      </c>
      <c r="H596" s="4">
        <f>_xlfn.MINIFS(B596:B1227, N596:N1227, N596)</f>
        <v>45177</v>
      </c>
      <c r="I596" s="4" t="str">
        <f t="shared" si="18"/>
        <v>Sep-2023</v>
      </c>
      <c r="J596" s="13">
        <f t="shared" si="19"/>
        <v>10</v>
      </c>
      <c r="K596" s="13">
        <v>21</v>
      </c>
      <c r="L596" s="30" t="str">
        <f>IF(Table2[[#This Row],[LeadTimeDays]]&lt;7,"1","0")</f>
        <v>0</v>
      </c>
      <c r="M596" s="7" t="s">
        <v>646</v>
      </c>
      <c r="N596" s="7" t="s">
        <v>650</v>
      </c>
      <c r="O596" s="7" t="s">
        <v>662</v>
      </c>
      <c r="P596" s="7" t="s">
        <v>705</v>
      </c>
      <c r="Q596" s="7" t="s">
        <v>707</v>
      </c>
      <c r="R596" s="7" t="s">
        <v>723</v>
      </c>
      <c r="S596" s="7" t="s">
        <v>731</v>
      </c>
      <c r="T596" s="7" t="s">
        <v>2020</v>
      </c>
      <c r="U596" s="9">
        <v>753.43</v>
      </c>
      <c r="V596" s="9">
        <v>1787.2</v>
      </c>
      <c r="W596" s="9">
        <v>1787.2</v>
      </c>
      <c r="X596" s="9">
        <v>897.51280000000008</v>
      </c>
      <c r="Y596" s="9">
        <v>1586.7288000000001</v>
      </c>
      <c r="Z596" s="9" t="s">
        <v>2095</v>
      </c>
      <c r="AA596" t="s">
        <v>2065</v>
      </c>
      <c r="AB596" s="11">
        <v>7.2999999999999995E-2</v>
      </c>
      <c r="AC596" t="s">
        <v>2065</v>
      </c>
      <c r="AD596" s="13">
        <v>9</v>
      </c>
      <c r="AE596" s="9">
        <v>14910.609600000002</v>
      </c>
      <c r="AF596" s="9">
        <v>6780.87</v>
      </c>
      <c r="AG596" s="9">
        <v>8129.7396000000017</v>
      </c>
      <c r="AH596" s="11">
        <v>0.54523187301476939</v>
      </c>
      <c r="AI596" s="9">
        <f>SUMIFS(AD596:AD1227, R596:R1227, S596)</f>
        <v>0</v>
      </c>
      <c r="AJ596" s="11" t="e">
        <f>SUMIFS(AD596:AD1227, R596:R1227, S596, AD596:AD1227, "&gt;" &amp; AE596) / AI596</f>
        <v>#DIV/0!</v>
      </c>
      <c r="AK596" s="7" t="e">
        <f>IF(AJ596&lt;=0.8,"A",IF(Table2[[#This Row],[Cumulative rev]]&lt;=0.95,"B","C"))</f>
        <v>#DIV/0!</v>
      </c>
    </row>
    <row r="597" spans="1:37" x14ac:dyDescent="0.3">
      <c r="A597" t="s">
        <v>610</v>
      </c>
      <c r="B597" s="4">
        <v>45705</v>
      </c>
      <c r="C597" s="4" t="s">
        <v>2119</v>
      </c>
      <c r="D597" s="4" t="s">
        <v>2087</v>
      </c>
      <c r="E597" s="4">
        <v>45703</v>
      </c>
      <c r="F597" t="s">
        <v>2066</v>
      </c>
      <c r="G597" s="4">
        <v>45705</v>
      </c>
      <c r="H597" s="4">
        <f>_xlfn.MINIFS(B597:B1228, N597:N1228, N597)</f>
        <v>45100</v>
      </c>
      <c r="I597" s="4" t="str">
        <f t="shared" si="18"/>
        <v>Jun-2023</v>
      </c>
      <c r="J597" s="13">
        <f t="shared" si="19"/>
        <v>20</v>
      </c>
      <c r="K597" s="13">
        <v>0</v>
      </c>
      <c r="L597" s="30" t="str">
        <f>IF(Table2[[#This Row],[LeadTimeDays]]&lt;7,"1","0")</f>
        <v>1</v>
      </c>
      <c r="M597" s="7" t="s">
        <v>648</v>
      </c>
      <c r="N597" s="7" t="s">
        <v>653</v>
      </c>
      <c r="O597" s="7" t="s">
        <v>667</v>
      </c>
      <c r="P597" s="7" t="s">
        <v>705</v>
      </c>
      <c r="Q597" s="7" t="s">
        <v>707</v>
      </c>
      <c r="R597" s="7" t="s">
        <v>726</v>
      </c>
      <c r="S597" s="7" t="s">
        <v>727</v>
      </c>
      <c r="T597" s="7" t="s">
        <v>2021</v>
      </c>
      <c r="U597" s="9">
        <v>1133.47</v>
      </c>
      <c r="V597" s="9">
        <v>1698.75</v>
      </c>
      <c r="W597" s="9">
        <v>1698.75</v>
      </c>
      <c r="X597" s="9">
        <v>883.88049999999998</v>
      </c>
      <c r="Y597" s="9">
        <v>1562.5530000000001</v>
      </c>
      <c r="Z597" s="9" t="s">
        <v>2095</v>
      </c>
      <c r="AA597" t="s">
        <v>2065</v>
      </c>
      <c r="AB597" s="11">
        <v>4.2999999999999997E-2</v>
      </c>
      <c r="AC597" t="s">
        <v>2065</v>
      </c>
      <c r="AD597" s="13">
        <v>5</v>
      </c>
      <c r="AE597" s="9">
        <v>8128.5187499999993</v>
      </c>
      <c r="AF597" s="9">
        <v>5667.35</v>
      </c>
      <c r="AG597" s="9">
        <v>2461.1687499999989</v>
      </c>
      <c r="AH597" s="11">
        <v>0.30278194904821976</v>
      </c>
      <c r="AI597" s="9">
        <f>SUMIFS(AD597:AD1228, R597:R1228, S597)</f>
        <v>0</v>
      </c>
      <c r="AJ597" s="11" t="e">
        <f>SUMIFS(AD597:AD1228, R597:R1228, S597, AD597:AD1228, "&gt;" &amp; AE597) / AI597</f>
        <v>#DIV/0!</v>
      </c>
      <c r="AK597" s="7" t="e">
        <f>IF(AJ597&lt;=0.8,"A",IF(Table2[[#This Row],[Cumulative rev]]&lt;=0.95,"B","C"))</f>
        <v>#DIV/0!</v>
      </c>
    </row>
    <row r="598" spans="1:37" x14ac:dyDescent="0.3">
      <c r="A598" t="s">
        <v>611</v>
      </c>
      <c r="B598" s="4">
        <v>44933</v>
      </c>
      <c r="C598" s="4" t="s">
        <v>2090</v>
      </c>
      <c r="D598" s="4" t="s">
        <v>2085</v>
      </c>
      <c r="E598" s="4">
        <v>44956</v>
      </c>
      <c r="F598" t="s">
        <v>2064</v>
      </c>
      <c r="G598" s="4">
        <v>44956</v>
      </c>
      <c r="H598" s="4">
        <f>_xlfn.MINIFS(B598:B1229, N598:N1229, N598)</f>
        <v>44933</v>
      </c>
      <c r="I598" s="4" t="str">
        <f t="shared" si="18"/>
        <v>Jan-2023</v>
      </c>
      <c r="J598" s="13">
        <f t="shared" si="19"/>
        <v>1</v>
      </c>
      <c r="K598" s="13">
        <v>23</v>
      </c>
      <c r="L598" s="30" t="str">
        <f>IF(Table2[[#This Row],[LeadTimeDays]]&lt;7,"1","0")</f>
        <v>0</v>
      </c>
      <c r="M598" s="7" t="s">
        <v>646</v>
      </c>
      <c r="N598" s="7" t="s">
        <v>661</v>
      </c>
      <c r="O598" s="7" t="s">
        <v>695</v>
      </c>
      <c r="P598" s="7" t="s">
        <v>704</v>
      </c>
      <c r="Q598" s="7" t="s">
        <v>708</v>
      </c>
      <c r="R598" s="7" t="s">
        <v>720</v>
      </c>
      <c r="S598" s="7" t="s">
        <v>728</v>
      </c>
      <c r="T598" s="7" t="s">
        <v>2022</v>
      </c>
      <c r="U598" s="9">
        <v>299.02</v>
      </c>
      <c r="V598" s="9">
        <v>724.7</v>
      </c>
      <c r="W598" s="9">
        <v>724.7</v>
      </c>
      <c r="X598" s="9">
        <v>870.2482</v>
      </c>
      <c r="Y598" s="9">
        <v>1489.8140000000001</v>
      </c>
      <c r="Z598" s="9" t="s">
        <v>2081</v>
      </c>
      <c r="AA598" t="s">
        <v>2065</v>
      </c>
      <c r="AB598" s="11">
        <v>0.14000000000000001</v>
      </c>
      <c r="AC598" t="s">
        <v>2065</v>
      </c>
      <c r="AD598" s="13">
        <v>5</v>
      </c>
      <c r="AE598" s="9">
        <v>3116.21</v>
      </c>
      <c r="AF598" s="9">
        <v>1495.1</v>
      </c>
      <c r="AG598" s="9">
        <v>1621.1100000000001</v>
      </c>
      <c r="AH598" s="11">
        <v>0.52021847051386139</v>
      </c>
      <c r="AI598" s="9">
        <f>SUMIFS(AD598:AD1229, R598:R1229, S598)</f>
        <v>0</v>
      </c>
      <c r="AJ598" s="11" t="e">
        <f>SUMIFS(AD598:AD1229, R598:R1229, S598, AD598:AD1229, "&gt;" &amp; AE598) / AI598</f>
        <v>#DIV/0!</v>
      </c>
      <c r="AK598" s="7" t="e">
        <f>IF(AJ598&lt;=0.8,"A",IF(Table2[[#This Row],[Cumulative rev]]&lt;=0.95,"B","C"))</f>
        <v>#DIV/0!</v>
      </c>
    </row>
    <row r="599" spans="1:37" x14ac:dyDescent="0.3">
      <c r="A599" t="s">
        <v>612</v>
      </c>
      <c r="B599" s="4">
        <v>45726</v>
      </c>
      <c r="C599" s="4" t="s">
        <v>2086</v>
      </c>
      <c r="D599" s="4" t="s">
        <v>2087</v>
      </c>
      <c r="E599" s="4">
        <v>45751</v>
      </c>
      <c r="F599" t="s">
        <v>2064</v>
      </c>
      <c r="G599" s="4">
        <v>45751</v>
      </c>
      <c r="H599" s="4">
        <f>_xlfn.MINIFS(B599:B1230, N599:N1230, N599)</f>
        <v>45038</v>
      </c>
      <c r="I599" s="4" t="str">
        <f t="shared" si="18"/>
        <v>Apr-2023</v>
      </c>
      <c r="J599" s="13">
        <f t="shared" si="19"/>
        <v>23</v>
      </c>
      <c r="K599" s="13">
        <v>25</v>
      </c>
      <c r="L599" s="30" t="str">
        <f>IF(Table2[[#This Row],[LeadTimeDays]]&lt;7,"1","0")</f>
        <v>0</v>
      </c>
      <c r="M599" s="7" t="s">
        <v>647</v>
      </c>
      <c r="N599" s="7" t="s">
        <v>652</v>
      </c>
      <c r="O599" s="7" t="s">
        <v>666</v>
      </c>
      <c r="P599" s="7" t="s">
        <v>701</v>
      </c>
      <c r="Q599" s="7" t="s">
        <v>711</v>
      </c>
      <c r="R599" s="7" t="s">
        <v>722</v>
      </c>
      <c r="S599" s="7" t="s">
        <v>728</v>
      </c>
      <c r="T599" s="7" t="s">
        <v>2023</v>
      </c>
      <c r="U599" s="9">
        <v>783.72</v>
      </c>
      <c r="V599" s="9">
        <v>1355.94</v>
      </c>
      <c r="W599" s="9">
        <v>1355.94</v>
      </c>
      <c r="X599" s="9">
        <v>897.92590000000007</v>
      </c>
      <c r="Y599" s="9">
        <v>1531.7530000000002</v>
      </c>
      <c r="Z599" s="9" t="s">
        <v>2092</v>
      </c>
      <c r="AA599" t="s">
        <v>2065</v>
      </c>
      <c r="AB599" s="11">
        <v>0.187</v>
      </c>
      <c r="AC599" t="s">
        <v>2065</v>
      </c>
      <c r="AD599" s="13">
        <v>4</v>
      </c>
      <c r="AE599" s="9">
        <v>4409.5168800000001</v>
      </c>
      <c r="AF599" s="9">
        <v>3134.88</v>
      </c>
      <c r="AG599" s="9">
        <v>1274.63688</v>
      </c>
      <c r="AH599" s="11">
        <v>0.28906497348525856</v>
      </c>
      <c r="AI599" s="9">
        <f>SUMIFS(AD599:AD1230, R599:R1230, S599)</f>
        <v>0</v>
      </c>
      <c r="AJ599" s="11" t="e">
        <f>SUMIFS(AD599:AD1230, R599:R1230, S599, AD599:AD1230, "&gt;" &amp; AE599) / AI599</f>
        <v>#DIV/0!</v>
      </c>
      <c r="AK599" s="7" t="e">
        <f>IF(AJ599&lt;=0.8,"A",IF(Table2[[#This Row],[Cumulative rev]]&lt;=0.95,"B","C"))</f>
        <v>#DIV/0!</v>
      </c>
    </row>
    <row r="600" spans="1:37" x14ac:dyDescent="0.3">
      <c r="A600" t="s">
        <v>613</v>
      </c>
      <c r="B600" s="4">
        <v>45521</v>
      </c>
      <c r="C600" s="4" t="s">
        <v>2113</v>
      </c>
      <c r="D600" s="4" t="s">
        <v>2106</v>
      </c>
      <c r="E600" s="4">
        <v>45519</v>
      </c>
      <c r="F600" t="s">
        <v>2066</v>
      </c>
      <c r="G600" s="4">
        <v>45521</v>
      </c>
      <c r="H600" s="4">
        <f>_xlfn.MINIFS(B600:B1231, N600:N1231, N600)</f>
        <v>45186</v>
      </c>
      <c r="I600" s="4" t="str">
        <f t="shared" si="18"/>
        <v>Sep-2023</v>
      </c>
      <c r="J600" s="13">
        <f t="shared" si="19"/>
        <v>12</v>
      </c>
      <c r="K600" s="13">
        <v>0</v>
      </c>
      <c r="L600" s="30" t="str">
        <f>IF(Table2[[#This Row],[LeadTimeDays]]&lt;7,"1","0")</f>
        <v>1</v>
      </c>
      <c r="M600" s="7" t="s">
        <v>648</v>
      </c>
      <c r="N600" s="7" t="s">
        <v>655</v>
      </c>
      <c r="O600" s="7" t="s">
        <v>1426</v>
      </c>
      <c r="P600" s="7" t="s">
        <v>704</v>
      </c>
      <c r="Q600" s="7" t="s">
        <v>711</v>
      </c>
      <c r="R600" s="7" t="s">
        <v>724</v>
      </c>
      <c r="S600" s="7" t="s">
        <v>732</v>
      </c>
      <c r="T600" s="7" t="s">
        <v>2024</v>
      </c>
      <c r="U600" s="9">
        <v>165.3</v>
      </c>
      <c r="V600" s="9">
        <v>275.07</v>
      </c>
      <c r="W600" s="9">
        <v>275.07</v>
      </c>
      <c r="X600" s="9">
        <v>884.29359999999997</v>
      </c>
      <c r="Y600" s="9">
        <v>1563.2856000000002</v>
      </c>
      <c r="Z600" s="9" t="s">
        <v>2081</v>
      </c>
      <c r="AA600" t="s">
        <v>2065</v>
      </c>
      <c r="AB600" s="11">
        <v>0.13300000000000001</v>
      </c>
      <c r="AC600" t="s">
        <v>2065</v>
      </c>
      <c r="AD600" s="13">
        <v>25</v>
      </c>
      <c r="AE600" s="9">
        <v>5962.1422499999999</v>
      </c>
      <c r="AF600" s="9">
        <v>4132.5</v>
      </c>
      <c r="AG600" s="9">
        <v>1829.6422499999999</v>
      </c>
      <c r="AH600" s="11">
        <v>0.30687665159280625</v>
      </c>
      <c r="AI600" s="9">
        <f>SUMIFS(AD600:AD1231, R600:R1231, S600)</f>
        <v>0</v>
      </c>
      <c r="AJ600" s="11" t="e">
        <f>SUMIFS(AD600:AD1231, R600:R1231, S600, AD600:AD1231, "&gt;" &amp; AE600) / AI600</f>
        <v>#DIV/0!</v>
      </c>
      <c r="AK600" s="7" t="e">
        <f>IF(AJ600&lt;=0.8,"A",IF(Table2[[#This Row],[Cumulative rev]]&lt;=0.95,"B","C"))</f>
        <v>#DIV/0!</v>
      </c>
    </row>
    <row r="601" spans="1:37" x14ac:dyDescent="0.3">
      <c r="A601" t="s">
        <v>614</v>
      </c>
      <c r="B601" s="4">
        <v>45360</v>
      </c>
      <c r="C601" s="4" t="s">
        <v>2079</v>
      </c>
      <c r="D601" s="4" t="s">
        <v>2080</v>
      </c>
      <c r="E601" s="4">
        <v>45373</v>
      </c>
      <c r="F601" t="s">
        <v>2064</v>
      </c>
      <c r="G601" s="4">
        <v>45373</v>
      </c>
      <c r="H601" s="4">
        <f>_xlfn.MINIFS(B601:B1232, N601:N1232, N601)</f>
        <v>45026</v>
      </c>
      <c r="I601" s="4" t="str">
        <f t="shared" si="18"/>
        <v>Apr-2023</v>
      </c>
      <c r="J601" s="13">
        <f t="shared" si="19"/>
        <v>11</v>
      </c>
      <c r="K601" s="13">
        <v>13</v>
      </c>
      <c r="L601" s="30" t="str">
        <f>IF(Table2[[#This Row],[LeadTimeDays]]&lt;7,"1","0")</f>
        <v>0</v>
      </c>
      <c r="M601" s="7" t="s">
        <v>649</v>
      </c>
      <c r="N601" s="7" t="s">
        <v>658</v>
      </c>
      <c r="O601" s="7" t="s">
        <v>693</v>
      </c>
      <c r="P601" s="7" t="s">
        <v>704</v>
      </c>
      <c r="Q601" s="7" t="s">
        <v>708</v>
      </c>
      <c r="R601" s="7" t="s">
        <v>718</v>
      </c>
      <c r="S601" s="7" t="s">
        <v>731</v>
      </c>
      <c r="T601" s="7" t="s">
        <v>2025</v>
      </c>
      <c r="U601" s="9">
        <v>985.45</v>
      </c>
      <c r="V601" s="9">
        <v>1802.44</v>
      </c>
      <c r="W601" s="9">
        <v>1802.44</v>
      </c>
      <c r="X601" s="9">
        <v>916.27920000000006</v>
      </c>
      <c r="Y601" s="9">
        <v>1575.7398000000001</v>
      </c>
      <c r="Z601" s="9" t="s">
        <v>2095</v>
      </c>
      <c r="AA601" t="s">
        <v>2065</v>
      </c>
      <c r="AB601" s="11">
        <v>8.9999999999999993E-3</v>
      </c>
      <c r="AC601" t="s">
        <v>2065</v>
      </c>
      <c r="AD601" s="13">
        <v>19</v>
      </c>
      <c r="AE601" s="9">
        <v>33938.142760000002</v>
      </c>
      <c r="AF601" s="9">
        <v>18723.55</v>
      </c>
      <c r="AG601" s="9">
        <v>15214.592760000003</v>
      </c>
      <c r="AH601" s="11">
        <v>0.44830363486867486</v>
      </c>
      <c r="AI601" s="9">
        <f>SUMIFS(AD601:AD1232, R601:R1232, S601)</f>
        <v>0</v>
      </c>
      <c r="AJ601" s="11" t="e">
        <f>SUMIFS(AD601:AD1232, R601:R1232, S601, AD601:AD1232, "&gt;" &amp; AE601) / AI601</f>
        <v>#DIV/0!</v>
      </c>
      <c r="AK601" s="7" t="e">
        <f>IF(AJ601&lt;=0.8,"A",IF(Table2[[#This Row],[Cumulative rev]]&lt;=0.95,"B","C"))</f>
        <v>#DIV/0!</v>
      </c>
    </row>
    <row r="602" spans="1:37" x14ac:dyDescent="0.3">
      <c r="A602" t="s">
        <v>615</v>
      </c>
      <c r="B602" s="4">
        <v>45523</v>
      </c>
      <c r="C602" s="4" t="s">
        <v>2113</v>
      </c>
      <c r="D602" s="4" t="s">
        <v>2106</v>
      </c>
      <c r="E602" s="4">
        <v>45537</v>
      </c>
      <c r="F602" t="s">
        <v>2064</v>
      </c>
      <c r="G602" s="4">
        <v>45537</v>
      </c>
      <c r="H602" s="4">
        <f>_xlfn.MINIFS(B602:B1233, N602:N1233, N602)</f>
        <v>45100</v>
      </c>
      <c r="I602" s="4" t="str">
        <f t="shared" si="18"/>
        <v>Jun-2023</v>
      </c>
      <c r="J602" s="13">
        <f t="shared" si="19"/>
        <v>14</v>
      </c>
      <c r="K602" s="13">
        <v>14</v>
      </c>
      <c r="L602" s="30" t="str">
        <f>IF(Table2[[#This Row],[LeadTimeDays]]&lt;7,"1","0")</f>
        <v>0</v>
      </c>
      <c r="M602" s="7" t="s">
        <v>648</v>
      </c>
      <c r="N602" s="7" t="s">
        <v>653</v>
      </c>
      <c r="O602" s="7" t="s">
        <v>667</v>
      </c>
      <c r="P602" s="7" t="s">
        <v>704</v>
      </c>
      <c r="Q602" s="7" t="s">
        <v>710</v>
      </c>
      <c r="R602" s="7" t="s">
        <v>712</v>
      </c>
      <c r="S602" s="7" t="s">
        <v>728</v>
      </c>
      <c r="T602" s="7" t="s">
        <v>2026</v>
      </c>
      <c r="U602" s="9">
        <v>1337.01</v>
      </c>
      <c r="V602" s="9">
        <v>1269.78</v>
      </c>
      <c r="W602" s="9">
        <v>1269.78</v>
      </c>
      <c r="X602" s="9">
        <v>898.33900000000006</v>
      </c>
      <c r="Y602" s="9">
        <v>1534.2200000000003</v>
      </c>
      <c r="Z602" s="9" t="s">
        <v>2092</v>
      </c>
      <c r="AA602" t="s">
        <v>2065</v>
      </c>
      <c r="AB602" s="11">
        <v>0.16</v>
      </c>
      <c r="AC602" t="s">
        <v>2065</v>
      </c>
      <c r="AD602" s="13">
        <v>7</v>
      </c>
      <c r="AE602" s="9">
        <v>7466.3063999999986</v>
      </c>
      <c r="AF602" s="9">
        <v>9359.07</v>
      </c>
      <c r="AG602" s="9">
        <v>-1892.7636000000011</v>
      </c>
      <c r="AH602" s="11">
        <v>-0.25350735672996244</v>
      </c>
      <c r="AI602" s="9">
        <f>SUMIFS(AD602:AD1233, R602:R1233, S602)</f>
        <v>0</v>
      </c>
      <c r="AJ602" s="11" t="e">
        <f>SUMIFS(AD602:AD1233, R602:R1233, S602, AD602:AD1233, "&gt;" &amp; AE602) / AI602</f>
        <v>#DIV/0!</v>
      </c>
      <c r="AK602" s="7" t="e">
        <f>IF(AJ602&lt;=0.8,"A",IF(Table2[[#This Row],[Cumulative rev]]&lt;=0.95,"B","C"))</f>
        <v>#DIV/0!</v>
      </c>
    </row>
    <row r="603" spans="1:37" x14ac:dyDescent="0.3">
      <c r="A603" t="s">
        <v>616</v>
      </c>
      <c r="B603" s="4">
        <v>45880</v>
      </c>
      <c r="C603" s="4" t="s">
        <v>2121</v>
      </c>
      <c r="D603" s="4" t="s">
        <v>2101</v>
      </c>
      <c r="E603" s="4">
        <v>45897</v>
      </c>
      <c r="F603" t="s">
        <v>2064</v>
      </c>
      <c r="G603" s="4">
        <v>45897</v>
      </c>
      <c r="H603" s="4">
        <f>_xlfn.MINIFS(B603:B1234, N603:N1234, N603)</f>
        <v>45137</v>
      </c>
      <c r="I603" s="4" t="str">
        <f t="shared" si="18"/>
        <v>Jul-2023</v>
      </c>
      <c r="J603" s="13">
        <f t="shared" si="19"/>
        <v>25</v>
      </c>
      <c r="K603" s="13">
        <v>17</v>
      </c>
      <c r="L603" s="30" t="str">
        <f>IF(Table2[[#This Row],[LeadTimeDays]]&lt;7,"1","0")</f>
        <v>0</v>
      </c>
      <c r="M603" s="7" t="s">
        <v>649</v>
      </c>
      <c r="N603" s="7" t="s">
        <v>657</v>
      </c>
      <c r="O603" s="7" t="s">
        <v>690</v>
      </c>
      <c r="P603" s="7" t="s">
        <v>702</v>
      </c>
      <c r="Q603" s="7" t="s">
        <v>708</v>
      </c>
      <c r="R603" s="7" t="s">
        <v>721</v>
      </c>
      <c r="S603" s="7" t="s">
        <v>729</v>
      </c>
      <c r="T603" s="7" t="s">
        <v>2027</v>
      </c>
      <c r="U603" s="9">
        <v>416.16</v>
      </c>
      <c r="V603" s="9">
        <v>571.9</v>
      </c>
      <c r="W603" s="9">
        <v>571.9</v>
      </c>
      <c r="X603" s="9">
        <v>884.70669999999996</v>
      </c>
      <c r="Y603" s="9">
        <v>1564.0182000000002</v>
      </c>
      <c r="Z603" s="9" t="s">
        <v>2081</v>
      </c>
      <c r="AA603" t="s">
        <v>2065</v>
      </c>
      <c r="AB603" s="11">
        <v>7.0999999999999994E-2</v>
      </c>
      <c r="AC603" t="s">
        <v>2065</v>
      </c>
      <c r="AD603" s="13">
        <v>2</v>
      </c>
      <c r="AE603" s="9">
        <v>1062.5902000000001</v>
      </c>
      <c r="AF603" s="9">
        <v>832.32</v>
      </c>
      <c r="AG603" s="9">
        <v>230.27020000000005</v>
      </c>
      <c r="AH603" s="11">
        <v>0.21670649701079497</v>
      </c>
      <c r="AI603" s="9">
        <f>SUMIFS(AD603:AD1234, R603:R1234, S603)</f>
        <v>0</v>
      </c>
      <c r="AJ603" s="11" t="e">
        <f>SUMIFS(AD603:AD1234, R603:R1234, S603, AD603:AD1234, "&gt;" &amp; AE603) / AI603</f>
        <v>#DIV/0!</v>
      </c>
      <c r="AK603" s="7" t="e">
        <f>IF(AJ603&lt;=0.8,"A",IF(Table2[[#This Row],[Cumulative rev]]&lt;=0.95,"B","C"))</f>
        <v>#DIV/0!</v>
      </c>
    </row>
    <row r="604" spans="1:37" x14ac:dyDescent="0.3">
      <c r="A604" t="s">
        <v>617</v>
      </c>
      <c r="B604" s="4">
        <v>45793</v>
      </c>
      <c r="C604" s="4" t="s">
        <v>2096</v>
      </c>
      <c r="D604" s="4" t="s">
        <v>2097</v>
      </c>
      <c r="E604" s="4">
        <v>45795</v>
      </c>
      <c r="F604" t="s">
        <v>2064</v>
      </c>
      <c r="G604" s="4">
        <v>45795</v>
      </c>
      <c r="H604" s="4">
        <f>_xlfn.MINIFS(B604:B1235, N604:N1235, N604)</f>
        <v>45038</v>
      </c>
      <c r="I604" s="4" t="str">
        <f t="shared" si="18"/>
        <v>Apr-2023</v>
      </c>
      <c r="J604" s="13">
        <f t="shared" si="19"/>
        <v>25</v>
      </c>
      <c r="K604" s="13">
        <v>2</v>
      </c>
      <c r="L604" s="30" t="str">
        <f>IF(Table2[[#This Row],[LeadTimeDays]]&lt;7,"1","0")</f>
        <v>1</v>
      </c>
      <c r="M604" s="7" t="s">
        <v>647</v>
      </c>
      <c r="N604" s="7" t="s">
        <v>652</v>
      </c>
      <c r="O604" s="7" t="s">
        <v>689</v>
      </c>
      <c r="P604" s="7" t="s">
        <v>706</v>
      </c>
      <c r="Q604" s="7" t="s">
        <v>707</v>
      </c>
      <c r="R604" s="7" t="s">
        <v>713</v>
      </c>
      <c r="S604" s="7" t="s">
        <v>728</v>
      </c>
      <c r="T604" s="7" t="s">
        <v>2028</v>
      </c>
      <c r="U604" s="9">
        <v>1144.3800000000001</v>
      </c>
      <c r="V604" s="9">
        <v>2755.04</v>
      </c>
      <c r="W604" s="9">
        <v>2755.04</v>
      </c>
      <c r="X604" s="9">
        <v>916.87959999999998</v>
      </c>
      <c r="Y604" s="9">
        <v>1576.4724000000001</v>
      </c>
      <c r="Z604" s="9" t="s">
        <v>2095</v>
      </c>
      <c r="AA604" t="s">
        <v>2065</v>
      </c>
      <c r="AB604" s="11">
        <v>0.15</v>
      </c>
      <c r="AC604" t="s">
        <v>2065</v>
      </c>
      <c r="AD604" s="13">
        <v>17</v>
      </c>
      <c r="AE604" s="9">
        <v>39810.328000000001</v>
      </c>
      <c r="AF604" s="9">
        <v>19454.460000000003</v>
      </c>
      <c r="AG604" s="9">
        <v>20355.867999999999</v>
      </c>
      <c r="AH604" s="11">
        <v>0.51132128326096682</v>
      </c>
      <c r="AI604" s="9">
        <f>SUMIFS(AD604:AD1235, R604:R1235, S604)</f>
        <v>0</v>
      </c>
      <c r="AJ604" s="11" t="e">
        <f>SUMIFS(AD604:AD1235, R604:R1235, S604, AD604:AD1235, "&gt;" &amp; AE604) / AI604</f>
        <v>#DIV/0!</v>
      </c>
      <c r="AK604" s="7" t="e">
        <f>IF(AJ604&lt;=0.8,"A",IF(Table2[[#This Row],[Cumulative rev]]&lt;=0.95,"B","C"))</f>
        <v>#DIV/0!</v>
      </c>
    </row>
    <row r="605" spans="1:37" x14ac:dyDescent="0.3">
      <c r="A605" t="s">
        <v>618</v>
      </c>
      <c r="B605" s="4">
        <v>45026</v>
      </c>
      <c r="C605" s="4" t="s">
        <v>2102</v>
      </c>
      <c r="D605" s="4" t="s">
        <v>2103</v>
      </c>
      <c r="E605" s="4">
        <v>45041</v>
      </c>
      <c r="F605" t="s">
        <v>2064</v>
      </c>
      <c r="G605" s="4">
        <v>45041</v>
      </c>
      <c r="H605" s="4">
        <f>_xlfn.MINIFS(B605:B1236, N605:N1236, N605)</f>
        <v>45026</v>
      </c>
      <c r="I605" s="4" t="str">
        <f t="shared" si="18"/>
        <v>Apr-2023</v>
      </c>
      <c r="J605" s="13">
        <f t="shared" si="19"/>
        <v>1</v>
      </c>
      <c r="K605" s="13">
        <v>15</v>
      </c>
      <c r="L605" s="30" t="str">
        <f>IF(Table2[[#This Row],[LeadTimeDays]]&lt;7,"1","0")</f>
        <v>0</v>
      </c>
      <c r="M605" s="7" t="s">
        <v>649</v>
      </c>
      <c r="N605" s="7" t="s">
        <v>658</v>
      </c>
      <c r="O605" s="7" t="s">
        <v>683</v>
      </c>
      <c r="P605" s="7" t="s">
        <v>705</v>
      </c>
      <c r="Q605" s="7" t="s">
        <v>707</v>
      </c>
      <c r="R605" s="7" t="s">
        <v>726</v>
      </c>
      <c r="S605" s="7" t="s">
        <v>728</v>
      </c>
      <c r="T605" s="7" t="s">
        <v>2029</v>
      </c>
      <c r="U605" s="9">
        <v>405.66</v>
      </c>
      <c r="V605" s="9">
        <v>962.51</v>
      </c>
      <c r="W605" s="9">
        <v>962.51</v>
      </c>
      <c r="X605" s="9">
        <v>898.75210000000004</v>
      </c>
      <c r="Y605" s="9">
        <v>1536.6870000000001</v>
      </c>
      <c r="Z605" s="9" t="s">
        <v>2092</v>
      </c>
      <c r="AA605" t="s">
        <v>2065</v>
      </c>
      <c r="AB605" s="11">
        <v>0.19</v>
      </c>
      <c r="AC605" t="s">
        <v>2065</v>
      </c>
      <c r="AD605" s="13">
        <v>7</v>
      </c>
      <c r="AE605" s="9">
        <v>5457.4317000000001</v>
      </c>
      <c r="AF605" s="9">
        <v>2839.6200000000003</v>
      </c>
      <c r="AG605" s="9">
        <v>2617.8116999999997</v>
      </c>
      <c r="AH605" s="11">
        <v>0.47967832561239376</v>
      </c>
      <c r="AI605" s="9">
        <f>SUMIFS(AD605:AD1236, R605:R1236, S605)</f>
        <v>0</v>
      </c>
      <c r="AJ605" s="11" t="e">
        <f>SUMIFS(AD605:AD1236, R605:R1236, S605, AD605:AD1236, "&gt;" &amp; AE605) / AI605</f>
        <v>#DIV/0!</v>
      </c>
      <c r="AK605" s="7" t="e">
        <f>IF(AJ605&lt;=0.8,"A",IF(Table2[[#This Row],[Cumulative rev]]&lt;=0.95,"B","C"))</f>
        <v>#DIV/0!</v>
      </c>
    </row>
    <row r="606" spans="1:37" x14ac:dyDescent="0.3">
      <c r="A606" t="s">
        <v>619</v>
      </c>
      <c r="B606" s="4">
        <v>45186</v>
      </c>
      <c r="C606" s="4" t="s">
        <v>2120</v>
      </c>
      <c r="D606" s="4" t="s">
        <v>2117</v>
      </c>
      <c r="E606" s="4">
        <v>45201</v>
      </c>
      <c r="F606" t="s">
        <v>2064</v>
      </c>
      <c r="G606" s="4">
        <v>45201</v>
      </c>
      <c r="H606" s="4">
        <f>_xlfn.MINIFS(B606:B1237, N606:N1237, N606)</f>
        <v>45186</v>
      </c>
      <c r="I606" s="4" t="str">
        <f t="shared" si="18"/>
        <v>Sep-2023</v>
      </c>
      <c r="J606" s="13">
        <f t="shared" si="19"/>
        <v>1</v>
      </c>
      <c r="K606" s="13">
        <v>15</v>
      </c>
      <c r="L606" s="30" t="str">
        <f>IF(Table2[[#This Row],[LeadTimeDays]]&lt;7,"1","0")</f>
        <v>0</v>
      </c>
      <c r="M606" s="7" t="s">
        <v>648</v>
      </c>
      <c r="N606" s="7" t="s">
        <v>655</v>
      </c>
      <c r="O606" s="7" t="s">
        <v>1426</v>
      </c>
      <c r="P606" s="7" t="s">
        <v>705</v>
      </c>
      <c r="Q606" s="7" t="s">
        <v>707</v>
      </c>
      <c r="R606" s="7" t="s">
        <v>717</v>
      </c>
      <c r="S606" s="7" t="s">
        <v>731</v>
      </c>
      <c r="T606" s="7" t="s">
        <v>2030</v>
      </c>
      <c r="U606" s="9">
        <v>689.33</v>
      </c>
      <c r="V606" s="9">
        <v>668.27</v>
      </c>
      <c r="W606" s="9">
        <v>668.27</v>
      </c>
      <c r="X606" s="9">
        <v>885.11980000000005</v>
      </c>
      <c r="Y606" s="9">
        <v>1564.7508</v>
      </c>
      <c r="Z606" s="9" t="s">
        <v>2081</v>
      </c>
      <c r="AA606" t="s">
        <v>2065</v>
      </c>
      <c r="AB606" s="11">
        <v>0.186</v>
      </c>
      <c r="AC606" t="s">
        <v>2065</v>
      </c>
      <c r="AD606" s="13">
        <v>13</v>
      </c>
      <c r="AE606" s="9">
        <v>7071.6331400000008</v>
      </c>
      <c r="AF606" s="9">
        <v>8961.2900000000009</v>
      </c>
      <c r="AG606" s="9">
        <v>-1889.6568600000001</v>
      </c>
      <c r="AH606" s="11">
        <v>-0.26721647214861033</v>
      </c>
      <c r="AI606" s="9">
        <f>SUMIFS(AD606:AD1237, R606:R1237, S606)</f>
        <v>0</v>
      </c>
      <c r="AJ606" s="11" t="e">
        <f>SUMIFS(AD606:AD1237, R606:R1237, S606, AD606:AD1237, "&gt;" &amp; AE606) / AI606</f>
        <v>#DIV/0!</v>
      </c>
      <c r="AK606" s="7" t="e">
        <f>IF(AJ606&lt;=0.8,"A",IF(Table2[[#This Row],[Cumulative rev]]&lt;=0.95,"B","C"))</f>
        <v>#DIV/0!</v>
      </c>
    </row>
    <row r="607" spans="1:37" x14ac:dyDescent="0.3">
      <c r="A607" t="s">
        <v>620</v>
      </c>
      <c r="B607" s="4">
        <v>45038</v>
      </c>
      <c r="C607" s="4" t="s">
        <v>2102</v>
      </c>
      <c r="D607" s="4" t="s">
        <v>2103</v>
      </c>
      <c r="E607" s="4">
        <v>45060</v>
      </c>
      <c r="F607" t="s">
        <v>2064</v>
      </c>
      <c r="G607" s="4">
        <v>45060</v>
      </c>
      <c r="H607" s="4">
        <f>_xlfn.MINIFS(B607:B1238, N607:N1238, N607)</f>
        <v>45038</v>
      </c>
      <c r="I607" s="4" t="str">
        <f t="shared" si="18"/>
        <v>Apr-2023</v>
      </c>
      <c r="J607" s="13">
        <f t="shared" si="19"/>
        <v>1</v>
      </c>
      <c r="K607" s="13">
        <v>22</v>
      </c>
      <c r="L607" s="30" t="str">
        <f>IF(Table2[[#This Row],[LeadTimeDays]]&lt;7,"1","0")</f>
        <v>0</v>
      </c>
      <c r="M607" s="7" t="s">
        <v>647</v>
      </c>
      <c r="N607" s="7" t="s">
        <v>652</v>
      </c>
      <c r="O607" s="7" t="s">
        <v>694</v>
      </c>
      <c r="P607" s="7" t="s">
        <v>706</v>
      </c>
      <c r="Q607" s="7" t="s">
        <v>707</v>
      </c>
      <c r="R607" s="7" t="s">
        <v>720</v>
      </c>
      <c r="S607" s="7" t="s">
        <v>733</v>
      </c>
      <c r="T607" s="7" t="s">
        <v>2031</v>
      </c>
      <c r="U607" s="9">
        <v>1209.22</v>
      </c>
      <c r="V607" s="9">
        <v>1404.33</v>
      </c>
      <c r="W607" s="9">
        <v>1404.33</v>
      </c>
      <c r="X607" s="9">
        <v>921.375</v>
      </c>
      <c r="Y607" s="9">
        <v>1577.2049999999999</v>
      </c>
      <c r="Z607" s="9" t="s">
        <v>2092</v>
      </c>
      <c r="AA607" t="s">
        <v>2065</v>
      </c>
      <c r="AB607" s="11">
        <v>0.10299999999999999</v>
      </c>
      <c r="AC607" t="s">
        <v>2065</v>
      </c>
      <c r="AD607" s="13">
        <v>11</v>
      </c>
      <c r="AE607" s="9">
        <v>13856.52411</v>
      </c>
      <c r="AF607" s="9">
        <v>13301.42</v>
      </c>
      <c r="AG607" s="9">
        <v>555.10411000000022</v>
      </c>
      <c r="AH607" s="11">
        <v>4.0060848275751328E-2</v>
      </c>
      <c r="AI607" s="9">
        <f>SUMIFS(AD607:AD1238, R607:R1238, S607)</f>
        <v>0</v>
      </c>
      <c r="AJ607" s="11" t="e">
        <f>SUMIFS(AD607:AD1238, R607:R1238, S607, AD607:AD1238, "&gt;" &amp; AE607) / AI607</f>
        <v>#DIV/0!</v>
      </c>
      <c r="AK607" s="7" t="e">
        <f>IF(AJ607&lt;=0.8,"A",IF(Table2[[#This Row],[Cumulative rev]]&lt;=0.95,"B","C"))</f>
        <v>#DIV/0!</v>
      </c>
    </row>
    <row r="608" spans="1:37" x14ac:dyDescent="0.3">
      <c r="A608" t="s">
        <v>621</v>
      </c>
      <c r="B608" s="4">
        <v>45827</v>
      </c>
      <c r="C608" s="4" t="s">
        <v>2108</v>
      </c>
      <c r="D608" s="4" t="s">
        <v>2097</v>
      </c>
      <c r="E608" s="4">
        <v>45829</v>
      </c>
      <c r="F608" t="s">
        <v>2064</v>
      </c>
      <c r="G608" s="4">
        <v>45829</v>
      </c>
      <c r="H608" s="4">
        <f>_xlfn.MINIFS(B608:B1239, N608:N1239, N608)</f>
        <v>45319</v>
      </c>
      <c r="I608" s="4" t="str">
        <f t="shared" si="18"/>
        <v>Jan-2024</v>
      </c>
      <c r="J608" s="13">
        <f t="shared" si="19"/>
        <v>17</v>
      </c>
      <c r="K608" s="13">
        <v>2</v>
      </c>
      <c r="L608" s="30" t="str">
        <f>IF(Table2[[#This Row],[LeadTimeDays]]&lt;7,"1","0")</f>
        <v>1</v>
      </c>
      <c r="M608" s="7" t="s">
        <v>646</v>
      </c>
      <c r="N608" s="7" t="s">
        <v>661</v>
      </c>
      <c r="O608" s="7" t="s">
        <v>682</v>
      </c>
      <c r="P608" s="7" t="s">
        <v>705</v>
      </c>
      <c r="Q608" s="7" t="s">
        <v>2057</v>
      </c>
      <c r="R608" s="7" t="s">
        <v>722</v>
      </c>
      <c r="S608" s="7" t="s">
        <v>730</v>
      </c>
      <c r="T608" s="7" t="s">
        <v>2032</v>
      </c>
      <c r="U608" s="9">
        <v>1466.27</v>
      </c>
      <c r="V608" s="9">
        <v>3589.89</v>
      </c>
      <c r="W608" s="9">
        <v>3589.89</v>
      </c>
      <c r="X608" s="9">
        <v>899.16520000000003</v>
      </c>
      <c r="Y608" s="9">
        <v>1589.6592000000001</v>
      </c>
      <c r="Z608" s="9" t="s">
        <v>2095</v>
      </c>
      <c r="AA608" t="s">
        <v>2065</v>
      </c>
      <c r="AB608" s="11">
        <v>9.7000000000000003E-2</v>
      </c>
      <c r="AC608" t="s">
        <v>2065</v>
      </c>
      <c r="AD608" s="13">
        <v>9</v>
      </c>
      <c r="AE608" s="9">
        <v>29175.036029999999</v>
      </c>
      <c r="AF608" s="9">
        <v>13196.43</v>
      </c>
      <c r="AG608" s="9">
        <v>15978.606029999999</v>
      </c>
      <c r="AH608" s="11">
        <v>0.54768076425234147</v>
      </c>
      <c r="AI608" s="9">
        <f>SUMIFS(AD608:AD1239, R608:R1239, S608)</f>
        <v>0</v>
      </c>
      <c r="AJ608" s="11" t="e">
        <f>SUMIFS(AD608:AD1239, R608:R1239, S608, AD608:AD1239, "&gt;" &amp; AE608) / AI608</f>
        <v>#DIV/0!</v>
      </c>
      <c r="AK608" s="7" t="e">
        <f>IF(AJ608&lt;=0.8,"A",IF(Table2[[#This Row],[Cumulative rev]]&lt;=0.95,"B","C"))</f>
        <v>#DIV/0!</v>
      </c>
    </row>
    <row r="609" spans="1:37" x14ac:dyDescent="0.3">
      <c r="A609" t="s">
        <v>622</v>
      </c>
      <c r="B609" s="4">
        <v>45623</v>
      </c>
      <c r="C609" s="4" t="s">
        <v>2110</v>
      </c>
      <c r="D609" s="4" t="s">
        <v>2083</v>
      </c>
      <c r="E609" s="4">
        <v>45650</v>
      </c>
      <c r="F609" t="s">
        <v>2064</v>
      </c>
      <c r="G609" s="4">
        <v>45650</v>
      </c>
      <c r="H609" s="4">
        <f>_xlfn.MINIFS(B609:B1240, N609:N1240, N609)</f>
        <v>45177</v>
      </c>
      <c r="I609" s="4" t="str">
        <f t="shared" si="18"/>
        <v>Sep-2023</v>
      </c>
      <c r="J609" s="13">
        <f t="shared" si="19"/>
        <v>15</v>
      </c>
      <c r="K609" s="13">
        <v>27</v>
      </c>
      <c r="L609" s="30" t="str">
        <f>IF(Table2[[#This Row],[LeadTimeDays]]&lt;7,"1","0")</f>
        <v>0</v>
      </c>
      <c r="M609" s="7" t="s">
        <v>646</v>
      </c>
      <c r="N609" s="7" t="s">
        <v>650</v>
      </c>
      <c r="O609" s="7" t="s">
        <v>675</v>
      </c>
      <c r="P609" s="7" t="s">
        <v>701</v>
      </c>
      <c r="Q609" s="7" t="s">
        <v>710</v>
      </c>
      <c r="R609" s="7" t="s">
        <v>717</v>
      </c>
      <c r="S609" s="7" t="s">
        <v>728</v>
      </c>
      <c r="T609" s="7" t="s">
        <v>2033</v>
      </c>
      <c r="U609" s="9">
        <v>143.33000000000001</v>
      </c>
      <c r="V609" s="9">
        <v>233.51</v>
      </c>
      <c r="W609" s="9">
        <v>233.51</v>
      </c>
      <c r="X609" s="9">
        <v>885.53290000000004</v>
      </c>
      <c r="Y609" s="9">
        <v>1565.4834000000001</v>
      </c>
      <c r="Z609" s="9" t="s">
        <v>2081</v>
      </c>
      <c r="AA609" t="s">
        <v>2065</v>
      </c>
      <c r="AB609" s="11">
        <v>0.16300000000000001</v>
      </c>
      <c r="AC609" t="s">
        <v>2065</v>
      </c>
      <c r="AD609" s="13">
        <v>14</v>
      </c>
      <c r="AE609" s="9">
        <v>2736.27018</v>
      </c>
      <c r="AF609" s="9">
        <v>2006.6200000000001</v>
      </c>
      <c r="AG609" s="9">
        <v>729.65017999999986</v>
      </c>
      <c r="AH609" s="11">
        <v>0.26665867476580835</v>
      </c>
      <c r="AI609" s="9">
        <f>SUMIFS(AD609:AD1240, R609:R1240, S609)</f>
        <v>0</v>
      </c>
      <c r="AJ609" s="11" t="e">
        <f>SUMIFS(AD609:AD1240, R609:R1240, S609, AD609:AD1240, "&gt;" &amp; AE609) / AI609</f>
        <v>#DIV/0!</v>
      </c>
      <c r="AK609" s="7" t="e">
        <f>IF(AJ609&lt;=0.8,"A",IF(Table2[[#This Row],[Cumulative rev]]&lt;=0.95,"B","C"))</f>
        <v>#DIV/0!</v>
      </c>
    </row>
    <row r="610" spans="1:37" x14ac:dyDescent="0.3">
      <c r="A610" t="s">
        <v>623</v>
      </c>
      <c r="B610" s="4">
        <v>45319</v>
      </c>
      <c r="C610" s="4" t="s">
        <v>2098</v>
      </c>
      <c r="D610" s="4" t="s">
        <v>2080</v>
      </c>
      <c r="E610" s="4">
        <v>45318</v>
      </c>
      <c r="F610" t="s">
        <v>2066</v>
      </c>
      <c r="G610" s="4">
        <v>45319</v>
      </c>
      <c r="H610" s="4">
        <f>_xlfn.MINIFS(B610:B1241, N610:N1241, N610)</f>
        <v>45319</v>
      </c>
      <c r="I610" s="4" t="str">
        <f t="shared" si="18"/>
        <v>Jan-2024</v>
      </c>
      <c r="J610" s="13">
        <f t="shared" si="19"/>
        <v>1</v>
      </c>
      <c r="K610" s="13">
        <v>0</v>
      </c>
      <c r="L610" s="30" t="str">
        <f>IF(Table2[[#This Row],[LeadTimeDays]]&lt;7,"1","0")</f>
        <v>1</v>
      </c>
      <c r="M610" s="7" t="s">
        <v>646</v>
      </c>
      <c r="N610" s="7" t="s">
        <v>661</v>
      </c>
      <c r="O610" s="7" t="s">
        <v>695</v>
      </c>
      <c r="P610" s="7" t="s">
        <v>706</v>
      </c>
      <c r="Q610" s="7" t="s">
        <v>711</v>
      </c>
      <c r="R610" s="7" t="s">
        <v>719</v>
      </c>
      <c r="S610" s="7" t="s">
        <v>727</v>
      </c>
      <c r="T610" s="7" t="s">
        <v>2034</v>
      </c>
      <c r="U610" s="9">
        <v>109.75</v>
      </c>
      <c r="V610" s="9">
        <v>124.25</v>
      </c>
      <c r="W610" s="9">
        <v>124.25</v>
      </c>
      <c r="X610" s="9">
        <v>922.13120000000015</v>
      </c>
      <c r="Y610" s="9">
        <v>1577.9376000000002</v>
      </c>
      <c r="Z610" s="9" t="s">
        <v>2081</v>
      </c>
      <c r="AA610" t="s">
        <v>2065</v>
      </c>
      <c r="AB610" s="11">
        <v>0.12</v>
      </c>
      <c r="AC610" t="s">
        <v>2065</v>
      </c>
      <c r="AD610" s="13">
        <v>19</v>
      </c>
      <c r="AE610" s="9">
        <v>2077.46</v>
      </c>
      <c r="AF610" s="9">
        <v>2085.25</v>
      </c>
      <c r="AG610" s="9">
        <v>-7.7899999999999636</v>
      </c>
      <c r="AH610" s="11">
        <v>-3.7497713554051405E-3</v>
      </c>
      <c r="AI610" s="9">
        <f>SUMIFS(AD610:AD1241, R610:R1241, S610)</f>
        <v>0</v>
      </c>
      <c r="AJ610" s="11" t="e">
        <f>SUMIFS(AD610:AD1241, R610:R1241, S610, AD610:AD1241, "&gt;" &amp; AE610) / AI610</f>
        <v>#DIV/0!</v>
      </c>
      <c r="AK610" s="7" t="e">
        <f>IF(AJ610&lt;=0.8,"A",IF(Table2[[#This Row],[Cumulative rev]]&lt;=0.95,"B","C"))</f>
        <v>#DIV/0!</v>
      </c>
    </row>
    <row r="611" spans="1:37" x14ac:dyDescent="0.3">
      <c r="A611" t="s">
        <v>624</v>
      </c>
      <c r="B611" s="4">
        <v>45032</v>
      </c>
      <c r="C611" s="4" t="s">
        <v>2102</v>
      </c>
      <c r="D611" s="4" t="s">
        <v>2103</v>
      </c>
      <c r="E611" s="4">
        <v>45039</v>
      </c>
      <c r="F611" t="s">
        <v>2064</v>
      </c>
      <c r="G611" s="4">
        <v>45039</v>
      </c>
      <c r="H611" s="4">
        <f>_xlfn.MINIFS(B611:B1242, N611:N1242, N611)</f>
        <v>45032</v>
      </c>
      <c r="I611" s="4" t="str">
        <f t="shared" si="18"/>
        <v>Apr-2023</v>
      </c>
      <c r="J611" s="13">
        <f t="shared" si="19"/>
        <v>1</v>
      </c>
      <c r="K611" s="13">
        <v>7</v>
      </c>
      <c r="L611" s="30" t="str">
        <f>IF(Table2[[#This Row],[LeadTimeDays]]&lt;7,"1","0")</f>
        <v>0</v>
      </c>
      <c r="M611" s="7" t="s">
        <v>648</v>
      </c>
      <c r="N611" s="7" t="s">
        <v>1425</v>
      </c>
      <c r="O611" s="7" t="s">
        <v>697</v>
      </c>
      <c r="P611" s="7" t="s">
        <v>701</v>
      </c>
      <c r="Q611" s="7" t="s">
        <v>710</v>
      </c>
      <c r="R611" s="7" t="s">
        <v>719</v>
      </c>
      <c r="S611" s="7" t="s">
        <v>728</v>
      </c>
      <c r="T611" s="7" t="s">
        <v>2035</v>
      </c>
      <c r="U611" s="9">
        <v>1099.1500000000001</v>
      </c>
      <c r="V611" s="9">
        <v>1431.37</v>
      </c>
      <c r="W611" s="9">
        <v>1431.37</v>
      </c>
      <c r="X611" s="9">
        <v>972.79660000000013</v>
      </c>
      <c r="Y611" s="9">
        <v>1590.3918000000001</v>
      </c>
      <c r="Z611" s="9" t="s">
        <v>2092</v>
      </c>
      <c r="AA611" t="s">
        <v>2065</v>
      </c>
      <c r="AB611" s="11">
        <v>0.104</v>
      </c>
      <c r="AC611" t="s">
        <v>2065</v>
      </c>
      <c r="AD611" s="13">
        <v>8</v>
      </c>
      <c r="AE611" s="9">
        <v>10260.060159999999</v>
      </c>
      <c r="AF611" s="9">
        <v>8793.2000000000007</v>
      </c>
      <c r="AG611" s="9">
        <v>1466.8601599999984</v>
      </c>
      <c r="AH611" s="11">
        <v>0.14296798821109433</v>
      </c>
      <c r="AI611" s="9">
        <f>SUMIFS(AD611:AD1242, R611:R1242, S611)</f>
        <v>0</v>
      </c>
      <c r="AJ611" s="11" t="e">
        <f>SUMIFS(AD611:AD1242, R611:R1242, S611, AD611:AD1242, "&gt;" &amp; AE611) / AI611</f>
        <v>#DIV/0!</v>
      </c>
      <c r="AK611" s="7" t="e">
        <f>IF(AJ611&lt;=0.8,"A",IF(Table2[[#This Row],[Cumulative rev]]&lt;=0.95,"B","C"))</f>
        <v>#DIV/0!</v>
      </c>
    </row>
    <row r="612" spans="1:37" x14ac:dyDescent="0.3">
      <c r="A612" t="s">
        <v>625</v>
      </c>
      <c r="B612" s="4">
        <v>45323</v>
      </c>
      <c r="C612" s="4" t="s">
        <v>2124</v>
      </c>
      <c r="D612" s="4" t="s">
        <v>2080</v>
      </c>
      <c r="E612" s="4">
        <v>45323</v>
      </c>
      <c r="F612" t="s">
        <v>2064</v>
      </c>
      <c r="G612" s="4">
        <v>45323</v>
      </c>
      <c r="H612" s="4">
        <f>_xlfn.MINIFS(B612:B1243, N612:N1243, N612)</f>
        <v>45323</v>
      </c>
      <c r="I612" s="4" t="str">
        <f t="shared" si="18"/>
        <v>Feb-2024</v>
      </c>
      <c r="J612" s="13">
        <f t="shared" si="19"/>
        <v>1</v>
      </c>
      <c r="K612" s="13">
        <v>0</v>
      </c>
      <c r="L612" s="30" t="str">
        <f>IF(Table2[[#This Row],[LeadTimeDays]]&lt;7,"1","0")</f>
        <v>1</v>
      </c>
      <c r="M612" s="7" t="s">
        <v>648</v>
      </c>
      <c r="N612" s="7" t="s">
        <v>1425</v>
      </c>
      <c r="O612" s="7" t="s">
        <v>697</v>
      </c>
      <c r="P612" s="7" t="s">
        <v>704</v>
      </c>
      <c r="Q612" s="7" t="s">
        <v>710</v>
      </c>
      <c r="R612" s="7" t="s">
        <v>722</v>
      </c>
      <c r="S612" s="7" t="s">
        <v>728</v>
      </c>
      <c r="T612" s="7" t="s">
        <v>2036</v>
      </c>
      <c r="U612" s="9">
        <v>714.43</v>
      </c>
      <c r="V612" s="9">
        <v>1595.52</v>
      </c>
      <c r="W612" s="9">
        <v>1595.52</v>
      </c>
      <c r="X612" s="9">
        <v>947.8420000000001</v>
      </c>
      <c r="Y612" s="9">
        <v>1647.1880000000003</v>
      </c>
      <c r="Z612" s="9" t="s">
        <v>2092</v>
      </c>
      <c r="AA612" t="s">
        <v>2065</v>
      </c>
      <c r="AB612" s="11">
        <v>0.19400000000000001</v>
      </c>
      <c r="AC612" t="s">
        <v>2065</v>
      </c>
      <c r="AD612" s="13">
        <v>14</v>
      </c>
      <c r="AE612" s="9">
        <v>18003.847679999999</v>
      </c>
      <c r="AF612" s="9">
        <v>10002.019999999999</v>
      </c>
      <c r="AG612" s="9">
        <v>8001.8276800000003</v>
      </c>
      <c r="AH612" s="11">
        <v>0.44445097638151093</v>
      </c>
      <c r="AI612" s="9">
        <f>SUMIFS(AD612:AD1243, R612:R1243, S612)</f>
        <v>0</v>
      </c>
      <c r="AJ612" s="11" t="e">
        <f>SUMIFS(AD612:AD1243, R612:R1243, S612, AD612:AD1243, "&gt;" &amp; AE612) / AI612</f>
        <v>#DIV/0!</v>
      </c>
      <c r="AK612" s="7" t="e">
        <f>IF(AJ612&lt;=0.8,"A",IF(Table2[[#This Row],[Cumulative rev]]&lt;=0.95,"B","C"))</f>
        <v>#DIV/0!</v>
      </c>
    </row>
    <row r="613" spans="1:37" x14ac:dyDescent="0.3">
      <c r="A613" t="s">
        <v>626</v>
      </c>
      <c r="B613" s="4">
        <v>45584</v>
      </c>
      <c r="C613" s="4" t="s">
        <v>2082</v>
      </c>
      <c r="D613" s="4" t="s">
        <v>2083</v>
      </c>
      <c r="E613" s="4">
        <v>45602</v>
      </c>
      <c r="F613" t="s">
        <v>2064</v>
      </c>
      <c r="G613" s="4">
        <v>45602</v>
      </c>
      <c r="H613" s="4">
        <f>_xlfn.MINIFS(B613:B1244, N613:N1244, N613)</f>
        <v>45584</v>
      </c>
      <c r="I613" s="4" t="str">
        <f t="shared" si="18"/>
        <v>Oct-2024</v>
      </c>
      <c r="J613" s="13">
        <f t="shared" si="19"/>
        <v>1</v>
      </c>
      <c r="K613" s="13">
        <v>18</v>
      </c>
      <c r="L613" s="30" t="str">
        <f>IF(Table2[[#This Row],[LeadTimeDays]]&lt;7,"1","0")</f>
        <v>0</v>
      </c>
      <c r="M613" s="7" t="s">
        <v>648</v>
      </c>
      <c r="N613" s="7" t="s">
        <v>1425</v>
      </c>
      <c r="O613" s="7" t="s">
        <v>677</v>
      </c>
      <c r="P613" s="7" t="s">
        <v>702</v>
      </c>
      <c r="Q613" s="7" t="s">
        <v>2057</v>
      </c>
      <c r="R613" s="7" t="s">
        <v>712</v>
      </c>
      <c r="S613" s="7" t="s">
        <v>732</v>
      </c>
      <c r="T613" s="7" t="s">
        <v>2037</v>
      </c>
      <c r="U613" s="9">
        <v>942.02</v>
      </c>
      <c r="V613" s="9">
        <v>1028.46</v>
      </c>
      <c r="W613" s="9">
        <v>1028.46</v>
      </c>
      <c r="X613" s="9">
        <v>922.88740000000007</v>
      </c>
      <c r="Y613" s="9">
        <v>1718.1738000000003</v>
      </c>
      <c r="Z613" s="9" t="s">
        <v>2092</v>
      </c>
      <c r="AA613" t="s">
        <v>2065</v>
      </c>
      <c r="AB613" s="11">
        <v>0</v>
      </c>
      <c r="AC613" t="s">
        <v>2065</v>
      </c>
      <c r="AD613" s="13">
        <v>9</v>
      </c>
      <c r="AE613" s="9">
        <v>9256.14</v>
      </c>
      <c r="AF613" s="9">
        <v>8478.18</v>
      </c>
      <c r="AG613" s="9">
        <v>777.95999999999913</v>
      </c>
      <c r="AH613" s="11">
        <v>8.4047994088248354E-2</v>
      </c>
      <c r="AI613" s="9">
        <f>SUMIFS(AD613:AD1244, R613:R1244, S613)</f>
        <v>0</v>
      </c>
      <c r="AJ613" s="11" t="e">
        <f>SUMIFS(AD613:AD1244, R613:R1244, S613, AD613:AD1244, "&gt;" &amp; AE613) / AI613</f>
        <v>#DIV/0!</v>
      </c>
      <c r="AK613" s="7" t="e">
        <f>IF(AJ613&lt;=0.8,"A",IF(Table2[[#This Row],[Cumulative rev]]&lt;=0.95,"B","C"))</f>
        <v>#DIV/0!</v>
      </c>
    </row>
    <row r="614" spans="1:37" x14ac:dyDescent="0.3">
      <c r="A614" t="s">
        <v>627</v>
      </c>
      <c r="B614" s="4">
        <v>45468</v>
      </c>
      <c r="C614" s="4" t="s">
        <v>2109</v>
      </c>
      <c r="D614" s="4" t="s">
        <v>2094</v>
      </c>
      <c r="E614" s="4">
        <v>45473</v>
      </c>
      <c r="F614" t="s">
        <v>2064</v>
      </c>
      <c r="G614" s="4">
        <v>45473</v>
      </c>
      <c r="H614" s="4">
        <f>_xlfn.MINIFS(B614:B1245, N614:N1245, N614)</f>
        <v>45177</v>
      </c>
      <c r="I614" s="4" t="str">
        <f t="shared" si="18"/>
        <v>Sep-2023</v>
      </c>
      <c r="J614" s="13">
        <f t="shared" si="19"/>
        <v>10</v>
      </c>
      <c r="K614" s="13">
        <v>5</v>
      </c>
      <c r="L614" s="30" t="str">
        <f>IF(Table2[[#This Row],[LeadTimeDays]]&lt;7,"1","0")</f>
        <v>1</v>
      </c>
      <c r="M614" s="7" t="s">
        <v>646</v>
      </c>
      <c r="N614" s="7" t="s">
        <v>650</v>
      </c>
      <c r="O614" s="7" t="s">
        <v>662</v>
      </c>
      <c r="P614" s="7" t="s">
        <v>702</v>
      </c>
      <c r="Q614" s="7" t="s">
        <v>711</v>
      </c>
      <c r="R614" s="7" t="s">
        <v>724</v>
      </c>
      <c r="S614" s="7" t="s">
        <v>729</v>
      </c>
      <c r="T614" s="7" t="s">
        <v>2038</v>
      </c>
      <c r="U614" s="9">
        <v>1323.55</v>
      </c>
      <c r="V614" s="9">
        <v>3230.35</v>
      </c>
      <c r="W614" s="9">
        <v>3230.35</v>
      </c>
      <c r="X614" s="9">
        <v>899.9914</v>
      </c>
      <c r="Y614" s="9">
        <v>1818.4636</v>
      </c>
      <c r="Z614" s="9" t="s">
        <v>2095</v>
      </c>
      <c r="AA614" t="s">
        <v>2065</v>
      </c>
      <c r="AB614" s="11">
        <v>2.1999999999999999E-2</v>
      </c>
      <c r="AC614" t="s">
        <v>2065</v>
      </c>
      <c r="AD614" s="13">
        <v>26</v>
      </c>
      <c r="AE614" s="9">
        <v>82141.339799999987</v>
      </c>
      <c r="AF614" s="9">
        <v>34412.299999999996</v>
      </c>
      <c r="AG614" s="9">
        <v>47729.039799999991</v>
      </c>
      <c r="AH614" s="11">
        <v>0.58105991351263542</v>
      </c>
      <c r="AI614" s="9">
        <f>SUMIFS(AD614:AD1245, R614:R1245, S614)</f>
        <v>0</v>
      </c>
      <c r="AJ614" s="11" t="e">
        <f>SUMIFS(AD614:AD1245, R614:R1245, S614, AD614:AD1245, "&gt;" &amp; AE614) / AI614</f>
        <v>#DIV/0!</v>
      </c>
      <c r="AK614" s="7" t="e">
        <f>IF(AJ614&lt;=0.8,"A",IF(Table2[[#This Row],[Cumulative rev]]&lt;=0.95,"B","C"))</f>
        <v>#DIV/0!</v>
      </c>
    </row>
    <row r="615" spans="1:37" x14ac:dyDescent="0.3">
      <c r="A615" t="s">
        <v>628</v>
      </c>
      <c r="B615" s="4">
        <v>45137</v>
      </c>
      <c r="C615" s="4" t="s">
        <v>2116</v>
      </c>
      <c r="D615" s="4" t="s">
        <v>2117</v>
      </c>
      <c r="E615" s="4">
        <v>45157</v>
      </c>
      <c r="F615" t="s">
        <v>2064</v>
      </c>
      <c r="G615" s="4">
        <v>45157</v>
      </c>
      <c r="H615" s="4">
        <f>_xlfn.MINIFS(B615:B1246, N615:N1246, N615)</f>
        <v>45137</v>
      </c>
      <c r="I615" s="4" t="str">
        <f t="shared" si="18"/>
        <v>Jul-2023</v>
      </c>
      <c r="J615" s="13">
        <f t="shared" si="19"/>
        <v>1</v>
      </c>
      <c r="K615" s="13">
        <v>20</v>
      </c>
      <c r="L615" s="30" t="str">
        <f>IF(Table2[[#This Row],[LeadTimeDays]]&lt;7,"1","0")</f>
        <v>0</v>
      </c>
      <c r="M615" s="7" t="s">
        <v>649</v>
      </c>
      <c r="N615" s="7" t="s">
        <v>657</v>
      </c>
      <c r="O615" s="7" t="s">
        <v>690</v>
      </c>
      <c r="P615" s="7" t="s">
        <v>706</v>
      </c>
      <c r="Q615" s="7" t="s">
        <v>709</v>
      </c>
      <c r="R615" s="7" t="s">
        <v>715</v>
      </c>
      <c r="S615" s="7" t="s">
        <v>729</v>
      </c>
      <c r="T615" s="7" t="s">
        <v>2039</v>
      </c>
      <c r="U615" s="9">
        <v>1418.51</v>
      </c>
      <c r="V615" s="9">
        <v>2789.61</v>
      </c>
      <c r="W615" s="9">
        <v>2789.61</v>
      </c>
      <c r="X615" s="9">
        <v>886.35910000000001</v>
      </c>
      <c r="Y615" s="9">
        <v>1623.7834000000003</v>
      </c>
      <c r="Z615" s="9" t="s">
        <v>2095</v>
      </c>
      <c r="AA615" t="s">
        <v>2065</v>
      </c>
      <c r="AB615" s="11">
        <v>0.17100000000000001</v>
      </c>
      <c r="AC615" t="s">
        <v>2065</v>
      </c>
      <c r="AD615" s="13">
        <v>8</v>
      </c>
      <c r="AE615" s="9">
        <v>18500.693520000001</v>
      </c>
      <c r="AF615" s="9">
        <v>11348.08</v>
      </c>
      <c r="AG615" s="9">
        <v>7152.6135200000008</v>
      </c>
      <c r="AH615" s="11">
        <v>0.38661326464695689</v>
      </c>
      <c r="AI615" s="9">
        <f>SUMIFS(AD615:AD1246, R615:R1246, S615)</f>
        <v>0</v>
      </c>
      <c r="AJ615" s="11" t="e">
        <f>SUMIFS(AD615:AD1246, R615:R1246, S615, AD615:AD1246, "&gt;" &amp; AE615) / AI615</f>
        <v>#DIV/0!</v>
      </c>
      <c r="AK615" s="7" t="e">
        <f>IF(AJ615&lt;=0.8,"A",IF(Table2[[#This Row],[Cumulative rev]]&lt;=0.95,"B","C"))</f>
        <v>#DIV/0!</v>
      </c>
    </row>
    <row r="616" spans="1:37" x14ac:dyDescent="0.3">
      <c r="A616" t="s">
        <v>629</v>
      </c>
      <c r="B616" s="4">
        <v>45727</v>
      </c>
      <c r="C616" s="4" t="s">
        <v>2086</v>
      </c>
      <c r="D616" s="4" t="s">
        <v>2087</v>
      </c>
      <c r="E616" s="4">
        <v>45743</v>
      </c>
      <c r="F616" t="s">
        <v>2064</v>
      </c>
      <c r="G616" s="4">
        <v>45743</v>
      </c>
      <c r="H616" s="4">
        <f>_xlfn.MINIFS(B616:B1247, N616:N1247, N616)</f>
        <v>45249</v>
      </c>
      <c r="I616" s="4" t="str">
        <f t="shared" si="18"/>
        <v>Nov-2023</v>
      </c>
      <c r="J616" s="13">
        <f t="shared" si="19"/>
        <v>16</v>
      </c>
      <c r="K616" s="13">
        <v>16</v>
      </c>
      <c r="L616" s="30" t="str">
        <f>IF(Table2[[#This Row],[LeadTimeDays]]&lt;7,"1","0")</f>
        <v>0</v>
      </c>
      <c r="M616" s="7" t="s">
        <v>647</v>
      </c>
      <c r="N616" s="7" t="s">
        <v>652</v>
      </c>
      <c r="O616" s="7" t="s">
        <v>689</v>
      </c>
      <c r="P616" s="7" t="s">
        <v>706</v>
      </c>
      <c r="Q616" s="7" t="s">
        <v>710</v>
      </c>
      <c r="R616" s="7" t="s">
        <v>717</v>
      </c>
      <c r="S616" s="7" t="s">
        <v>728</v>
      </c>
      <c r="T616" s="7" t="s">
        <v>2040</v>
      </c>
      <c r="U616" s="9">
        <v>1317.58</v>
      </c>
      <c r="V616" s="9">
        <v>1897.74</v>
      </c>
      <c r="W616" s="9">
        <v>1897.74</v>
      </c>
      <c r="X616" s="9">
        <v>872.72680000000003</v>
      </c>
      <c r="Y616" s="9">
        <v>1504.616</v>
      </c>
      <c r="Z616" s="9" t="s">
        <v>2095</v>
      </c>
      <c r="AA616" t="s">
        <v>2065</v>
      </c>
      <c r="AB616" s="11">
        <v>8.1000000000000003E-2</v>
      </c>
      <c r="AC616" t="s">
        <v>2065</v>
      </c>
      <c r="AD616" s="13">
        <v>6</v>
      </c>
      <c r="AE616" s="9">
        <v>10464.138360000001</v>
      </c>
      <c r="AF616" s="9">
        <v>7905.48</v>
      </c>
      <c r="AG616" s="9">
        <v>2558.6583600000013</v>
      </c>
      <c r="AH616" s="11">
        <v>0.24451687009230266</v>
      </c>
      <c r="AI616" s="9">
        <f>SUMIFS(AD616:AD1247, R616:R1247, S616)</f>
        <v>0</v>
      </c>
      <c r="AJ616" s="11" t="e">
        <f>SUMIFS(AD616:AD1247, R616:R1247, S616, AD616:AD1247, "&gt;" &amp; AE616) / AI616</f>
        <v>#DIV/0!</v>
      </c>
      <c r="AK616" s="7" t="e">
        <f>IF(AJ616&lt;=0.8,"A",IF(Table2[[#This Row],[Cumulative rev]]&lt;=0.95,"B","C"))</f>
        <v>#DIV/0!</v>
      </c>
    </row>
    <row r="617" spans="1:37" x14ac:dyDescent="0.3">
      <c r="A617" t="s">
        <v>630</v>
      </c>
      <c r="B617" s="4">
        <v>45208</v>
      </c>
      <c r="C617" s="4" t="s">
        <v>2125</v>
      </c>
      <c r="D617" s="4" t="s">
        <v>2089</v>
      </c>
      <c r="E617" s="4">
        <v>45210</v>
      </c>
      <c r="F617" t="s">
        <v>2064</v>
      </c>
      <c r="G617" s="4">
        <v>45210</v>
      </c>
      <c r="H617" s="4">
        <f>_xlfn.MINIFS(B617:B1248, N617:N1248, N617)</f>
        <v>45208</v>
      </c>
      <c r="I617" s="4" t="str">
        <f t="shared" si="18"/>
        <v>Oct-2023</v>
      </c>
      <c r="J617" s="13">
        <f t="shared" si="19"/>
        <v>1</v>
      </c>
      <c r="K617" s="13">
        <v>2</v>
      </c>
      <c r="L617" s="30" t="str">
        <f>IF(Table2[[#This Row],[LeadTimeDays]]&lt;7,"1","0")</f>
        <v>1</v>
      </c>
      <c r="M617" s="7" t="s">
        <v>646</v>
      </c>
      <c r="N617" s="7" t="s">
        <v>651</v>
      </c>
      <c r="O617" s="7" t="s">
        <v>663</v>
      </c>
      <c r="P617" s="7" t="s">
        <v>702</v>
      </c>
      <c r="Q617" s="7" t="s">
        <v>709</v>
      </c>
      <c r="R617" s="7" t="s">
        <v>723</v>
      </c>
      <c r="S617" s="7" t="s">
        <v>729</v>
      </c>
      <c r="T617" s="7" t="s">
        <v>2041</v>
      </c>
      <c r="U617" s="9">
        <v>391.16</v>
      </c>
      <c r="V617" s="9">
        <v>902.47</v>
      </c>
      <c r="W617" s="9">
        <v>902.47</v>
      </c>
      <c r="X617" s="9">
        <v>845.38800000000003</v>
      </c>
      <c r="Y617" s="9">
        <v>1400.654</v>
      </c>
      <c r="Z617" s="9" t="s">
        <v>2092</v>
      </c>
      <c r="AA617" t="s">
        <v>2065</v>
      </c>
      <c r="AB617" s="11">
        <v>4.0000000000000001E-3</v>
      </c>
      <c r="AC617" t="s">
        <v>2065</v>
      </c>
      <c r="AD617" s="13">
        <v>12</v>
      </c>
      <c r="AE617" s="9">
        <v>10786.32144</v>
      </c>
      <c r="AF617" s="9">
        <v>4693.92</v>
      </c>
      <c r="AG617" s="9">
        <v>6092.4014399999996</v>
      </c>
      <c r="AH617" s="11">
        <v>0.56482661618139207</v>
      </c>
      <c r="AI617" s="9">
        <f>SUMIFS(AD617:AD1248, R617:R1248, S617)</f>
        <v>0</v>
      </c>
      <c r="AJ617" s="11" t="e">
        <f>SUMIFS(AD617:AD1248, R617:R1248, S617, AD617:AD1248, "&gt;" &amp; AE617) / AI617</f>
        <v>#DIV/0!</v>
      </c>
      <c r="AK617" s="7" t="e">
        <f>IF(AJ617&lt;=0.8,"A",IF(Table2[[#This Row],[Cumulative rev]]&lt;=0.95,"B","C"))</f>
        <v>#DIV/0!</v>
      </c>
    </row>
    <row r="618" spans="1:37" x14ac:dyDescent="0.3">
      <c r="A618" t="s">
        <v>631</v>
      </c>
      <c r="B618" s="4">
        <v>45643</v>
      </c>
      <c r="C618" s="4" t="s">
        <v>2091</v>
      </c>
      <c r="D618" s="4" t="s">
        <v>2083</v>
      </c>
      <c r="E618" s="4">
        <v>45673</v>
      </c>
      <c r="F618" t="s">
        <v>2064</v>
      </c>
      <c r="G618" s="4">
        <v>45673</v>
      </c>
      <c r="H618" s="4">
        <f>_xlfn.MINIFS(B618:B1249, N618:N1249, N618)</f>
        <v>45643</v>
      </c>
      <c r="I618" s="4" t="str">
        <f t="shared" si="18"/>
        <v>Dec-2024</v>
      </c>
      <c r="J618" s="13">
        <f t="shared" si="19"/>
        <v>1</v>
      </c>
      <c r="K618" s="13">
        <v>30</v>
      </c>
      <c r="L618" s="30" t="str">
        <f>IF(Table2[[#This Row],[LeadTimeDays]]&lt;7,"1","0")</f>
        <v>0</v>
      </c>
      <c r="M618" s="7" t="s">
        <v>649</v>
      </c>
      <c r="N618" s="7" t="s">
        <v>658</v>
      </c>
      <c r="O618" s="7" t="s">
        <v>693</v>
      </c>
      <c r="P618" s="7" t="s">
        <v>701</v>
      </c>
      <c r="Q618" s="7" t="s">
        <v>707</v>
      </c>
      <c r="R618" s="7" t="s">
        <v>726</v>
      </c>
      <c r="S618" s="7" t="s">
        <v>732</v>
      </c>
      <c r="T618" s="7" t="s">
        <v>2042</v>
      </c>
      <c r="U618" s="9">
        <v>722.87</v>
      </c>
      <c r="V618" s="9">
        <v>-33.659999999999997</v>
      </c>
      <c r="W618" s="9">
        <v>33.659999999999997</v>
      </c>
      <c r="X618" s="9">
        <v>741.29280000000006</v>
      </c>
      <c r="Y618" s="9">
        <v>1465.144</v>
      </c>
      <c r="Z618" s="9" t="s">
        <v>2081</v>
      </c>
      <c r="AA618" t="s">
        <v>2067</v>
      </c>
      <c r="AB618" s="11">
        <v>0.10199999999999999</v>
      </c>
      <c r="AC618" t="s">
        <v>2065</v>
      </c>
      <c r="AD618" s="13">
        <v>28</v>
      </c>
      <c r="AE618" s="9">
        <v>846.34703999999988</v>
      </c>
      <c r="AF618" s="9">
        <v>20240.36</v>
      </c>
      <c r="AG618" s="9">
        <v>-19394.01296</v>
      </c>
      <c r="AH618" s="11">
        <v>-22.914965189693348</v>
      </c>
      <c r="AI618" s="9">
        <f>SUMIFS(AD618:AD1249, R618:R1249, S618)</f>
        <v>0</v>
      </c>
      <c r="AJ618" s="11" t="e">
        <f>SUMIFS(AD618:AD1249, R618:R1249, S618, AD618:AD1249, "&gt;" &amp; AE618) / AI618</f>
        <v>#DIV/0!</v>
      </c>
      <c r="AK618" s="7" t="e">
        <f>IF(AJ618&lt;=0.8,"A",IF(Table2[[#This Row],[Cumulative rev]]&lt;=0.95,"B","C"))</f>
        <v>#DIV/0!</v>
      </c>
    </row>
    <row r="619" spans="1:37" x14ac:dyDescent="0.3">
      <c r="A619" t="s">
        <v>632</v>
      </c>
      <c r="B619" s="4">
        <v>45849</v>
      </c>
      <c r="C619" s="4" t="s">
        <v>2104</v>
      </c>
      <c r="D619" s="4" t="s">
        <v>2101</v>
      </c>
      <c r="E619" s="4">
        <v>45854</v>
      </c>
      <c r="F619" t="s">
        <v>2064</v>
      </c>
      <c r="G619" s="4">
        <v>45854</v>
      </c>
      <c r="H619" s="4">
        <f>_xlfn.MINIFS(B619:B1250, N619:N1250, N619)</f>
        <v>45849</v>
      </c>
      <c r="I619" s="4" t="str">
        <f t="shared" si="18"/>
        <v>Jul-2025</v>
      </c>
      <c r="J619" s="13">
        <f t="shared" si="19"/>
        <v>1</v>
      </c>
      <c r="K619" s="13">
        <v>5</v>
      </c>
      <c r="L619" s="30" t="str">
        <f>IF(Table2[[#This Row],[LeadTimeDays]]&lt;7,"1","0")</f>
        <v>1</v>
      </c>
      <c r="M619" s="7" t="s">
        <v>649</v>
      </c>
      <c r="N619" s="7" t="s">
        <v>658</v>
      </c>
      <c r="O619" s="7" t="s">
        <v>683</v>
      </c>
      <c r="P619" s="7" t="s">
        <v>706</v>
      </c>
      <c r="Q619" s="7" t="s">
        <v>708</v>
      </c>
      <c r="R619" s="7" t="s">
        <v>723</v>
      </c>
      <c r="S619" s="7" t="s">
        <v>728</v>
      </c>
      <c r="T619" s="7" t="s">
        <v>2043</v>
      </c>
      <c r="U619" s="9">
        <v>930.03</v>
      </c>
      <c r="V619" s="9">
        <v>1086.68</v>
      </c>
      <c r="W619" s="9">
        <v>1086.68</v>
      </c>
      <c r="X619" s="9">
        <v>895.06970000000001</v>
      </c>
      <c r="Y619" s="9">
        <v>1507.0830000000001</v>
      </c>
      <c r="Z619" s="9" t="s">
        <v>2092</v>
      </c>
      <c r="AA619" t="s">
        <v>2065</v>
      </c>
      <c r="AB619" s="11">
        <v>0.109</v>
      </c>
      <c r="AC619" t="s">
        <v>2065</v>
      </c>
      <c r="AD619" s="13">
        <v>26</v>
      </c>
      <c r="AE619" s="9">
        <v>25174.028880000002</v>
      </c>
      <c r="AF619" s="9">
        <v>24180.78</v>
      </c>
      <c r="AG619" s="9">
        <v>993.24888000000283</v>
      </c>
      <c r="AH619" s="11">
        <v>3.9455300728168656E-2</v>
      </c>
      <c r="AI619" s="9">
        <f>SUMIFS(AD619:AD1250, R619:R1250, S619)</f>
        <v>0</v>
      </c>
      <c r="AJ619" s="11" t="e">
        <f>SUMIFS(AD619:AD1250, R619:R1250, S619, AD619:AD1250, "&gt;" &amp; AE619) / AI619</f>
        <v>#DIV/0!</v>
      </c>
      <c r="AK619" s="7" t="e">
        <f>IF(AJ619&lt;=0.8,"A",IF(Table2[[#This Row],[Cumulative rev]]&lt;=0.95,"B","C"))</f>
        <v>#DIV/0!</v>
      </c>
    </row>
    <row r="620" spans="1:37" x14ac:dyDescent="0.3">
      <c r="A620" t="s">
        <v>633</v>
      </c>
      <c r="B620" s="4">
        <v>45578</v>
      </c>
      <c r="C620" s="4" t="s">
        <v>2082</v>
      </c>
      <c r="D620" s="4" t="s">
        <v>2083</v>
      </c>
      <c r="E620" s="4">
        <v>45589</v>
      </c>
      <c r="F620" t="s">
        <v>2064</v>
      </c>
      <c r="G620" s="4">
        <v>45589</v>
      </c>
      <c r="H620" s="4">
        <f>_xlfn.MINIFS(B620:B1251, N620:N1251, N620)</f>
        <v>45578</v>
      </c>
      <c r="I620" s="4" t="str">
        <f t="shared" si="18"/>
        <v>Oct-2024</v>
      </c>
      <c r="J620" s="13">
        <f t="shared" si="19"/>
        <v>1</v>
      </c>
      <c r="K620" s="13">
        <v>11</v>
      </c>
      <c r="L620" s="30" t="str">
        <f>IF(Table2[[#This Row],[LeadTimeDays]]&lt;7,"1","0")</f>
        <v>0</v>
      </c>
      <c r="M620" s="7" t="s">
        <v>649</v>
      </c>
      <c r="N620" s="7" t="s">
        <v>657</v>
      </c>
      <c r="O620" s="7" t="s">
        <v>690</v>
      </c>
      <c r="P620" s="7" t="s">
        <v>702</v>
      </c>
      <c r="Q620" s="7" t="s">
        <v>710</v>
      </c>
      <c r="R620" s="7" t="s">
        <v>721</v>
      </c>
      <c r="S620" s="7" t="s">
        <v>727</v>
      </c>
      <c r="T620" s="7" t="s">
        <v>2044</v>
      </c>
      <c r="U620" s="9">
        <v>816.7</v>
      </c>
      <c r="V620" s="9">
        <v>1010.75</v>
      </c>
      <c r="W620" s="9">
        <v>1010.75</v>
      </c>
      <c r="X620" s="9">
        <v>848.54240000000004</v>
      </c>
      <c r="Y620" s="9">
        <v>1549.0220000000002</v>
      </c>
      <c r="Z620" s="9" t="s">
        <v>2092</v>
      </c>
      <c r="AA620" t="s">
        <v>2065</v>
      </c>
      <c r="AB620" s="11">
        <v>4.7E-2</v>
      </c>
      <c r="AC620" t="s">
        <v>2065</v>
      </c>
      <c r="AD620" s="13">
        <v>43</v>
      </c>
      <c r="AE620" s="9">
        <v>41419.524249999995</v>
      </c>
      <c r="AF620" s="9">
        <v>35118.1</v>
      </c>
      <c r="AG620" s="9">
        <v>6301.4242499999964</v>
      </c>
      <c r="AH620" s="11">
        <v>0.15213656757537472</v>
      </c>
      <c r="AI620" s="9">
        <f>SUMIFS(AD620:AD1251, R620:R1251, S620)</f>
        <v>0</v>
      </c>
      <c r="AJ620" s="11" t="e">
        <f>SUMIFS(AD620:AD1251, R620:R1251, S620, AD620:AD1251, "&gt;" &amp; AE620) / AI620</f>
        <v>#DIV/0!</v>
      </c>
      <c r="AK620" s="7" t="e">
        <f>IF(AJ620&lt;=0.8,"A",IF(Table2[[#This Row],[Cumulative rev]]&lt;=0.95,"B","C"))</f>
        <v>#DIV/0!</v>
      </c>
    </row>
    <row r="621" spans="1:37" x14ac:dyDescent="0.3">
      <c r="A621" t="s">
        <v>634</v>
      </c>
      <c r="B621" s="4">
        <v>45177</v>
      </c>
      <c r="C621" s="4" t="s">
        <v>2120</v>
      </c>
      <c r="D621" s="4" t="s">
        <v>2117</v>
      </c>
      <c r="E621" s="4">
        <v>45183</v>
      </c>
      <c r="F621" t="s">
        <v>2064</v>
      </c>
      <c r="G621" s="4">
        <v>45183</v>
      </c>
      <c r="H621" s="4">
        <f>_xlfn.MINIFS(B621:B1252, N621:N1252, N621)</f>
        <v>45177</v>
      </c>
      <c r="I621" s="4" t="str">
        <f t="shared" si="18"/>
        <v>Sep-2023</v>
      </c>
      <c r="J621" s="13">
        <f t="shared" si="19"/>
        <v>1</v>
      </c>
      <c r="K621" s="13">
        <v>6</v>
      </c>
      <c r="L621" s="30" t="str">
        <f>IF(Table2[[#This Row],[LeadTimeDays]]&lt;7,"1","0")</f>
        <v>1</v>
      </c>
      <c r="M621" s="7" t="s">
        <v>646</v>
      </c>
      <c r="N621" s="7" t="s">
        <v>650</v>
      </c>
      <c r="O621" s="7" t="s">
        <v>678</v>
      </c>
      <c r="P621" s="7" t="s">
        <v>702</v>
      </c>
      <c r="Q621" s="7" t="s">
        <v>711</v>
      </c>
      <c r="R621" s="7" t="s">
        <v>714</v>
      </c>
      <c r="S621" s="7" t="s">
        <v>733</v>
      </c>
      <c r="T621" s="7" t="s">
        <v>2045</v>
      </c>
      <c r="U621" s="9">
        <v>251.03</v>
      </c>
      <c r="V621" s="9">
        <v>411.48</v>
      </c>
      <c r="W621" s="9">
        <v>411.48</v>
      </c>
      <c r="X621" s="9">
        <v>744.44720000000029</v>
      </c>
      <c r="Y621" s="9">
        <v>1635.5822000000005</v>
      </c>
      <c r="Z621" s="9" t="s">
        <v>2081</v>
      </c>
      <c r="AA621" t="s">
        <v>2065</v>
      </c>
      <c r="AB621" s="11">
        <v>0.16500000000000001</v>
      </c>
      <c r="AC621" t="s">
        <v>2065</v>
      </c>
      <c r="AD621" s="13">
        <v>3</v>
      </c>
      <c r="AE621" s="9">
        <v>1030.7574</v>
      </c>
      <c r="AF621" s="9">
        <v>753.09</v>
      </c>
      <c r="AG621" s="9">
        <v>277.66739999999993</v>
      </c>
      <c r="AH621" s="11">
        <v>0.26938191275658069</v>
      </c>
      <c r="AI621" s="9">
        <f>SUMIFS(AD621:AD1252, R621:R1252, S621)</f>
        <v>0</v>
      </c>
      <c r="AJ621" s="11" t="e">
        <f>SUMIFS(AD621:AD1252, R621:R1252, S621, AD621:AD1252, "&gt;" &amp; AE621) / AI621</f>
        <v>#DIV/0!</v>
      </c>
      <c r="AK621" s="7" t="e">
        <f>IF(AJ621&lt;=0.8,"A",IF(Table2[[#This Row],[Cumulative rev]]&lt;=0.95,"B","C"))</f>
        <v>#DIV/0!</v>
      </c>
    </row>
    <row r="622" spans="1:37" x14ac:dyDescent="0.3">
      <c r="A622" t="s">
        <v>635</v>
      </c>
      <c r="B622" s="4">
        <v>45764</v>
      </c>
      <c r="C622" s="4" t="s">
        <v>2111</v>
      </c>
      <c r="D622" s="4" t="s">
        <v>2097</v>
      </c>
      <c r="E622" s="4">
        <v>45780</v>
      </c>
      <c r="F622" t="s">
        <v>2064</v>
      </c>
      <c r="G622" s="4">
        <v>45780</v>
      </c>
      <c r="H622" s="4">
        <f>_xlfn.MINIFS(B622:B1253, N622:N1253, N622)</f>
        <v>45764</v>
      </c>
      <c r="I622" s="4" t="str">
        <f t="shared" si="18"/>
        <v>Apr-2025</v>
      </c>
      <c r="J622" s="13">
        <f t="shared" si="19"/>
        <v>1</v>
      </c>
      <c r="K622" s="13">
        <v>16</v>
      </c>
      <c r="L622" s="30" t="str">
        <f>IF(Table2[[#This Row],[LeadTimeDays]]&lt;7,"1","0")</f>
        <v>0</v>
      </c>
      <c r="M622" s="7" t="s">
        <v>648</v>
      </c>
      <c r="N622" s="7" t="s">
        <v>655</v>
      </c>
      <c r="O622" s="7" t="s">
        <v>1426</v>
      </c>
      <c r="P622" s="7" t="s">
        <v>704</v>
      </c>
      <c r="Q622" s="7" t="s">
        <v>709</v>
      </c>
      <c r="R622" s="7" t="s">
        <v>713</v>
      </c>
      <c r="S622" s="7" t="s">
        <v>729</v>
      </c>
      <c r="T622" s="7" t="s">
        <v>2046</v>
      </c>
      <c r="U622" s="9">
        <v>168.68</v>
      </c>
      <c r="V622" s="9">
        <v>413.34</v>
      </c>
      <c r="W622" s="9">
        <v>413.34</v>
      </c>
      <c r="X622" s="9">
        <v>896.23900000000003</v>
      </c>
      <c r="Y622" s="9">
        <v>1735.8720000000001</v>
      </c>
      <c r="Z622" s="9" t="s">
        <v>2081</v>
      </c>
      <c r="AA622" t="s">
        <v>2065</v>
      </c>
      <c r="AB622" s="11">
        <v>0.186</v>
      </c>
      <c r="AC622" t="s">
        <v>2065</v>
      </c>
      <c r="AD622" s="13">
        <v>7</v>
      </c>
      <c r="AE622" s="9">
        <v>2355.2113199999999</v>
      </c>
      <c r="AF622" s="9">
        <v>1180.76</v>
      </c>
      <c r="AG622" s="9">
        <v>1174.4513199999999</v>
      </c>
      <c r="AH622" s="11">
        <v>0.49866069767361682</v>
      </c>
      <c r="AI622" s="9">
        <f>SUMIFS(AD622:AD1253, R622:R1253, S622)</f>
        <v>0</v>
      </c>
      <c r="AJ622" s="11" t="e">
        <f>SUMIFS(AD622:AD1253, R622:R1253, S622, AD622:AD1253, "&gt;" &amp; AE622) / AI622</f>
        <v>#DIV/0!</v>
      </c>
      <c r="AK622" s="7" t="e">
        <f>IF(AJ622&lt;=0.8,"A",IF(Table2[[#This Row],[Cumulative rev]]&lt;=0.95,"B","C"))</f>
        <v>#DIV/0!</v>
      </c>
    </row>
    <row r="623" spans="1:37" x14ac:dyDescent="0.3">
      <c r="A623" t="s">
        <v>636</v>
      </c>
      <c r="B623" s="4">
        <v>45501</v>
      </c>
      <c r="C623" s="4" t="s">
        <v>2105</v>
      </c>
      <c r="D623" s="4" t="s">
        <v>2106</v>
      </c>
      <c r="E623" s="4">
        <v>45527</v>
      </c>
      <c r="F623" t="s">
        <v>2064</v>
      </c>
      <c r="G623" s="4">
        <v>45527</v>
      </c>
      <c r="H623" s="4">
        <f>_xlfn.MINIFS(B623:B1254, N623:N1254, N623)</f>
        <v>45249</v>
      </c>
      <c r="I623" s="4" t="str">
        <f t="shared" si="18"/>
        <v>Nov-2023</v>
      </c>
      <c r="J623" s="13">
        <f t="shared" si="19"/>
        <v>9</v>
      </c>
      <c r="K623" s="13">
        <v>26</v>
      </c>
      <c r="L623" s="30" t="str">
        <f>IF(Table2[[#This Row],[LeadTimeDays]]&lt;7,"1","0")</f>
        <v>0</v>
      </c>
      <c r="M623" s="7" t="s">
        <v>647</v>
      </c>
      <c r="N623" s="7" t="s">
        <v>654</v>
      </c>
      <c r="O623" s="7" t="s">
        <v>696</v>
      </c>
      <c r="P623" s="7" t="s">
        <v>701</v>
      </c>
      <c r="Q623" s="7" t="s">
        <v>707</v>
      </c>
      <c r="R623" s="7" t="s">
        <v>713</v>
      </c>
      <c r="S623" s="7" t="s">
        <v>729</v>
      </c>
      <c r="T623" s="7" t="s">
        <v>2047</v>
      </c>
      <c r="U623" s="9">
        <v>1339.24</v>
      </c>
      <c r="V623" s="9">
        <v>1558.89</v>
      </c>
      <c r="W623" s="9">
        <v>1558.89</v>
      </c>
      <c r="X623" s="9">
        <v>974.58210000000008</v>
      </c>
      <c r="Y623" s="9">
        <v>1836.1618000000001</v>
      </c>
      <c r="Z623" s="9" t="s">
        <v>2092</v>
      </c>
      <c r="AA623" t="s">
        <v>2065</v>
      </c>
      <c r="AB623" s="11">
        <v>0.192</v>
      </c>
      <c r="AC623" t="s">
        <v>2065</v>
      </c>
      <c r="AD623" s="13">
        <v>24</v>
      </c>
      <c r="AE623" s="9">
        <v>30229.994880000002</v>
      </c>
      <c r="AF623" s="9">
        <v>32141.760000000002</v>
      </c>
      <c r="AG623" s="9">
        <v>-1911.76512</v>
      </c>
      <c r="AH623" s="11">
        <v>-6.3240669659021781E-2</v>
      </c>
      <c r="AI623" s="9">
        <f>SUMIFS(AD623:AD1254, R623:R1254, S623)</f>
        <v>0</v>
      </c>
      <c r="AJ623" s="11" t="e">
        <f>SUMIFS(AD623:AD1254, R623:R1254, S623, AD623:AD1254, "&gt;" &amp; AE623) / AI623</f>
        <v>#DIV/0!</v>
      </c>
      <c r="AK623" s="7" t="e">
        <f>IF(AJ623&lt;=0.8,"A",IF(Table2[[#This Row],[Cumulative rev]]&lt;=0.95,"B","C"))</f>
        <v>#DIV/0!</v>
      </c>
    </row>
    <row r="624" spans="1:37" x14ac:dyDescent="0.3">
      <c r="A624" t="s">
        <v>637</v>
      </c>
      <c r="B624" s="4">
        <v>45857</v>
      </c>
      <c r="C624" s="4" t="s">
        <v>2104</v>
      </c>
      <c r="D624" s="4" t="s">
        <v>2101</v>
      </c>
      <c r="E624" s="4">
        <v>45869</v>
      </c>
      <c r="F624" t="s">
        <v>2064</v>
      </c>
      <c r="G624" s="4">
        <v>45869</v>
      </c>
      <c r="H624" s="4">
        <f>_xlfn.MINIFS(B624:B1255, N624:N1255, N624)</f>
        <v>45857</v>
      </c>
      <c r="I624" s="4" t="str">
        <f t="shared" si="18"/>
        <v>Jul-2025</v>
      </c>
      <c r="J624" s="13">
        <f t="shared" si="19"/>
        <v>1</v>
      </c>
      <c r="K624" s="13">
        <v>12</v>
      </c>
      <c r="L624" s="30" t="str">
        <f>IF(Table2[[#This Row],[LeadTimeDays]]&lt;7,"1","0")</f>
        <v>0</v>
      </c>
      <c r="M624" s="7" t="s">
        <v>646</v>
      </c>
      <c r="N624" s="7" t="s">
        <v>650</v>
      </c>
      <c r="O624" s="7" t="s">
        <v>664</v>
      </c>
      <c r="P624" s="7" t="s">
        <v>705</v>
      </c>
      <c r="Q624" s="7" t="s">
        <v>709</v>
      </c>
      <c r="R624" s="7" t="s">
        <v>719</v>
      </c>
      <c r="S624" s="7" t="s">
        <v>733</v>
      </c>
      <c r="T624" s="7" t="s">
        <v>2048</v>
      </c>
      <c r="U624" s="9">
        <v>619.64</v>
      </c>
      <c r="V624" s="9">
        <v>861.16</v>
      </c>
      <c r="W624" s="9">
        <v>861.16</v>
      </c>
      <c r="X624" s="9">
        <v>935.99520000000007</v>
      </c>
      <c r="Y624" s="9">
        <v>1977.7292</v>
      </c>
      <c r="Z624" s="9" t="s">
        <v>2081</v>
      </c>
      <c r="AA624" t="s">
        <v>2065</v>
      </c>
      <c r="AB624" s="11">
        <v>0.113</v>
      </c>
      <c r="AC624" t="s">
        <v>2065</v>
      </c>
      <c r="AD624" s="13">
        <v>14</v>
      </c>
      <c r="AE624" s="9">
        <v>10693.88488</v>
      </c>
      <c r="AF624" s="9">
        <v>8674.9599999999991</v>
      </c>
      <c r="AG624" s="9">
        <v>2018.9248800000005</v>
      </c>
      <c r="AH624" s="11">
        <v>0.18879246435276761</v>
      </c>
      <c r="AI624" s="9">
        <f>SUMIFS(AD624:AD1255, R624:R1255, S624)</f>
        <v>0</v>
      </c>
      <c r="AJ624" s="11" t="e">
        <f>SUMIFS(AD624:AD1255, R624:R1255, S624, AD624:AD1255, "&gt;" &amp; AE624) / AI624</f>
        <v>#DIV/0!</v>
      </c>
      <c r="AK624" s="7" t="e">
        <f>IF(AJ624&lt;=0.8,"A",IF(Table2[[#This Row],[Cumulative rev]]&lt;=0.95,"B","C"))</f>
        <v>#DIV/0!</v>
      </c>
    </row>
    <row r="625" spans="1:37" x14ac:dyDescent="0.3">
      <c r="A625" t="s">
        <v>638</v>
      </c>
      <c r="B625" s="4">
        <v>45141</v>
      </c>
      <c r="C625" s="4" t="s">
        <v>2118</v>
      </c>
      <c r="D625" s="4" t="s">
        <v>2117</v>
      </c>
      <c r="E625" s="4">
        <v>45140</v>
      </c>
      <c r="F625" t="s">
        <v>2066</v>
      </c>
      <c r="G625" s="4">
        <v>45141</v>
      </c>
      <c r="H625" s="4">
        <f>_xlfn.MINIFS(B625:B1256, N625:N1256, N625)</f>
        <v>45141</v>
      </c>
      <c r="I625" s="4" t="str">
        <f t="shared" si="18"/>
        <v>Aug-2023</v>
      </c>
      <c r="J625" s="13">
        <f t="shared" si="19"/>
        <v>1</v>
      </c>
      <c r="K625" s="13">
        <v>0</v>
      </c>
      <c r="L625" s="30" t="str">
        <f>IF(Table2[[#This Row],[LeadTimeDays]]&lt;7,"1","0")</f>
        <v>1</v>
      </c>
      <c r="M625" s="7" t="s">
        <v>647</v>
      </c>
      <c r="N625" s="7" t="s">
        <v>659</v>
      </c>
      <c r="O625" s="7" t="s">
        <v>685</v>
      </c>
      <c r="P625" s="7" t="s">
        <v>703</v>
      </c>
      <c r="Q625" s="7" t="s">
        <v>711</v>
      </c>
      <c r="R625" s="7" t="s">
        <v>713</v>
      </c>
      <c r="S625" s="7" t="s">
        <v>729</v>
      </c>
      <c r="T625" s="7" t="s">
        <v>2049</v>
      </c>
      <c r="U625" s="9">
        <v>1021.97</v>
      </c>
      <c r="V625" s="9">
        <v>2296.25</v>
      </c>
      <c r="W625" s="9">
        <v>2296.25</v>
      </c>
      <c r="X625" s="9">
        <v>1119.8995</v>
      </c>
      <c r="Y625" s="9">
        <v>2128.1417999999999</v>
      </c>
      <c r="Z625" s="9" t="s">
        <v>2095</v>
      </c>
      <c r="AA625" t="s">
        <v>2065</v>
      </c>
      <c r="AB625" s="11">
        <v>0.161</v>
      </c>
      <c r="AC625" t="s">
        <v>2065</v>
      </c>
      <c r="AD625" s="13">
        <v>26</v>
      </c>
      <c r="AE625" s="9">
        <v>50090.397499999999</v>
      </c>
      <c r="AF625" s="9">
        <v>26571.22</v>
      </c>
      <c r="AG625" s="9">
        <v>23519.177499999998</v>
      </c>
      <c r="AH625" s="11">
        <v>0.46953465482081669</v>
      </c>
      <c r="AI625" s="9">
        <f>SUMIFS(AD625:AD1256, R625:R1256, S625)</f>
        <v>0</v>
      </c>
      <c r="AJ625" s="11" t="e">
        <f>SUMIFS(AD625:AD1256, R625:R1256, S625, AD625:AD1256, "&gt;" &amp; AE625) / AI625</f>
        <v>#DIV/0!</v>
      </c>
      <c r="AK625" s="7" t="e">
        <f>IF(AJ625&lt;=0.8,"A",IF(Table2[[#This Row],[Cumulative rev]]&lt;=0.95,"B","C"))</f>
        <v>#DIV/0!</v>
      </c>
    </row>
    <row r="626" spans="1:37" x14ac:dyDescent="0.3">
      <c r="A626" t="s">
        <v>639</v>
      </c>
      <c r="B626" s="4">
        <v>45249</v>
      </c>
      <c r="C626" s="4" t="s">
        <v>2123</v>
      </c>
      <c r="D626" s="4" t="s">
        <v>2089</v>
      </c>
      <c r="E626" s="4">
        <v>45272</v>
      </c>
      <c r="F626" t="s">
        <v>2064</v>
      </c>
      <c r="G626" s="4">
        <v>45272</v>
      </c>
      <c r="H626" s="4">
        <f>_xlfn.MINIFS(B626:B1257, N626:N1257, N626)</f>
        <v>45249</v>
      </c>
      <c r="I626" s="4" t="str">
        <f t="shared" si="18"/>
        <v>Nov-2023</v>
      </c>
      <c r="J626" s="13">
        <f t="shared" si="19"/>
        <v>1</v>
      </c>
      <c r="K626" s="13">
        <v>23</v>
      </c>
      <c r="L626" s="30" t="str">
        <f>IF(Table2[[#This Row],[LeadTimeDays]]&lt;7,"1","0")</f>
        <v>0</v>
      </c>
      <c r="M626" s="7" t="s">
        <v>647</v>
      </c>
      <c r="N626" s="7" t="s">
        <v>654</v>
      </c>
      <c r="O626" s="7" t="s">
        <v>680</v>
      </c>
      <c r="P626" s="7" t="s">
        <v>705</v>
      </c>
      <c r="Q626" s="7" t="s">
        <v>711</v>
      </c>
      <c r="R626" s="7" t="s">
        <v>712</v>
      </c>
      <c r="S626" s="7" t="s">
        <v>729</v>
      </c>
      <c r="T626" s="7" t="s">
        <v>2050</v>
      </c>
      <c r="U626" s="9">
        <v>1349.04</v>
      </c>
      <c r="V626" s="9">
        <v>2636.6</v>
      </c>
      <c r="W626" s="9">
        <v>2636.6</v>
      </c>
      <c r="X626" s="9">
        <v>969.44260000000008</v>
      </c>
      <c r="Y626" s="9">
        <v>1837.1271999999999</v>
      </c>
      <c r="Z626" s="9" t="s">
        <v>2095</v>
      </c>
      <c r="AA626" t="s">
        <v>2065</v>
      </c>
      <c r="AB626" s="11">
        <v>0.114</v>
      </c>
      <c r="AC626" t="s">
        <v>2065</v>
      </c>
      <c r="AD626" s="13">
        <v>14</v>
      </c>
      <c r="AE626" s="9">
        <v>32704.386400000003</v>
      </c>
      <c r="AF626" s="9">
        <v>18886.559999999998</v>
      </c>
      <c r="AG626" s="9">
        <v>13817.826400000005</v>
      </c>
      <c r="AH626" s="11">
        <v>0.42250682312143928</v>
      </c>
      <c r="AI626" s="9">
        <f>SUMIFS(AD626:AD1257, R626:R1257, S626)</f>
        <v>0</v>
      </c>
      <c r="AJ626" s="11" t="e">
        <f>SUMIFS(AD626:AD1257, R626:R1257, S626, AD626:AD1257, "&gt;" &amp; AE626) / AI626</f>
        <v>#DIV/0!</v>
      </c>
      <c r="AK626" s="7" t="e">
        <f>IF(AJ626&lt;=0.8,"A",IF(Table2[[#This Row],[Cumulative rev]]&lt;=0.95,"B","C"))</f>
        <v>#DIV/0!</v>
      </c>
    </row>
    <row r="627" spans="1:37" x14ac:dyDescent="0.3">
      <c r="A627" t="s">
        <v>640</v>
      </c>
      <c r="B627" s="4">
        <v>45282</v>
      </c>
      <c r="C627" s="4" t="s">
        <v>2088</v>
      </c>
      <c r="D627" s="4" t="s">
        <v>2089</v>
      </c>
      <c r="E627" s="4">
        <v>45307</v>
      </c>
      <c r="F627" t="s">
        <v>2064</v>
      </c>
      <c r="G627" s="4">
        <v>45307</v>
      </c>
      <c r="H627" s="4">
        <f>_xlfn.MINIFS(B627:B1258, N627:N1258, N627)</f>
        <v>45282</v>
      </c>
      <c r="I627" s="4" t="str">
        <f t="shared" si="18"/>
        <v>Dec-2023</v>
      </c>
      <c r="J627" s="13">
        <f t="shared" si="19"/>
        <v>1</v>
      </c>
      <c r="K627" s="13">
        <v>25</v>
      </c>
      <c r="L627" s="30" t="str">
        <f>IF(Table2[[#This Row],[LeadTimeDays]]&lt;7,"1","0")</f>
        <v>0</v>
      </c>
      <c r="M627" s="7" t="s">
        <v>647</v>
      </c>
      <c r="N627" s="7" t="s">
        <v>654</v>
      </c>
      <c r="O627" s="7" t="s">
        <v>696</v>
      </c>
      <c r="P627" s="7" t="s">
        <v>705</v>
      </c>
      <c r="Q627" s="7" t="s">
        <v>707</v>
      </c>
      <c r="R627" s="7" t="s">
        <v>720</v>
      </c>
      <c r="S627" s="7" t="s">
        <v>727</v>
      </c>
      <c r="T627" s="7" t="s">
        <v>2051</v>
      </c>
      <c r="U627" s="9">
        <v>1346.81</v>
      </c>
      <c r="V627" s="9">
        <v>978.09</v>
      </c>
      <c r="W627" s="9">
        <v>978.09</v>
      </c>
      <c r="X627" s="9">
        <v>826.76050000000021</v>
      </c>
      <c r="Y627" s="9">
        <v>1561.0360000000003</v>
      </c>
      <c r="Z627" s="9" t="s">
        <v>2092</v>
      </c>
      <c r="AA627" t="s">
        <v>2065</v>
      </c>
      <c r="AB627" s="11">
        <v>0.159</v>
      </c>
      <c r="AC627" t="s">
        <v>2065</v>
      </c>
      <c r="AD627" s="13">
        <v>17</v>
      </c>
      <c r="AE627" s="9">
        <v>13983.752729999998</v>
      </c>
      <c r="AF627" s="9">
        <v>22895.77</v>
      </c>
      <c r="AG627" s="9">
        <v>-8912.0172700000021</v>
      </c>
      <c r="AH627" s="11">
        <v>-0.6373122753293996</v>
      </c>
      <c r="AI627" s="9">
        <f>SUMIFS(AD627:AD1258, R627:R1258, S627)</f>
        <v>0</v>
      </c>
      <c r="AJ627" s="11" t="e">
        <f>SUMIFS(AD627:AD1258, R627:R1258, S627, AD627:AD1258, "&gt;" &amp; AE627) / AI627</f>
        <v>#DIV/0!</v>
      </c>
      <c r="AK627" s="7" t="e">
        <f>IF(AJ627&lt;=0.8,"A",IF(Table2[[#This Row],[Cumulative rev]]&lt;=0.95,"B","C"))</f>
        <v>#DIV/0!</v>
      </c>
    </row>
    <row r="628" spans="1:37" x14ac:dyDescent="0.3">
      <c r="A628" t="s">
        <v>641</v>
      </c>
      <c r="B628" s="4">
        <v>45141</v>
      </c>
      <c r="C628" s="4" t="s">
        <v>2118</v>
      </c>
      <c r="D628" s="4" t="s">
        <v>2117</v>
      </c>
      <c r="E628" s="4">
        <v>45168</v>
      </c>
      <c r="F628" t="s">
        <v>2064</v>
      </c>
      <c r="G628" s="4">
        <v>45168</v>
      </c>
      <c r="H628" s="4">
        <f>_xlfn.MINIFS(B628:B1259, N628:N1259, N628)</f>
        <v>45141</v>
      </c>
      <c r="I628" s="4" t="str">
        <f t="shared" si="18"/>
        <v>Aug-2023</v>
      </c>
      <c r="J628" s="13">
        <f t="shared" si="19"/>
        <v>1</v>
      </c>
      <c r="K628" s="13">
        <v>27</v>
      </c>
      <c r="L628" s="30" t="str">
        <f>IF(Table2[[#This Row],[LeadTimeDays]]&lt;7,"1","0")</f>
        <v>0</v>
      </c>
      <c r="M628" s="7" t="s">
        <v>647</v>
      </c>
      <c r="N628" s="7" t="s">
        <v>659</v>
      </c>
      <c r="O628" s="7" t="s">
        <v>685</v>
      </c>
      <c r="P628" s="7" t="s">
        <v>704</v>
      </c>
      <c r="Q628" s="7" t="s">
        <v>710</v>
      </c>
      <c r="R628" s="7" t="s">
        <v>725</v>
      </c>
      <c r="S628" s="7" t="s">
        <v>732</v>
      </c>
      <c r="T628" s="7" t="s">
        <v>2052</v>
      </c>
      <c r="U628" s="9">
        <v>226.04</v>
      </c>
      <c r="V628" s="9">
        <v>545.72</v>
      </c>
      <c r="W628" s="9">
        <v>545.72</v>
      </c>
      <c r="X628" s="9">
        <v>830.46240000000034</v>
      </c>
      <c r="Y628" s="9">
        <v>1703.2647999999999</v>
      </c>
      <c r="Z628" s="9" t="s">
        <v>2081</v>
      </c>
      <c r="AA628" t="s">
        <v>2065</v>
      </c>
      <c r="AB628" s="11">
        <v>0.151</v>
      </c>
      <c r="AC628" t="s">
        <v>2065</v>
      </c>
      <c r="AD628" s="13">
        <v>11</v>
      </c>
      <c r="AE628" s="9">
        <v>5096.4790800000001</v>
      </c>
      <c r="AF628" s="9">
        <v>2486.44</v>
      </c>
      <c r="AG628" s="9">
        <v>2610.03908</v>
      </c>
      <c r="AH628" s="11">
        <v>0.51212592831834014</v>
      </c>
      <c r="AI628" s="9">
        <f>SUMIFS(AD628:AD1259, R628:R1259, S628)</f>
        <v>0</v>
      </c>
      <c r="AJ628" s="11" t="e">
        <f>SUMIFS(AD628:AD1259, R628:R1259, S628, AD628:AD1259, "&gt;" &amp; AE628) / AI628</f>
        <v>#DIV/0!</v>
      </c>
      <c r="AK628" s="7" t="e">
        <f>IF(AJ628&lt;=0.8,"A",IF(Table2[[#This Row],[Cumulative rev]]&lt;=0.95,"B","C"))</f>
        <v>#DIV/0!</v>
      </c>
    </row>
    <row r="629" spans="1:37" x14ac:dyDescent="0.3">
      <c r="A629" t="s">
        <v>642</v>
      </c>
      <c r="B629" s="4">
        <v>45100</v>
      </c>
      <c r="C629" s="4" t="s">
        <v>2115</v>
      </c>
      <c r="D629" s="4" t="s">
        <v>2103</v>
      </c>
      <c r="E629" s="4">
        <v>45125</v>
      </c>
      <c r="F629" t="s">
        <v>2064</v>
      </c>
      <c r="G629" s="4">
        <v>45125</v>
      </c>
      <c r="H629" s="4">
        <f>_xlfn.MINIFS(B629:B1260, N629:N1260, N629)</f>
        <v>45100</v>
      </c>
      <c r="I629" s="4" t="str">
        <f t="shared" si="18"/>
        <v>Jun-2023</v>
      </c>
      <c r="J629" s="13">
        <f t="shared" si="19"/>
        <v>1</v>
      </c>
      <c r="K629" s="13">
        <v>25</v>
      </c>
      <c r="L629" s="30" t="str">
        <f>IF(Table2[[#This Row],[LeadTimeDays]]&lt;7,"1","0")</f>
        <v>0</v>
      </c>
      <c r="M629" s="7" t="s">
        <v>648</v>
      </c>
      <c r="N629" s="7" t="s">
        <v>653</v>
      </c>
      <c r="O629" s="7" t="s">
        <v>688</v>
      </c>
      <c r="P629" s="7" t="s">
        <v>706</v>
      </c>
      <c r="Q629" s="7" t="s">
        <v>708</v>
      </c>
      <c r="R629" s="7" t="s">
        <v>725</v>
      </c>
      <c r="S629" s="7" t="s">
        <v>730</v>
      </c>
      <c r="T629" s="7" t="s">
        <v>2053</v>
      </c>
      <c r="U629" s="9">
        <v>807.02</v>
      </c>
      <c r="V629" s="9">
        <v>1435.54</v>
      </c>
      <c r="W629" s="9">
        <v>1435.54</v>
      </c>
      <c r="X629" s="9">
        <v>1421.6443999999999</v>
      </c>
      <c r="Y629" s="9">
        <v>1845.4935999999998</v>
      </c>
      <c r="Z629" s="9" t="s">
        <v>2092</v>
      </c>
      <c r="AA629" t="s">
        <v>2065</v>
      </c>
      <c r="AB629" s="11">
        <v>0</v>
      </c>
      <c r="AC629" t="s">
        <v>2065</v>
      </c>
      <c r="AD629" s="13">
        <v>23</v>
      </c>
      <c r="AE629" s="9">
        <v>33017.42</v>
      </c>
      <c r="AF629" s="9">
        <v>18561.46</v>
      </c>
      <c r="AG629" s="9">
        <v>14455.96</v>
      </c>
      <c r="AH629" s="11">
        <v>0.43782827368098415</v>
      </c>
      <c r="AI629" s="9">
        <f>SUMIFS(AD629:AD1260, R629:R1260, S629)</f>
        <v>0</v>
      </c>
      <c r="AJ629" s="11" t="e">
        <f>SUMIFS(AD629:AD1260, R629:R1260, S629, AD629:AD1260, "&gt;" &amp; AE629) / AI629</f>
        <v>#DIV/0!</v>
      </c>
      <c r="AK629" s="7" t="e">
        <f>IF(AJ629&lt;=0.8,"A",IF(Table2[[#This Row],[Cumulative rev]]&lt;=0.95,"B","C"))</f>
        <v>#DIV/0!</v>
      </c>
    </row>
    <row r="630" spans="1:37" x14ac:dyDescent="0.3">
      <c r="A630" t="s">
        <v>643</v>
      </c>
      <c r="B630" s="4">
        <v>45267</v>
      </c>
      <c r="C630" s="4" t="s">
        <v>2088</v>
      </c>
      <c r="D630" s="4" t="s">
        <v>2089</v>
      </c>
      <c r="E630" s="4">
        <v>45293</v>
      </c>
      <c r="F630" t="s">
        <v>2064</v>
      </c>
      <c r="G630" s="4">
        <v>45293</v>
      </c>
      <c r="H630" s="4">
        <f>_xlfn.MINIFS(B630:B1261, N630:N1261, N630)</f>
        <v>45267</v>
      </c>
      <c r="I630" s="4" t="str">
        <f t="shared" si="18"/>
        <v>Dec-2023</v>
      </c>
      <c r="J630" s="13">
        <f t="shared" si="19"/>
        <v>1</v>
      </c>
      <c r="K630" s="13">
        <v>26</v>
      </c>
      <c r="L630" s="30" t="str">
        <f>IF(Table2[[#This Row],[LeadTimeDays]]&lt;7,"1","0")</f>
        <v>0</v>
      </c>
      <c r="M630" s="7" t="s">
        <v>649</v>
      </c>
      <c r="N630" s="7" t="s">
        <v>656</v>
      </c>
      <c r="O630" s="7" t="s">
        <v>698</v>
      </c>
      <c r="P630" s="7" t="s">
        <v>706</v>
      </c>
      <c r="Q630" s="7" t="s">
        <v>710</v>
      </c>
      <c r="R630" s="7" t="s">
        <v>718</v>
      </c>
      <c r="S630" s="7" t="s">
        <v>727</v>
      </c>
      <c r="T630" s="7" t="s">
        <v>2054</v>
      </c>
      <c r="U630" s="9">
        <v>1071.99</v>
      </c>
      <c r="V630" s="9">
        <v>2397.3000000000002</v>
      </c>
      <c r="W630" s="9">
        <v>2397.3000000000002</v>
      </c>
      <c r="X630" s="9">
        <v>1239.1808000000001</v>
      </c>
      <c r="Y630" s="9">
        <v>2027.7608</v>
      </c>
      <c r="Z630" s="9" t="s">
        <v>2095</v>
      </c>
      <c r="AA630" t="s">
        <v>2065</v>
      </c>
      <c r="AB630" s="11">
        <v>6.2E-2</v>
      </c>
      <c r="AC630" t="s">
        <v>2065</v>
      </c>
      <c r="AD630" s="13">
        <v>18</v>
      </c>
      <c r="AE630" s="9">
        <v>40476.013200000001</v>
      </c>
      <c r="AF630" s="9">
        <v>19295.82</v>
      </c>
      <c r="AG630" s="9">
        <v>21180.193200000002</v>
      </c>
      <c r="AH630" s="11">
        <v>0.52327765324476183</v>
      </c>
      <c r="AI630" s="9">
        <f>SUMIFS(AD630:AD1261, R630:R1261, S630)</f>
        <v>0</v>
      </c>
      <c r="AJ630" s="11" t="e">
        <f>SUMIFS(AD630:AD1261, R630:R1261, S630, AD630:AD1261, "&gt;" &amp; AE630) / AI630</f>
        <v>#DIV/0!</v>
      </c>
      <c r="AK630" s="7" t="e">
        <f>IF(AJ630&lt;=0.8,"A",IF(Table2[[#This Row],[Cumulative rev]]&lt;=0.95,"B","C"))</f>
        <v>#DIV/0!</v>
      </c>
    </row>
    <row r="631" spans="1:37" x14ac:dyDescent="0.3">
      <c r="A631" t="s">
        <v>644</v>
      </c>
      <c r="B631" s="4">
        <v>45249</v>
      </c>
      <c r="C631" s="4" t="s">
        <v>2123</v>
      </c>
      <c r="D631" s="4" t="s">
        <v>2089</v>
      </c>
      <c r="E631" s="4">
        <v>45279</v>
      </c>
      <c r="F631" t="s">
        <v>2064</v>
      </c>
      <c r="G631" s="4">
        <v>45279</v>
      </c>
      <c r="H631" s="4">
        <f>_xlfn.MINIFS(B631:B1262, N631:N1262, N631)</f>
        <v>45249</v>
      </c>
      <c r="I631" s="4" t="str">
        <f t="shared" si="18"/>
        <v>Nov-2023</v>
      </c>
      <c r="J631" s="13">
        <f t="shared" si="19"/>
        <v>1</v>
      </c>
      <c r="K631" s="13">
        <v>30</v>
      </c>
      <c r="L631" s="30" t="str">
        <f>IF(Table2[[#This Row],[LeadTimeDays]]&lt;7,"1","0")</f>
        <v>0</v>
      </c>
      <c r="M631" s="7" t="s">
        <v>647</v>
      </c>
      <c r="N631" s="7" t="s">
        <v>652</v>
      </c>
      <c r="O631" s="7" t="s">
        <v>694</v>
      </c>
      <c r="P631" s="7" t="s">
        <v>704</v>
      </c>
      <c r="Q631" s="7" t="s">
        <v>707</v>
      </c>
      <c r="R631" s="7" t="s">
        <v>2057</v>
      </c>
      <c r="S631" s="7" t="s">
        <v>730</v>
      </c>
      <c r="T631" s="7" t="s">
        <v>2055</v>
      </c>
      <c r="U631" s="9">
        <v>807.11</v>
      </c>
      <c r="V631" s="9">
        <v>1853.86</v>
      </c>
      <c r="W631" s="9">
        <v>1853.86</v>
      </c>
      <c r="X631" s="9">
        <v>642.58040000000005</v>
      </c>
      <c r="Y631" s="9">
        <v>1239.1808000000001</v>
      </c>
      <c r="Z631" s="9" t="s">
        <v>2095</v>
      </c>
      <c r="AA631" t="s">
        <v>2065</v>
      </c>
      <c r="AB631" s="11">
        <v>0.13900000000000001</v>
      </c>
      <c r="AC631" t="s">
        <v>2065</v>
      </c>
      <c r="AD631" s="13">
        <v>8</v>
      </c>
      <c r="AE631" s="9">
        <v>12769.38768</v>
      </c>
      <c r="AF631" s="9">
        <v>6456.88</v>
      </c>
      <c r="AG631" s="9">
        <v>6312.5076799999997</v>
      </c>
      <c r="AH631" s="11">
        <v>0.49434693645388639</v>
      </c>
      <c r="AI631" s="9">
        <f>SUMIFS(AD631:AD1262, R631:R1262, S631)</f>
        <v>0</v>
      </c>
      <c r="AJ631" s="11" t="e">
        <f>SUMIFS(AD631:AD1262, R631:R1262, S631, AD631:AD1262, "&gt;" &amp; AE631) / AI631</f>
        <v>#DIV/0!</v>
      </c>
      <c r="AK631" s="7" t="e">
        <f>IF(AJ631&lt;=0.8,"A",IF(Table2[[#This Row],[Cumulative rev]]&lt;=0.95,"B","C"))</f>
        <v>#DIV/0!</v>
      </c>
    </row>
    <row r="632" spans="1:37" x14ac:dyDescent="0.3">
      <c r="A632" t="s">
        <v>645</v>
      </c>
      <c r="B632" s="4">
        <v>45716</v>
      </c>
      <c r="C632" s="4" t="s">
        <v>2119</v>
      </c>
      <c r="D632" s="4" t="s">
        <v>2087</v>
      </c>
      <c r="E632" s="4">
        <v>45726</v>
      </c>
      <c r="F632" t="s">
        <v>2064</v>
      </c>
      <c r="G632" s="4">
        <v>45726</v>
      </c>
      <c r="H632" s="4">
        <f>_xlfn.MINIFS(B632:B1263, N632:N1263, N632)</f>
        <v>45716</v>
      </c>
      <c r="I632" s="4" t="str">
        <f t="shared" si="18"/>
        <v>Feb-2025</v>
      </c>
      <c r="J632" s="13">
        <f t="shared" si="19"/>
        <v>1</v>
      </c>
      <c r="K632" s="13">
        <v>10</v>
      </c>
      <c r="L632" s="30" t="str">
        <f>IF(Table2[[#This Row],[LeadTimeDays]]&lt;7,"1","0")</f>
        <v>0</v>
      </c>
      <c r="M632" s="7" t="s">
        <v>647</v>
      </c>
      <c r="N632" s="7" t="s">
        <v>652</v>
      </c>
      <c r="O632" s="7" t="s">
        <v>666</v>
      </c>
      <c r="P632" s="7" t="s">
        <v>702</v>
      </c>
      <c r="Q632" s="7" t="s">
        <v>710</v>
      </c>
      <c r="R632" s="7" t="s">
        <v>725</v>
      </c>
      <c r="S632" s="7" t="s">
        <v>731</v>
      </c>
      <c r="T632" s="7" t="s">
        <v>2056</v>
      </c>
      <c r="U632" s="9">
        <v>51.86</v>
      </c>
      <c r="V632" s="9">
        <v>45.98</v>
      </c>
      <c r="W632" s="9">
        <v>45.98</v>
      </c>
      <c r="X632" s="9">
        <v>45.98</v>
      </c>
      <c r="Y632" s="9">
        <v>45.98</v>
      </c>
      <c r="Z632" s="9" t="s">
        <v>2081</v>
      </c>
      <c r="AA632" t="s">
        <v>2065</v>
      </c>
      <c r="AB632" s="11">
        <v>0.17299999999999999</v>
      </c>
      <c r="AC632" t="s">
        <v>2065</v>
      </c>
      <c r="AD632" s="13">
        <v>7</v>
      </c>
      <c r="AE632" s="9">
        <v>266.17821999999995</v>
      </c>
      <c r="AF632" s="9">
        <v>363.02</v>
      </c>
      <c r="AG632" s="9">
        <v>-96.841780000000028</v>
      </c>
      <c r="AH632" s="11">
        <v>-0.3638230806412337</v>
      </c>
      <c r="AI632" s="9">
        <f>SUMIFS(AD632:AD1263, R632:R1263, S632)</f>
        <v>0</v>
      </c>
      <c r="AJ632" s="11" t="e">
        <f>SUMIFS(AD632:AD1263, R632:R1263, S632, AD632:AD1263, "&gt;" &amp; AE632) / AI632</f>
        <v>#DIV/0!</v>
      </c>
      <c r="AK632" s="7" t="e">
        <f>IF(AJ632&lt;=0.8,"A",IF(Table2[[#This Row],[Cumulative rev]]&lt;=0.95,"B","C"))</f>
        <v>#DIV/0!</v>
      </c>
    </row>
    <row r="633" spans="1:37" x14ac:dyDescent="0.3">
      <c r="A633" t="s">
        <v>2154</v>
      </c>
      <c r="H633"/>
      <c r="I633"/>
      <c r="J633"/>
      <c r="AE633" s="9">
        <f>SUBTOTAL(101,Table2[GrossRevenue])</f>
        <v>17277.47453050713</v>
      </c>
      <c r="AG633" s="9">
        <f>SUBTOTAL(109,Table2[GrossProfit])</f>
        <v>3405891.2187500023</v>
      </c>
      <c r="AI633"/>
      <c r="AK633">
        <f>SUBTOTAL(103,Table2[Category])</f>
        <v>631</v>
      </c>
    </row>
  </sheetData>
  <phoneticPr fontId="3"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3626-BCD8-4519-9B3D-93600BA64657}">
  <dimension ref="A1"/>
  <sheetViews>
    <sheetView workbookViewId="0">
      <selection activeCell="A4" sqref="A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Brief</vt:lpstr>
      <vt:lpstr>Answers</vt:lpstr>
      <vt:lpstr>PART A 1</vt:lpstr>
      <vt:lpstr>PART A 2</vt:lpstr>
      <vt:lpstr>PART A 3</vt:lpstr>
      <vt:lpstr>PART B4</vt:lpstr>
      <vt:lpstr>PART B5</vt:lpstr>
      <vt:lpstr>PartB6</vt:lpstr>
      <vt:lpstr>Channelmix</vt:lpstr>
      <vt:lpstr>Sheet17</vt:lpstr>
      <vt:lpstr>Sheet18</vt:lpstr>
      <vt:lpstr>top10SKU</vt:lpstr>
      <vt:lpstr>Dashboard</vt:lpstr>
      <vt:lpstr>Table</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isaac izzoh</cp:lastModifiedBy>
  <dcterms:created xsi:type="dcterms:W3CDTF">2025-09-28T10:49:35Z</dcterms:created>
  <dcterms:modified xsi:type="dcterms:W3CDTF">2025-10-07T17:19:26Z</dcterms:modified>
</cp:coreProperties>
</file>